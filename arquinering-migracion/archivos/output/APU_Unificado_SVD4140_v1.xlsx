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output\"/>
    </mc:Choice>
  </mc:AlternateContent>
  <xr:revisionPtr revIDLastSave="0" documentId="13_ncr:1_{C73A17C4-0EF9-4B66-B279-8D12E368A7F9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CONFIG" sheetId="1" r:id="rId1"/>
    <sheet name="MATERIALES" sheetId="2" r:id="rId2"/>
    <sheet name="MANO_DE_OBRA" sheetId="3" r:id="rId3"/>
    <sheet name="EQUIPOS" sheetId="4" r:id="rId4"/>
    <sheet name="SUBCONTRATOS_PRY" sheetId="5" r:id="rId5"/>
    <sheet name="PPTO_GENERADOR" sheetId="6" r:id="rId6"/>
    <sheet name="COMPOSICIÓN" sheetId="7" r:id="rId7"/>
    <sheet name="PARTID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0" i="8" l="1"/>
  <c r="K190" i="8"/>
  <c r="N190" i="8" s="1"/>
  <c r="Q189" i="8"/>
  <c r="K189" i="8"/>
  <c r="N189" i="8" s="1"/>
  <c r="Q188" i="8"/>
  <c r="Q187" i="8"/>
  <c r="L187" i="8"/>
  <c r="O187" i="8" s="1"/>
  <c r="K187" i="8"/>
  <c r="N187" i="8" s="1"/>
  <c r="G187" i="6" s="1"/>
  <c r="K187" i="6" s="1"/>
  <c r="Q186" i="8"/>
  <c r="L186" i="8"/>
  <c r="O186" i="8" s="1"/>
  <c r="H186" i="6" s="1"/>
  <c r="L186" i="6" s="1"/>
  <c r="Q185" i="8"/>
  <c r="O185" i="8"/>
  <c r="L185" i="8"/>
  <c r="Q184" i="8"/>
  <c r="O184" i="8"/>
  <c r="H184" i="6" s="1"/>
  <c r="L184" i="6" s="1"/>
  <c r="N184" i="8"/>
  <c r="G184" i="6" s="1"/>
  <c r="K184" i="6" s="1"/>
  <c r="L184" i="8"/>
  <c r="K184" i="8"/>
  <c r="J184" i="8"/>
  <c r="M184" i="8" s="1"/>
  <c r="Q183" i="8"/>
  <c r="L183" i="8"/>
  <c r="O183" i="8" s="1"/>
  <c r="H183" i="6" s="1"/>
  <c r="L183" i="6" s="1"/>
  <c r="K183" i="8"/>
  <c r="N183" i="8" s="1"/>
  <c r="J183" i="8"/>
  <c r="M183" i="8" s="1"/>
  <c r="P183" i="8" s="1"/>
  <c r="Q182" i="8"/>
  <c r="O182" i="8"/>
  <c r="H182" i="6" s="1"/>
  <c r="L182" i="6" s="1"/>
  <c r="N182" i="8"/>
  <c r="L182" i="8"/>
  <c r="K182" i="8"/>
  <c r="J182" i="8"/>
  <c r="M182" i="8" s="1"/>
  <c r="Q181" i="8"/>
  <c r="N181" i="8"/>
  <c r="G181" i="6" s="1"/>
  <c r="K181" i="6" s="1"/>
  <c r="L181" i="8"/>
  <c r="O181" i="8" s="1"/>
  <c r="K181" i="8"/>
  <c r="J181" i="8"/>
  <c r="M181" i="8" s="1"/>
  <c r="Q180" i="8"/>
  <c r="L180" i="8"/>
  <c r="O180" i="8" s="1"/>
  <c r="K180" i="8"/>
  <c r="N180" i="8" s="1"/>
  <c r="J180" i="8"/>
  <c r="M180" i="8" s="1"/>
  <c r="P180" i="8" s="1"/>
  <c r="W180" i="8" s="1"/>
  <c r="Q179" i="8"/>
  <c r="O179" i="8"/>
  <c r="L179" i="8"/>
  <c r="K179" i="8"/>
  <c r="N179" i="8" s="1"/>
  <c r="J179" i="8"/>
  <c r="M179" i="8" s="1"/>
  <c r="F179" i="6" s="1"/>
  <c r="J179" i="6" s="1"/>
  <c r="Q178" i="8"/>
  <c r="N178" i="8"/>
  <c r="L178" i="8"/>
  <c r="O178" i="8" s="1"/>
  <c r="K178" i="8"/>
  <c r="Q177" i="8"/>
  <c r="L177" i="8"/>
  <c r="O177" i="8" s="1"/>
  <c r="K177" i="8"/>
  <c r="N177" i="8" s="1"/>
  <c r="Q176" i="8"/>
  <c r="L176" i="8"/>
  <c r="O176" i="8" s="1"/>
  <c r="H176" i="6" s="1"/>
  <c r="L176" i="6" s="1"/>
  <c r="J176" i="8"/>
  <c r="M176" i="8" s="1"/>
  <c r="F176" i="6" s="1"/>
  <c r="J176" i="6" s="1"/>
  <c r="Q175" i="8"/>
  <c r="O175" i="8"/>
  <c r="M175" i="8"/>
  <c r="L175" i="8"/>
  <c r="J175" i="8"/>
  <c r="Q174" i="8"/>
  <c r="L174" i="8"/>
  <c r="O174" i="8" s="1"/>
  <c r="H174" i="6" s="1"/>
  <c r="Q173" i="8"/>
  <c r="L173" i="8"/>
  <c r="O173" i="8" s="1"/>
  <c r="H173" i="6" s="1"/>
  <c r="L173" i="6" s="1"/>
  <c r="K173" i="8"/>
  <c r="N173" i="8" s="1"/>
  <c r="J173" i="8"/>
  <c r="M173" i="8" s="1"/>
  <c r="Q172" i="8"/>
  <c r="L172" i="8"/>
  <c r="O172" i="8" s="1"/>
  <c r="J172" i="8"/>
  <c r="M172" i="8" s="1"/>
  <c r="Q171" i="8"/>
  <c r="M171" i="8"/>
  <c r="L171" i="8"/>
  <c r="O171" i="8" s="1"/>
  <c r="K171" i="8"/>
  <c r="N171" i="8" s="1"/>
  <c r="J171" i="8"/>
  <c r="Q170" i="8"/>
  <c r="Q169" i="8"/>
  <c r="Q168" i="8"/>
  <c r="Q167" i="8"/>
  <c r="L167" i="8"/>
  <c r="O167" i="8" s="1"/>
  <c r="J167" i="8"/>
  <c r="M167" i="8" s="1"/>
  <c r="Q166" i="8"/>
  <c r="L166" i="8"/>
  <c r="O166" i="8" s="1"/>
  <c r="J166" i="8"/>
  <c r="M166" i="8" s="1"/>
  <c r="Q165" i="8"/>
  <c r="M165" i="8"/>
  <c r="L165" i="8"/>
  <c r="O165" i="8" s="1"/>
  <c r="J165" i="8"/>
  <c r="Q164" i="8"/>
  <c r="L164" i="8"/>
  <c r="O164" i="8" s="1"/>
  <c r="H164" i="6" s="1"/>
  <c r="L164" i="6" s="1"/>
  <c r="Q163" i="8"/>
  <c r="Q162" i="8"/>
  <c r="Q161" i="8"/>
  <c r="L161" i="8"/>
  <c r="O161" i="8" s="1"/>
  <c r="J161" i="8"/>
  <c r="M161" i="8" s="1"/>
  <c r="F161" i="6" s="1"/>
  <c r="J161" i="6" s="1"/>
  <c r="Q160" i="8"/>
  <c r="L160" i="8"/>
  <c r="O160" i="8" s="1"/>
  <c r="H160" i="6" s="1"/>
  <c r="L160" i="6" s="1"/>
  <c r="J160" i="8"/>
  <c r="M160" i="8" s="1"/>
  <c r="Q159" i="8"/>
  <c r="N159" i="8"/>
  <c r="M159" i="8"/>
  <c r="L159" i="8"/>
  <c r="O159" i="8" s="1"/>
  <c r="H159" i="6" s="1"/>
  <c r="L159" i="6" s="1"/>
  <c r="K159" i="8"/>
  <c r="J159" i="8"/>
  <c r="Q158" i="8"/>
  <c r="M158" i="8"/>
  <c r="L158" i="8"/>
  <c r="O158" i="8" s="1"/>
  <c r="J158" i="8"/>
  <c r="Q157" i="8"/>
  <c r="L157" i="8"/>
  <c r="O157" i="8" s="1"/>
  <c r="Q156" i="8"/>
  <c r="L156" i="8"/>
  <c r="O156" i="8" s="1"/>
  <c r="H156" i="6" s="1"/>
  <c r="L156" i="6" s="1"/>
  <c r="J156" i="8"/>
  <c r="M156" i="8" s="1"/>
  <c r="Q155" i="8"/>
  <c r="Q154" i="8"/>
  <c r="Q153" i="8"/>
  <c r="Q152" i="8"/>
  <c r="J152" i="8"/>
  <c r="M152" i="8" s="1"/>
  <c r="Q151" i="8"/>
  <c r="Q150" i="8"/>
  <c r="O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L137" i="8"/>
  <c r="O137" i="8" s="1"/>
  <c r="H137" i="6" s="1"/>
  <c r="L137" i="6" s="1"/>
  <c r="J137" i="8"/>
  <c r="M137" i="8" s="1"/>
  <c r="Q136" i="8"/>
  <c r="Q135" i="8"/>
  <c r="Q134" i="8"/>
  <c r="J134" i="8"/>
  <c r="M134" i="8" s="1"/>
  <c r="Q133" i="8"/>
  <c r="J133" i="8"/>
  <c r="M133" i="8" s="1"/>
  <c r="Q132" i="8"/>
  <c r="J132" i="8"/>
  <c r="M132" i="8" s="1"/>
  <c r="Q131" i="8"/>
  <c r="J131" i="8"/>
  <c r="M131" i="8" s="1"/>
  <c r="Q130" i="8"/>
  <c r="J130" i="8"/>
  <c r="M130" i="8" s="1"/>
  <c r="Q129" i="8"/>
  <c r="M129" i="8"/>
  <c r="F129" i="6" s="1"/>
  <c r="J129" i="6" s="1"/>
  <c r="J129" i="8"/>
  <c r="Q128" i="8"/>
  <c r="J128" i="8"/>
  <c r="M128" i="8" s="1"/>
  <c r="Q127" i="8"/>
  <c r="M127" i="8"/>
  <c r="J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M103" i="8"/>
  <c r="L103" i="8"/>
  <c r="O103" i="8" s="1"/>
  <c r="K103" i="8"/>
  <c r="N103" i="8" s="1"/>
  <c r="J103" i="8"/>
  <c r="Q102" i="8"/>
  <c r="O102" i="8"/>
  <c r="P102" i="8" s="1"/>
  <c r="W102" i="8" s="1"/>
  <c r="L102" i="8"/>
  <c r="K102" i="8"/>
  <c r="N102" i="8" s="1"/>
  <c r="J102" i="8"/>
  <c r="M102" i="8" s="1"/>
  <c r="Q101" i="8"/>
  <c r="L101" i="8"/>
  <c r="O101" i="8" s="1"/>
  <c r="H101" i="6" s="1"/>
  <c r="L101" i="6" s="1"/>
  <c r="K101" i="8"/>
  <c r="N101" i="8" s="1"/>
  <c r="G101" i="6" s="1"/>
  <c r="K101" i="6" s="1"/>
  <c r="J101" i="8"/>
  <c r="M101" i="8" s="1"/>
  <c r="Q100" i="8"/>
  <c r="L100" i="8"/>
  <c r="O100" i="8" s="1"/>
  <c r="K100" i="8"/>
  <c r="N100" i="8" s="1"/>
  <c r="J100" i="8"/>
  <c r="M100" i="8" s="1"/>
  <c r="P100" i="8" s="1"/>
  <c r="W100" i="8" s="1"/>
  <c r="Q99" i="8"/>
  <c r="L99" i="8"/>
  <c r="O99" i="8" s="1"/>
  <c r="K99" i="8"/>
  <c r="N99" i="8" s="1"/>
  <c r="J99" i="8"/>
  <c r="M99" i="8" s="1"/>
  <c r="P99" i="8" s="1"/>
  <c r="W99" i="8" s="1"/>
  <c r="Q98" i="8"/>
  <c r="L98" i="8"/>
  <c r="O98" i="8" s="1"/>
  <c r="K98" i="8"/>
  <c r="N98" i="8" s="1"/>
  <c r="J98" i="8"/>
  <c r="M98" i="8" s="1"/>
  <c r="F98" i="6" s="1"/>
  <c r="J98" i="6" s="1"/>
  <c r="Q97" i="8"/>
  <c r="M97" i="8"/>
  <c r="L97" i="8"/>
  <c r="O97" i="8" s="1"/>
  <c r="K97" i="8"/>
  <c r="N97" i="8" s="1"/>
  <c r="J97" i="8"/>
  <c r="Q96" i="8"/>
  <c r="O96" i="8"/>
  <c r="L96" i="8"/>
  <c r="K96" i="8"/>
  <c r="N96" i="8" s="1"/>
  <c r="J96" i="8"/>
  <c r="M96" i="8" s="1"/>
  <c r="Q95" i="8"/>
  <c r="L95" i="8"/>
  <c r="O95" i="8" s="1"/>
  <c r="K95" i="8"/>
  <c r="N95" i="8" s="1"/>
  <c r="G95" i="6" s="1"/>
  <c r="K95" i="6" s="1"/>
  <c r="J95" i="8"/>
  <c r="M95" i="8" s="1"/>
  <c r="P95" i="8" s="1"/>
  <c r="W95" i="8" s="1"/>
  <c r="Q94" i="8"/>
  <c r="Q93" i="8"/>
  <c r="L93" i="8"/>
  <c r="O93" i="8" s="1"/>
  <c r="J93" i="8"/>
  <c r="M93" i="8" s="1"/>
  <c r="Q92" i="8"/>
  <c r="L92" i="8"/>
  <c r="O92" i="8" s="1"/>
  <c r="H92" i="6" s="1"/>
  <c r="L92" i="6" s="1"/>
  <c r="Q91" i="8"/>
  <c r="Q90" i="8"/>
  <c r="Q89" i="8"/>
  <c r="Q88" i="8"/>
  <c r="Q87" i="8"/>
  <c r="L87" i="8"/>
  <c r="O87" i="8" s="1"/>
  <c r="K87" i="8"/>
  <c r="N87" i="8" s="1"/>
  <c r="G87" i="6" s="1"/>
  <c r="K87" i="6" s="1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O71" i="8"/>
  <c r="L71" i="8"/>
  <c r="Q70" i="8"/>
  <c r="L70" i="8"/>
  <c r="O70" i="8" s="1"/>
  <c r="K70" i="8"/>
  <c r="N70" i="8" s="1"/>
  <c r="G70" i="6" s="1"/>
  <c r="K70" i="6" s="1"/>
  <c r="J70" i="8"/>
  <c r="M70" i="8" s="1"/>
  <c r="F70" i="6" s="1"/>
  <c r="J70" i="6" s="1"/>
  <c r="Q69" i="8"/>
  <c r="L69" i="8"/>
  <c r="O69" i="8" s="1"/>
  <c r="H69" i="6" s="1"/>
  <c r="L69" i="6" s="1"/>
  <c r="Q68" i="8"/>
  <c r="L68" i="8"/>
  <c r="O68" i="8" s="1"/>
  <c r="K68" i="8"/>
  <c r="N68" i="8" s="1"/>
  <c r="J68" i="8"/>
  <c r="M68" i="8" s="1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L54" i="8"/>
  <c r="O54" i="8" s="1"/>
  <c r="Q53" i="8"/>
  <c r="L53" i="8"/>
  <c r="O53" i="8" s="1"/>
  <c r="J53" i="8"/>
  <c r="M53" i="8" s="1"/>
  <c r="Q52" i="8"/>
  <c r="L52" i="8"/>
  <c r="O52" i="8" s="1"/>
  <c r="Q51" i="8"/>
  <c r="Q50" i="8"/>
  <c r="L50" i="8"/>
  <c r="O50" i="8" s="1"/>
  <c r="H50" i="6" s="1"/>
  <c r="L50" i="6" s="1"/>
  <c r="J50" i="8"/>
  <c r="M50" i="8" s="1"/>
  <c r="Q49" i="8"/>
  <c r="Q48" i="8"/>
  <c r="Q47" i="8"/>
  <c r="Q46" i="8"/>
  <c r="M46" i="8"/>
  <c r="L46" i="8"/>
  <c r="O46" i="8" s="1"/>
  <c r="J46" i="8"/>
  <c r="Q45" i="8"/>
  <c r="Q44" i="8"/>
  <c r="Q43" i="8"/>
  <c r="L43" i="8"/>
  <c r="O43" i="8" s="1"/>
  <c r="K43" i="8"/>
  <c r="N43" i="8" s="1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O30" i="8"/>
  <c r="N30" i="8"/>
  <c r="L30" i="8"/>
  <c r="K30" i="8"/>
  <c r="Q29" i="8"/>
  <c r="O29" i="8"/>
  <c r="H29" i="6" s="1"/>
  <c r="L29" i="6" s="1"/>
  <c r="L29" i="8"/>
  <c r="K29" i="8"/>
  <c r="N29" i="8" s="1"/>
  <c r="Q28" i="8"/>
  <c r="N28" i="8"/>
  <c r="K28" i="8"/>
  <c r="J28" i="8"/>
  <c r="M28" i="8" s="1"/>
  <c r="Q27" i="8"/>
  <c r="L27" i="8"/>
  <c r="O27" i="8" s="1"/>
  <c r="K27" i="8"/>
  <c r="N27" i="8" s="1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L14" i="8"/>
  <c r="O14" i="8" s="1"/>
  <c r="J14" i="8"/>
  <c r="M14" i="8" s="1"/>
  <c r="Q13" i="8"/>
  <c r="L13" i="8"/>
  <c r="O13" i="8" s="1"/>
  <c r="K13" i="8"/>
  <c r="N13" i="8" s="1"/>
  <c r="J13" i="8"/>
  <c r="M13" i="8" s="1"/>
  <c r="Q12" i="8"/>
  <c r="J12" i="8"/>
  <c r="M12" i="8" s="1"/>
  <c r="Q11" i="8"/>
  <c r="L11" i="8"/>
  <c r="O11" i="8" s="1"/>
  <c r="J11" i="8"/>
  <c r="M11" i="8" s="1"/>
  <c r="Q10" i="8"/>
  <c r="O10" i="8"/>
  <c r="L10" i="8"/>
  <c r="J10" i="8"/>
  <c r="M10" i="8" s="1"/>
  <c r="F10" i="6" s="1"/>
  <c r="J10" i="6" s="1"/>
  <c r="Q9" i="8"/>
  <c r="Q8" i="8"/>
  <c r="Q7" i="8"/>
  <c r="M7" i="8"/>
  <c r="L7" i="8"/>
  <c r="O7" i="8" s="1"/>
  <c r="J7" i="8"/>
  <c r="Q6" i="8"/>
  <c r="Q5" i="8"/>
  <c r="Q4" i="8"/>
  <c r="L4" i="8"/>
  <c r="O4" i="8" s="1"/>
  <c r="K4" i="8"/>
  <c r="N4" i="8" s="1"/>
  <c r="J4" i="8"/>
  <c r="M4" i="8" s="1"/>
  <c r="Q3" i="8"/>
  <c r="Q2" i="8"/>
  <c r="L2" i="8"/>
  <c r="O2" i="8" s="1"/>
  <c r="K2" i="8"/>
  <c r="N2" i="8" s="1"/>
  <c r="G2" i="6" s="1"/>
  <c r="K2" i="6" s="1"/>
  <c r="J2" i="8"/>
  <c r="M2" i="8" s="1"/>
  <c r="P2" i="8" s="1"/>
  <c r="W2" i="8" s="1"/>
  <c r="P982" i="7"/>
  <c r="O982" i="7"/>
  <c r="N982" i="7"/>
  <c r="K982" i="7"/>
  <c r="J982" i="7"/>
  <c r="L190" i="8" s="1"/>
  <c r="O190" i="8" s="1"/>
  <c r="I982" i="7"/>
  <c r="E982" i="7"/>
  <c r="P981" i="7"/>
  <c r="O981" i="7"/>
  <c r="N981" i="7"/>
  <c r="K981" i="7"/>
  <c r="J981" i="7"/>
  <c r="J190" i="8" s="1"/>
  <c r="M190" i="8" s="1"/>
  <c r="I981" i="7"/>
  <c r="E981" i="7"/>
  <c r="P980" i="7"/>
  <c r="O980" i="7"/>
  <c r="N980" i="7"/>
  <c r="K980" i="7"/>
  <c r="I980" i="7"/>
  <c r="J980" i="7" s="1"/>
  <c r="L189" i="8" s="1"/>
  <c r="O189" i="8" s="1"/>
  <c r="E980" i="7"/>
  <c r="P979" i="7"/>
  <c r="O979" i="7"/>
  <c r="N979" i="7"/>
  <c r="K979" i="7"/>
  <c r="I979" i="7"/>
  <c r="J979" i="7" s="1"/>
  <c r="J189" i="8" s="1"/>
  <c r="M189" i="8" s="1"/>
  <c r="E979" i="7"/>
  <c r="P978" i="7"/>
  <c r="O978" i="7"/>
  <c r="N978" i="7"/>
  <c r="K978" i="7"/>
  <c r="I978" i="7"/>
  <c r="J978" i="7" s="1"/>
  <c r="L188" i="8" s="1"/>
  <c r="O188" i="8" s="1"/>
  <c r="H188" i="6" s="1"/>
  <c r="L188" i="6" s="1"/>
  <c r="E978" i="7"/>
  <c r="P977" i="7"/>
  <c r="O977" i="7"/>
  <c r="N977" i="7"/>
  <c r="K977" i="7"/>
  <c r="I977" i="7"/>
  <c r="J977" i="7" s="1"/>
  <c r="K188" i="8" s="1"/>
  <c r="N188" i="8" s="1"/>
  <c r="E977" i="7"/>
  <c r="P976" i="7"/>
  <c r="O976" i="7"/>
  <c r="N976" i="7"/>
  <c r="K976" i="7"/>
  <c r="I976" i="7"/>
  <c r="J976" i="7" s="1"/>
  <c r="J188" i="8" s="1"/>
  <c r="M188" i="8" s="1"/>
  <c r="E976" i="7"/>
  <c r="P975" i="7"/>
  <c r="O975" i="7"/>
  <c r="N975" i="7"/>
  <c r="K975" i="7"/>
  <c r="I975" i="7"/>
  <c r="J975" i="7" s="1"/>
  <c r="E975" i="7"/>
  <c r="P974" i="7"/>
  <c r="O974" i="7"/>
  <c r="N974" i="7"/>
  <c r="K974" i="7"/>
  <c r="I974" i="7"/>
  <c r="J974" i="7" s="1"/>
  <c r="E974" i="7"/>
  <c r="P973" i="7"/>
  <c r="O973" i="7"/>
  <c r="N973" i="7"/>
  <c r="K973" i="7"/>
  <c r="I973" i="7"/>
  <c r="J973" i="7" s="1"/>
  <c r="E973" i="7"/>
  <c r="P972" i="7"/>
  <c r="O972" i="7"/>
  <c r="N972" i="7"/>
  <c r="K972" i="7"/>
  <c r="I972" i="7"/>
  <c r="J972" i="7" s="1"/>
  <c r="E972" i="7"/>
  <c r="P971" i="7"/>
  <c r="O971" i="7"/>
  <c r="N971" i="7"/>
  <c r="K971" i="7"/>
  <c r="I971" i="7"/>
  <c r="J971" i="7" s="1"/>
  <c r="E971" i="7"/>
  <c r="P970" i="7"/>
  <c r="O970" i="7"/>
  <c r="N970" i="7"/>
  <c r="K970" i="7"/>
  <c r="I970" i="7"/>
  <c r="J970" i="7" s="1"/>
  <c r="E970" i="7"/>
  <c r="P969" i="7"/>
  <c r="O969" i="7"/>
  <c r="N969" i="7"/>
  <c r="K969" i="7"/>
  <c r="I969" i="7"/>
  <c r="J969" i="7" s="1"/>
  <c r="E969" i="7"/>
  <c r="P968" i="7"/>
  <c r="O968" i="7"/>
  <c r="N968" i="7"/>
  <c r="K968" i="7"/>
  <c r="I968" i="7"/>
  <c r="J968" i="7" s="1"/>
  <c r="E968" i="7"/>
  <c r="P967" i="7"/>
  <c r="O967" i="7"/>
  <c r="N967" i="7"/>
  <c r="K967" i="7"/>
  <c r="I967" i="7"/>
  <c r="J967" i="7" s="1"/>
  <c r="K186" i="8" s="1"/>
  <c r="N186" i="8" s="1"/>
  <c r="E967" i="7"/>
  <c r="P966" i="7"/>
  <c r="O966" i="7"/>
  <c r="N966" i="7"/>
  <c r="K966" i="7"/>
  <c r="J966" i="7"/>
  <c r="I966" i="7"/>
  <c r="F966" i="7"/>
  <c r="E966" i="7"/>
  <c r="P965" i="7"/>
  <c r="O965" i="7"/>
  <c r="N965" i="7"/>
  <c r="K965" i="7"/>
  <c r="J965" i="7"/>
  <c r="I965" i="7"/>
  <c r="F965" i="7"/>
  <c r="E965" i="7"/>
  <c r="P964" i="7"/>
  <c r="O964" i="7"/>
  <c r="N964" i="7"/>
  <c r="K964" i="7"/>
  <c r="J964" i="7"/>
  <c r="I964" i="7"/>
  <c r="F964" i="7"/>
  <c r="E964" i="7"/>
  <c r="P963" i="7"/>
  <c r="O963" i="7"/>
  <c r="N963" i="7"/>
  <c r="K963" i="7"/>
  <c r="J963" i="7"/>
  <c r="I963" i="7"/>
  <c r="E963" i="7"/>
  <c r="P962" i="7"/>
  <c r="O962" i="7"/>
  <c r="N962" i="7"/>
  <c r="K962" i="7"/>
  <c r="I962" i="7"/>
  <c r="J962" i="7" s="1"/>
  <c r="K185" i="8" s="1"/>
  <c r="N185" i="8" s="1"/>
  <c r="E962" i="7"/>
  <c r="P961" i="7"/>
  <c r="O961" i="7"/>
  <c r="N961" i="7"/>
  <c r="K961" i="7"/>
  <c r="I961" i="7"/>
  <c r="J961" i="7" s="1"/>
  <c r="J185" i="8" s="1"/>
  <c r="M185" i="8" s="1"/>
  <c r="F185" i="6" s="1"/>
  <c r="J185" i="6" s="1"/>
  <c r="M185" i="6" s="1"/>
  <c r="E961" i="7"/>
  <c r="P960" i="7"/>
  <c r="O960" i="7"/>
  <c r="N960" i="7"/>
  <c r="K960" i="7"/>
  <c r="I960" i="7"/>
  <c r="J960" i="7" s="1"/>
  <c r="J178" i="8" s="1"/>
  <c r="M178" i="8" s="1"/>
  <c r="E960" i="7"/>
  <c r="P959" i="7"/>
  <c r="O959" i="7"/>
  <c r="N959" i="7"/>
  <c r="K959" i="7"/>
  <c r="I959" i="7"/>
  <c r="J959" i="7" s="1"/>
  <c r="J177" i="8" s="1"/>
  <c r="M177" i="8" s="1"/>
  <c r="P177" i="8" s="1"/>
  <c r="W177" i="8" s="1"/>
  <c r="E959" i="7"/>
  <c r="P958" i="7"/>
  <c r="O958" i="7"/>
  <c r="N958" i="7"/>
  <c r="K958" i="7"/>
  <c r="I958" i="7"/>
  <c r="J958" i="7" s="1"/>
  <c r="K176" i="8" s="1"/>
  <c r="N176" i="8" s="1"/>
  <c r="E958" i="7"/>
  <c r="P957" i="7"/>
  <c r="O957" i="7"/>
  <c r="N957" i="7"/>
  <c r="K957" i="7"/>
  <c r="I957" i="7"/>
  <c r="J957" i="7" s="1"/>
  <c r="K175" i="8" s="1"/>
  <c r="N175" i="8" s="1"/>
  <c r="E957" i="7"/>
  <c r="P956" i="7"/>
  <c r="N956" i="7"/>
  <c r="O956" i="7" s="1"/>
  <c r="K956" i="7"/>
  <c r="I956" i="7"/>
  <c r="J956" i="7" s="1"/>
  <c r="K174" i="8" s="1"/>
  <c r="N174" i="8" s="1"/>
  <c r="E956" i="7"/>
  <c r="P955" i="7"/>
  <c r="O955" i="7"/>
  <c r="N955" i="7"/>
  <c r="K955" i="7"/>
  <c r="I955" i="7"/>
  <c r="J955" i="7" s="1"/>
  <c r="J174" i="8" s="1"/>
  <c r="M174" i="8" s="1"/>
  <c r="E955" i="7"/>
  <c r="P954" i="7"/>
  <c r="O954" i="7"/>
  <c r="N954" i="7"/>
  <c r="K954" i="7"/>
  <c r="I954" i="7"/>
  <c r="J954" i="7" s="1"/>
  <c r="K172" i="8" s="1"/>
  <c r="N172" i="8" s="1"/>
  <c r="E954" i="7"/>
  <c r="P953" i="7"/>
  <c r="O953" i="7"/>
  <c r="N953" i="7"/>
  <c r="K953" i="7"/>
  <c r="J953" i="7"/>
  <c r="L170" i="8" s="1"/>
  <c r="O170" i="8" s="1"/>
  <c r="H170" i="6" s="1"/>
  <c r="L170" i="6" s="1"/>
  <c r="I953" i="7"/>
  <c r="E953" i="7"/>
  <c r="P952" i="7"/>
  <c r="N952" i="7"/>
  <c r="O952" i="7" s="1"/>
  <c r="K952" i="7"/>
  <c r="J952" i="7"/>
  <c r="K170" i="8" s="1"/>
  <c r="N170" i="8" s="1"/>
  <c r="G170" i="6" s="1"/>
  <c r="K170" i="6" s="1"/>
  <c r="I952" i="7"/>
  <c r="E952" i="7"/>
  <c r="P951" i="7"/>
  <c r="O951" i="7"/>
  <c r="N951" i="7"/>
  <c r="K951" i="7"/>
  <c r="I951" i="7"/>
  <c r="J951" i="7" s="1"/>
  <c r="J170" i="8" s="1"/>
  <c r="M170" i="8" s="1"/>
  <c r="F170" i="6" s="1"/>
  <c r="J170" i="6" s="1"/>
  <c r="E951" i="7"/>
  <c r="P950" i="7"/>
  <c r="O950" i="7"/>
  <c r="N950" i="7"/>
  <c r="K950" i="7"/>
  <c r="I950" i="7"/>
  <c r="J950" i="7" s="1"/>
  <c r="L169" i="8" s="1"/>
  <c r="O169" i="8" s="1"/>
  <c r="H169" i="6" s="1"/>
  <c r="L169" i="6" s="1"/>
  <c r="E950" i="7"/>
  <c r="P949" i="7"/>
  <c r="N949" i="7"/>
  <c r="O949" i="7" s="1"/>
  <c r="K949" i="7"/>
  <c r="I949" i="7"/>
  <c r="J949" i="7" s="1"/>
  <c r="E949" i="7"/>
  <c r="P948" i="7"/>
  <c r="N948" i="7"/>
  <c r="O948" i="7" s="1"/>
  <c r="K948" i="7"/>
  <c r="I948" i="7"/>
  <c r="J948" i="7" s="1"/>
  <c r="E948" i="7"/>
  <c r="P947" i="7"/>
  <c r="O947" i="7"/>
  <c r="N947" i="7"/>
  <c r="K947" i="7"/>
  <c r="J947" i="7"/>
  <c r="J169" i="8" s="1"/>
  <c r="M169" i="8" s="1"/>
  <c r="F169" i="6" s="1"/>
  <c r="J169" i="6" s="1"/>
  <c r="I947" i="7"/>
  <c r="E947" i="7"/>
  <c r="P946" i="7"/>
  <c r="O946" i="7"/>
  <c r="N946" i="7"/>
  <c r="K946" i="7"/>
  <c r="I946" i="7"/>
  <c r="J946" i="7" s="1"/>
  <c r="L168" i="8" s="1"/>
  <c r="O168" i="8" s="1"/>
  <c r="H168" i="6" s="1"/>
  <c r="L168" i="6" s="1"/>
  <c r="E946" i="7"/>
  <c r="P945" i="7"/>
  <c r="N945" i="7"/>
  <c r="O945" i="7" s="1"/>
  <c r="K945" i="7"/>
  <c r="J945" i="7"/>
  <c r="I945" i="7"/>
  <c r="E945" i="7"/>
  <c r="P944" i="7"/>
  <c r="O944" i="7"/>
  <c r="N944" i="7"/>
  <c r="K944" i="7"/>
  <c r="I944" i="7"/>
  <c r="J944" i="7" s="1"/>
  <c r="E944" i="7"/>
  <c r="P943" i="7"/>
  <c r="O943" i="7"/>
  <c r="N943" i="7"/>
  <c r="K943" i="7"/>
  <c r="I943" i="7"/>
  <c r="J943" i="7" s="1"/>
  <c r="E943" i="7"/>
  <c r="P942" i="7"/>
  <c r="O942" i="7"/>
  <c r="N942" i="7"/>
  <c r="K942" i="7"/>
  <c r="I942" i="7"/>
  <c r="J942" i="7" s="1"/>
  <c r="E942" i="7"/>
  <c r="P941" i="7"/>
  <c r="O941" i="7"/>
  <c r="N941" i="7"/>
  <c r="K941" i="7"/>
  <c r="I941" i="7"/>
  <c r="J941" i="7" s="1"/>
  <c r="E941" i="7"/>
  <c r="P940" i="7"/>
  <c r="O940" i="7"/>
  <c r="N940" i="7"/>
  <c r="K940" i="7"/>
  <c r="I940" i="7"/>
  <c r="J940" i="7" s="1"/>
  <c r="E940" i="7"/>
  <c r="P939" i="7"/>
  <c r="O939" i="7"/>
  <c r="N939" i="7"/>
  <c r="K939" i="7"/>
  <c r="I939" i="7"/>
  <c r="J939" i="7" s="1"/>
  <c r="K167" i="8" s="1"/>
  <c r="N167" i="8" s="1"/>
  <c r="E939" i="7"/>
  <c r="P938" i="7"/>
  <c r="O938" i="7"/>
  <c r="N938" i="7"/>
  <c r="K938" i="7"/>
  <c r="I938" i="7"/>
  <c r="J938" i="7" s="1"/>
  <c r="K166" i="8" s="1"/>
  <c r="N166" i="8" s="1"/>
  <c r="E938" i="7"/>
  <c r="P937" i="7"/>
  <c r="O937" i="7"/>
  <c r="N937" i="7"/>
  <c r="K937" i="7"/>
  <c r="I937" i="7"/>
  <c r="J937" i="7" s="1"/>
  <c r="K165" i="8" s="1"/>
  <c r="N165" i="8" s="1"/>
  <c r="G165" i="6" s="1"/>
  <c r="K165" i="6" s="1"/>
  <c r="E937" i="7"/>
  <c r="P936" i="7"/>
  <c r="O936" i="7"/>
  <c r="N936" i="7"/>
  <c r="K936" i="7"/>
  <c r="J936" i="7"/>
  <c r="K164" i="8" s="1"/>
  <c r="N164" i="8" s="1"/>
  <c r="I936" i="7"/>
  <c r="E936" i="7"/>
  <c r="P935" i="7"/>
  <c r="O935" i="7"/>
  <c r="N935" i="7"/>
  <c r="K935" i="7"/>
  <c r="I935" i="7"/>
  <c r="J935" i="7" s="1"/>
  <c r="J164" i="8" s="1"/>
  <c r="M164" i="8" s="1"/>
  <c r="E935" i="7"/>
  <c r="P934" i="7"/>
  <c r="O934" i="7"/>
  <c r="N934" i="7"/>
  <c r="K934" i="7"/>
  <c r="I934" i="7"/>
  <c r="J934" i="7" s="1"/>
  <c r="J163" i="8" s="1"/>
  <c r="M163" i="8" s="1"/>
  <c r="F163" i="6" s="1"/>
  <c r="J163" i="6" s="1"/>
  <c r="M163" i="6" s="1"/>
  <c r="E934" i="7"/>
  <c r="P933" i="7"/>
  <c r="O933" i="7"/>
  <c r="N933" i="7"/>
  <c r="K933" i="7"/>
  <c r="I933" i="7"/>
  <c r="J933" i="7" s="1"/>
  <c r="L163" i="8" s="1"/>
  <c r="O163" i="8" s="1"/>
  <c r="H163" i="6" s="1"/>
  <c r="L163" i="6" s="1"/>
  <c r="E933" i="7"/>
  <c r="P932" i="7"/>
  <c r="N932" i="7"/>
  <c r="O932" i="7" s="1"/>
  <c r="K932" i="7"/>
  <c r="I932" i="7"/>
  <c r="J932" i="7" s="1"/>
  <c r="K163" i="8" s="1"/>
  <c r="N163" i="8" s="1"/>
  <c r="E932" i="7"/>
  <c r="P931" i="7"/>
  <c r="O931" i="7"/>
  <c r="N931" i="7"/>
  <c r="K931" i="7"/>
  <c r="I931" i="7"/>
  <c r="J931" i="7" s="1"/>
  <c r="E931" i="7"/>
  <c r="P930" i="7"/>
  <c r="O930" i="7"/>
  <c r="N930" i="7"/>
  <c r="K930" i="7"/>
  <c r="I930" i="7"/>
  <c r="J930" i="7" s="1"/>
  <c r="L162" i="8" s="1"/>
  <c r="O162" i="8" s="1"/>
  <c r="E930" i="7"/>
  <c r="P929" i="7"/>
  <c r="N929" i="7"/>
  <c r="O929" i="7" s="1"/>
  <c r="K929" i="7"/>
  <c r="J929" i="7"/>
  <c r="I929" i="7"/>
  <c r="E929" i="7"/>
  <c r="P928" i="7"/>
  <c r="N928" i="7"/>
  <c r="O928" i="7" s="1"/>
  <c r="K928" i="7"/>
  <c r="I928" i="7"/>
  <c r="J928" i="7" s="1"/>
  <c r="K162" i="8" s="1"/>
  <c r="N162" i="8" s="1"/>
  <c r="E928" i="7"/>
  <c r="P927" i="7"/>
  <c r="O927" i="7"/>
  <c r="N927" i="7"/>
  <c r="K927" i="7"/>
  <c r="I927" i="7"/>
  <c r="J927" i="7" s="1"/>
  <c r="E927" i="7"/>
  <c r="P926" i="7"/>
  <c r="O926" i="7"/>
  <c r="N926" i="7"/>
  <c r="K926" i="7"/>
  <c r="I926" i="7"/>
  <c r="J926" i="7" s="1"/>
  <c r="E926" i="7"/>
  <c r="P925" i="7"/>
  <c r="O925" i="7"/>
  <c r="N925" i="7"/>
  <c r="K925" i="7"/>
  <c r="J925" i="7"/>
  <c r="I925" i="7"/>
  <c r="E925" i="7"/>
  <c r="P924" i="7"/>
  <c r="O924" i="7"/>
  <c r="N924" i="7"/>
  <c r="K924" i="7"/>
  <c r="J924" i="7"/>
  <c r="I924" i="7"/>
  <c r="E924" i="7"/>
  <c r="P923" i="7"/>
  <c r="O923" i="7"/>
  <c r="N923" i="7"/>
  <c r="K923" i="7"/>
  <c r="I923" i="7"/>
  <c r="J923" i="7" s="1"/>
  <c r="E923" i="7"/>
  <c r="P922" i="7"/>
  <c r="O922" i="7"/>
  <c r="N922" i="7"/>
  <c r="K922" i="7"/>
  <c r="I922" i="7"/>
  <c r="J922" i="7" s="1"/>
  <c r="E922" i="7"/>
  <c r="P921" i="7"/>
  <c r="O921" i="7"/>
  <c r="N921" i="7"/>
  <c r="K921" i="7"/>
  <c r="J921" i="7"/>
  <c r="I921" i="7"/>
  <c r="E921" i="7"/>
  <c r="P920" i="7"/>
  <c r="O920" i="7"/>
  <c r="N920" i="7"/>
  <c r="K920" i="7"/>
  <c r="I920" i="7"/>
  <c r="J920" i="7" s="1"/>
  <c r="K161" i="8" s="1"/>
  <c r="N161" i="8" s="1"/>
  <c r="G161" i="6" s="1"/>
  <c r="K161" i="6" s="1"/>
  <c r="E920" i="7"/>
  <c r="P919" i="7"/>
  <c r="O919" i="7"/>
  <c r="N919" i="7"/>
  <c r="K919" i="7"/>
  <c r="J919" i="7"/>
  <c r="K160" i="8" s="1"/>
  <c r="N160" i="8" s="1"/>
  <c r="I919" i="7"/>
  <c r="E919" i="7"/>
  <c r="P918" i="7"/>
  <c r="O918" i="7"/>
  <c r="N918" i="7"/>
  <c r="K918" i="7"/>
  <c r="I918" i="7"/>
  <c r="J918" i="7" s="1"/>
  <c r="K158" i="8" s="1"/>
  <c r="N158" i="8" s="1"/>
  <c r="P158" i="8" s="1"/>
  <c r="W158" i="8" s="1"/>
  <c r="E918" i="7"/>
  <c r="P917" i="7"/>
  <c r="O917" i="7"/>
  <c r="N917" i="7"/>
  <c r="K917" i="7"/>
  <c r="I917" i="7"/>
  <c r="J917" i="7" s="1"/>
  <c r="K157" i="8" s="1"/>
  <c r="N157" i="8" s="1"/>
  <c r="E917" i="7"/>
  <c r="P916" i="7"/>
  <c r="O916" i="7"/>
  <c r="N916" i="7"/>
  <c r="K916" i="7"/>
  <c r="I916" i="7"/>
  <c r="J916" i="7" s="1"/>
  <c r="J157" i="8" s="1"/>
  <c r="M157" i="8" s="1"/>
  <c r="E916" i="7"/>
  <c r="P915" i="7"/>
  <c r="O915" i="7"/>
  <c r="N915" i="7"/>
  <c r="K915" i="7"/>
  <c r="I915" i="7"/>
  <c r="J915" i="7" s="1"/>
  <c r="K156" i="8" s="1"/>
  <c r="N156" i="8" s="1"/>
  <c r="G156" i="6" s="1"/>
  <c r="K156" i="6" s="1"/>
  <c r="E915" i="7"/>
  <c r="P914" i="7"/>
  <c r="O914" i="7"/>
  <c r="N914" i="7"/>
  <c r="K914" i="7"/>
  <c r="I914" i="7"/>
  <c r="J914" i="7" s="1"/>
  <c r="L155" i="8" s="1"/>
  <c r="O155" i="8" s="1"/>
  <c r="E914" i="7"/>
  <c r="P913" i="7"/>
  <c r="O913" i="7"/>
  <c r="N913" i="7"/>
  <c r="K913" i="7"/>
  <c r="I913" i="7"/>
  <c r="J913" i="7" s="1"/>
  <c r="K155" i="8" s="1"/>
  <c r="N155" i="8" s="1"/>
  <c r="E913" i="7"/>
  <c r="P912" i="7"/>
  <c r="O912" i="7"/>
  <c r="N912" i="7"/>
  <c r="K912" i="7"/>
  <c r="I912" i="7"/>
  <c r="J912" i="7" s="1"/>
  <c r="J155" i="8" s="1"/>
  <c r="M155" i="8" s="1"/>
  <c r="E912" i="7"/>
  <c r="P911" i="7"/>
  <c r="O911" i="7"/>
  <c r="N911" i="7"/>
  <c r="K911" i="7"/>
  <c r="I911" i="7"/>
  <c r="J911" i="7" s="1"/>
  <c r="L154" i="8" s="1"/>
  <c r="O154" i="8" s="1"/>
  <c r="E911" i="7"/>
  <c r="P910" i="7"/>
  <c r="O910" i="7"/>
  <c r="N910" i="7"/>
  <c r="K910" i="7"/>
  <c r="I910" i="7"/>
  <c r="J910" i="7" s="1"/>
  <c r="K154" i="8" s="1"/>
  <c r="N154" i="8" s="1"/>
  <c r="E910" i="7"/>
  <c r="P909" i="7"/>
  <c r="O909" i="7"/>
  <c r="N909" i="7"/>
  <c r="K909" i="7"/>
  <c r="I909" i="7"/>
  <c r="J909" i="7" s="1"/>
  <c r="J154" i="8" s="1"/>
  <c r="M154" i="8" s="1"/>
  <c r="E909" i="7"/>
  <c r="P908" i="7"/>
  <c r="O908" i="7"/>
  <c r="N908" i="7"/>
  <c r="K908" i="7"/>
  <c r="I908" i="7"/>
  <c r="J908" i="7" s="1"/>
  <c r="L153" i="8" s="1"/>
  <c r="O153" i="8" s="1"/>
  <c r="H153" i="6" s="1"/>
  <c r="L153" i="6" s="1"/>
  <c r="E908" i="7"/>
  <c r="P907" i="7"/>
  <c r="O907" i="7"/>
  <c r="N907" i="7"/>
  <c r="K907" i="7"/>
  <c r="I907" i="7"/>
  <c r="J907" i="7" s="1"/>
  <c r="K153" i="8" s="1"/>
  <c r="N153" i="8" s="1"/>
  <c r="E907" i="7"/>
  <c r="P906" i="7"/>
  <c r="O906" i="7"/>
  <c r="N906" i="7"/>
  <c r="K906" i="7"/>
  <c r="I906" i="7"/>
  <c r="J906" i="7" s="1"/>
  <c r="J153" i="8" s="1"/>
  <c r="M153" i="8" s="1"/>
  <c r="E906" i="7"/>
  <c r="P905" i="7"/>
  <c r="O905" i="7"/>
  <c r="N905" i="7"/>
  <c r="K905" i="7"/>
  <c r="J905" i="7"/>
  <c r="L152" i="8" s="1"/>
  <c r="O152" i="8" s="1"/>
  <c r="I905" i="7"/>
  <c r="E905" i="7"/>
  <c r="P904" i="7"/>
  <c r="O904" i="7"/>
  <c r="N904" i="7"/>
  <c r="K904" i="7"/>
  <c r="I904" i="7"/>
  <c r="J904" i="7" s="1"/>
  <c r="K152" i="8" s="1"/>
  <c r="N152" i="8" s="1"/>
  <c r="G152" i="6" s="1"/>
  <c r="K152" i="6" s="1"/>
  <c r="E904" i="7"/>
  <c r="P903" i="7"/>
  <c r="O903" i="7"/>
  <c r="N903" i="7"/>
  <c r="K903" i="7"/>
  <c r="J903" i="7"/>
  <c r="L151" i="8" s="1"/>
  <c r="O151" i="8" s="1"/>
  <c r="I903" i="7"/>
  <c r="E903" i="7"/>
  <c r="P902" i="7"/>
  <c r="O902" i="7"/>
  <c r="N902" i="7"/>
  <c r="K902" i="7"/>
  <c r="J902" i="7"/>
  <c r="K151" i="8" s="1"/>
  <c r="N151" i="8" s="1"/>
  <c r="I902" i="7"/>
  <c r="E902" i="7"/>
  <c r="P901" i="7"/>
  <c r="O901" i="7"/>
  <c r="N901" i="7"/>
  <c r="K901" i="7"/>
  <c r="I901" i="7"/>
  <c r="J901" i="7" s="1"/>
  <c r="J151" i="8" s="1"/>
  <c r="M151" i="8" s="1"/>
  <c r="E901" i="7"/>
  <c r="P900" i="7"/>
  <c r="O900" i="7"/>
  <c r="N900" i="7"/>
  <c r="K900" i="7"/>
  <c r="I900" i="7"/>
  <c r="J900" i="7" s="1"/>
  <c r="L150" i="8" s="1"/>
  <c r="E900" i="7"/>
  <c r="P899" i="7"/>
  <c r="O899" i="7"/>
  <c r="N899" i="7"/>
  <c r="K899" i="7"/>
  <c r="J899" i="7"/>
  <c r="K150" i="8" s="1"/>
  <c r="N150" i="8" s="1"/>
  <c r="I899" i="7"/>
  <c r="E899" i="7"/>
  <c r="P898" i="7"/>
  <c r="O898" i="7"/>
  <c r="N898" i="7"/>
  <c r="K898" i="7"/>
  <c r="I898" i="7"/>
  <c r="J898" i="7" s="1"/>
  <c r="J150" i="8" s="1"/>
  <c r="M150" i="8" s="1"/>
  <c r="F150" i="6" s="1"/>
  <c r="J150" i="6" s="1"/>
  <c r="E898" i="7"/>
  <c r="P897" i="7"/>
  <c r="O897" i="7"/>
  <c r="N897" i="7"/>
  <c r="K897" i="7"/>
  <c r="J897" i="7"/>
  <c r="L149" i="8" s="1"/>
  <c r="O149" i="8" s="1"/>
  <c r="I897" i="7"/>
  <c r="E897" i="7"/>
  <c r="P896" i="7"/>
  <c r="O896" i="7"/>
  <c r="N896" i="7"/>
  <c r="K896" i="7"/>
  <c r="I896" i="7"/>
  <c r="J896" i="7" s="1"/>
  <c r="K149" i="8" s="1"/>
  <c r="N149" i="8" s="1"/>
  <c r="G149" i="6" s="1"/>
  <c r="K149" i="6" s="1"/>
  <c r="E896" i="7"/>
  <c r="P895" i="7"/>
  <c r="O895" i="7"/>
  <c r="N895" i="7"/>
  <c r="K895" i="7"/>
  <c r="I895" i="7"/>
  <c r="J895" i="7" s="1"/>
  <c r="J149" i="8" s="1"/>
  <c r="M149" i="8" s="1"/>
  <c r="E895" i="7"/>
  <c r="P894" i="7"/>
  <c r="O894" i="7"/>
  <c r="N894" i="7"/>
  <c r="K894" i="7"/>
  <c r="I894" i="7"/>
  <c r="J894" i="7" s="1"/>
  <c r="L148" i="8" s="1"/>
  <c r="O148" i="8" s="1"/>
  <c r="E894" i="7"/>
  <c r="P893" i="7"/>
  <c r="O893" i="7"/>
  <c r="N893" i="7"/>
  <c r="K893" i="7"/>
  <c r="J893" i="7"/>
  <c r="K148" i="8" s="1"/>
  <c r="N148" i="8" s="1"/>
  <c r="G148" i="6" s="1"/>
  <c r="K148" i="6" s="1"/>
  <c r="I893" i="7"/>
  <c r="E893" i="7"/>
  <c r="P892" i="7"/>
  <c r="O892" i="7"/>
  <c r="N892" i="7"/>
  <c r="K892" i="7"/>
  <c r="I892" i="7"/>
  <c r="J892" i="7" s="1"/>
  <c r="J148" i="8" s="1"/>
  <c r="M148" i="8" s="1"/>
  <c r="E892" i="7"/>
  <c r="P891" i="7"/>
  <c r="O891" i="7"/>
  <c r="N891" i="7"/>
  <c r="K891" i="7"/>
  <c r="I891" i="7"/>
  <c r="J891" i="7" s="1"/>
  <c r="L147" i="8" s="1"/>
  <c r="O147" i="8" s="1"/>
  <c r="H147" i="6" s="1"/>
  <c r="L147" i="6" s="1"/>
  <c r="E891" i="7"/>
  <c r="P890" i="7"/>
  <c r="O890" i="7"/>
  <c r="N890" i="7"/>
  <c r="K890" i="7"/>
  <c r="J890" i="7"/>
  <c r="K147" i="8" s="1"/>
  <c r="N147" i="8" s="1"/>
  <c r="I890" i="7"/>
  <c r="E890" i="7"/>
  <c r="P889" i="7"/>
  <c r="O889" i="7"/>
  <c r="N889" i="7"/>
  <c r="K889" i="7"/>
  <c r="I889" i="7"/>
  <c r="J889" i="7" s="1"/>
  <c r="J147" i="8" s="1"/>
  <c r="M147" i="8" s="1"/>
  <c r="E889" i="7"/>
  <c r="P888" i="7"/>
  <c r="O888" i="7"/>
  <c r="N888" i="7"/>
  <c r="K888" i="7"/>
  <c r="I888" i="7"/>
  <c r="J888" i="7" s="1"/>
  <c r="L146" i="8" s="1"/>
  <c r="O146" i="8" s="1"/>
  <c r="H146" i="6" s="1"/>
  <c r="L146" i="6" s="1"/>
  <c r="E888" i="7"/>
  <c r="P887" i="7"/>
  <c r="O887" i="7"/>
  <c r="N887" i="7"/>
  <c r="K887" i="7"/>
  <c r="J887" i="7"/>
  <c r="K146" i="8" s="1"/>
  <c r="N146" i="8" s="1"/>
  <c r="I887" i="7"/>
  <c r="E887" i="7"/>
  <c r="P886" i="7"/>
  <c r="O886" i="7"/>
  <c r="N886" i="7"/>
  <c r="K886" i="7"/>
  <c r="I886" i="7"/>
  <c r="J886" i="7" s="1"/>
  <c r="J146" i="8" s="1"/>
  <c r="M146" i="8" s="1"/>
  <c r="E886" i="7"/>
  <c r="P885" i="7"/>
  <c r="O885" i="7"/>
  <c r="N885" i="7"/>
  <c r="K885" i="7"/>
  <c r="I885" i="7"/>
  <c r="J885" i="7" s="1"/>
  <c r="L145" i="8" s="1"/>
  <c r="O145" i="8" s="1"/>
  <c r="E885" i="7"/>
  <c r="P884" i="7"/>
  <c r="O884" i="7"/>
  <c r="N884" i="7"/>
  <c r="K884" i="7"/>
  <c r="I884" i="7"/>
  <c r="J884" i="7" s="1"/>
  <c r="K145" i="8" s="1"/>
  <c r="N145" i="8" s="1"/>
  <c r="E884" i="7"/>
  <c r="P883" i="7"/>
  <c r="O883" i="7"/>
  <c r="N883" i="7"/>
  <c r="K883" i="7"/>
  <c r="I883" i="7"/>
  <c r="J883" i="7" s="1"/>
  <c r="J145" i="8" s="1"/>
  <c r="M145" i="8" s="1"/>
  <c r="E883" i="7"/>
  <c r="P882" i="7"/>
  <c r="O882" i="7"/>
  <c r="N882" i="7"/>
  <c r="K882" i="7"/>
  <c r="J882" i="7"/>
  <c r="L144" i="8" s="1"/>
  <c r="O144" i="8" s="1"/>
  <c r="I882" i="7"/>
  <c r="E882" i="7"/>
  <c r="P881" i="7"/>
  <c r="O881" i="7"/>
  <c r="N881" i="7"/>
  <c r="K881" i="7"/>
  <c r="I881" i="7"/>
  <c r="J881" i="7" s="1"/>
  <c r="K144" i="8" s="1"/>
  <c r="N144" i="8" s="1"/>
  <c r="E881" i="7"/>
  <c r="P880" i="7"/>
  <c r="O880" i="7"/>
  <c r="N880" i="7"/>
  <c r="K880" i="7"/>
  <c r="I880" i="7"/>
  <c r="J880" i="7" s="1"/>
  <c r="J144" i="8" s="1"/>
  <c r="M144" i="8" s="1"/>
  <c r="E880" i="7"/>
  <c r="P879" i="7"/>
  <c r="O879" i="7"/>
  <c r="N879" i="7"/>
  <c r="K879" i="7"/>
  <c r="I879" i="7"/>
  <c r="J879" i="7" s="1"/>
  <c r="L143" i="8" s="1"/>
  <c r="O143" i="8" s="1"/>
  <c r="H143" i="6" s="1"/>
  <c r="L143" i="6" s="1"/>
  <c r="E879" i="7"/>
  <c r="P878" i="7"/>
  <c r="O878" i="7"/>
  <c r="N878" i="7"/>
  <c r="K878" i="7"/>
  <c r="I878" i="7"/>
  <c r="J878" i="7" s="1"/>
  <c r="K143" i="8" s="1"/>
  <c r="N143" i="8" s="1"/>
  <c r="E878" i="7"/>
  <c r="P877" i="7"/>
  <c r="O877" i="7"/>
  <c r="N877" i="7"/>
  <c r="K877" i="7"/>
  <c r="I877" i="7"/>
  <c r="J877" i="7" s="1"/>
  <c r="J143" i="8" s="1"/>
  <c r="M143" i="8" s="1"/>
  <c r="E877" i="7"/>
  <c r="P876" i="7"/>
  <c r="O876" i="7"/>
  <c r="N876" i="7"/>
  <c r="K876" i="7"/>
  <c r="I876" i="7"/>
  <c r="J876" i="7" s="1"/>
  <c r="L142" i="8" s="1"/>
  <c r="O142" i="8" s="1"/>
  <c r="E876" i="7"/>
  <c r="P875" i="7"/>
  <c r="O875" i="7"/>
  <c r="N875" i="7"/>
  <c r="K875" i="7"/>
  <c r="I875" i="7"/>
  <c r="J875" i="7" s="1"/>
  <c r="K142" i="8" s="1"/>
  <c r="N142" i="8" s="1"/>
  <c r="G142" i="6" s="1"/>
  <c r="K142" i="6" s="1"/>
  <c r="E875" i="7"/>
  <c r="P874" i="7"/>
  <c r="O874" i="7"/>
  <c r="N874" i="7"/>
  <c r="K874" i="7"/>
  <c r="I874" i="7"/>
  <c r="J874" i="7" s="1"/>
  <c r="J142" i="8" s="1"/>
  <c r="M142" i="8" s="1"/>
  <c r="E874" i="7"/>
  <c r="P873" i="7"/>
  <c r="O873" i="7"/>
  <c r="N873" i="7"/>
  <c r="K873" i="7"/>
  <c r="I873" i="7"/>
  <c r="J873" i="7" s="1"/>
  <c r="L141" i="8" s="1"/>
  <c r="O141" i="8" s="1"/>
  <c r="H141" i="6" s="1"/>
  <c r="L141" i="6" s="1"/>
  <c r="E873" i="7"/>
  <c r="P872" i="7"/>
  <c r="O872" i="7"/>
  <c r="N872" i="7"/>
  <c r="K872" i="7"/>
  <c r="J872" i="7"/>
  <c r="K141" i="8" s="1"/>
  <c r="N141" i="8" s="1"/>
  <c r="I872" i="7"/>
  <c r="E872" i="7"/>
  <c r="P871" i="7"/>
  <c r="O871" i="7"/>
  <c r="N871" i="7"/>
  <c r="K871" i="7"/>
  <c r="I871" i="7"/>
  <c r="J871" i="7" s="1"/>
  <c r="J141" i="8" s="1"/>
  <c r="M141" i="8" s="1"/>
  <c r="E871" i="7"/>
  <c r="P870" i="7"/>
  <c r="O870" i="7"/>
  <c r="N870" i="7"/>
  <c r="K870" i="7"/>
  <c r="J870" i="7"/>
  <c r="L140" i="8" s="1"/>
  <c r="O140" i="8" s="1"/>
  <c r="H140" i="6" s="1"/>
  <c r="L140" i="6" s="1"/>
  <c r="I870" i="7"/>
  <c r="E870" i="7"/>
  <c r="P869" i="7"/>
  <c r="O869" i="7"/>
  <c r="N869" i="7"/>
  <c r="K869" i="7"/>
  <c r="I869" i="7"/>
  <c r="J869" i="7" s="1"/>
  <c r="K140" i="8" s="1"/>
  <c r="N140" i="8" s="1"/>
  <c r="E869" i="7"/>
  <c r="P868" i="7"/>
  <c r="O868" i="7"/>
  <c r="N868" i="7"/>
  <c r="K868" i="7"/>
  <c r="I868" i="7"/>
  <c r="J868" i="7" s="1"/>
  <c r="J140" i="8" s="1"/>
  <c r="M140" i="8" s="1"/>
  <c r="E868" i="7"/>
  <c r="P867" i="7"/>
  <c r="O867" i="7"/>
  <c r="N867" i="7"/>
  <c r="K867" i="7"/>
  <c r="I867" i="7"/>
  <c r="J867" i="7" s="1"/>
  <c r="L139" i="8" s="1"/>
  <c r="O139" i="8" s="1"/>
  <c r="H139" i="6" s="1"/>
  <c r="L139" i="6" s="1"/>
  <c r="E867" i="7"/>
  <c r="P866" i="7"/>
  <c r="O866" i="7"/>
  <c r="N866" i="7"/>
  <c r="K866" i="7"/>
  <c r="J866" i="7"/>
  <c r="K139" i="8" s="1"/>
  <c r="N139" i="8" s="1"/>
  <c r="G139" i="6" s="1"/>
  <c r="K139" i="6" s="1"/>
  <c r="I866" i="7"/>
  <c r="E866" i="7"/>
  <c r="P865" i="7"/>
  <c r="O865" i="7"/>
  <c r="N865" i="7"/>
  <c r="K865" i="7"/>
  <c r="I865" i="7"/>
  <c r="J865" i="7" s="1"/>
  <c r="J139" i="8" s="1"/>
  <c r="M139" i="8" s="1"/>
  <c r="E865" i="7"/>
  <c r="P864" i="7"/>
  <c r="O864" i="7"/>
  <c r="N864" i="7"/>
  <c r="K864" i="7"/>
  <c r="I864" i="7"/>
  <c r="J864" i="7" s="1"/>
  <c r="L138" i="8" s="1"/>
  <c r="O138" i="8" s="1"/>
  <c r="E864" i="7"/>
  <c r="P863" i="7"/>
  <c r="O863" i="7"/>
  <c r="N863" i="7"/>
  <c r="K863" i="7"/>
  <c r="I863" i="7"/>
  <c r="J863" i="7" s="1"/>
  <c r="K138" i="8" s="1"/>
  <c r="N138" i="8" s="1"/>
  <c r="E863" i="7"/>
  <c r="P862" i="7"/>
  <c r="O862" i="7"/>
  <c r="N862" i="7"/>
  <c r="K862" i="7"/>
  <c r="I862" i="7"/>
  <c r="J862" i="7" s="1"/>
  <c r="J138" i="8" s="1"/>
  <c r="M138" i="8" s="1"/>
  <c r="E862" i="7"/>
  <c r="P861" i="7"/>
  <c r="O861" i="7"/>
  <c r="N861" i="7"/>
  <c r="K861" i="7"/>
  <c r="J861" i="7"/>
  <c r="K137" i="8" s="1"/>
  <c r="N137" i="8" s="1"/>
  <c r="G137" i="6" s="1"/>
  <c r="K137" i="6" s="1"/>
  <c r="I861" i="7"/>
  <c r="E861" i="7"/>
  <c r="P860" i="7"/>
  <c r="O860" i="7"/>
  <c r="N860" i="7"/>
  <c r="K860" i="7"/>
  <c r="J860" i="7"/>
  <c r="I860" i="7"/>
  <c r="E860" i="7"/>
  <c r="P859" i="7"/>
  <c r="O859" i="7"/>
  <c r="N859" i="7"/>
  <c r="K859" i="7"/>
  <c r="I859" i="7"/>
  <c r="J859" i="7" s="1"/>
  <c r="L136" i="8" s="1"/>
  <c r="O136" i="8" s="1"/>
  <c r="E859" i="7"/>
  <c r="P858" i="7"/>
  <c r="O858" i="7"/>
  <c r="N858" i="7"/>
  <c r="K858" i="7"/>
  <c r="I858" i="7"/>
  <c r="J858" i="7" s="1"/>
  <c r="K136" i="8" s="1"/>
  <c r="N136" i="8" s="1"/>
  <c r="E858" i="7"/>
  <c r="P857" i="7"/>
  <c r="O857" i="7"/>
  <c r="N857" i="7"/>
  <c r="K857" i="7"/>
  <c r="I857" i="7"/>
  <c r="J857" i="7" s="1"/>
  <c r="E857" i="7"/>
  <c r="P856" i="7"/>
  <c r="O856" i="7"/>
  <c r="N856" i="7"/>
  <c r="K856" i="7"/>
  <c r="J856" i="7"/>
  <c r="I856" i="7"/>
  <c r="E856" i="7"/>
  <c r="P855" i="7"/>
  <c r="O855" i="7"/>
  <c r="N855" i="7"/>
  <c r="K855" i="7"/>
  <c r="J855" i="7"/>
  <c r="I855" i="7"/>
  <c r="E855" i="7"/>
  <c r="P854" i="7"/>
  <c r="O854" i="7"/>
  <c r="N854" i="7"/>
  <c r="K854" i="7"/>
  <c r="I854" i="7"/>
  <c r="J854" i="7" s="1"/>
  <c r="E854" i="7"/>
  <c r="P853" i="7"/>
  <c r="O853" i="7"/>
  <c r="N853" i="7"/>
  <c r="K853" i="7"/>
  <c r="I853" i="7"/>
  <c r="J853" i="7" s="1"/>
  <c r="E853" i="7"/>
  <c r="P852" i="7"/>
  <c r="O852" i="7"/>
  <c r="N852" i="7"/>
  <c r="K852" i="7"/>
  <c r="I852" i="7"/>
  <c r="J852" i="7" s="1"/>
  <c r="L135" i="8" s="1"/>
  <c r="O135" i="8" s="1"/>
  <c r="E852" i="7"/>
  <c r="P851" i="7"/>
  <c r="O851" i="7"/>
  <c r="N851" i="7"/>
  <c r="K851" i="7"/>
  <c r="I851" i="7"/>
  <c r="J851" i="7" s="1"/>
  <c r="E851" i="7"/>
  <c r="P850" i="7"/>
  <c r="O850" i="7"/>
  <c r="N850" i="7"/>
  <c r="K850" i="7"/>
  <c r="I850" i="7"/>
  <c r="J850" i="7" s="1"/>
  <c r="E850" i="7"/>
  <c r="P849" i="7"/>
  <c r="O849" i="7"/>
  <c r="N849" i="7"/>
  <c r="K849" i="7"/>
  <c r="I849" i="7"/>
  <c r="J849" i="7" s="1"/>
  <c r="E849" i="7"/>
  <c r="P848" i="7"/>
  <c r="O848" i="7"/>
  <c r="N848" i="7"/>
  <c r="K848" i="7"/>
  <c r="I848" i="7"/>
  <c r="J848" i="7" s="1"/>
  <c r="E848" i="7"/>
  <c r="P847" i="7"/>
  <c r="O847" i="7"/>
  <c r="N847" i="7"/>
  <c r="K847" i="7"/>
  <c r="I847" i="7"/>
  <c r="J847" i="7" s="1"/>
  <c r="E847" i="7"/>
  <c r="P846" i="7"/>
  <c r="O846" i="7"/>
  <c r="N846" i="7"/>
  <c r="K846" i="7"/>
  <c r="J846" i="7"/>
  <c r="I846" i="7"/>
  <c r="E846" i="7"/>
  <c r="P845" i="7"/>
  <c r="O845" i="7"/>
  <c r="N845" i="7"/>
  <c r="K845" i="7"/>
  <c r="J845" i="7"/>
  <c r="I845" i="7"/>
  <c r="E845" i="7"/>
  <c r="P844" i="7"/>
  <c r="O844" i="7"/>
  <c r="N844" i="7"/>
  <c r="K844" i="7"/>
  <c r="I844" i="7"/>
  <c r="J844" i="7" s="1"/>
  <c r="E844" i="7"/>
  <c r="P843" i="7"/>
  <c r="O843" i="7"/>
  <c r="N843" i="7"/>
  <c r="K843" i="7"/>
  <c r="I843" i="7"/>
  <c r="J843" i="7" s="1"/>
  <c r="E843" i="7"/>
  <c r="P842" i="7"/>
  <c r="O842" i="7"/>
  <c r="N842" i="7"/>
  <c r="K842" i="7"/>
  <c r="I842" i="7"/>
  <c r="J842" i="7" s="1"/>
  <c r="E842" i="7"/>
  <c r="P841" i="7"/>
  <c r="O841" i="7"/>
  <c r="N841" i="7"/>
  <c r="K841" i="7"/>
  <c r="I841" i="7"/>
  <c r="J841" i="7" s="1"/>
  <c r="L134" i="8" s="1"/>
  <c r="O134" i="8" s="1"/>
  <c r="E841" i="7"/>
  <c r="P840" i="7"/>
  <c r="O840" i="7"/>
  <c r="N840" i="7"/>
  <c r="K840" i="7"/>
  <c r="J840" i="7"/>
  <c r="K134" i="8" s="1"/>
  <c r="N134" i="8" s="1"/>
  <c r="I840" i="7"/>
  <c r="E840" i="7"/>
  <c r="P839" i="7"/>
  <c r="O839" i="7"/>
  <c r="N839" i="7"/>
  <c r="K839" i="7"/>
  <c r="I839" i="7"/>
  <c r="J839" i="7" s="1"/>
  <c r="L133" i="8" s="1"/>
  <c r="O133" i="8" s="1"/>
  <c r="E839" i="7"/>
  <c r="P838" i="7"/>
  <c r="O838" i="7"/>
  <c r="N838" i="7"/>
  <c r="K838" i="7"/>
  <c r="I838" i="7"/>
  <c r="J838" i="7" s="1"/>
  <c r="K133" i="8" s="1"/>
  <c r="N133" i="8" s="1"/>
  <c r="G133" i="6" s="1"/>
  <c r="K133" i="6" s="1"/>
  <c r="E838" i="7"/>
  <c r="P837" i="7"/>
  <c r="O837" i="7"/>
  <c r="N837" i="7"/>
  <c r="K837" i="7"/>
  <c r="J837" i="7"/>
  <c r="L132" i="8" s="1"/>
  <c r="O132" i="8" s="1"/>
  <c r="H132" i="6" s="1"/>
  <c r="L132" i="6" s="1"/>
  <c r="I837" i="7"/>
  <c r="E837" i="7"/>
  <c r="P836" i="7"/>
  <c r="O836" i="7"/>
  <c r="N836" i="7"/>
  <c r="K836" i="7"/>
  <c r="I836" i="7"/>
  <c r="J836" i="7" s="1"/>
  <c r="K132" i="8" s="1"/>
  <c r="N132" i="8" s="1"/>
  <c r="E836" i="7"/>
  <c r="P835" i="7"/>
  <c r="O835" i="7"/>
  <c r="N835" i="7"/>
  <c r="K835" i="7"/>
  <c r="I835" i="7"/>
  <c r="J835" i="7" s="1"/>
  <c r="L131" i="8" s="1"/>
  <c r="O131" i="8" s="1"/>
  <c r="E835" i="7"/>
  <c r="P834" i="7"/>
  <c r="O834" i="7"/>
  <c r="N834" i="7"/>
  <c r="K834" i="7"/>
  <c r="I834" i="7"/>
  <c r="J834" i="7" s="1"/>
  <c r="K131" i="8" s="1"/>
  <c r="N131" i="8" s="1"/>
  <c r="E834" i="7"/>
  <c r="P833" i="7"/>
  <c r="O833" i="7"/>
  <c r="N833" i="7"/>
  <c r="K833" i="7"/>
  <c r="J833" i="7"/>
  <c r="L130" i="8" s="1"/>
  <c r="O130" i="8" s="1"/>
  <c r="I833" i="7"/>
  <c r="E833" i="7"/>
  <c r="P832" i="7"/>
  <c r="O832" i="7"/>
  <c r="N832" i="7"/>
  <c r="K832" i="7"/>
  <c r="I832" i="7"/>
  <c r="J832" i="7" s="1"/>
  <c r="K130" i="8" s="1"/>
  <c r="N130" i="8" s="1"/>
  <c r="E832" i="7"/>
  <c r="P831" i="7"/>
  <c r="O831" i="7"/>
  <c r="N831" i="7"/>
  <c r="K831" i="7"/>
  <c r="I831" i="7"/>
  <c r="J831" i="7" s="1"/>
  <c r="L129" i="8" s="1"/>
  <c r="O129" i="8" s="1"/>
  <c r="E831" i="7"/>
  <c r="P830" i="7"/>
  <c r="O830" i="7"/>
  <c r="N830" i="7"/>
  <c r="K830" i="7"/>
  <c r="I830" i="7"/>
  <c r="J830" i="7" s="1"/>
  <c r="K129" i="8" s="1"/>
  <c r="N129" i="8" s="1"/>
  <c r="E830" i="7"/>
  <c r="P829" i="7"/>
  <c r="O829" i="7"/>
  <c r="N829" i="7"/>
  <c r="K829" i="7"/>
  <c r="J829" i="7"/>
  <c r="L128" i="8" s="1"/>
  <c r="O128" i="8" s="1"/>
  <c r="I829" i="7"/>
  <c r="E829" i="7"/>
  <c r="P828" i="7"/>
  <c r="O828" i="7"/>
  <c r="N828" i="7"/>
  <c r="K828" i="7"/>
  <c r="I828" i="7"/>
  <c r="J828" i="7" s="1"/>
  <c r="K128" i="8" s="1"/>
  <c r="N128" i="8" s="1"/>
  <c r="E828" i="7"/>
  <c r="P827" i="7"/>
  <c r="O827" i="7"/>
  <c r="N827" i="7"/>
  <c r="K827" i="7"/>
  <c r="I827" i="7"/>
  <c r="J827" i="7" s="1"/>
  <c r="L127" i="8" s="1"/>
  <c r="O127" i="8" s="1"/>
  <c r="H127" i="6" s="1"/>
  <c r="L127" i="6" s="1"/>
  <c r="E827" i="7"/>
  <c r="P826" i="7"/>
  <c r="O826" i="7"/>
  <c r="N826" i="7"/>
  <c r="K826" i="7"/>
  <c r="I826" i="7"/>
  <c r="J826" i="7" s="1"/>
  <c r="K127" i="8" s="1"/>
  <c r="N127" i="8" s="1"/>
  <c r="E826" i="7"/>
  <c r="P825" i="7"/>
  <c r="O825" i="7"/>
  <c r="N825" i="7"/>
  <c r="K825" i="7"/>
  <c r="I825" i="7"/>
  <c r="J825" i="7" s="1"/>
  <c r="L126" i="8" s="1"/>
  <c r="O126" i="8" s="1"/>
  <c r="E825" i="7"/>
  <c r="P824" i="7"/>
  <c r="N824" i="7"/>
  <c r="O824" i="7" s="1"/>
  <c r="K824" i="7"/>
  <c r="I824" i="7"/>
  <c r="J824" i="7" s="1"/>
  <c r="E824" i="7"/>
  <c r="P823" i="7"/>
  <c r="N823" i="7"/>
  <c r="O823" i="7" s="1"/>
  <c r="K823" i="7"/>
  <c r="I823" i="7"/>
  <c r="J823" i="7" s="1"/>
  <c r="E823" i="7"/>
  <c r="P822" i="7"/>
  <c r="O822" i="7"/>
  <c r="N822" i="7"/>
  <c r="K822" i="7"/>
  <c r="J822" i="7"/>
  <c r="I822" i="7"/>
  <c r="E822" i="7"/>
  <c r="P821" i="7"/>
  <c r="O821" i="7"/>
  <c r="N821" i="7"/>
  <c r="K821" i="7"/>
  <c r="I821" i="7"/>
  <c r="J821" i="7" s="1"/>
  <c r="E821" i="7"/>
  <c r="P820" i="7"/>
  <c r="O820" i="7"/>
  <c r="N820" i="7"/>
  <c r="K820" i="7"/>
  <c r="I820" i="7"/>
  <c r="J820" i="7" s="1"/>
  <c r="E820" i="7"/>
  <c r="P819" i="7"/>
  <c r="O819" i="7"/>
  <c r="N819" i="7"/>
  <c r="K819" i="7"/>
  <c r="J819" i="7"/>
  <c r="I819" i="7"/>
  <c r="E819" i="7"/>
  <c r="P818" i="7"/>
  <c r="O818" i="7"/>
  <c r="N818" i="7"/>
  <c r="K818" i="7"/>
  <c r="I818" i="7"/>
  <c r="J818" i="7" s="1"/>
  <c r="E818" i="7"/>
  <c r="P817" i="7"/>
  <c r="O817" i="7"/>
  <c r="N817" i="7"/>
  <c r="K817" i="7"/>
  <c r="I817" i="7"/>
  <c r="J817" i="7" s="1"/>
  <c r="E817" i="7"/>
  <c r="P816" i="7"/>
  <c r="O816" i="7"/>
  <c r="N816" i="7"/>
  <c r="K816" i="7"/>
  <c r="I816" i="7"/>
  <c r="J816" i="7" s="1"/>
  <c r="E816" i="7"/>
  <c r="P815" i="7"/>
  <c r="O815" i="7"/>
  <c r="N815" i="7"/>
  <c r="K815" i="7"/>
  <c r="I815" i="7"/>
  <c r="J815" i="7" s="1"/>
  <c r="E815" i="7"/>
  <c r="P814" i="7"/>
  <c r="O814" i="7"/>
  <c r="N814" i="7"/>
  <c r="K814" i="7"/>
  <c r="I814" i="7"/>
  <c r="J814" i="7" s="1"/>
  <c r="E814" i="7"/>
  <c r="P813" i="7"/>
  <c r="O813" i="7"/>
  <c r="N813" i="7"/>
  <c r="K813" i="7"/>
  <c r="J813" i="7"/>
  <c r="I813" i="7"/>
  <c r="E813" i="7"/>
  <c r="P812" i="7"/>
  <c r="O812" i="7"/>
  <c r="N812" i="7"/>
  <c r="K812" i="7"/>
  <c r="J812" i="7"/>
  <c r="L125" i="8" s="1"/>
  <c r="O125" i="8" s="1"/>
  <c r="I812" i="7"/>
  <c r="E812" i="7"/>
  <c r="P811" i="7"/>
  <c r="N811" i="7"/>
  <c r="O811" i="7" s="1"/>
  <c r="K811" i="7"/>
  <c r="J811" i="7"/>
  <c r="I811" i="7"/>
  <c r="E811" i="7"/>
  <c r="P810" i="7"/>
  <c r="N810" i="7"/>
  <c r="O810" i="7" s="1"/>
  <c r="K810" i="7"/>
  <c r="J810" i="7"/>
  <c r="I810" i="7"/>
  <c r="E810" i="7"/>
  <c r="P809" i="7"/>
  <c r="O809" i="7"/>
  <c r="N809" i="7"/>
  <c r="K809" i="7"/>
  <c r="I809" i="7"/>
  <c r="J809" i="7" s="1"/>
  <c r="E809" i="7"/>
  <c r="P808" i="7"/>
  <c r="O808" i="7"/>
  <c r="N808" i="7"/>
  <c r="K808" i="7"/>
  <c r="I808" i="7"/>
  <c r="J808" i="7" s="1"/>
  <c r="E808" i="7"/>
  <c r="P807" i="7"/>
  <c r="O807" i="7"/>
  <c r="N807" i="7"/>
  <c r="K807" i="7"/>
  <c r="I807" i="7"/>
  <c r="J807" i="7" s="1"/>
  <c r="E807" i="7"/>
  <c r="P806" i="7"/>
  <c r="O806" i="7"/>
  <c r="N806" i="7"/>
  <c r="K806" i="7"/>
  <c r="I806" i="7"/>
  <c r="J806" i="7" s="1"/>
  <c r="E806" i="7"/>
  <c r="P805" i="7"/>
  <c r="O805" i="7"/>
  <c r="N805" i="7"/>
  <c r="K805" i="7"/>
  <c r="J805" i="7"/>
  <c r="I805" i="7"/>
  <c r="E805" i="7"/>
  <c r="P804" i="7"/>
  <c r="O804" i="7"/>
  <c r="N804" i="7"/>
  <c r="K804" i="7"/>
  <c r="I804" i="7"/>
  <c r="J804" i="7" s="1"/>
  <c r="E804" i="7"/>
  <c r="P803" i="7"/>
  <c r="O803" i="7"/>
  <c r="N803" i="7"/>
  <c r="K803" i="7"/>
  <c r="I803" i="7"/>
  <c r="J803" i="7" s="1"/>
  <c r="E803" i="7"/>
  <c r="P802" i="7"/>
  <c r="O802" i="7"/>
  <c r="N802" i="7"/>
  <c r="K802" i="7"/>
  <c r="J802" i="7"/>
  <c r="I802" i="7"/>
  <c r="E802" i="7"/>
  <c r="P801" i="7"/>
  <c r="O801" i="7"/>
  <c r="N801" i="7"/>
  <c r="K801" i="7"/>
  <c r="I801" i="7"/>
  <c r="J801" i="7" s="1"/>
  <c r="E801" i="7"/>
  <c r="P800" i="7"/>
  <c r="O800" i="7"/>
  <c r="N800" i="7"/>
  <c r="K800" i="7"/>
  <c r="I800" i="7"/>
  <c r="J800" i="7" s="1"/>
  <c r="E800" i="7"/>
  <c r="P799" i="7"/>
  <c r="O799" i="7"/>
  <c r="N799" i="7"/>
  <c r="K799" i="7"/>
  <c r="I799" i="7"/>
  <c r="J799" i="7" s="1"/>
  <c r="L124" i="8" s="1"/>
  <c r="O124" i="8" s="1"/>
  <c r="H124" i="6" s="1"/>
  <c r="L124" i="6" s="1"/>
  <c r="E799" i="7"/>
  <c r="P798" i="7"/>
  <c r="N798" i="7"/>
  <c r="O798" i="7" s="1"/>
  <c r="K798" i="7"/>
  <c r="I798" i="7"/>
  <c r="J798" i="7" s="1"/>
  <c r="E798" i="7"/>
  <c r="P797" i="7"/>
  <c r="N797" i="7"/>
  <c r="O797" i="7" s="1"/>
  <c r="K797" i="7"/>
  <c r="J797" i="7"/>
  <c r="I797" i="7"/>
  <c r="E797" i="7"/>
  <c r="P796" i="7"/>
  <c r="O796" i="7"/>
  <c r="N796" i="7"/>
  <c r="K796" i="7"/>
  <c r="I796" i="7"/>
  <c r="J796" i="7" s="1"/>
  <c r="E796" i="7"/>
  <c r="P795" i="7"/>
  <c r="O795" i="7"/>
  <c r="N795" i="7"/>
  <c r="K795" i="7"/>
  <c r="I795" i="7"/>
  <c r="J795" i="7" s="1"/>
  <c r="E795" i="7"/>
  <c r="P794" i="7"/>
  <c r="O794" i="7"/>
  <c r="N794" i="7"/>
  <c r="K794" i="7"/>
  <c r="I794" i="7"/>
  <c r="J794" i="7" s="1"/>
  <c r="J124" i="8" s="1"/>
  <c r="M124" i="8" s="1"/>
  <c r="E794" i="7"/>
  <c r="P793" i="7"/>
  <c r="O793" i="7"/>
  <c r="N793" i="7"/>
  <c r="K793" i="7"/>
  <c r="I793" i="7"/>
  <c r="J793" i="7" s="1"/>
  <c r="E793" i="7"/>
  <c r="P792" i="7"/>
  <c r="O792" i="7"/>
  <c r="N792" i="7"/>
  <c r="K792" i="7"/>
  <c r="I792" i="7"/>
  <c r="J792" i="7" s="1"/>
  <c r="L123" i="8" s="1"/>
  <c r="O123" i="8" s="1"/>
  <c r="H123" i="6" s="1"/>
  <c r="L123" i="6" s="1"/>
  <c r="E792" i="7"/>
  <c r="P791" i="7"/>
  <c r="O791" i="7"/>
  <c r="N791" i="7"/>
  <c r="K791" i="7"/>
  <c r="I791" i="7"/>
  <c r="J791" i="7" s="1"/>
  <c r="K123" i="8" s="1"/>
  <c r="N123" i="8" s="1"/>
  <c r="E791" i="7"/>
  <c r="P790" i="7"/>
  <c r="O790" i="7"/>
  <c r="N790" i="7"/>
  <c r="K790" i="7"/>
  <c r="I790" i="7"/>
  <c r="J790" i="7" s="1"/>
  <c r="E790" i="7"/>
  <c r="P789" i="7"/>
  <c r="O789" i="7"/>
  <c r="N789" i="7"/>
  <c r="K789" i="7"/>
  <c r="I789" i="7"/>
  <c r="J789" i="7" s="1"/>
  <c r="E789" i="7"/>
  <c r="P788" i="7"/>
  <c r="O788" i="7"/>
  <c r="N788" i="7"/>
  <c r="K788" i="7"/>
  <c r="I788" i="7"/>
  <c r="J788" i="7" s="1"/>
  <c r="E788" i="7"/>
  <c r="P787" i="7"/>
  <c r="O787" i="7"/>
  <c r="N787" i="7"/>
  <c r="K787" i="7"/>
  <c r="J787" i="7"/>
  <c r="I787" i="7"/>
  <c r="E787" i="7"/>
  <c r="P786" i="7"/>
  <c r="O786" i="7"/>
  <c r="N786" i="7"/>
  <c r="K786" i="7"/>
  <c r="I786" i="7"/>
  <c r="J786" i="7" s="1"/>
  <c r="E786" i="7"/>
  <c r="P785" i="7"/>
  <c r="O785" i="7"/>
  <c r="N785" i="7"/>
  <c r="K785" i="7"/>
  <c r="I785" i="7"/>
  <c r="J785" i="7" s="1"/>
  <c r="E785" i="7"/>
  <c r="P784" i="7"/>
  <c r="O784" i="7"/>
  <c r="N784" i="7"/>
  <c r="K784" i="7"/>
  <c r="I784" i="7"/>
  <c r="J784" i="7" s="1"/>
  <c r="E784" i="7"/>
  <c r="P783" i="7"/>
  <c r="O783" i="7"/>
  <c r="N783" i="7"/>
  <c r="K783" i="7"/>
  <c r="I783" i="7"/>
  <c r="J783" i="7" s="1"/>
  <c r="E783" i="7"/>
  <c r="P782" i="7"/>
  <c r="O782" i="7"/>
  <c r="N782" i="7"/>
  <c r="K782" i="7"/>
  <c r="I782" i="7"/>
  <c r="J782" i="7" s="1"/>
  <c r="L122" i="8" s="1"/>
  <c r="O122" i="8" s="1"/>
  <c r="E782" i="7"/>
  <c r="P781" i="7"/>
  <c r="O781" i="7"/>
  <c r="N781" i="7"/>
  <c r="K781" i="7"/>
  <c r="J781" i="7"/>
  <c r="K122" i="8" s="1"/>
  <c r="N122" i="8" s="1"/>
  <c r="G122" i="6" s="1"/>
  <c r="I781" i="7"/>
  <c r="E781" i="7"/>
  <c r="P780" i="7"/>
  <c r="O780" i="7"/>
  <c r="N780" i="7"/>
  <c r="K780" i="7"/>
  <c r="I780" i="7"/>
  <c r="J780" i="7" s="1"/>
  <c r="E780" i="7"/>
  <c r="P779" i="7"/>
  <c r="O779" i="7"/>
  <c r="N779" i="7"/>
  <c r="K779" i="7"/>
  <c r="J779" i="7"/>
  <c r="I779" i="7"/>
  <c r="E779" i="7"/>
  <c r="P778" i="7"/>
  <c r="O778" i="7"/>
  <c r="N778" i="7"/>
  <c r="K778" i="7"/>
  <c r="J778" i="7"/>
  <c r="I778" i="7"/>
  <c r="E778" i="7"/>
  <c r="P777" i="7"/>
  <c r="O777" i="7"/>
  <c r="N777" i="7"/>
  <c r="K777" i="7"/>
  <c r="I777" i="7"/>
  <c r="J777" i="7" s="1"/>
  <c r="E777" i="7"/>
  <c r="P776" i="7"/>
  <c r="O776" i="7"/>
  <c r="N776" i="7"/>
  <c r="K776" i="7"/>
  <c r="I776" i="7"/>
  <c r="J776" i="7" s="1"/>
  <c r="E776" i="7"/>
  <c r="P775" i="7"/>
  <c r="O775" i="7"/>
  <c r="N775" i="7"/>
  <c r="K775" i="7"/>
  <c r="I775" i="7"/>
  <c r="J775" i="7" s="1"/>
  <c r="L121" i="8" s="1"/>
  <c r="O121" i="8" s="1"/>
  <c r="H121" i="6" s="1"/>
  <c r="L121" i="6" s="1"/>
  <c r="E775" i="7"/>
  <c r="P774" i="7"/>
  <c r="O774" i="7"/>
  <c r="N774" i="7"/>
  <c r="K774" i="7"/>
  <c r="J774" i="7"/>
  <c r="K121" i="8" s="1"/>
  <c r="N121" i="8" s="1"/>
  <c r="I774" i="7"/>
  <c r="E774" i="7"/>
  <c r="P773" i="7"/>
  <c r="O773" i="7"/>
  <c r="N773" i="7"/>
  <c r="K773" i="7"/>
  <c r="I773" i="7"/>
  <c r="J773" i="7" s="1"/>
  <c r="E773" i="7"/>
  <c r="P772" i="7"/>
  <c r="O772" i="7"/>
  <c r="N772" i="7"/>
  <c r="K772" i="7"/>
  <c r="I772" i="7"/>
  <c r="J772" i="7" s="1"/>
  <c r="E772" i="7"/>
  <c r="P771" i="7"/>
  <c r="O771" i="7"/>
  <c r="N771" i="7"/>
  <c r="K771" i="7"/>
  <c r="I771" i="7"/>
  <c r="J771" i="7" s="1"/>
  <c r="E771" i="7"/>
  <c r="P770" i="7"/>
  <c r="O770" i="7"/>
  <c r="N770" i="7"/>
  <c r="K770" i="7"/>
  <c r="J770" i="7"/>
  <c r="I770" i="7"/>
  <c r="E770" i="7"/>
  <c r="P769" i="7"/>
  <c r="O769" i="7"/>
  <c r="N769" i="7"/>
  <c r="K769" i="7"/>
  <c r="I769" i="7"/>
  <c r="J769" i="7" s="1"/>
  <c r="E769" i="7"/>
  <c r="P768" i="7"/>
  <c r="O768" i="7"/>
  <c r="N768" i="7"/>
  <c r="K768" i="7"/>
  <c r="I768" i="7"/>
  <c r="J768" i="7" s="1"/>
  <c r="L120" i="8" s="1"/>
  <c r="O120" i="8" s="1"/>
  <c r="E768" i="7"/>
  <c r="P767" i="7"/>
  <c r="O767" i="7"/>
  <c r="N767" i="7"/>
  <c r="K767" i="7"/>
  <c r="I767" i="7"/>
  <c r="J767" i="7" s="1"/>
  <c r="K120" i="8" s="1"/>
  <c r="N120" i="8" s="1"/>
  <c r="E767" i="7"/>
  <c r="P766" i="7"/>
  <c r="O766" i="7"/>
  <c r="N766" i="7"/>
  <c r="K766" i="7"/>
  <c r="I766" i="7"/>
  <c r="J766" i="7" s="1"/>
  <c r="E766" i="7"/>
  <c r="P765" i="7"/>
  <c r="O765" i="7"/>
  <c r="N765" i="7"/>
  <c r="K765" i="7"/>
  <c r="J765" i="7"/>
  <c r="I765" i="7"/>
  <c r="E765" i="7"/>
  <c r="P764" i="7"/>
  <c r="O764" i="7"/>
  <c r="N764" i="7"/>
  <c r="K764" i="7"/>
  <c r="I764" i="7"/>
  <c r="J764" i="7" s="1"/>
  <c r="E764" i="7"/>
  <c r="P763" i="7"/>
  <c r="O763" i="7"/>
  <c r="N763" i="7"/>
  <c r="K763" i="7"/>
  <c r="I763" i="7"/>
  <c r="J763" i="7" s="1"/>
  <c r="E763" i="7"/>
  <c r="P762" i="7"/>
  <c r="O762" i="7"/>
  <c r="N762" i="7"/>
  <c r="K762" i="7"/>
  <c r="I762" i="7"/>
  <c r="J762" i="7" s="1"/>
  <c r="E762" i="7"/>
  <c r="P761" i="7"/>
  <c r="O761" i="7"/>
  <c r="N761" i="7"/>
  <c r="K761" i="7"/>
  <c r="I761" i="7"/>
  <c r="J761" i="7" s="1"/>
  <c r="E761" i="7"/>
  <c r="P760" i="7"/>
  <c r="O760" i="7"/>
  <c r="N760" i="7"/>
  <c r="K760" i="7"/>
  <c r="I760" i="7"/>
  <c r="J760" i="7" s="1"/>
  <c r="E760" i="7"/>
  <c r="P759" i="7"/>
  <c r="O759" i="7"/>
  <c r="N759" i="7"/>
  <c r="K759" i="7"/>
  <c r="I759" i="7"/>
  <c r="J759" i="7" s="1"/>
  <c r="E759" i="7"/>
  <c r="P758" i="7"/>
  <c r="O758" i="7"/>
  <c r="N758" i="7"/>
  <c r="K758" i="7"/>
  <c r="I758" i="7"/>
  <c r="J758" i="7" s="1"/>
  <c r="E758" i="7"/>
  <c r="P757" i="7"/>
  <c r="O757" i="7"/>
  <c r="N757" i="7"/>
  <c r="K757" i="7"/>
  <c r="I757" i="7"/>
  <c r="J757" i="7" s="1"/>
  <c r="L119" i="8" s="1"/>
  <c r="O119" i="8" s="1"/>
  <c r="H119" i="6" s="1"/>
  <c r="L119" i="6" s="1"/>
  <c r="E757" i="7"/>
  <c r="P756" i="7"/>
  <c r="O756" i="7"/>
  <c r="N756" i="7"/>
  <c r="K756" i="7"/>
  <c r="I756" i="7"/>
  <c r="J756" i="7" s="1"/>
  <c r="K119" i="8" s="1"/>
  <c r="N119" i="8" s="1"/>
  <c r="G119" i="6" s="1"/>
  <c r="K119" i="6" s="1"/>
  <c r="E756" i="7"/>
  <c r="P755" i="7"/>
  <c r="O755" i="7"/>
  <c r="N755" i="7"/>
  <c r="K755" i="7"/>
  <c r="J755" i="7"/>
  <c r="I755" i="7"/>
  <c r="E755" i="7"/>
  <c r="P754" i="7"/>
  <c r="O754" i="7"/>
  <c r="N754" i="7"/>
  <c r="K754" i="7"/>
  <c r="I754" i="7"/>
  <c r="J754" i="7" s="1"/>
  <c r="E754" i="7"/>
  <c r="P753" i="7"/>
  <c r="O753" i="7"/>
  <c r="N753" i="7"/>
  <c r="K753" i="7"/>
  <c r="I753" i="7"/>
  <c r="J753" i="7" s="1"/>
  <c r="E753" i="7"/>
  <c r="P752" i="7"/>
  <c r="O752" i="7"/>
  <c r="N752" i="7"/>
  <c r="K752" i="7"/>
  <c r="J752" i="7"/>
  <c r="I752" i="7"/>
  <c r="E752" i="7"/>
  <c r="P751" i="7"/>
  <c r="O751" i="7"/>
  <c r="N751" i="7"/>
  <c r="K751" i="7"/>
  <c r="I751" i="7"/>
  <c r="J751" i="7" s="1"/>
  <c r="E751" i="7"/>
  <c r="P750" i="7"/>
  <c r="O750" i="7"/>
  <c r="N750" i="7"/>
  <c r="K750" i="7"/>
  <c r="I750" i="7"/>
  <c r="J750" i="7" s="1"/>
  <c r="E750" i="7"/>
  <c r="P749" i="7"/>
  <c r="O749" i="7"/>
  <c r="N749" i="7"/>
  <c r="K749" i="7"/>
  <c r="I749" i="7"/>
  <c r="J749" i="7" s="1"/>
  <c r="L118" i="8" s="1"/>
  <c r="O118" i="8" s="1"/>
  <c r="H118" i="6" s="1"/>
  <c r="L118" i="6" s="1"/>
  <c r="E749" i="7"/>
  <c r="P748" i="7"/>
  <c r="O748" i="7"/>
  <c r="N748" i="7"/>
  <c r="K748" i="7"/>
  <c r="J748" i="7"/>
  <c r="K118" i="8" s="1"/>
  <c r="N118" i="8" s="1"/>
  <c r="I748" i="7"/>
  <c r="E748" i="7"/>
  <c r="P747" i="7"/>
  <c r="O747" i="7"/>
  <c r="N747" i="7"/>
  <c r="K747" i="7"/>
  <c r="I747" i="7"/>
  <c r="J747" i="7" s="1"/>
  <c r="E747" i="7"/>
  <c r="P746" i="7"/>
  <c r="O746" i="7"/>
  <c r="N746" i="7"/>
  <c r="K746" i="7"/>
  <c r="I746" i="7"/>
  <c r="J746" i="7" s="1"/>
  <c r="E746" i="7"/>
  <c r="P745" i="7"/>
  <c r="O745" i="7"/>
  <c r="N745" i="7"/>
  <c r="K745" i="7"/>
  <c r="I745" i="7"/>
  <c r="J745" i="7" s="1"/>
  <c r="E745" i="7"/>
  <c r="P744" i="7"/>
  <c r="O744" i="7"/>
  <c r="N744" i="7"/>
  <c r="K744" i="7"/>
  <c r="I744" i="7"/>
  <c r="J744" i="7" s="1"/>
  <c r="E744" i="7"/>
  <c r="P743" i="7"/>
  <c r="O743" i="7"/>
  <c r="N743" i="7"/>
  <c r="K743" i="7"/>
  <c r="J743" i="7"/>
  <c r="I743" i="7"/>
  <c r="E743" i="7"/>
  <c r="P742" i="7"/>
  <c r="O742" i="7"/>
  <c r="N742" i="7"/>
  <c r="K742" i="7"/>
  <c r="I742" i="7"/>
  <c r="J742" i="7" s="1"/>
  <c r="E742" i="7"/>
  <c r="P741" i="7"/>
  <c r="O741" i="7"/>
  <c r="N741" i="7"/>
  <c r="K741" i="7"/>
  <c r="J741" i="7"/>
  <c r="I741" i="7"/>
  <c r="E741" i="7"/>
  <c r="P740" i="7"/>
  <c r="O740" i="7"/>
  <c r="N740" i="7"/>
  <c r="K740" i="7"/>
  <c r="I740" i="7"/>
  <c r="J740" i="7" s="1"/>
  <c r="E740" i="7"/>
  <c r="P739" i="7"/>
  <c r="O739" i="7"/>
  <c r="N739" i="7"/>
  <c r="K739" i="7"/>
  <c r="I739" i="7"/>
  <c r="J739" i="7" s="1"/>
  <c r="E739" i="7"/>
  <c r="P738" i="7"/>
  <c r="O738" i="7"/>
  <c r="N738" i="7"/>
  <c r="K738" i="7"/>
  <c r="I738" i="7"/>
  <c r="J738" i="7" s="1"/>
  <c r="L117" i="8" s="1"/>
  <c r="O117" i="8" s="1"/>
  <c r="E738" i="7"/>
  <c r="P737" i="7"/>
  <c r="O737" i="7"/>
  <c r="N737" i="7"/>
  <c r="K737" i="7"/>
  <c r="I737" i="7"/>
  <c r="J737" i="7" s="1"/>
  <c r="K117" i="8" s="1"/>
  <c r="N117" i="8" s="1"/>
  <c r="E737" i="7"/>
  <c r="P736" i="7"/>
  <c r="O736" i="7"/>
  <c r="N736" i="7"/>
  <c r="K736" i="7"/>
  <c r="I736" i="7"/>
  <c r="J736" i="7" s="1"/>
  <c r="E736" i="7"/>
  <c r="P735" i="7"/>
  <c r="O735" i="7"/>
  <c r="N735" i="7"/>
  <c r="K735" i="7"/>
  <c r="J735" i="7"/>
  <c r="I735" i="7"/>
  <c r="E735" i="7"/>
  <c r="P734" i="7"/>
  <c r="O734" i="7"/>
  <c r="N734" i="7"/>
  <c r="K734" i="7"/>
  <c r="I734" i="7"/>
  <c r="J734" i="7" s="1"/>
  <c r="E734" i="7"/>
  <c r="P733" i="7"/>
  <c r="O733" i="7"/>
  <c r="N733" i="7"/>
  <c r="K733" i="7"/>
  <c r="J733" i="7"/>
  <c r="I733" i="7"/>
  <c r="E733" i="7"/>
  <c r="P732" i="7"/>
  <c r="O732" i="7"/>
  <c r="N732" i="7"/>
  <c r="K732" i="7"/>
  <c r="I732" i="7"/>
  <c r="J732" i="7" s="1"/>
  <c r="E732" i="7"/>
  <c r="P731" i="7"/>
  <c r="O731" i="7"/>
  <c r="N731" i="7"/>
  <c r="K731" i="7"/>
  <c r="I731" i="7"/>
  <c r="J731" i="7" s="1"/>
  <c r="E731" i="7"/>
  <c r="P730" i="7"/>
  <c r="O730" i="7"/>
  <c r="N730" i="7"/>
  <c r="K730" i="7"/>
  <c r="I730" i="7"/>
  <c r="J730" i="7" s="1"/>
  <c r="E730" i="7"/>
  <c r="P729" i="7"/>
  <c r="O729" i="7"/>
  <c r="N729" i="7"/>
  <c r="K729" i="7"/>
  <c r="I729" i="7"/>
  <c r="J729" i="7" s="1"/>
  <c r="E729" i="7"/>
  <c r="P728" i="7"/>
  <c r="O728" i="7"/>
  <c r="N728" i="7"/>
  <c r="K728" i="7"/>
  <c r="I728" i="7"/>
  <c r="J728" i="7" s="1"/>
  <c r="E728" i="7"/>
  <c r="P727" i="7"/>
  <c r="O727" i="7"/>
  <c r="N727" i="7"/>
  <c r="K727" i="7"/>
  <c r="I727" i="7"/>
  <c r="J727" i="7" s="1"/>
  <c r="E727" i="7"/>
  <c r="P726" i="7"/>
  <c r="O726" i="7"/>
  <c r="N726" i="7"/>
  <c r="K726" i="7"/>
  <c r="I726" i="7"/>
  <c r="J726" i="7" s="1"/>
  <c r="E726" i="7"/>
  <c r="P725" i="7"/>
  <c r="O725" i="7"/>
  <c r="N725" i="7"/>
  <c r="K725" i="7"/>
  <c r="I725" i="7"/>
  <c r="J725" i="7" s="1"/>
  <c r="E725" i="7"/>
  <c r="P724" i="7"/>
  <c r="O724" i="7"/>
  <c r="N724" i="7"/>
  <c r="K724" i="7"/>
  <c r="I724" i="7"/>
  <c r="J724" i="7" s="1"/>
  <c r="E724" i="7"/>
  <c r="P723" i="7"/>
  <c r="O723" i="7"/>
  <c r="N723" i="7"/>
  <c r="K723" i="7"/>
  <c r="J723" i="7"/>
  <c r="I723" i="7"/>
  <c r="E723" i="7"/>
  <c r="P722" i="7"/>
  <c r="O722" i="7"/>
  <c r="N722" i="7"/>
  <c r="K722" i="7"/>
  <c r="J722" i="7"/>
  <c r="I722" i="7"/>
  <c r="E722" i="7"/>
  <c r="P721" i="7"/>
  <c r="O721" i="7"/>
  <c r="N721" i="7"/>
  <c r="K721" i="7"/>
  <c r="I721" i="7"/>
  <c r="J721" i="7" s="1"/>
  <c r="E721" i="7"/>
  <c r="P720" i="7"/>
  <c r="O720" i="7"/>
  <c r="N720" i="7"/>
  <c r="K720" i="7"/>
  <c r="I720" i="7"/>
  <c r="J720" i="7" s="1"/>
  <c r="E720" i="7"/>
  <c r="P719" i="7"/>
  <c r="O719" i="7"/>
  <c r="N719" i="7"/>
  <c r="K719" i="7"/>
  <c r="J719" i="7"/>
  <c r="I719" i="7"/>
  <c r="E719" i="7"/>
  <c r="P718" i="7"/>
  <c r="O718" i="7"/>
  <c r="N718" i="7"/>
  <c r="K718" i="7"/>
  <c r="I718" i="7"/>
  <c r="J718" i="7" s="1"/>
  <c r="E718" i="7"/>
  <c r="P717" i="7"/>
  <c r="O717" i="7"/>
  <c r="N717" i="7"/>
  <c r="K717" i="7"/>
  <c r="J717" i="7"/>
  <c r="I717" i="7"/>
  <c r="E717" i="7"/>
  <c r="P716" i="7"/>
  <c r="O716" i="7"/>
  <c r="N716" i="7"/>
  <c r="K716" i="7"/>
  <c r="I716" i="7"/>
  <c r="J716" i="7" s="1"/>
  <c r="K116" i="8" s="1"/>
  <c r="N116" i="8" s="1"/>
  <c r="E716" i="7"/>
  <c r="P715" i="7"/>
  <c r="O715" i="7"/>
  <c r="N715" i="7"/>
  <c r="K715" i="7"/>
  <c r="I715" i="7"/>
  <c r="J715" i="7" s="1"/>
  <c r="E715" i="7"/>
  <c r="P714" i="7"/>
  <c r="O714" i="7"/>
  <c r="N714" i="7"/>
  <c r="K714" i="7"/>
  <c r="I714" i="7"/>
  <c r="J714" i="7" s="1"/>
  <c r="E714" i="7"/>
  <c r="P713" i="7"/>
  <c r="O713" i="7"/>
  <c r="N713" i="7"/>
  <c r="K713" i="7"/>
  <c r="I713" i="7"/>
  <c r="J713" i="7" s="1"/>
  <c r="E713" i="7"/>
  <c r="P712" i="7"/>
  <c r="O712" i="7"/>
  <c r="N712" i="7"/>
  <c r="K712" i="7"/>
  <c r="I712" i="7"/>
  <c r="J712" i="7" s="1"/>
  <c r="E712" i="7"/>
  <c r="P711" i="7"/>
  <c r="O711" i="7"/>
  <c r="N711" i="7"/>
  <c r="K711" i="7"/>
  <c r="J711" i="7"/>
  <c r="I711" i="7"/>
  <c r="E711" i="7"/>
  <c r="P710" i="7"/>
  <c r="O710" i="7"/>
  <c r="N710" i="7"/>
  <c r="K710" i="7"/>
  <c r="I710" i="7"/>
  <c r="J710" i="7" s="1"/>
  <c r="E710" i="7"/>
  <c r="P709" i="7"/>
  <c r="O709" i="7"/>
  <c r="N709" i="7"/>
  <c r="K709" i="7"/>
  <c r="I709" i="7"/>
  <c r="J709" i="7" s="1"/>
  <c r="E709" i="7"/>
  <c r="P708" i="7"/>
  <c r="O708" i="7"/>
  <c r="N708" i="7"/>
  <c r="K708" i="7"/>
  <c r="I708" i="7"/>
  <c r="J708" i="7" s="1"/>
  <c r="E708" i="7"/>
  <c r="P707" i="7"/>
  <c r="O707" i="7"/>
  <c r="N707" i="7"/>
  <c r="K707" i="7"/>
  <c r="J707" i="7"/>
  <c r="I707" i="7"/>
  <c r="E707" i="7"/>
  <c r="P706" i="7"/>
  <c r="O706" i="7"/>
  <c r="N706" i="7"/>
  <c r="K706" i="7"/>
  <c r="I706" i="7"/>
  <c r="J706" i="7" s="1"/>
  <c r="E706" i="7"/>
  <c r="P705" i="7"/>
  <c r="O705" i="7"/>
  <c r="N705" i="7"/>
  <c r="K705" i="7"/>
  <c r="I705" i="7"/>
  <c r="J705" i="7" s="1"/>
  <c r="E705" i="7"/>
  <c r="P704" i="7"/>
  <c r="O704" i="7"/>
  <c r="N704" i="7"/>
  <c r="K704" i="7"/>
  <c r="J704" i="7"/>
  <c r="I704" i="7"/>
  <c r="E704" i="7"/>
  <c r="P703" i="7"/>
  <c r="O703" i="7"/>
  <c r="N703" i="7"/>
  <c r="K703" i="7"/>
  <c r="I703" i="7"/>
  <c r="J703" i="7" s="1"/>
  <c r="K115" i="8" s="1"/>
  <c r="N115" i="8" s="1"/>
  <c r="E703" i="7"/>
  <c r="P702" i="7"/>
  <c r="O702" i="7"/>
  <c r="N702" i="7"/>
  <c r="K702" i="7"/>
  <c r="I702" i="7"/>
  <c r="J702" i="7" s="1"/>
  <c r="E702" i="7"/>
  <c r="P701" i="7"/>
  <c r="O701" i="7"/>
  <c r="N701" i="7"/>
  <c r="K701" i="7"/>
  <c r="I701" i="7"/>
  <c r="J701" i="7" s="1"/>
  <c r="E701" i="7"/>
  <c r="P700" i="7"/>
  <c r="O700" i="7"/>
  <c r="N700" i="7"/>
  <c r="K700" i="7"/>
  <c r="J700" i="7"/>
  <c r="I700" i="7"/>
  <c r="E700" i="7"/>
  <c r="P699" i="7"/>
  <c r="O699" i="7"/>
  <c r="N699" i="7"/>
  <c r="K699" i="7"/>
  <c r="J699" i="7"/>
  <c r="I699" i="7"/>
  <c r="E699" i="7"/>
  <c r="P698" i="7"/>
  <c r="O698" i="7"/>
  <c r="N698" i="7"/>
  <c r="K698" i="7"/>
  <c r="I698" i="7"/>
  <c r="J698" i="7" s="1"/>
  <c r="E698" i="7"/>
  <c r="P697" i="7"/>
  <c r="O697" i="7"/>
  <c r="N697" i="7"/>
  <c r="K697" i="7"/>
  <c r="I697" i="7"/>
  <c r="J697" i="7" s="1"/>
  <c r="E697" i="7"/>
  <c r="P696" i="7"/>
  <c r="O696" i="7"/>
  <c r="N696" i="7"/>
  <c r="K696" i="7"/>
  <c r="I696" i="7"/>
  <c r="J696" i="7" s="1"/>
  <c r="E696" i="7"/>
  <c r="P695" i="7"/>
  <c r="O695" i="7"/>
  <c r="N695" i="7"/>
  <c r="K695" i="7"/>
  <c r="I695" i="7"/>
  <c r="J695" i="7" s="1"/>
  <c r="E695" i="7"/>
  <c r="P694" i="7"/>
  <c r="O694" i="7"/>
  <c r="N694" i="7"/>
  <c r="K694" i="7"/>
  <c r="I694" i="7"/>
  <c r="J694" i="7" s="1"/>
  <c r="E694" i="7"/>
  <c r="P693" i="7"/>
  <c r="O693" i="7"/>
  <c r="N693" i="7"/>
  <c r="K693" i="7"/>
  <c r="I693" i="7"/>
  <c r="J693" i="7" s="1"/>
  <c r="E693" i="7"/>
  <c r="P692" i="7"/>
  <c r="O692" i="7"/>
  <c r="N692" i="7"/>
  <c r="K692" i="7"/>
  <c r="I692" i="7"/>
  <c r="J692" i="7" s="1"/>
  <c r="E692" i="7"/>
  <c r="P691" i="7"/>
  <c r="O691" i="7"/>
  <c r="N691" i="7"/>
  <c r="K691" i="7"/>
  <c r="I691" i="7"/>
  <c r="J691" i="7" s="1"/>
  <c r="E691" i="7"/>
  <c r="P690" i="7"/>
  <c r="O690" i="7"/>
  <c r="N690" i="7"/>
  <c r="K690" i="7"/>
  <c r="J690" i="7"/>
  <c r="K114" i="8" s="1"/>
  <c r="N114" i="8" s="1"/>
  <c r="I690" i="7"/>
  <c r="E690" i="7"/>
  <c r="P689" i="7"/>
  <c r="O689" i="7"/>
  <c r="N689" i="7"/>
  <c r="K689" i="7"/>
  <c r="I689" i="7"/>
  <c r="J689" i="7" s="1"/>
  <c r="E689" i="7"/>
  <c r="P688" i="7"/>
  <c r="O688" i="7"/>
  <c r="N688" i="7"/>
  <c r="K688" i="7"/>
  <c r="I688" i="7"/>
  <c r="J688" i="7" s="1"/>
  <c r="E688" i="7"/>
  <c r="P687" i="7"/>
  <c r="O687" i="7"/>
  <c r="N687" i="7"/>
  <c r="K687" i="7"/>
  <c r="I687" i="7"/>
  <c r="J687" i="7" s="1"/>
  <c r="E687" i="7"/>
  <c r="P686" i="7"/>
  <c r="O686" i="7"/>
  <c r="N686" i="7"/>
  <c r="K686" i="7"/>
  <c r="I686" i="7"/>
  <c r="J686" i="7" s="1"/>
  <c r="E686" i="7"/>
  <c r="P685" i="7"/>
  <c r="O685" i="7"/>
  <c r="N685" i="7"/>
  <c r="K685" i="7"/>
  <c r="J685" i="7"/>
  <c r="I685" i="7"/>
  <c r="E685" i="7"/>
  <c r="P684" i="7"/>
  <c r="O684" i="7"/>
  <c r="N684" i="7"/>
  <c r="K684" i="7"/>
  <c r="I684" i="7"/>
  <c r="J684" i="7" s="1"/>
  <c r="E684" i="7"/>
  <c r="P683" i="7"/>
  <c r="O683" i="7"/>
  <c r="N683" i="7"/>
  <c r="K683" i="7"/>
  <c r="J683" i="7"/>
  <c r="I683" i="7"/>
  <c r="E683" i="7"/>
  <c r="P682" i="7"/>
  <c r="O682" i="7"/>
  <c r="N682" i="7"/>
  <c r="K682" i="7"/>
  <c r="J682" i="7"/>
  <c r="I682" i="7"/>
  <c r="E682" i="7"/>
  <c r="P681" i="7"/>
  <c r="O681" i="7"/>
  <c r="N681" i="7"/>
  <c r="K681" i="7"/>
  <c r="I681" i="7"/>
  <c r="J681" i="7" s="1"/>
  <c r="E681" i="7"/>
  <c r="P680" i="7"/>
  <c r="O680" i="7"/>
  <c r="N680" i="7"/>
  <c r="K680" i="7"/>
  <c r="I680" i="7"/>
  <c r="J680" i="7" s="1"/>
  <c r="E680" i="7"/>
  <c r="P679" i="7"/>
  <c r="O679" i="7"/>
  <c r="N679" i="7"/>
  <c r="K679" i="7"/>
  <c r="I679" i="7"/>
  <c r="J679" i="7" s="1"/>
  <c r="E679" i="7"/>
  <c r="P678" i="7"/>
  <c r="O678" i="7"/>
  <c r="N678" i="7"/>
  <c r="K678" i="7"/>
  <c r="I678" i="7"/>
  <c r="J678" i="7" s="1"/>
  <c r="E678" i="7"/>
  <c r="P677" i="7"/>
  <c r="O677" i="7"/>
  <c r="N677" i="7"/>
  <c r="K677" i="7"/>
  <c r="I677" i="7"/>
  <c r="J677" i="7" s="1"/>
  <c r="K113" i="8" s="1"/>
  <c r="N113" i="8" s="1"/>
  <c r="E677" i="7"/>
  <c r="P676" i="7"/>
  <c r="O676" i="7"/>
  <c r="N676" i="7"/>
  <c r="K676" i="7"/>
  <c r="I676" i="7"/>
  <c r="J676" i="7" s="1"/>
  <c r="E676" i="7"/>
  <c r="P675" i="7"/>
  <c r="O675" i="7"/>
  <c r="N675" i="7"/>
  <c r="K675" i="7"/>
  <c r="J675" i="7"/>
  <c r="I675" i="7"/>
  <c r="E675" i="7"/>
  <c r="P674" i="7"/>
  <c r="O674" i="7"/>
  <c r="N674" i="7"/>
  <c r="K674" i="7"/>
  <c r="J674" i="7"/>
  <c r="I674" i="7"/>
  <c r="E674" i="7"/>
  <c r="P673" i="7"/>
  <c r="O673" i="7"/>
  <c r="N673" i="7"/>
  <c r="K673" i="7"/>
  <c r="I673" i="7"/>
  <c r="J673" i="7" s="1"/>
  <c r="E673" i="7"/>
  <c r="P672" i="7"/>
  <c r="O672" i="7"/>
  <c r="N672" i="7"/>
  <c r="K672" i="7"/>
  <c r="I672" i="7"/>
  <c r="J672" i="7" s="1"/>
  <c r="E672" i="7"/>
  <c r="P671" i="7"/>
  <c r="O671" i="7"/>
  <c r="N671" i="7"/>
  <c r="K671" i="7"/>
  <c r="J671" i="7"/>
  <c r="I671" i="7"/>
  <c r="E671" i="7"/>
  <c r="P670" i="7"/>
  <c r="O670" i="7"/>
  <c r="N670" i="7"/>
  <c r="K670" i="7"/>
  <c r="J670" i="7"/>
  <c r="I670" i="7"/>
  <c r="E670" i="7"/>
  <c r="P669" i="7"/>
  <c r="O669" i="7"/>
  <c r="N669" i="7"/>
  <c r="K669" i="7"/>
  <c r="I669" i="7"/>
  <c r="J669" i="7" s="1"/>
  <c r="E669" i="7"/>
  <c r="P668" i="7"/>
  <c r="O668" i="7"/>
  <c r="N668" i="7"/>
  <c r="K668" i="7"/>
  <c r="I668" i="7"/>
  <c r="J668" i="7" s="1"/>
  <c r="E668" i="7"/>
  <c r="P667" i="7"/>
  <c r="O667" i="7"/>
  <c r="N667" i="7"/>
  <c r="K667" i="7"/>
  <c r="I667" i="7"/>
  <c r="J667" i="7" s="1"/>
  <c r="E667" i="7"/>
  <c r="P666" i="7"/>
  <c r="O666" i="7"/>
  <c r="N666" i="7"/>
  <c r="K666" i="7"/>
  <c r="J666" i="7"/>
  <c r="K112" i="8" s="1"/>
  <c r="N112" i="8" s="1"/>
  <c r="G112" i="6" s="1"/>
  <c r="K112" i="6" s="1"/>
  <c r="I666" i="7"/>
  <c r="E666" i="7"/>
  <c r="P665" i="7"/>
  <c r="O665" i="7"/>
  <c r="N665" i="7"/>
  <c r="K665" i="7"/>
  <c r="I665" i="7"/>
  <c r="J665" i="7" s="1"/>
  <c r="E665" i="7"/>
  <c r="P664" i="7"/>
  <c r="O664" i="7"/>
  <c r="N664" i="7"/>
  <c r="K664" i="7"/>
  <c r="I664" i="7"/>
  <c r="J664" i="7" s="1"/>
  <c r="E664" i="7"/>
  <c r="P663" i="7"/>
  <c r="O663" i="7"/>
  <c r="N663" i="7"/>
  <c r="K663" i="7"/>
  <c r="I663" i="7"/>
  <c r="J663" i="7" s="1"/>
  <c r="E663" i="7"/>
  <c r="P662" i="7"/>
  <c r="O662" i="7"/>
  <c r="N662" i="7"/>
  <c r="K662" i="7"/>
  <c r="I662" i="7"/>
  <c r="J662" i="7" s="1"/>
  <c r="E662" i="7"/>
  <c r="P661" i="7"/>
  <c r="O661" i="7"/>
  <c r="N661" i="7"/>
  <c r="K661" i="7"/>
  <c r="I661" i="7"/>
  <c r="J661" i="7" s="1"/>
  <c r="E661" i="7"/>
  <c r="P660" i="7"/>
  <c r="O660" i="7"/>
  <c r="N660" i="7"/>
  <c r="K660" i="7"/>
  <c r="I660" i="7"/>
  <c r="J660" i="7" s="1"/>
  <c r="E660" i="7"/>
  <c r="P659" i="7"/>
  <c r="O659" i="7"/>
  <c r="N659" i="7"/>
  <c r="K659" i="7"/>
  <c r="I659" i="7"/>
  <c r="J659" i="7" s="1"/>
  <c r="E659" i="7"/>
  <c r="P658" i="7"/>
  <c r="O658" i="7"/>
  <c r="N658" i="7"/>
  <c r="K658" i="7"/>
  <c r="I658" i="7"/>
  <c r="J658" i="7" s="1"/>
  <c r="E658" i="7"/>
  <c r="P657" i="7"/>
  <c r="O657" i="7"/>
  <c r="N657" i="7"/>
  <c r="K657" i="7"/>
  <c r="I657" i="7"/>
  <c r="J657" i="7" s="1"/>
  <c r="E657" i="7"/>
  <c r="P656" i="7"/>
  <c r="O656" i="7"/>
  <c r="N656" i="7"/>
  <c r="K656" i="7"/>
  <c r="I656" i="7"/>
  <c r="J656" i="7" s="1"/>
  <c r="E656" i="7"/>
  <c r="P655" i="7"/>
  <c r="O655" i="7"/>
  <c r="N655" i="7"/>
  <c r="K655" i="7"/>
  <c r="J655" i="7"/>
  <c r="K111" i="8" s="1"/>
  <c r="N111" i="8" s="1"/>
  <c r="I655" i="7"/>
  <c r="E655" i="7"/>
  <c r="P654" i="7"/>
  <c r="O654" i="7"/>
  <c r="N654" i="7"/>
  <c r="K654" i="7"/>
  <c r="I654" i="7"/>
  <c r="J654" i="7" s="1"/>
  <c r="E654" i="7"/>
  <c r="P653" i="7"/>
  <c r="O653" i="7"/>
  <c r="N653" i="7"/>
  <c r="K653" i="7"/>
  <c r="I653" i="7"/>
  <c r="J653" i="7" s="1"/>
  <c r="E653" i="7"/>
  <c r="P652" i="7"/>
  <c r="O652" i="7"/>
  <c r="N652" i="7"/>
  <c r="K652" i="7"/>
  <c r="I652" i="7"/>
  <c r="J652" i="7" s="1"/>
  <c r="E652" i="7"/>
  <c r="P651" i="7"/>
  <c r="O651" i="7"/>
  <c r="N651" i="7"/>
  <c r="K651" i="7"/>
  <c r="I651" i="7"/>
  <c r="J651" i="7" s="1"/>
  <c r="E651" i="7"/>
  <c r="P650" i="7"/>
  <c r="O650" i="7"/>
  <c r="N650" i="7"/>
  <c r="K650" i="7"/>
  <c r="I650" i="7"/>
  <c r="J650" i="7" s="1"/>
  <c r="E650" i="7"/>
  <c r="P649" i="7"/>
  <c r="O649" i="7"/>
  <c r="N649" i="7"/>
  <c r="K649" i="7"/>
  <c r="I649" i="7"/>
  <c r="J649" i="7" s="1"/>
  <c r="E649" i="7"/>
  <c r="P648" i="7"/>
  <c r="O648" i="7"/>
  <c r="N648" i="7"/>
  <c r="K648" i="7"/>
  <c r="J648" i="7"/>
  <c r="I648" i="7"/>
  <c r="E648" i="7"/>
  <c r="P647" i="7"/>
  <c r="O647" i="7"/>
  <c r="N647" i="7"/>
  <c r="K647" i="7"/>
  <c r="J647" i="7"/>
  <c r="I647" i="7"/>
  <c r="E647" i="7"/>
  <c r="P646" i="7"/>
  <c r="O646" i="7"/>
  <c r="N646" i="7"/>
  <c r="K646" i="7"/>
  <c r="I646" i="7"/>
  <c r="J646" i="7" s="1"/>
  <c r="E646" i="7"/>
  <c r="P645" i="7"/>
  <c r="O645" i="7"/>
  <c r="N645" i="7"/>
  <c r="K645" i="7"/>
  <c r="I645" i="7"/>
  <c r="J645" i="7" s="1"/>
  <c r="E645" i="7"/>
  <c r="P644" i="7"/>
  <c r="O644" i="7"/>
  <c r="N644" i="7"/>
  <c r="K644" i="7"/>
  <c r="I644" i="7"/>
  <c r="J644" i="7" s="1"/>
  <c r="K110" i="8" s="1"/>
  <c r="N110" i="8" s="1"/>
  <c r="E644" i="7"/>
  <c r="P643" i="7"/>
  <c r="O643" i="7"/>
  <c r="N643" i="7"/>
  <c r="K643" i="7"/>
  <c r="I643" i="7"/>
  <c r="J643" i="7" s="1"/>
  <c r="E643" i="7"/>
  <c r="P642" i="7"/>
  <c r="O642" i="7"/>
  <c r="N642" i="7"/>
  <c r="K642" i="7"/>
  <c r="I642" i="7"/>
  <c r="J642" i="7" s="1"/>
  <c r="E642" i="7"/>
  <c r="P641" i="7"/>
  <c r="O641" i="7"/>
  <c r="N641" i="7"/>
  <c r="K641" i="7"/>
  <c r="I641" i="7"/>
  <c r="J641" i="7" s="1"/>
  <c r="E641" i="7"/>
  <c r="P640" i="7"/>
  <c r="O640" i="7"/>
  <c r="N640" i="7"/>
  <c r="K640" i="7"/>
  <c r="I640" i="7"/>
  <c r="J640" i="7" s="1"/>
  <c r="E640" i="7"/>
  <c r="P639" i="7"/>
  <c r="O639" i="7"/>
  <c r="N639" i="7"/>
  <c r="K639" i="7"/>
  <c r="I639" i="7"/>
  <c r="J639" i="7" s="1"/>
  <c r="E639" i="7"/>
  <c r="P638" i="7"/>
  <c r="O638" i="7"/>
  <c r="N638" i="7"/>
  <c r="K638" i="7"/>
  <c r="I638" i="7"/>
  <c r="J638" i="7" s="1"/>
  <c r="E638" i="7"/>
  <c r="P637" i="7"/>
  <c r="O637" i="7"/>
  <c r="N637" i="7"/>
  <c r="K637" i="7"/>
  <c r="I637" i="7"/>
  <c r="J637" i="7" s="1"/>
  <c r="E637" i="7"/>
  <c r="P636" i="7"/>
  <c r="O636" i="7"/>
  <c r="N636" i="7"/>
  <c r="K636" i="7"/>
  <c r="I636" i="7"/>
  <c r="J636" i="7" s="1"/>
  <c r="E636" i="7"/>
  <c r="P635" i="7"/>
  <c r="O635" i="7"/>
  <c r="N635" i="7"/>
  <c r="K635" i="7"/>
  <c r="I635" i="7"/>
  <c r="J635" i="7" s="1"/>
  <c r="E635" i="7"/>
  <c r="P634" i="7"/>
  <c r="O634" i="7"/>
  <c r="N634" i="7"/>
  <c r="K634" i="7"/>
  <c r="I634" i="7"/>
  <c r="J634" i="7" s="1"/>
  <c r="E634" i="7"/>
  <c r="P633" i="7"/>
  <c r="O633" i="7"/>
  <c r="N633" i="7"/>
  <c r="K633" i="7"/>
  <c r="I633" i="7"/>
  <c r="J633" i="7" s="1"/>
  <c r="K109" i="8" s="1"/>
  <c r="N109" i="8" s="1"/>
  <c r="G109" i="6" s="1"/>
  <c r="K109" i="6" s="1"/>
  <c r="E633" i="7"/>
  <c r="P632" i="7"/>
  <c r="O632" i="7"/>
  <c r="N632" i="7"/>
  <c r="K632" i="7"/>
  <c r="I632" i="7"/>
  <c r="J632" i="7" s="1"/>
  <c r="E632" i="7"/>
  <c r="P631" i="7"/>
  <c r="O631" i="7"/>
  <c r="N631" i="7"/>
  <c r="K631" i="7"/>
  <c r="I631" i="7"/>
  <c r="J631" i="7" s="1"/>
  <c r="E631" i="7"/>
  <c r="P630" i="7"/>
  <c r="O630" i="7"/>
  <c r="N630" i="7"/>
  <c r="K630" i="7"/>
  <c r="I630" i="7"/>
  <c r="J630" i="7" s="1"/>
  <c r="E630" i="7"/>
  <c r="P629" i="7"/>
  <c r="O629" i="7"/>
  <c r="N629" i="7"/>
  <c r="K629" i="7"/>
  <c r="J629" i="7"/>
  <c r="I629" i="7"/>
  <c r="E629" i="7"/>
  <c r="P628" i="7"/>
  <c r="O628" i="7"/>
  <c r="N628" i="7"/>
  <c r="K628" i="7"/>
  <c r="I628" i="7"/>
  <c r="J628" i="7" s="1"/>
  <c r="E628" i="7"/>
  <c r="P627" i="7"/>
  <c r="O627" i="7"/>
  <c r="N627" i="7"/>
  <c r="K627" i="7"/>
  <c r="I627" i="7"/>
  <c r="J627" i="7" s="1"/>
  <c r="E627" i="7"/>
  <c r="P626" i="7"/>
  <c r="O626" i="7"/>
  <c r="N626" i="7"/>
  <c r="K626" i="7"/>
  <c r="I626" i="7"/>
  <c r="J626" i="7" s="1"/>
  <c r="E626" i="7"/>
  <c r="P625" i="7"/>
  <c r="O625" i="7"/>
  <c r="N625" i="7"/>
  <c r="K625" i="7"/>
  <c r="I625" i="7"/>
  <c r="J625" i="7" s="1"/>
  <c r="E625" i="7"/>
  <c r="P624" i="7"/>
  <c r="O624" i="7"/>
  <c r="N624" i="7"/>
  <c r="K624" i="7"/>
  <c r="J624" i="7"/>
  <c r="I624" i="7"/>
  <c r="E624" i="7"/>
  <c r="P623" i="7"/>
  <c r="O623" i="7"/>
  <c r="N623" i="7"/>
  <c r="K623" i="7"/>
  <c r="J623" i="7"/>
  <c r="I623" i="7"/>
  <c r="E623" i="7"/>
  <c r="P622" i="7"/>
  <c r="O622" i="7"/>
  <c r="N622" i="7"/>
  <c r="K622" i="7"/>
  <c r="I622" i="7"/>
  <c r="J622" i="7" s="1"/>
  <c r="E622" i="7"/>
  <c r="P621" i="7"/>
  <c r="O621" i="7"/>
  <c r="N621" i="7"/>
  <c r="K621" i="7"/>
  <c r="I621" i="7"/>
  <c r="J621" i="7" s="1"/>
  <c r="E621" i="7"/>
  <c r="P620" i="7"/>
  <c r="O620" i="7"/>
  <c r="N620" i="7"/>
  <c r="K620" i="7"/>
  <c r="I620" i="7"/>
  <c r="J620" i="7" s="1"/>
  <c r="K108" i="8" s="1"/>
  <c r="N108" i="8" s="1"/>
  <c r="E620" i="7"/>
  <c r="P619" i="7"/>
  <c r="O619" i="7"/>
  <c r="N619" i="7"/>
  <c r="K619" i="7"/>
  <c r="I619" i="7"/>
  <c r="J619" i="7" s="1"/>
  <c r="E619" i="7"/>
  <c r="P618" i="7"/>
  <c r="O618" i="7"/>
  <c r="N618" i="7"/>
  <c r="K618" i="7"/>
  <c r="J618" i="7"/>
  <c r="I618" i="7"/>
  <c r="E618" i="7"/>
  <c r="P617" i="7"/>
  <c r="O617" i="7"/>
  <c r="N617" i="7"/>
  <c r="K617" i="7"/>
  <c r="I617" i="7"/>
  <c r="J617" i="7" s="1"/>
  <c r="E617" i="7"/>
  <c r="P616" i="7"/>
  <c r="O616" i="7"/>
  <c r="N616" i="7"/>
  <c r="K616" i="7"/>
  <c r="J616" i="7"/>
  <c r="I616" i="7"/>
  <c r="E616" i="7"/>
  <c r="P615" i="7"/>
  <c r="O615" i="7"/>
  <c r="N615" i="7"/>
  <c r="K615" i="7"/>
  <c r="I615" i="7"/>
  <c r="J615" i="7" s="1"/>
  <c r="E615" i="7"/>
  <c r="P614" i="7"/>
  <c r="O614" i="7"/>
  <c r="N614" i="7"/>
  <c r="K614" i="7"/>
  <c r="I614" i="7"/>
  <c r="J614" i="7" s="1"/>
  <c r="E614" i="7"/>
  <c r="P613" i="7"/>
  <c r="O613" i="7"/>
  <c r="N613" i="7"/>
  <c r="K613" i="7"/>
  <c r="J613" i="7"/>
  <c r="I613" i="7"/>
  <c r="E613" i="7"/>
  <c r="P612" i="7"/>
  <c r="O612" i="7"/>
  <c r="N612" i="7"/>
  <c r="K612" i="7"/>
  <c r="I612" i="7"/>
  <c r="J612" i="7" s="1"/>
  <c r="E612" i="7"/>
  <c r="P611" i="7"/>
  <c r="O611" i="7"/>
  <c r="N611" i="7"/>
  <c r="K611" i="7"/>
  <c r="I611" i="7"/>
  <c r="J611" i="7" s="1"/>
  <c r="L107" i="8" s="1"/>
  <c r="O107" i="8" s="1"/>
  <c r="E611" i="7"/>
  <c r="P610" i="7"/>
  <c r="N610" i="7"/>
  <c r="O610" i="7" s="1"/>
  <c r="K610" i="7"/>
  <c r="I610" i="7"/>
  <c r="J610" i="7" s="1"/>
  <c r="E610" i="7"/>
  <c r="P609" i="7"/>
  <c r="N609" i="7"/>
  <c r="O609" i="7" s="1"/>
  <c r="K609" i="7"/>
  <c r="J609" i="7"/>
  <c r="I609" i="7"/>
  <c r="E609" i="7"/>
  <c r="P608" i="7"/>
  <c r="O608" i="7"/>
  <c r="N608" i="7"/>
  <c r="K608" i="7"/>
  <c r="I608" i="7"/>
  <c r="J608" i="7" s="1"/>
  <c r="E608" i="7"/>
  <c r="P607" i="7"/>
  <c r="O607" i="7"/>
  <c r="N607" i="7"/>
  <c r="K607" i="7"/>
  <c r="I607" i="7"/>
  <c r="J607" i="7" s="1"/>
  <c r="E607" i="7"/>
  <c r="P606" i="7"/>
  <c r="O606" i="7"/>
  <c r="N606" i="7"/>
  <c r="K606" i="7"/>
  <c r="J606" i="7"/>
  <c r="I606" i="7"/>
  <c r="E606" i="7"/>
  <c r="P605" i="7"/>
  <c r="O605" i="7"/>
  <c r="N605" i="7"/>
  <c r="K605" i="7"/>
  <c r="I605" i="7"/>
  <c r="J605" i="7" s="1"/>
  <c r="E605" i="7"/>
  <c r="P604" i="7"/>
  <c r="O604" i="7"/>
  <c r="N604" i="7"/>
  <c r="K604" i="7"/>
  <c r="J604" i="7"/>
  <c r="I604" i="7"/>
  <c r="E604" i="7"/>
  <c r="P603" i="7"/>
  <c r="O603" i="7"/>
  <c r="N603" i="7"/>
  <c r="K603" i="7"/>
  <c r="I603" i="7"/>
  <c r="J603" i="7" s="1"/>
  <c r="E603" i="7"/>
  <c r="P602" i="7"/>
  <c r="N602" i="7"/>
  <c r="O602" i="7" s="1"/>
  <c r="K602" i="7"/>
  <c r="I602" i="7"/>
  <c r="J602" i="7" s="1"/>
  <c r="E602" i="7"/>
  <c r="P601" i="7"/>
  <c r="N601" i="7"/>
  <c r="O601" i="7" s="1"/>
  <c r="K601" i="7"/>
  <c r="I601" i="7"/>
  <c r="J601" i="7" s="1"/>
  <c r="K106" i="8" s="1"/>
  <c r="N106" i="8" s="1"/>
  <c r="G106" i="6" s="1"/>
  <c r="K106" i="6" s="1"/>
  <c r="E601" i="7"/>
  <c r="P600" i="7"/>
  <c r="O600" i="7"/>
  <c r="N600" i="7"/>
  <c r="K600" i="7"/>
  <c r="I600" i="7"/>
  <c r="J600" i="7" s="1"/>
  <c r="E600" i="7"/>
  <c r="P599" i="7"/>
  <c r="O599" i="7"/>
  <c r="N599" i="7"/>
  <c r="K599" i="7"/>
  <c r="J599" i="7"/>
  <c r="J106" i="8" s="1"/>
  <c r="M106" i="8" s="1"/>
  <c r="I599" i="7"/>
  <c r="E599" i="7"/>
  <c r="P598" i="7"/>
  <c r="O598" i="7"/>
  <c r="N598" i="7"/>
  <c r="K598" i="7"/>
  <c r="I598" i="7"/>
  <c r="J598" i="7" s="1"/>
  <c r="E598" i="7"/>
  <c r="P597" i="7"/>
  <c r="O597" i="7"/>
  <c r="N597" i="7"/>
  <c r="K597" i="7"/>
  <c r="J597" i="7"/>
  <c r="L105" i="8" s="1"/>
  <c r="O105" i="8" s="1"/>
  <c r="I597" i="7"/>
  <c r="E597" i="7"/>
  <c r="P596" i="7"/>
  <c r="O596" i="7"/>
  <c r="N596" i="7"/>
  <c r="K596" i="7"/>
  <c r="J596" i="7"/>
  <c r="I596" i="7"/>
  <c r="E596" i="7"/>
  <c r="P595" i="7"/>
  <c r="N595" i="7"/>
  <c r="O595" i="7" s="1"/>
  <c r="K595" i="7"/>
  <c r="J595" i="7"/>
  <c r="I595" i="7"/>
  <c r="E595" i="7"/>
  <c r="P594" i="7"/>
  <c r="O594" i="7"/>
  <c r="N594" i="7"/>
  <c r="K594" i="7"/>
  <c r="J594" i="7"/>
  <c r="I594" i="7"/>
  <c r="E594" i="7"/>
  <c r="P593" i="7"/>
  <c r="O593" i="7"/>
  <c r="N593" i="7"/>
  <c r="K593" i="7"/>
  <c r="I593" i="7"/>
  <c r="J593" i="7" s="1"/>
  <c r="J105" i="8" s="1"/>
  <c r="M105" i="8" s="1"/>
  <c r="E593" i="7"/>
  <c r="P592" i="7"/>
  <c r="O592" i="7"/>
  <c r="N592" i="7"/>
  <c r="K592" i="7"/>
  <c r="I592" i="7"/>
  <c r="J592" i="7" s="1"/>
  <c r="E592" i="7"/>
  <c r="P591" i="7"/>
  <c r="O591" i="7"/>
  <c r="N591" i="7"/>
  <c r="K591" i="7"/>
  <c r="J591" i="7"/>
  <c r="I591" i="7"/>
  <c r="E591" i="7"/>
  <c r="P590" i="7"/>
  <c r="N590" i="7"/>
  <c r="O590" i="7" s="1"/>
  <c r="K590" i="7"/>
  <c r="I590" i="7"/>
  <c r="J590" i="7" s="1"/>
  <c r="E590" i="7"/>
  <c r="P589" i="7"/>
  <c r="N589" i="7"/>
  <c r="O589" i="7" s="1"/>
  <c r="K589" i="7"/>
  <c r="I589" i="7"/>
  <c r="J589" i="7" s="1"/>
  <c r="E589" i="7"/>
  <c r="P588" i="7"/>
  <c r="O588" i="7"/>
  <c r="N588" i="7"/>
  <c r="K588" i="7"/>
  <c r="I588" i="7"/>
  <c r="J588" i="7" s="1"/>
  <c r="E588" i="7"/>
  <c r="P587" i="7"/>
  <c r="O587" i="7"/>
  <c r="N587" i="7"/>
  <c r="K587" i="7"/>
  <c r="J587" i="7"/>
  <c r="I587" i="7"/>
  <c r="E587" i="7"/>
  <c r="P586" i="7"/>
  <c r="O586" i="7"/>
  <c r="N586" i="7"/>
  <c r="K586" i="7"/>
  <c r="I586" i="7"/>
  <c r="J586" i="7" s="1"/>
  <c r="L94" i="8" s="1"/>
  <c r="O94" i="8" s="1"/>
  <c r="E586" i="7"/>
  <c r="P585" i="7"/>
  <c r="N585" i="7"/>
  <c r="O585" i="7" s="1"/>
  <c r="K585" i="7"/>
  <c r="I585" i="7"/>
  <c r="J585" i="7" s="1"/>
  <c r="E585" i="7"/>
  <c r="P584" i="7"/>
  <c r="O584" i="7"/>
  <c r="N584" i="7"/>
  <c r="K584" i="7"/>
  <c r="J584" i="7"/>
  <c r="K94" i="8" s="1"/>
  <c r="N94" i="8" s="1"/>
  <c r="I584" i="7"/>
  <c r="E584" i="7"/>
  <c r="P583" i="7"/>
  <c r="O583" i="7"/>
  <c r="N583" i="7"/>
  <c r="K583" i="7"/>
  <c r="I583" i="7"/>
  <c r="J583" i="7" s="1"/>
  <c r="E583" i="7"/>
  <c r="P582" i="7"/>
  <c r="O582" i="7"/>
  <c r="N582" i="7"/>
  <c r="K582" i="7"/>
  <c r="I582" i="7"/>
  <c r="J582" i="7" s="1"/>
  <c r="J94" i="8" s="1"/>
  <c r="M94" i="8" s="1"/>
  <c r="E582" i="7"/>
  <c r="P581" i="7"/>
  <c r="O581" i="7"/>
  <c r="N581" i="7"/>
  <c r="K581" i="7"/>
  <c r="I581" i="7"/>
  <c r="J581" i="7" s="1"/>
  <c r="K93" i="8" s="1"/>
  <c r="N93" i="8" s="1"/>
  <c r="E581" i="7"/>
  <c r="P580" i="7"/>
  <c r="O580" i="7"/>
  <c r="N580" i="7"/>
  <c r="K580" i="7"/>
  <c r="I580" i="7"/>
  <c r="J580" i="7" s="1"/>
  <c r="K92" i="8" s="1"/>
  <c r="N92" i="8" s="1"/>
  <c r="G92" i="6" s="1"/>
  <c r="K92" i="6" s="1"/>
  <c r="E580" i="7"/>
  <c r="P579" i="7"/>
  <c r="O579" i="7"/>
  <c r="N579" i="7"/>
  <c r="K579" i="7"/>
  <c r="J579" i="7"/>
  <c r="I579" i="7"/>
  <c r="E579" i="7"/>
  <c r="P578" i="7"/>
  <c r="O578" i="7"/>
  <c r="N578" i="7"/>
  <c r="K578" i="7"/>
  <c r="I578" i="7"/>
  <c r="J578" i="7" s="1"/>
  <c r="E578" i="7"/>
  <c r="P577" i="7"/>
  <c r="O577" i="7"/>
  <c r="N577" i="7"/>
  <c r="K577" i="7"/>
  <c r="J577" i="7"/>
  <c r="I577" i="7"/>
  <c r="E577" i="7"/>
  <c r="P576" i="7"/>
  <c r="O576" i="7"/>
  <c r="N576" i="7"/>
  <c r="K576" i="7"/>
  <c r="I576" i="7"/>
  <c r="J576" i="7" s="1"/>
  <c r="E576" i="7"/>
  <c r="P575" i="7"/>
  <c r="O575" i="7"/>
  <c r="N575" i="7"/>
  <c r="K575" i="7"/>
  <c r="I575" i="7"/>
  <c r="J575" i="7" s="1"/>
  <c r="K91" i="8" s="1"/>
  <c r="N91" i="8" s="1"/>
  <c r="G91" i="6" s="1"/>
  <c r="K91" i="6" s="1"/>
  <c r="E575" i="7"/>
  <c r="P574" i="7"/>
  <c r="O574" i="7"/>
  <c r="N574" i="7"/>
  <c r="K574" i="7"/>
  <c r="I574" i="7"/>
  <c r="J574" i="7" s="1"/>
  <c r="E574" i="7"/>
  <c r="P573" i="7"/>
  <c r="O573" i="7"/>
  <c r="N573" i="7"/>
  <c r="K573" i="7"/>
  <c r="I573" i="7"/>
  <c r="J573" i="7" s="1"/>
  <c r="E573" i="7"/>
  <c r="P572" i="7"/>
  <c r="O572" i="7"/>
  <c r="N572" i="7"/>
  <c r="K572" i="7"/>
  <c r="I572" i="7"/>
  <c r="J572" i="7" s="1"/>
  <c r="E572" i="7"/>
  <c r="P571" i="7"/>
  <c r="O571" i="7"/>
  <c r="N571" i="7"/>
  <c r="K571" i="7"/>
  <c r="I571" i="7"/>
  <c r="J571" i="7" s="1"/>
  <c r="E571" i="7"/>
  <c r="P570" i="7"/>
  <c r="O570" i="7"/>
  <c r="N570" i="7"/>
  <c r="K570" i="7"/>
  <c r="I570" i="7"/>
  <c r="J570" i="7" s="1"/>
  <c r="E570" i="7"/>
  <c r="P569" i="7"/>
  <c r="O569" i="7"/>
  <c r="N569" i="7"/>
  <c r="K569" i="7"/>
  <c r="I569" i="7"/>
  <c r="J569" i="7" s="1"/>
  <c r="E569" i="7"/>
  <c r="P568" i="7"/>
  <c r="O568" i="7"/>
  <c r="N568" i="7"/>
  <c r="K568" i="7"/>
  <c r="I568" i="7"/>
  <c r="J568" i="7" s="1"/>
  <c r="E568" i="7"/>
  <c r="P567" i="7"/>
  <c r="O567" i="7"/>
  <c r="N567" i="7"/>
  <c r="K567" i="7"/>
  <c r="I567" i="7"/>
  <c r="J567" i="7" s="1"/>
  <c r="E567" i="7"/>
  <c r="P566" i="7"/>
  <c r="O566" i="7"/>
  <c r="N566" i="7"/>
  <c r="K566" i="7"/>
  <c r="I566" i="7"/>
  <c r="J566" i="7" s="1"/>
  <c r="E566" i="7"/>
  <c r="P565" i="7"/>
  <c r="O565" i="7"/>
  <c r="N565" i="7"/>
  <c r="K565" i="7"/>
  <c r="I565" i="7"/>
  <c r="J565" i="7" s="1"/>
  <c r="E565" i="7"/>
  <c r="P564" i="7"/>
  <c r="O564" i="7"/>
  <c r="N564" i="7"/>
  <c r="K564" i="7"/>
  <c r="J564" i="7"/>
  <c r="I564" i="7"/>
  <c r="E564" i="7"/>
  <c r="P563" i="7"/>
  <c r="O563" i="7"/>
  <c r="N563" i="7"/>
  <c r="K563" i="7"/>
  <c r="J563" i="7"/>
  <c r="I563" i="7"/>
  <c r="E563" i="7"/>
  <c r="P562" i="7"/>
  <c r="O562" i="7"/>
  <c r="N562" i="7"/>
  <c r="K562" i="7"/>
  <c r="J562" i="7"/>
  <c r="I562" i="7"/>
  <c r="E562" i="7"/>
  <c r="P561" i="7"/>
  <c r="O561" i="7"/>
  <c r="N561" i="7"/>
  <c r="K561" i="7"/>
  <c r="I561" i="7"/>
  <c r="J561" i="7" s="1"/>
  <c r="E561" i="7"/>
  <c r="P560" i="7"/>
  <c r="O560" i="7"/>
  <c r="N560" i="7"/>
  <c r="K560" i="7"/>
  <c r="I560" i="7"/>
  <c r="J560" i="7" s="1"/>
  <c r="E560" i="7"/>
  <c r="P559" i="7"/>
  <c r="O559" i="7"/>
  <c r="N559" i="7"/>
  <c r="K559" i="7"/>
  <c r="J559" i="7"/>
  <c r="I559" i="7"/>
  <c r="E559" i="7"/>
  <c r="P558" i="7"/>
  <c r="O558" i="7"/>
  <c r="N558" i="7"/>
  <c r="K558" i="7"/>
  <c r="I558" i="7"/>
  <c r="J558" i="7" s="1"/>
  <c r="E558" i="7"/>
  <c r="P557" i="7"/>
  <c r="O557" i="7"/>
  <c r="N557" i="7"/>
  <c r="K557" i="7"/>
  <c r="I557" i="7"/>
  <c r="J557" i="7" s="1"/>
  <c r="E557" i="7"/>
  <c r="P556" i="7"/>
  <c r="O556" i="7"/>
  <c r="N556" i="7"/>
  <c r="K556" i="7"/>
  <c r="I556" i="7"/>
  <c r="J556" i="7" s="1"/>
  <c r="E556" i="7"/>
  <c r="P555" i="7"/>
  <c r="O555" i="7"/>
  <c r="N555" i="7"/>
  <c r="K555" i="7"/>
  <c r="J555" i="7"/>
  <c r="I555" i="7"/>
  <c r="E555" i="7"/>
  <c r="P554" i="7"/>
  <c r="O554" i="7"/>
  <c r="N554" i="7"/>
  <c r="K554" i="7"/>
  <c r="I554" i="7"/>
  <c r="J554" i="7" s="1"/>
  <c r="E554" i="7"/>
  <c r="P553" i="7"/>
  <c r="O553" i="7"/>
  <c r="N553" i="7"/>
  <c r="K553" i="7"/>
  <c r="I553" i="7"/>
  <c r="J553" i="7" s="1"/>
  <c r="E553" i="7"/>
  <c r="P552" i="7"/>
  <c r="O552" i="7"/>
  <c r="N552" i="7"/>
  <c r="K552" i="7"/>
  <c r="I552" i="7"/>
  <c r="J552" i="7" s="1"/>
  <c r="E552" i="7"/>
  <c r="P551" i="7"/>
  <c r="O551" i="7"/>
  <c r="N551" i="7"/>
  <c r="K551" i="7"/>
  <c r="I551" i="7"/>
  <c r="J551" i="7" s="1"/>
  <c r="E551" i="7"/>
  <c r="P550" i="7"/>
  <c r="O550" i="7"/>
  <c r="N550" i="7"/>
  <c r="K550" i="7"/>
  <c r="I550" i="7"/>
  <c r="J550" i="7" s="1"/>
  <c r="E550" i="7"/>
  <c r="P549" i="7"/>
  <c r="O549" i="7"/>
  <c r="N549" i="7"/>
  <c r="K549" i="7"/>
  <c r="J549" i="7"/>
  <c r="I549" i="7"/>
  <c r="E549" i="7"/>
  <c r="P548" i="7"/>
  <c r="O548" i="7"/>
  <c r="N548" i="7"/>
  <c r="K548" i="7"/>
  <c r="I548" i="7"/>
  <c r="J548" i="7" s="1"/>
  <c r="E548" i="7"/>
  <c r="P547" i="7"/>
  <c r="O547" i="7"/>
  <c r="N547" i="7"/>
  <c r="K547" i="7"/>
  <c r="I547" i="7"/>
  <c r="J547" i="7" s="1"/>
  <c r="L88" i="8" s="1"/>
  <c r="O88" i="8" s="1"/>
  <c r="H88" i="6" s="1"/>
  <c r="L88" i="6" s="1"/>
  <c r="E547" i="7"/>
  <c r="P546" i="7"/>
  <c r="O546" i="7"/>
  <c r="N546" i="7"/>
  <c r="K546" i="7"/>
  <c r="I546" i="7"/>
  <c r="J546" i="7" s="1"/>
  <c r="E546" i="7"/>
  <c r="P545" i="7"/>
  <c r="O545" i="7"/>
  <c r="N545" i="7"/>
  <c r="K545" i="7"/>
  <c r="J545" i="7"/>
  <c r="K88" i="8" s="1"/>
  <c r="N88" i="8" s="1"/>
  <c r="G88" i="6" s="1"/>
  <c r="K88" i="6" s="1"/>
  <c r="I545" i="7"/>
  <c r="E545" i="7"/>
  <c r="P544" i="7"/>
  <c r="O544" i="7"/>
  <c r="N544" i="7"/>
  <c r="K544" i="7"/>
  <c r="I544" i="7"/>
  <c r="J544" i="7" s="1"/>
  <c r="E544" i="7"/>
  <c r="P543" i="7"/>
  <c r="O543" i="7"/>
  <c r="N543" i="7"/>
  <c r="K543" i="7"/>
  <c r="J543" i="7"/>
  <c r="I543" i="7"/>
  <c r="E543" i="7"/>
  <c r="P542" i="7"/>
  <c r="O542" i="7"/>
  <c r="N542" i="7"/>
  <c r="K542" i="7"/>
  <c r="J542" i="7"/>
  <c r="I542" i="7"/>
  <c r="E542" i="7"/>
  <c r="P541" i="7"/>
  <c r="O541" i="7"/>
  <c r="N541" i="7"/>
  <c r="K541" i="7"/>
  <c r="I541" i="7"/>
  <c r="J541" i="7" s="1"/>
  <c r="E541" i="7"/>
  <c r="P540" i="7"/>
  <c r="O540" i="7"/>
  <c r="N540" i="7"/>
  <c r="K540" i="7"/>
  <c r="J540" i="7"/>
  <c r="I540" i="7"/>
  <c r="E540" i="7"/>
  <c r="P539" i="7"/>
  <c r="O539" i="7"/>
  <c r="N539" i="7"/>
  <c r="K539" i="7"/>
  <c r="I539" i="7"/>
  <c r="J539" i="7" s="1"/>
  <c r="E539" i="7"/>
  <c r="P538" i="7"/>
  <c r="O538" i="7"/>
  <c r="N538" i="7"/>
  <c r="K538" i="7"/>
  <c r="I538" i="7"/>
  <c r="J538" i="7" s="1"/>
  <c r="E538" i="7"/>
  <c r="P537" i="7"/>
  <c r="O537" i="7"/>
  <c r="N537" i="7"/>
  <c r="K537" i="7"/>
  <c r="I537" i="7"/>
  <c r="J537" i="7" s="1"/>
  <c r="E537" i="7"/>
  <c r="P536" i="7"/>
  <c r="O536" i="7"/>
  <c r="N536" i="7"/>
  <c r="K536" i="7"/>
  <c r="I536" i="7"/>
  <c r="J536" i="7" s="1"/>
  <c r="J87" i="8" s="1"/>
  <c r="M87" i="8" s="1"/>
  <c r="P87" i="8" s="1"/>
  <c r="W87" i="8" s="1"/>
  <c r="E536" i="7"/>
  <c r="P535" i="7"/>
  <c r="O535" i="7"/>
  <c r="N535" i="7"/>
  <c r="K535" i="7"/>
  <c r="I535" i="7"/>
  <c r="J535" i="7" s="1"/>
  <c r="E535" i="7"/>
  <c r="P534" i="7"/>
  <c r="O534" i="7"/>
  <c r="N534" i="7"/>
  <c r="K534" i="7"/>
  <c r="I534" i="7"/>
  <c r="J534" i="7" s="1"/>
  <c r="E534" i="7"/>
  <c r="P533" i="7"/>
  <c r="N533" i="7"/>
  <c r="O533" i="7" s="1"/>
  <c r="K533" i="7"/>
  <c r="I533" i="7"/>
  <c r="J533" i="7" s="1"/>
  <c r="E533" i="7"/>
  <c r="P532" i="7"/>
  <c r="N532" i="7"/>
  <c r="O532" i="7" s="1"/>
  <c r="K532" i="7"/>
  <c r="I532" i="7"/>
  <c r="J532" i="7" s="1"/>
  <c r="E532" i="7"/>
  <c r="P531" i="7"/>
  <c r="O531" i="7"/>
  <c r="N531" i="7"/>
  <c r="K531" i="7"/>
  <c r="I531" i="7"/>
  <c r="J531" i="7" s="1"/>
  <c r="E531" i="7"/>
  <c r="P530" i="7"/>
  <c r="O530" i="7"/>
  <c r="N530" i="7"/>
  <c r="K530" i="7"/>
  <c r="I530" i="7"/>
  <c r="J530" i="7" s="1"/>
  <c r="E530" i="7"/>
  <c r="P529" i="7"/>
  <c r="O529" i="7"/>
  <c r="N529" i="7"/>
  <c r="K529" i="7"/>
  <c r="I529" i="7"/>
  <c r="J529" i="7" s="1"/>
  <c r="E529" i="7"/>
  <c r="P528" i="7"/>
  <c r="O528" i="7"/>
  <c r="N528" i="7"/>
  <c r="K528" i="7"/>
  <c r="I528" i="7"/>
  <c r="J528" i="7" s="1"/>
  <c r="E528" i="7"/>
  <c r="P527" i="7"/>
  <c r="O527" i="7"/>
  <c r="N527" i="7"/>
  <c r="K527" i="7"/>
  <c r="I527" i="7"/>
  <c r="J527" i="7" s="1"/>
  <c r="E527" i="7"/>
  <c r="P526" i="7"/>
  <c r="O526" i="7"/>
  <c r="N526" i="7"/>
  <c r="K526" i="7"/>
  <c r="I526" i="7"/>
  <c r="J526" i="7" s="1"/>
  <c r="E526" i="7"/>
  <c r="P525" i="7"/>
  <c r="O525" i="7"/>
  <c r="N525" i="7"/>
  <c r="K525" i="7"/>
  <c r="I525" i="7"/>
  <c r="J525" i="7" s="1"/>
  <c r="E525" i="7"/>
  <c r="P524" i="7"/>
  <c r="O524" i="7"/>
  <c r="N524" i="7"/>
  <c r="K524" i="7"/>
  <c r="I524" i="7"/>
  <c r="J524" i="7" s="1"/>
  <c r="E524" i="7"/>
  <c r="P523" i="7"/>
  <c r="O523" i="7"/>
  <c r="N523" i="7"/>
  <c r="K523" i="7"/>
  <c r="J523" i="7"/>
  <c r="L85" i="8" s="1"/>
  <c r="O85" i="8" s="1"/>
  <c r="H85" i="6" s="1"/>
  <c r="L85" i="6" s="1"/>
  <c r="I523" i="7"/>
  <c r="E523" i="7"/>
  <c r="P522" i="7"/>
  <c r="O522" i="7"/>
  <c r="N522" i="7"/>
  <c r="K522" i="7"/>
  <c r="I522" i="7"/>
  <c r="J522" i="7" s="1"/>
  <c r="E522" i="7"/>
  <c r="P521" i="7"/>
  <c r="N521" i="7"/>
  <c r="O521" i="7" s="1"/>
  <c r="K521" i="7"/>
  <c r="I521" i="7"/>
  <c r="J521" i="7" s="1"/>
  <c r="K85" i="8" s="1"/>
  <c r="N85" i="8" s="1"/>
  <c r="E521" i="7"/>
  <c r="P520" i="7"/>
  <c r="O520" i="7"/>
  <c r="N520" i="7"/>
  <c r="K520" i="7"/>
  <c r="I520" i="7"/>
  <c r="J520" i="7" s="1"/>
  <c r="E520" i="7"/>
  <c r="P519" i="7"/>
  <c r="O519" i="7"/>
  <c r="N519" i="7"/>
  <c r="K519" i="7"/>
  <c r="I519" i="7"/>
  <c r="J519" i="7" s="1"/>
  <c r="E519" i="7"/>
  <c r="P518" i="7"/>
  <c r="O518" i="7"/>
  <c r="N518" i="7"/>
  <c r="K518" i="7"/>
  <c r="I518" i="7"/>
  <c r="J518" i="7" s="1"/>
  <c r="E518" i="7"/>
  <c r="P517" i="7"/>
  <c r="O517" i="7"/>
  <c r="N517" i="7"/>
  <c r="K517" i="7"/>
  <c r="I517" i="7"/>
  <c r="J517" i="7" s="1"/>
  <c r="E517" i="7"/>
  <c r="P516" i="7"/>
  <c r="O516" i="7"/>
  <c r="N516" i="7"/>
  <c r="K516" i="7"/>
  <c r="I516" i="7"/>
  <c r="J516" i="7" s="1"/>
  <c r="E516" i="7"/>
  <c r="P515" i="7"/>
  <c r="O515" i="7"/>
  <c r="N515" i="7"/>
  <c r="K515" i="7"/>
  <c r="J515" i="7"/>
  <c r="I515" i="7"/>
  <c r="E515" i="7"/>
  <c r="P514" i="7"/>
  <c r="O514" i="7"/>
  <c r="N514" i="7"/>
  <c r="K514" i="7"/>
  <c r="I514" i="7"/>
  <c r="J514" i="7" s="1"/>
  <c r="E514" i="7"/>
  <c r="P513" i="7"/>
  <c r="N513" i="7"/>
  <c r="O513" i="7" s="1"/>
  <c r="K513" i="7"/>
  <c r="I513" i="7"/>
  <c r="J513" i="7" s="1"/>
  <c r="E513" i="7"/>
  <c r="P512" i="7"/>
  <c r="N512" i="7"/>
  <c r="O512" i="7" s="1"/>
  <c r="K512" i="7"/>
  <c r="I512" i="7"/>
  <c r="J512" i="7" s="1"/>
  <c r="E512" i="7"/>
  <c r="P511" i="7"/>
  <c r="O511" i="7"/>
  <c r="N511" i="7"/>
  <c r="K511" i="7"/>
  <c r="I511" i="7"/>
  <c r="J511" i="7" s="1"/>
  <c r="E511" i="7"/>
  <c r="P510" i="7"/>
  <c r="O510" i="7"/>
  <c r="N510" i="7"/>
  <c r="K510" i="7"/>
  <c r="I510" i="7"/>
  <c r="J510" i="7" s="1"/>
  <c r="E510" i="7"/>
  <c r="P509" i="7"/>
  <c r="O509" i="7"/>
  <c r="N509" i="7"/>
  <c r="K509" i="7"/>
  <c r="J509" i="7"/>
  <c r="I509" i="7"/>
  <c r="E509" i="7"/>
  <c r="P508" i="7"/>
  <c r="O508" i="7"/>
  <c r="N508" i="7"/>
  <c r="K508" i="7"/>
  <c r="J508" i="7"/>
  <c r="I508" i="7"/>
  <c r="E508" i="7"/>
  <c r="P507" i="7"/>
  <c r="O507" i="7"/>
  <c r="N507" i="7"/>
  <c r="K507" i="7"/>
  <c r="I507" i="7"/>
  <c r="J507" i="7" s="1"/>
  <c r="E507" i="7"/>
  <c r="P506" i="7"/>
  <c r="O506" i="7"/>
  <c r="N506" i="7"/>
  <c r="K506" i="7"/>
  <c r="I506" i="7"/>
  <c r="J506" i="7" s="1"/>
  <c r="E506" i="7"/>
  <c r="P505" i="7"/>
  <c r="O505" i="7"/>
  <c r="N505" i="7"/>
  <c r="K505" i="7"/>
  <c r="I505" i="7"/>
  <c r="J505" i="7" s="1"/>
  <c r="E505" i="7"/>
  <c r="P504" i="7"/>
  <c r="N504" i="7"/>
  <c r="O504" i="7" s="1"/>
  <c r="K504" i="7"/>
  <c r="I504" i="7"/>
  <c r="J504" i="7" s="1"/>
  <c r="E504" i="7"/>
  <c r="P503" i="7"/>
  <c r="N503" i="7"/>
  <c r="O503" i="7" s="1"/>
  <c r="K503" i="7"/>
  <c r="I503" i="7"/>
  <c r="J503" i="7" s="1"/>
  <c r="K83" i="8" s="1"/>
  <c r="N83" i="8" s="1"/>
  <c r="G83" i="6" s="1"/>
  <c r="K83" i="6" s="1"/>
  <c r="E503" i="7"/>
  <c r="P502" i="7"/>
  <c r="O502" i="7"/>
  <c r="N502" i="7"/>
  <c r="K502" i="7"/>
  <c r="I502" i="7"/>
  <c r="J502" i="7" s="1"/>
  <c r="E502" i="7"/>
  <c r="P501" i="7"/>
  <c r="O501" i="7"/>
  <c r="N501" i="7"/>
  <c r="K501" i="7"/>
  <c r="I501" i="7"/>
  <c r="J501" i="7" s="1"/>
  <c r="E501" i="7"/>
  <c r="P500" i="7"/>
  <c r="O500" i="7"/>
  <c r="N500" i="7"/>
  <c r="K500" i="7"/>
  <c r="I500" i="7"/>
  <c r="J500" i="7" s="1"/>
  <c r="E500" i="7"/>
  <c r="P499" i="7"/>
  <c r="O499" i="7"/>
  <c r="N499" i="7"/>
  <c r="K499" i="7"/>
  <c r="I499" i="7"/>
  <c r="J499" i="7" s="1"/>
  <c r="E499" i="7"/>
  <c r="P498" i="7"/>
  <c r="O498" i="7"/>
  <c r="N498" i="7"/>
  <c r="K498" i="7"/>
  <c r="J498" i="7"/>
  <c r="I498" i="7"/>
  <c r="E498" i="7"/>
  <c r="P497" i="7"/>
  <c r="O497" i="7"/>
  <c r="N497" i="7"/>
  <c r="K497" i="7"/>
  <c r="I497" i="7"/>
  <c r="J497" i="7" s="1"/>
  <c r="L82" i="8" s="1"/>
  <c r="O82" i="8" s="1"/>
  <c r="H82" i="6" s="1"/>
  <c r="L82" i="6" s="1"/>
  <c r="E497" i="7"/>
  <c r="P496" i="7"/>
  <c r="N496" i="7"/>
  <c r="O496" i="7" s="1"/>
  <c r="K496" i="7"/>
  <c r="I496" i="7"/>
  <c r="J496" i="7" s="1"/>
  <c r="E496" i="7"/>
  <c r="P495" i="7"/>
  <c r="O495" i="7"/>
  <c r="N495" i="7"/>
  <c r="K495" i="7"/>
  <c r="J495" i="7"/>
  <c r="I495" i="7"/>
  <c r="E495" i="7"/>
  <c r="P494" i="7"/>
  <c r="O494" i="7"/>
  <c r="N494" i="7"/>
  <c r="K494" i="7"/>
  <c r="J494" i="7"/>
  <c r="I494" i="7"/>
  <c r="E494" i="7"/>
  <c r="P493" i="7"/>
  <c r="O493" i="7"/>
  <c r="N493" i="7"/>
  <c r="K493" i="7"/>
  <c r="I493" i="7"/>
  <c r="J493" i="7" s="1"/>
  <c r="E493" i="7"/>
  <c r="P492" i="7"/>
  <c r="O492" i="7"/>
  <c r="N492" i="7"/>
  <c r="K492" i="7"/>
  <c r="I492" i="7"/>
  <c r="J492" i="7" s="1"/>
  <c r="E492" i="7"/>
  <c r="P491" i="7"/>
  <c r="O491" i="7"/>
  <c r="N491" i="7"/>
  <c r="K491" i="7"/>
  <c r="J491" i="7"/>
  <c r="I491" i="7"/>
  <c r="E491" i="7"/>
  <c r="P490" i="7"/>
  <c r="O490" i="7"/>
  <c r="N490" i="7"/>
  <c r="K490" i="7"/>
  <c r="I490" i="7"/>
  <c r="J490" i="7" s="1"/>
  <c r="E490" i="7"/>
  <c r="P489" i="7"/>
  <c r="O489" i="7"/>
  <c r="N489" i="7"/>
  <c r="K489" i="7"/>
  <c r="I489" i="7"/>
  <c r="J489" i="7" s="1"/>
  <c r="L81" i="8" s="1"/>
  <c r="O81" i="8" s="1"/>
  <c r="E489" i="7"/>
  <c r="P488" i="7"/>
  <c r="N488" i="7"/>
  <c r="O488" i="7" s="1"/>
  <c r="K488" i="7"/>
  <c r="I488" i="7"/>
  <c r="J488" i="7" s="1"/>
  <c r="E488" i="7"/>
  <c r="P487" i="7"/>
  <c r="N487" i="7"/>
  <c r="O487" i="7" s="1"/>
  <c r="K487" i="7"/>
  <c r="I487" i="7"/>
  <c r="J487" i="7" s="1"/>
  <c r="E487" i="7"/>
  <c r="P486" i="7"/>
  <c r="O486" i="7"/>
  <c r="N486" i="7"/>
  <c r="K486" i="7"/>
  <c r="I486" i="7"/>
  <c r="J486" i="7" s="1"/>
  <c r="E486" i="7"/>
  <c r="P485" i="7"/>
  <c r="O485" i="7"/>
  <c r="N485" i="7"/>
  <c r="K485" i="7"/>
  <c r="I485" i="7"/>
  <c r="J485" i="7" s="1"/>
  <c r="E485" i="7"/>
  <c r="P484" i="7"/>
  <c r="O484" i="7"/>
  <c r="N484" i="7"/>
  <c r="K484" i="7"/>
  <c r="I484" i="7"/>
  <c r="J484" i="7" s="1"/>
  <c r="E484" i="7"/>
  <c r="P483" i="7"/>
  <c r="O483" i="7"/>
  <c r="N483" i="7"/>
  <c r="K483" i="7"/>
  <c r="J483" i="7"/>
  <c r="I483" i="7"/>
  <c r="E483" i="7"/>
  <c r="P482" i="7"/>
  <c r="O482" i="7"/>
  <c r="N482" i="7"/>
  <c r="K482" i="7"/>
  <c r="I482" i="7"/>
  <c r="J482" i="7" s="1"/>
  <c r="E482" i="7"/>
  <c r="P481" i="7"/>
  <c r="O481" i="7"/>
  <c r="N481" i="7"/>
  <c r="K481" i="7"/>
  <c r="I481" i="7"/>
  <c r="J481" i="7" s="1"/>
  <c r="E481" i="7"/>
  <c r="P480" i="7"/>
  <c r="O480" i="7"/>
  <c r="N480" i="7"/>
  <c r="K480" i="7"/>
  <c r="I480" i="7"/>
  <c r="J480" i="7" s="1"/>
  <c r="E480" i="7"/>
  <c r="P479" i="7"/>
  <c r="N479" i="7"/>
  <c r="O479" i="7" s="1"/>
  <c r="K479" i="7"/>
  <c r="I479" i="7"/>
  <c r="J479" i="7" s="1"/>
  <c r="E479" i="7"/>
  <c r="P478" i="7"/>
  <c r="N478" i="7"/>
  <c r="O478" i="7" s="1"/>
  <c r="K478" i="7"/>
  <c r="I478" i="7"/>
  <c r="J478" i="7" s="1"/>
  <c r="E478" i="7"/>
  <c r="P477" i="7"/>
  <c r="O477" i="7"/>
  <c r="N477" i="7"/>
  <c r="K477" i="7"/>
  <c r="I477" i="7"/>
  <c r="J477" i="7" s="1"/>
  <c r="E477" i="7"/>
  <c r="P476" i="7"/>
  <c r="O476" i="7"/>
  <c r="N476" i="7"/>
  <c r="K476" i="7"/>
  <c r="J476" i="7"/>
  <c r="I476" i="7"/>
  <c r="E476" i="7"/>
  <c r="P475" i="7"/>
  <c r="O475" i="7"/>
  <c r="N475" i="7"/>
  <c r="K475" i="7"/>
  <c r="J475" i="7"/>
  <c r="I475" i="7"/>
  <c r="E475" i="7"/>
  <c r="P474" i="7"/>
  <c r="O474" i="7"/>
  <c r="N474" i="7"/>
  <c r="K474" i="7"/>
  <c r="I474" i="7"/>
  <c r="J474" i="7" s="1"/>
  <c r="L79" i="8" s="1"/>
  <c r="O79" i="8" s="1"/>
  <c r="E474" i="7"/>
  <c r="P473" i="7"/>
  <c r="N473" i="7"/>
  <c r="O473" i="7" s="1"/>
  <c r="K473" i="7"/>
  <c r="I473" i="7"/>
  <c r="J473" i="7" s="1"/>
  <c r="K79" i="8" s="1"/>
  <c r="N79" i="8" s="1"/>
  <c r="G79" i="6" s="1"/>
  <c r="K79" i="6" s="1"/>
  <c r="E473" i="7"/>
  <c r="P472" i="7"/>
  <c r="O472" i="7"/>
  <c r="N472" i="7"/>
  <c r="K472" i="7"/>
  <c r="I472" i="7"/>
  <c r="J472" i="7" s="1"/>
  <c r="E472" i="7"/>
  <c r="P471" i="7"/>
  <c r="O471" i="7"/>
  <c r="N471" i="7"/>
  <c r="K471" i="7"/>
  <c r="I471" i="7"/>
  <c r="J471" i="7" s="1"/>
  <c r="E471" i="7"/>
  <c r="P470" i="7"/>
  <c r="O470" i="7"/>
  <c r="N470" i="7"/>
  <c r="K470" i="7"/>
  <c r="I470" i="7"/>
  <c r="J470" i="7" s="1"/>
  <c r="L78" i="8" s="1"/>
  <c r="O78" i="8" s="1"/>
  <c r="E470" i="7"/>
  <c r="P469" i="7"/>
  <c r="N469" i="7"/>
  <c r="O469" i="7" s="1"/>
  <c r="K469" i="7"/>
  <c r="I469" i="7"/>
  <c r="J469" i="7" s="1"/>
  <c r="E469" i="7"/>
  <c r="P468" i="7"/>
  <c r="O468" i="7"/>
  <c r="N468" i="7"/>
  <c r="K468" i="7"/>
  <c r="I468" i="7"/>
  <c r="J468" i="7" s="1"/>
  <c r="E468" i="7"/>
  <c r="P467" i="7"/>
  <c r="N467" i="7"/>
  <c r="O467" i="7" s="1"/>
  <c r="K467" i="7"/>
  <c r="I467" i="7"/>
  <c r="J467" i="7" s="1"/>
  <c r="E467" i="7"/>
  <c r="P466" i="7"/>
  <c r="N466" i="7"/>
  <c r="O466" i="7" s="1"/>
  <c r="K466" i="7"/>
  <c r="I466" i="7"/>
  <c r="J466" i="7" s="1"/>
  <c r="E466" i="7"/>
  <c r="P465" i="7"/>
  <c r="O465" i="7"/>
  <c r="N465" i="7"/>
  <c r="K465" i="7"/>
  <c r="I465" i="7"/>
  <c r="J465" i="7" s="1"/>
  <c r="E465" i="7"/>
  <c r="P464" i="7"/>
  <c r="O464" i="7"/>
  <c r="N464" i="7"/>
  <c r="K464" i="7"/>
  <c r="I464" i="7"/>
  <c r="J464" i="7" s="1"/>
  <c r="E464" i="7"/>
  <c r="P463" i="7"/>
  <c r="O463" i="7"/>
  <c r="N463" i="7"/>
  <c r="K463" i="7"/>
  <c r="I463" i="7"/>
  <c r="J463" i="7" s="1"/>
  <c r="E463" i="7"/>
  <c r="P462" i="7"/>
  <c r="O462" i="7"/>
  <c r="N462" i="7"/>
  <c r="K462" i="7"/>
  <c r="I462" i="7"/>
  <c r="J462" i="7" s="1"/>
  <c r="E462" i="7"/>
  <c r="P461" i="7"/>
  <c r="O461" i="7"/>
  <c r="N461" i="7"/>
  <c r="K461" i="7"/>
  <c r="I461" i="7"/>
  <c r="J461" i="7" s="1"/>
  <c r="E461" i="7"/>
  <c r="P460" i="7"/>
  <c r="O460" i="7"/>
  <c r="N460" i="7"/>
  <c r="K460" i="7"/>
  <c r="I460" i="7"/>
  <c r="J460" i="7" s="1"/>
  <c r="E460" i="7"/>
  <c r="P459" i="7"/>
  <c r="O459" i="7"/>
  <c r="N459" i="7"/>
  <c r="K459" i="7"/>
  <c r="J459" i="7"/>
  <c r="I459" i="7"/>
  <c r="E459" i="7"/>
  <c r="P458" i="7"/>
  <c r="O458" i="7"/>
  <c r="N458" i="7"/>
  <c r="K458" i="7"/>
  <c r="I458" i="7"/>
  <c r="J458" i="7" s="1"/>
  <c r="E458" i="7"/>
  <c r="P457" i="7"/>
  <c r="O457" i="7"/>
  <c r="N457" i="7"/>
  <c r="K457" i="7"/>
  <c r="I457" i="7"/>
  <c r="J457" i="7" s="1"/>
  <c r="E457" i="7"/>
  <c r="P456" i="7"/>
  <c r="O456" i="7"/>
  <c r="N456" i="7"/>
  <c r="K456" i="7"/>
  <c r="I456" i="7"/>
  <c r="J456" i="7" s="1"/>
  <c r="L77" i="8" s="1"/>
  <c r="O77" i="8" s="1"/>
  <c r="H77" i="6" s="1"/>
  <c r="L77" i="6" s="1"/>
  <c r="E456" i="7"/>
  <c r="P455" i="7"/>
  <c r="O455" i="7"/>
  <c r="N455" i="7"/>
  <c r="K455" i="7"/>
  <c r="J455" i="7"/>
  <c r="I455" i="7"/>
  <c r="E455" i="7"/>
  <c r="P454" i="7"/>
  <c r="O454" i="7"/>
  <c r="N454" i="7"/>
  <c r="K454" i="7"/>
  <c r="I454" i="7"/>
  <c r="J454" i="7" s="1"/>
  <c r="E454" i="7"/>
  <c r="P453" i="7"/>
  <c r="O453" i="7"/>
  <c r="N453" i="7"/>
  <c r="K453" i="7"/>
  <c r="I453" i="7"/>
  <c r="J453" i="7" s="1"/>
  <c r="E453" i="7"/>
  <c r="P452" i="7"/>
  <c r="O452" i="7"/>
  <c r="N452" i="7"/>
  <c r="K452" i="7"/>
  <c r="I452" i="7"/>
  <c r="J452" i="7" s="1"/>
  <c r="E452" i="7"/>
  <c r="P451" i="7"/>
  <c r="O451" i="7"/>
  <c r="N451" i="7"/>
  <c r="K451" i="7"/>
  <c r="I451" i="7"/>
  <c r="J451" i="7" s="1"/>
  <c r="E451" i="7"/>
  <c r="P450" i="7"/>
  <c r="O450" i="7"/>
  <c r="N450" i="7"/>
  <c r="K450" i="7"/>
  <c r="I450" i="7"/>
  <c r="J450" i="7" s="1"/>
  <c r="E450" i="7"/>
  <c r="P449" i="7"/>
  <c r="O449" i="7"/>
  <c r="N449" i="7"/>
  <c r="K449" i="7"/>
  <c r="I449" i="7"/>
  <c r="J449" i="7" s="1"/>
  <c r="E449" i="7"/>
  <c r="P448" i="7"/>
  <c r="O448" i="7"/>
  <c r="N448" i="7"/>
  <c r="K448" i="7"/>
  <c r="I448" i="7"/>
  <c r="J448" i="7" s="1"/>
  <c r="E448" i="7"/>
  <c r="P447" i="7"/>
  <c r="O447" i="7"/>
  <c r="N447" i="7"/>
  <c r="K447" i="7"/>
  <c r="I447" i="7"/>
  <c r="J447" i="7" s="1"/>
  <c r="E447" i="7"/>
  <c r="P446" i="7"/>
  <c r="O446" i="7"/>
  <c r="N446" i="7"/>
  <c r="K446" i="7"/>
  <c r="J446" i="7"/>
  <c r="I446" i="7"/>
  <c r="E446" i="7"/>
  <c r="P445" i="7"/>
  <c r="N445" i="7"/>
  <c r="O445" i="7" s="1"/>
  <c r="K445" i="7"/>
  <c r="I445" i="7"/>
  <c r="J445" i="7" s="1"/>
  <c r="E445" i="7"/>
  <c r="P444" i="7"/>
  <c r="O444" i="7"/>
  <c r="N444" i="7"/>
  <c r="K444" i="7"/>
  <c r="J444" i="7"/>
  <c r="I444" i="7"/>
  <c r="E444" i="7"/>
  <c r="P443" i="7"/>
  <c r="O443" i="7"/>
  <c r="N443" i="7"/>
  <c r="K443" i="7"/>
  <c r="J443" i="7"/>
  <c r="I443" i="7"/>
  <c r="E443" i="7"/>
  <c r="P442" i="7"/>
  <c r="O442" i="7"/>
  <c r="N442" i="7"/>
  <c r="K442" i="7"/>
  <c r="I442" i="7"/>
  <c r="J442" i="7" s="1"/>
  <c r="E442" i="7"/>
  <c r="P441" i="7"/>
  <c r="O441" i="7"/>
  <c r="N441" i="7"/>
  <c r="K441" i="7"/>
  <c r="I441" i="7"/>
  <c r="J441" i="7" s="1"/>
  <c r="E441" i="7"/>
  <c r="P440" i="7"/>
  <c r="N440" i="7"/>
  <c r="O440" i="7" s="1"/>
  <c r="K440" i="7"/>
  <c r="I440" i="7"/>
  <c r="J440" i="7" s="1"/>
  <c r="E440" i="7"/>
  <c r="P439" i="7"/>
  <c r="N439" i="7"/>
  <c r="O439" i="7" s="1"/>
  <c r="K439" i="7"/>
  <c r="I439" i="7"/>
  <c r="J439" i="7" s="1"/>
  <c r="E439" i="7"/>
  <c r="P438" i="7"/>
  <c r="O438" i="7"/>
  <c r="N438" i="7"/>
  <c r="K438" i="7"/>
  <c r="J438" i="7"/>
  <c r="I438" i="7"/>
  <c r="E438" i="7"/>
  <c r="P437" i="7"/>
  <c r="O437" i="7"/>
  <c r="N437" i="7"/>
  <c r="K437" i="7"/>
  <c r="J437" i="7"/>
  <c r="I437" i="7"/>
  <c r="E437" i="7"/>
  <c r="P436" i="7"/>
  <c r="O436" i="7"/>
  <c r="N436" i="7"/>
  <c r="K436" i="7"/>
  <c r="I436" i="7"/>
  <c r="J436" i="7" s="1"/>
  <c r="E436" i="7"/>
  <c r="P435" i="7"/>
  <c r="O435" i="7"/>
  <c r="N435" i="7"/>
  <c r="K435" i="7"/>
  <c r="J435" i="7"/>
  <c r="I435" i="7"/>
  <c r="E435" i="7"/>
  <c r="P434" i="7"/>
  <c r="O434" i="7"/>
  <c r="N434" i="7"/>
  <c r="K434" i="7"/>
  <c r="I434" i="7"/>
  <c r="J434" i="7" s="1"/>
  <c r="E434" i="7"/>
  <c r="P433" i="7"/>
  <c r="O433" i="7"/>
  <c r="N433" i="7"/>
  <c r="K433" i="7"/>
  <c r="I433" i="7"/>
  <c r="J433" i="7" s="1"/>
  <c r="E433" i="7"/>
  <c r="P432" i="7"/>
  <c r="O432" i="7"/>
  <c r="N432" i="7"/>
  <c r="K432" i="7"/>
  <c r="I432" i="7"/>
  <c r="J432" i="7" s="1"/>
  <c r="L74" i="8" s="1"/>
  <c r="O74" i="8" s="1"/>
  <c r="H74" i="6" s="1"/>
  <c r="L74" i="6" s="1"/>
  <c r="E432" i="7"/>
  <c r="P431" i="7"/>
  <c r="N431" i="7"/>
  <c r="O431" i="7" s="1"/>
  <c r="K431" i="7"/>
  <c r="I431" i="7"/>
  <c r="J431" i="7" s="1"/>
  <c r="E431" i="7"/>
  <c r="P430" i="7"/>
  <c r="N430" i="7"/>
  <c r="O430" i="7" s="1"/>
  <c r="K430" i="7"/>
  <c r="J430" i="7"/>
  <c r="I430" i="7"/>
  <c r="E430" i="7"/>
  <c r="P429" i="7"/>
  <c r="O429" i="7"/>
  <c r="N429" i="7"/>
  <c r="K429" i="7"/>
  <c r="I429" i="7"/>
  <c r="J429" i="7" s="1"/>
  <c r="E429" i="7"/>
  <c r="P428" i="7"/>
  <c r="O428" i="7"/>
  <c r="N428" i="7"/>
  <c r="K428" i="7"/>
  <c r="I428" i="7"/>
  <c r="J428" i="7" s="1"/>
  <c r="E428" i="7"/>
  <c r="P427" i="7"/>
  <c r="O427" i="7"/>
  <c r="N427" i="7"/>
  <c r="K427" i="7"/>
  <c r="I427" i="7"/>
  <c r="J427" i="7" s="1"/>
  <c r="E427" i="7"/>
  <c r="P426" i="7"/>
  <c r="O426" i="7"/>
  <c r="N426" i="7"/>
  <c r="K426" i="7"/>
  <c r="I426" i="7"/>
  <c r="J426" i="7" s="1"/>
  <c r="E426" i="7"/>
  <c r="P425" i="7"/>
  <c r="O425" i="7"/>
  <c r="N425" i="7"/>
  <c r="K425" i="7"/>
  <c r="I425" i="7"/>
  <c r="J425" i="7" s="1"/>
  <c r="E425" i="7"/>
  <c r="P424" i="7"/>
  <c r="O424" i="7"/>
  <c r="N424" i="7"/>
  <c r="K424" i="7"/>
  <c r="I424" i="7"/>
  <c r="J424" i="7" s="1"/>
  <c r="E424" i="7"/>
  <c r="P423" i="7"/>
  <c r="O423" i="7"/>
  <c r="N423" i="7"/>
  <c r="K423" i="7"/>
  <c r="I423" i="7"/>
  <c r="J423" i="7" s="1"/>
  <c r="L73" i="8" s="1"/>
  <c r="O73" i="8" s="1"/>
  <c r="H73" i="6" s="1"/>
  <c r="L73" i="6" s="1"/>
  <c r="E423" i="7"/>
  <c r="P422" i="7"/>
  <c r="N422" i="7"/>
  <c r="O422" i="7" s="1"/>
  <c r="K422" i="7"/>
  <c r="I422" i="7"/>
  <c r="J422" i="7" s="1"/>
  <c r="E422" i="7"/>
  <c r="P421" i="7"/>
  <c r="N421" i="7"/>
  <c r="O421" i="7" s="1"/>
  <c r="K421" i="7"/>
  <c r="I421" i="7"/>
  <c r="J421" i="7" s="1"/>
  <c r="E421" i="7"/>
  <c r="P420" i="7"/>
  <c r="O420" i="7"/>
  <c r="N420" i="7"/>
  <c r="K420" i="7"/>
  <c r="I420" i="7"/>
  <c r="J420" i="7" s="1"/>
  <c r="E420" i="7"/>
  <c r="P419" i="7"/>
  <c r="O419" i="7"/>
  <c r="N419" i="7"/>
  <c r="K419" i="7"/>
  <c r="I419" i="7"/>
  <c r="J419" i="7" s="1"/>
  <c r="E419" i="7"/>
  <c r="P418" i="7"/>
  <c r="O418" i="7"/>
  <c r="N418" i="7"/>
  <c r="K418" i="7"/>
  <c r="I418" i="7"/>
  <c r="J418" i="7" s="1"/>
  <c r="E418" i="7"/>
  <c r="P417" i="7"/>
  <c r="O417" i="7"/>
  <c r="N417" i="7"/>
  <c r="K417" i="7"/>
  <c r="I417" i="7"/>
  <c r="J417" i="7" s="1"/>
  <c r="E417" i="7"/>
  <c r="P416" i="7"/>
  <c r="O416" i="7"/>
  <c r="N416" i="7"/>
  <c r="K416" i="7"/>
  <c r="J416" i="7"/>
  <c r="I416" i="7"/>
  <c r="E416" i="7"/>
  <c r="P415" i="7"/>
  <c r="O415" i="7"/>
  <c r="N415" i="7"/>
  <c r="K415" i="7"/>
  <c r="J415" i="7"/>
  <c r="I415" i="7"/>
  <c r="E415" i="7"/>
  <c r="P414" i="7"/>
  <c r="O414" i="7"/>
  <c r="N414" i="7"/>
  <c r="K414" i="7"/>
  <c r="J414" i="7"/>
  <c r="L72" i="8" s="1"/>
  <c r="O72" i="8" s="1"/>
  <c r="I414" i="7"/>
  <c r="E414" i="7"/>
  <c r="P413" i="7"/>
  <c r="N413" i="7"/>
  <c r="O413" i="7" s="1"/>
  <c r="K413" i="7"/>
  <c r="J413" i="7"/>
  <c r="I413" i="7"/>
  <c r="E413" i="7"/>
  <c r="P412" i="7"/>
  <c r="N412" i="7"/>
  <c r="O412" i="7" s="1"/>
  <c r="K412" i="7"/>
  <c r="I412" i="7"/>
  <c r="J412" i="7" s="1"/>
  <c r="E412" i="7"/>
  <c r="P411" i="7"/>
  <c r="O411" i="7"/>
  <c r="N411" i="7"/>
  <c r="K411" i="7"/>
  <c r="I411" i="7"/>
  <c r="J411" i="7" s="1"/>
  <c r="E411" i="7"/>
  <c r="P410" i="7"/>
  <c r="O410" i="7"/>
  <c r="N410" i="7"/>
  <c r="K410" i="7"/>
  <c r="I410" i="7"/>
  <c r="J410" i="7" s="1"/>
  <c r="E410" i="7"/>
  <c r="P409" i="7"/>
  <c r="O409" i="7"/>
  <c r="N409" i="7"/>
  <c r="K409" i="7"/>
  <c r="I409" i="7"/>
  <c r="J409" i="7" s="1"/>
  <c r="E409" i="7"/>
  <c r="P408" i="7"/>
  <c r="O408" i="7"/>
  <c r="N408" i="7"/>
  <c r="K408" i="7"/>
  <c r="I408" i="7"/>
  <c r="J408" i="7" s="1"/>
  <c r="E408" i="7"/>
  <c r="P407" i="7"/>
  <c r="O407" i="7"/>
  <c r="N407" i="7"/>
  <c r="K407" i="7"/>
  <c r="I407" i="7"/>
  <c r="J407" i="7" s="1"/>
  <c r="E407" i="7"/>
  <c r="P406" i="7"/>
  <c r="O406" i="7"/>
  <c r="N406" i="7"/>
  <c r="K406" i="7"/>
  <c r="J406" i="7"/>
  <c r="K71" i="8" s="1"/>
  <c r="N71" i="8" s="1"/>
  <c r="I406" i="7"/>
  <c r="E406" i="7"/>
  <c r="P405" i="7"/>
  <c r="O405" i="7"/>
  <c r="N405" i="7"/>
  <c r="K405" i="7"/>
  <c r="J405" i="7"/>
  <c r="J71" i="8" s="1"/>
  <c r="M71" i="8" s="1"/>
  <c r="I405" i="7"/>
  <c r="E405" i="7"/>
  <c r="P404" i="7"/>
  <c r="O404" i="7"/>
  <c r="N404" i="7"/>
  <c r="K404" i="7"/>
  <c r="I404" i="7"/>
  <c r="J404" i="7" s="1"/>
  <c r="K69" i="8" s="1"/>
  <c r="N69" i="8" s="1"/>
  <c r="G69" i="6" s="1"/>
  <c r="K69" i="6" s="1"/>
  <c r="E404" i="7"/>
  <c r="P403" i="7"/>
  <c r="O403" i="7"/>
  <c r="N403" i="7"/>
  <c r="K403" i="7"/>
  <c r="J403" i="7"/>
  <c r="J69" i="8" s="1"/>
  <c r="M69" i="8" s="1"/>
  <c r="I403" i="7"/>
  <c r="E403" i="7"/>
  <c r="P402" i="7"/>
  <c r="O402" i="7"/>
  <c r="N402" i="7"/>
  <c r="K402" i="7"/>
  <c r="I402" i="7"/>
  <c r="J402" i="7" s="1"/>
  <c r="E402" i="7"/>
  <c r="P401" i="7"/>
  <c r="O401" i="7"/>
  <c r="N401" i="7"/>
  <c r="K401" i="7"/>
  <c r="I401" i="7"/>
  <c r="J401" i="7" s="1"/>
  <c r="L67" i="8" s="1"/>
  <c r="O67" i="8" s="1"/>
  <c r="E401" i="7"/>
  <c r="P400" i="7"/>
  <c r="N400" i="7"/>
  <c r="O400" i="7" s="1"/>
  <c r="K400" i="7"/>
  <c r="J400" i="7"/>
  <c r="I400" i="7"/>
  <c r="E400" i="7"/>
  <c r="P399" i="7"/>
  <c r="N399" i="7"/>
  <c r="O399" i="7" s="1"/>
  <c r="K399" i="7"/>
  <c r="I399" i="7"/>
  <c r="J399" i="7" s="1"/>
  <c r="K67" i="8" s="1"/>
  <c r="N67" i="8" s="1"/>
  <c r="E399" i="7"/>
  <c r="P398" i="7"/>
  <c r="O398" i="7"/>
  <c r="N398" i="7"/>
  <c r="K398" i="7"/>
  <c r="I398" i="7"/>
  <c r="J398" i="7" s="1"/>
  <c r="J67" i="8" s="1"/>
  <c r="M67" i="8" s="1"/>
  <c r="P67" i="8" s="1"/>
  <c r="E398" i="7"/>
  <c r="P397" i="7"/>
  <c r="O397" i="7"/>
  <c r="N397" i="7"/>
  <c r="K397" i="7"/>
  <c r="I397" i="7"/>
  <c r="J397" i="7" s="1"/>
  <c r="E397" i="7"/>
  <c r="P396" i="7"/>
  <c r="O396" i="7"/>
  <c r="N396" i="7"/>
  <c r="K396" i="7"/>
  <c r="I396" i="7"/>
  <c r="J396" i="7" s="1"/>
  <c r="E396" i="7"/>
  <c r="P395" i="7"/>
  <c r="O395" i="7"/>
  <c r="N395" i="7"/>
  <c r="K395" i="7"/>
  <c r="I395" i="7"/>
  <c r="J395" i="7" s="1"/>
  <c r="E395" i="7"/>
  <c r="P394" i="7"/>
  <c r="N394" i="7"/>
  <c r="O394" i="7" s="1"/>
  <c r="K394" i="7"/>
  <c r="I394" i="7"/>
  <c r="J394" i="7" s="1"/>
  <c r="E394" i="7"/>
  <c r="P393" i="7"/>
  <c r="O393" i="7"/>
  <c r="N393" i="7"/>
  <c r="K393" i="7"/>
  <c r="I393" i="7"/>
  <c r="J393" i="7" s="1"/>
  <c r="E393" i="7"/>
  <c r="P392" i="7"/>
  <c r="O392" i="7"/>
  <c r="N392" i="7"/>
  <c r="K392" i="7"/>
  <c r="I392" i="7"/>
  <c r="J392" i="7" s="1"/>
  <c r="E392" i="7"/>
  <c r="P391" i="7"/>
  <c r="O391" i="7"/>
  <c r="N391" i="7"/>
  <c r="K391" i="7"/>
  <c r="I391" i="7"/>
  <c r="J391" i="7" s="1"/>
  <c r="E391" i="7"/>
  <c r="P390" i="7"/>
  <c r="O390" i="7"/>
  <c r="N390" i="7"/>
  <c r="K390" i="7"/>
  <c r="I390" i="7"/>
  <c r="J390" i="7" s="1"/>
  <c r="E390" i="7"/>
  <c r="P389" i="7"/>
  <c r="O389" i="7"/>
  <c r="N389" i="7"/>
  <c r="K389" i="7"/>
  <c r="I389" i="7"/>
  <c r="J389" i="7" s="1"/>
  <c r="L65" i="8" s="1"/>
  <c r="O65" i="8" s="1"/>
  <c r="H65" i="6" s="1"/>
  <c r="L65" i="6" s="1"/>
  <c r="E389" i="7"/>
  <c r="P388" i="7"/>
  <c r="N388" i="7"/>
  <c r="O388" i="7" s="1"/>
  <c r="K388" i="7"/>
  <c r="I388" i="7"/>
  <c r="J388" i="7" s="1"/>
  <c r="E388" i="7"/>
  <c r="P387" i="7"/>
  <c r="N387" i="7"/>
  <c r="O387" i="7" s="1"/>
  <c r="K387" i="7"/>
  <c r="I387" i="7"/>
  <c r="J387" i="7" s="1"/>
  <c r="E387" i="7"/>
  <c r="P386" i="7"/>
  <c r="O386" i="7"/>
  <c r="N386" i="7"/>
  <c r="K386" i="7"/>
  <c r="I386" i="7"/>
  <c r="J386" i="7" s="1"/>
  <c r="E386" i="7"/>
  <c r="P385" i="7"/>
  <c r="O385" i="7"/>
  <c r="N385" i="7"/>
  <c r="K385" i="7"/>
  <c r="I385" i="7"/>
  <c r="J385" i="7" s="1"/>
  <c r="E385" i="7"/>
  <c r="P384" i="7"/>
  <c r="O384" i="7"/>
  <c r="N384" i="7"/>
  <c r="K384" i="7"/>
  <c r="I384" i="7"/>
  <c r="J384" i="7" s="1"/>
  <c r="E384" i="7"/>
  <c r="P383" i="7"/>
  <c r="O383" i="7"/>
  <c r="N383" i="7"/>
  <c r="K383" i="7"/>
  <c r="I383" i="7"/>
  <c r="J383" i="7" s="1"/>
  <c r="L64" i="8" s="1"/>
  <c r="O64" i="8" s="1"/>
  <c r="H64" i="6" s="1"/>
  <c r="L64" i="6" s="1"/>
  <c r="E383" i="7"/>
  <c r="P382" i="7"/>
  <c r="O382" i="7"/>
  <c r="N382" i="7"/>
  <c r="K382" i="7"/>
  <c r="I382" i="7"/>
  <c r="J382" i="7" s="1"/>
  <c r="E382" i="7"/>
  <c r="P381" i="7"/>
  <c r="O381" i="7"/>
  <c r="N381" i="7"/>
  <c r="K381" i="7"/>
  <c r="I381" i="7"/>
  <c r="J381" i="7" s="1"/>
  <c r="K64" i="8" s="1"/>
  <c r="N64" i="8" s="1"/>
  <c r="G64" i="6" s="1"/>
  <c r="K64" i="6" s="1"/>
  <c r="E381" i="7"/>
  <c r="P380" i="7"/>
  <c r="O380" i="7"/>
  <c r="N380" i="7"/>
  <c r="K380" i="7"/>
  <c r="I380" i="7"/>
  <c r="J380" i="7" s="1"/>
  <c r="J64" i="8" s="1"/>
  <c r="M64" i="8" s="1"/>
  <c r="E380" i="7"/>
  <c r="P379" i="7"/>
  <c r="O379" i="7"/>
  <c r="N379" i="7"/>
  <c r="K379" i="7"/>
  <c r="I379" i="7"/>
  <c r="J379" i="7" s="1"/>
  <c r="L63" i="8" s="1"/>
  <c r="O63" i="8" s="1"/>
  <c r="H63" i="6" s="1"/>
  <c r="L63" i="6" s="1"/>
  <c r="E379" i="7"/>
  <c r="P378" i="7"/>
  <c r="N378" i="7"/>
  <c r="O378" i="7" s="1"/>
  <c r="K378" i="7"/>
  <c r="I378" i="7"/>
  <c r="J378" i="7" s="1"/>
  <c r="E378" i="7"/>
  <c r="P377" i="7"/>
  <c r="N377" i="7"/>
  <c r="O377" i="7" s="1"/>
  <c r="K377" i="7"/>
  <c r="I377" i="7"/>
  <c r="J377" i="7" s="1"/>
  <c r="E377" i="7"/>
  <c r="P376" i="7"/>
  <c r="O376" i="7"/>
  <c r="N376" i="7"/>
  <c r="K376" i="7"/>
  <c r="I376" i="7"/>
  <c r="J376" i="7" s="1"/>
  <c r="E376" i="7"/>
  <c r="P375" i="7"/>
  <c r="O375" i="7"/>
  <c r="N375" i="7"/>
  <c r="K375" i="7"/>
  <c r="J375" i="7"/>
  <c r="I375" i="7"/>
  <c r="E375" i="7"/>
  <c r="P374" i="7"/>
  <c r="O374" i="7"/>
  <c r="N374" i="7"/>
  <c r="K374" i="7"/>
  <c r="J374" i="7"/>
  <c r="I374" i="7"/>
  <c r="E374" i="7"/>
  <c r="P373" i="7"/>
  <c r="O373" i="7"/>
  <c r="N373" i="7"/>
  <c r="K373" i="7"/>
  <c r="I373" i="7"/>
  <c r="J373" i="7" s="1"/>
  <c r="L62" i="8" s="1"/>
  <c r="O62" i="8" s="1"/>
  <c r="H62" i="6" s="1"/>
  <c r="L62" i="6" s="1"/>
  <c r="E373" i="7"/>
  <c r="P372" i="7"/>
  <c r="O372" i="7"/>
  <c r="N372" i="7"/>
  <c r="K372" i="7"/>
  <c r="I372" i="7"/>
  <c r="J372" i="7" s="1"/>
  <c r="E372" i="7"/>
  <c r="P371" i="7"/>
  <c r="N371" i="7"/>
  <c r="O371" i="7" s="1"/>
  <c r="K371" i="7"/>
  <c r="I371" i="7"/>
  <c r="J371" i="7" s="1"/>
  <c r="E371" i="7"/>
  <c r="P370" i="7"/>
  <c r="O370" i="7"/>
  <c r="N370" i="7"/>
  <c r="K370" i="7"/>
  <c r="J370" i="7"/>
  <c r="I370" i="7"/>
  <c r="E370" i="7"/>
  <c r="P369" i="7"/>
  <c r="O369" i="7"/>
  <c r="N369" i="7"/>
  <c r="K369" i="7"/>
  <c r="J369" i="7"/>
  <c r="I369" i="7"/>
  <c r="E369" i="7"/>
  <c r="P368" i="7"/>
  <c r="O368" i="7"/>
  <c r="N368" i="7"/>
  <c r="K368" i="7"/>
  <c r="J368" i="7"/>
  <c r="J62" i="8" s="1"/>
  <c r="M62" i="8" s="1"/>
  <c r="F62" i="6" s="1"/>
  <c r="J62" i="6" s="1"/>
  <c r="I368" i="7"/>
  <c r="E368" i="7"/>
  <c r="P367" i="7"/>
  <c r="O367" i="7"/>
  <c r="N367" i="7"/>
  <c r="K367" i="7"/>
  <c r="J367" i="7"/>
  <c r="I367" i="7"/>
  <c r="E367" i="7"/>
  <c r="P366" i="7"/>
  <c r="O366" i="7"/>
  <c r="N366" i="7"/>
  <c r="K366" i="7"/>
  <c r="I366" i="7"/>
  <c r="J366" i="7" s="1"/>
  <c r="L61" i="8" s="1"/>
  <c r="O61" i="8" s="1"/>
  <c r="E366" i="7"/>
  <c r="P365" i="7"/>
  <c r="N365" i="7"/>
  <c r="O365" i="7" s="1"/>
  <c r="K365" i="7"/>
  <c r="I365" i="7"/>
  <c r="J365" i="7" s="1"/>
  <c r="E365" i="7"/>
  <c r="P364" i="7"/>
  <c r="O364" i="7"/>
  <c r="N364" i="7"/>
  <c r="K364" i="7"/>
  <c r="J364" i="7"/>
  <c r="I364" i="7"/>
  <c r="E364" i="7"/>
  <c r="P363" i="7"/>
  <c r="O363" i="7"/>
  <c r="N363" i="7"/>
  <c r="K363" i="7"/>
  <c r="J363" i="7"/>
  <c r="I363" i="7"/>
  <c r="E363" i="7"/>
  <c r="P362" i="7"/>
  <c r="O362" i="7"/>
  <c r="N362" i="7"/>
  <c r="K362" i="7"/>
  <c r="I362" i="7"/>
  <c r="J362" i="7" s="1"/>
  <c r="E362" i="7"/>
  <c r="P361" i="7"/>
  <c r="O361" i="7"/>
  <c r="N361" i="7"/>
  <c r="K361" i="7"/>
  <c r="I361" i="7"/>
  <c r="J361" i="7" s="1"/>
  <c r="E361" i="7"/>
  <c r="P360" i="7"/>
  <c r="O360" i="7"/>
  <c r="N360" i="7"/>
  <c r="K360" i="7"/>
  <c r="I360" i="7"/>
  <c r="J360" i="7" s="1"/>
  <c r="E360" i="7"/>
  <c r="P359" i="7"/>
  <c r="N359" i="7"/>
  <c r="O359" i="7" s="1"/>
  <c r="K359" i="7"/>
  <c r="I359" i="7"/>
  <c r="J359" i="7" s="1"/>
  <c r="E359" i="7"/>
  <c r="P358" i="7"/>
  <c r="O358" i="7"/>
  <c r="N358" i="7"/>
  <c r="K358" i="7"/>
  <c r="I358" i="7"/>
  <c r="J358" i="7" s="1"/>
  <c r="E358" i="7"/>
  <c r="P357" i="7"/>
  <c r="O357" i="7"/>
  <c r="N357" i="7"/>
  <c r="K357" i="7"/>
  <c r="I357" i="7"/>
  <c r="J357" i="7" s="1"/>
  <c r="E357" i="7"/>
  <c r="P356" i="7"/>
  <c r="O356" i="7"/>
  <c r="N356" i="7"/>
  <c r="K356" i="7"/>
  <c r="J356" i="7"/>
  <c r="I356" i="7"/>
  <c r="E356" i="7"/>
  <c r="P355" i="7"/>
  <c r="O355" i="7"/>
  <c r="N355" i="7"/>
  <c r="K355" i="7"/>
  <c r="J355" i="7"/>
  <c r="I355" i="7"/>
  <c r="E355" i="7"/>
  <c r="P354" i="7"/>
  <c r="O354" i="7"/>
  <c r="N354" i="7"/>
  <c r="K354" i="7"/>
  <c r="I354" i="7"/>
  <c r="J354" i="7" s="1"/>
  <c r="E354" i="7"/>
  <c r="P353" i="7"/>
  <c r="N353" i="7"/>
  <c r="O353" i="7" s="1"/>
  <c r="K353" i="7"/>
  <c r="J353" i="7"/>
  <c r="I353" i="7"/>
  <c r="E353" i="7"/>
  <c r="P352" i="7"/>
  <c r="N352" i="7"/>
  <c r="O352" i="7" s="1"/>
  <c r="K352" i="7"/>
  <c r="J352" i="7"/>
  <c r="I352" i="7"/>
  <c r="E352" i="7"/>
  <c r="P351" i="7"/>
  <c r="O351" i="7"/>
  <c r="N351" i="7"/>
  <c r="K351" i="7"/>
  <c r="I351" i="7"/>
  <c r="J351" i="7" s="1"/>
  <c r="E351" i="7"/>
  <c r="P350" i="7"/>
  <c r="O350" i="7"/>
  <c r="N350" i="7"/>
  <c r="K350" i="7"/>
  <c r="I350" i="7"/>
  <c r="J350" i="7" s="1"/>
  <c r="E350" i="7"/>
  <c r="P349" i="7"/>
  <c r="O349" i="7"/>
  <c r="N349" i="7"/>
  <c r="K349" i="7"/>
  <c r="I349" i="7"/>
  <c r="J349" i="7" s="1"/>
  <c r="E349" i="7"/>
  <c r="P348" i="7"/>
  <c r="O348" i="7"/>
  <c r="N348" i="7"/>
  <c r="K348" i="7"/>
  <c r="J348" i="7"/>
  <c r="I348" i="7"/>
  <c r="E348" i="7"/>
  <c r="P347" i="7"/>
  <c r="O347" i="7"/>
  <c r="N347" i="7"/>
  <c r="K347" i="7"/>
  <c r="I347" i="7"/>
  <c r="J347" i="7" s="1"/>
  <c r="E347" i="7"/>
  <c r="P346" i="7"/>
  <c r="O346" i="7"/>
  <c r="N346" i="7"/>
  <c r="K346" i="7"/>
  <c r="I346" i="7"/>
  <c r="J346" i="7" s="1"/>
  <c r="E346" i="7"/>
  <c r="P345" i="7"/>
  <c r="O345" i="7"/>
  <c r="N345" i="7"/>
  <c r="K345" i="7"/>
  <c r="I345" i="7"/>
  <c r="J345" i="7" s="1"/>
  <c r="E345" i="7"/>
  <c r="P344" i="7"/>
  <c r="N344" i="7"/>
  <c r="O344" i="7" s="1"/>
  <c r="K344" i="7"/>
  <c r="I344" i="7"/>
  <c r="J344" i="7" s="1"/>
  <c r="E344" i="7"/>
  <c r="P343" i="7"/>
  <c r="O343" i="7"/>
  <c r="N343" i="7"/>
  <c r="K343" i="7"/>
  <c r="I343" i="7"/>
  <c r="J343" i="7" s="1"/>
  <c r="E343" i="7"/>
  <c r="P342" i="7"/>
  <c r="O342" i="7"/>
  <c r="N342" i="7"/>
  <c r="K342" i="7"/>
  <c r="J342" i="7"/>
  <c r="I342" i="7"/>
  <c r="E342" i="7"/>
  <c r="P341" i="7"/>
  <c r="O341" i="7"/>
  <c r="N341" i="7"/>
  <c r="K341" i="7"/>
  <c r="I341" i="7"/>
  <c r="J341" i="7" s="1"/>
  <c r="E341" i="7"/>
  <c r="P340" i="7"/>
  <c r="O340" i="7"/>
  <c r="N340" i="7"/>
  <c r="K340" i="7"/>
  <c r="J340" i="7"/>
  <c r="I340" i="7"/>
  <c r="E340" i="7"/>
  <c r="P339" i="7"/>
  <c r="O339" i="7"/>
  <c r="N339" i="7"/>
  <c r="K339" i="7"/>
  <c r="J339" i="7"/>
  <c r="I339" i="7"/>
  <c r="E339" i="7"/>
  <c r="P338" i="7"/>
  <c r="O338" i="7"/>
  <c r="N338" i="7"/>
  <c r="K338" i="7"/>
  <c r="J338" i="7"/>
  <c r="L57" i="8" s="1"/>
  <c r="O57" i="8" s="1"/>
  <c r="I338" i="7"/>
  <c r="E338" i="7"/>
  <c r="P337" i="7"/>
  <c r="N337" i="7"/>
  <c r="O337" i="7" s="1"/>
  <c r="K337" i="7"/>
  <c r="J337" i="7"/>
  <c r="I337" i="7"/>
  <c r="E337" i="7"/>
  <c r="P336" i="7"/>
  <c r="N336" i="7"/>
  <c r="O336" i="7" s="1"/>
  <c r="K336" i="7"/>
  <c r="I336" i="7"/>
  <c r="J336" i="7" s="1"/>
  <c r="E336" i="7"/>
  <c r="P335" i="7"/>
  <c r="O335" i="7"/>
  <c r="N335" i="7"/>
  <c r="K335" i="7"/>
  <c r="J335" i="7"/>
  <c r="I335" i="7"/>
  <c r="E335" i="7"/>
  <c r="P334" i="7"/>
  <c r="O334" i="7"/>
  <c r="N334" i="7"/>
  <c r="K334" i="7"/>
  <c r="I334" i="7"/>
  <c r="J334" i="7" s="1"/>
  <c r="E334" i="7"/>
  <c r="P333" i="7"/>
  <c r="O333" i="7"/>
  <c r="N333" i="7"/>
  <c r="K333" i="7"/>
  <c r="I333" i="7"/>
  <c r="J333" i="7" s="1"/>
  <c r="E333" i="7"/>
  <c r="P332" i="7"/>
  <c r="O332" i="7"/>
  <c r="N332" i="7"/>
  <c r="K332" i="7"/>
  <c r="J332" i="7"/>
  <c r="I332" i="7"/>
  <c r="E332" i="7"/>
  <c r="P331" i="7"/>
  <c r="O331" i="7"/>
  <c r="N331" i="7"/>
  <c r="K331" i="7"/>
  <c r="J331" i="7"/>
  <c r="I331" i="7"/>
  <c r="E331" i="7"/>
  <c r="P330" i="7"/>
  <c r="O330" i="7"/>
  <c r="N330" i="7"/>
  <c r="K330" i="7"/>
  <c r="I330" i="7"/>
  <c r="J330" i="7" s="1"/>
  <c r="E330" i="7"/>
  <c r="P329" i="7"/>
  <c r="O329" i="7"/>
  <c r="N329" i="7"/>
  <c r="K329" i="7"/>
  <c r="J329" i="7"/>
  <c r="I329" i="7"/>
  <c r="E329" i="7"/>
  <c r="P328" i="7"/>
  <c r="O328" i="7"/>
  <c r="N328" i="7"/>
  <c r="K328" i="7"/>
  <c r="I328" i="7"/>
  <c r="J328" i="7" s="1"/>
  <c r="L56" i="8" s="1"/>
  <c r="O56" i="8" s="1"/>
  <c r="E328" i="7"/>
  <c r="P327" i="7"/>
  <c r="N327" i="7"/>
  <c r="O327" i="7" s="1"/>
  <c r="K327" i="7"/>
  <c r="J327" i="7"/>
  <c r="I327" i="7"/>
  <c r="E327" i="7"/>
  <c r="P326" i="7"/>
  <c r="O326" i="7"/>
  <c r="N326" i="7"/>
  <c r="K326" i="7"/>
  <c r="J326" i="7"/>
  <c r="I326" i="7"/>
  <c r="E326" i="7"/>
  <c r="P325" i="7"/>
  <c r="O325" i="7"/>
  <c r="N325" i="7"/>
  <c r="K325" i="7"/>
  <c r="I325" i="7"/>
  <c r="J325" i="7" s="1"/>
  <c r="E325" i="7"/>
  <c r="P324" i="7"/>
  <c r="O324" i="7"/>
  <c r="N324" i="7"/>
  <c r="K324" i="7"/>
  <c r="I324" i="7"/>
  <c r="J324" i="7" s="1"/>
  <c r="E324" i="7"/>
  <c r="P323" i="7"/>
  <c r="O323" i="7"/>
  <c r="N323" i="7"/>
  <c r="K323" i="7"/>
  <c r="J323" i="7"/>
  <c r="I323" i="7"/>
  <c r="E323" i="7"/>
  <c r="P322" i="7"/>
  <c r="O322" i="7"/>
  <c r="N322" i="7"/>
  <c r="K322" i="7"/>
  <c r="I322" i="7"/>
  <c r="J322" i="7" s="1"/>
  <c r="E322" i="7"/>
  <c r="P321" i="7"/>
  <c r="O321" i="7"/>
  <c r="N321" i="7"/>
  <c r="K321" i="7"/>
  <c r="J321" i="7"/>
  <c r="I321" i="7"/>
  <c r="E321" i="7"/>
  <c r="P320" i="7"/>
  <c r="O320" i="7"/>
  <c r="N320" i="7"/>
  <c r="K320" i="7"/>
  <c r="J320" i="7"/>
  <c r="I320" i="7"/>
  <c r="E320" i="7"/>
  <c r="P319" i="7"/>
  <c r="O319" i="7"/>
  <c r="N319" i="7"/>
  <c r="K319" i="7"/>
  <c r="I319" i="7"/>
  <c r="J319" i="7" s="1"/>
  <c r="E319" i="7"/>
  <c r="P318" i="7"/>
  <c r="N318" i="7"/>
  <c r="O318" i="7" s="1"/>
  <c r="K318" i="7"/>
  <c r="I318" i="7"/>
  <c r="J318" i="7" s="1"/>
  <c r="E318" i="7"/>
  <c r="P317" i="7"/>
  <c r="N317" i="7"/>
  <c r="O317" i="7" s="1"/>
  <c r="K317" i="7"/>
  <c r="I317" i="7"/>
  <c r="J317" i="7" s="1"/>
  <c r="E317" i="7"/>
  <c r="P316" i="7"/>
  <c r="O316" i="7"/>
  <c r="N316" i="7"/>
  <c r="K316" i="7"/>
  <c r="I316" i="7"/>
  <c r="J316" i="7" s="1"/>
  <c r="E316" i="7"/>
  <c r="P315" i="7"/>
  <c r="O315" i="7"/>
  <c r="N315" i="7"/>
  <c r="K315" i="7"/>
  <c r="I315" i="7"/>
  <c r="J315" i="7" s="1"/>
  <c r="E315" i="7"/>
  <c r="P314" i="7"/>
  <c r="O314" i="7"/>
  <c r="N314" i="7"/>
  <c r="K314" i="7"/>
  <c r="I314" i="7"/>
  <c r="J314" i="7" s="1"/>
  <c r="E314" i="7"/>
  <c r="P313" i="7"/>
  <c r="O313" i="7"/>
  <c r="N313" i="7"/>
  <c r="K313" i="7"/>
  <c r="I313" i="7"/>
  <c r="J313" i="7" s="1"/>
  <c r="E313" i="7"/>
  <c r="P312" i="7"/>
  <c r="O312" i="7"/>
  <c r="N312" i="7"/>
  <c r="K312" i="7"/>
  <c r="I312" i="7"/>
  <c r="J312" i="7" s="1"/>
  <c r="K54" i="8" s="1"/>
  <c r="N54" i="8" s="1"/>
  <c r="E312" i="7"/>
  <c r="P311" i="7"/>
  <c r="O311" i="7"/>
  <c r="N311" i="7"/>
  <c r="K311" i="7"/>
  <c r="J311" i="7"/>
  <c r="J54" i="8" s="1"/>
  <c r="M54" i="8" s="1"/>
  <c r="I311" i="7"/>
  <c r="E311" i="7"/>
  <c r="P310" i="7"/>
  <c r="O310" i="7"/>
  <c r="N310" i="7"/>
  <c r="K310" i="7"/>
  <c r="J310" i="7"/>
  <c r="K53" i="8" s="1"/>
  <c r="N53" i="8" s="1"/>
  <c r="I310" i="7"/>
  <c r="E310" i="7"/>
  <c r="P309" i="7"/>
  <c r="O309" i="7"/>
  <c r="N309" i="7"/>
  <c r="K309" i="7"/>
  <c r="I309" i="7"/>
  <c r="J309" i="7" s="1"/>
  <c r="K52" i="8" s="1"/>
  <c r="N52" i="8" s="1"/>
  <c r="E309" i="7"/>
  <c r="P308" i="7"/>
  <c r="O308" i="7"/>
  <c r="N308" i="7"/>
  <c r="K308" i="7"/>
  <c r="I308" i="7"/>
  <c r="J308" i="7" s="1"/>
  <c r="E308" i="7"/>
  <c r="P307" i="7"/>
  <c r="O307" i="7"/>
  <c r="N307" i="7"/>
  <c r="K307" i="7"/>
  <c r="J307" i="7"/>
  <c r="I307" i="7"/>
  <c r="E307" i="7"/>
  <c r="P306" i="7"/>
  <c r="O306" i="7"/>
  <c r="N306" i="7"/>
  <c r="K306" i="7"/>
  <c r="I306" i="7"/>
  <c r="J306" i="7" s="1"/>
  <c r="E306" i="7"/>
  <c r="P305" i="7"/>
  <c r="O305" i="7"/>
  <c r="N305" i="7"/>
  <c r="K305" i="7"/>
  <c r="I305" i="7"/>
  <c r="J305" i="7" s="1"/>
  <c r="E305" i="7"/>
  <c r="P304" i="7"/>
  <c r="O304" i="7"/>
  <c r="N304" i="7"/>
  <c r="K304" i="7"/>
  <c r="I304" i="7"/>
  <c r="J304" i="7" s="1"/>
  <c r="E304" i="7"/>
  <c r="P303" i="7"/>
  <c r="O303" i="7"/>
  <c r="N303" i="7"/>
  <c r="K303" i="7"/>
  <c r="I303" i="7"/>
  <c r="J303" i="7" s="1"/>
  <c r="L51" i="8" s="1"/>
  <c r="O51" i="8" s="1"/>
  <c r="H51" i="6" s="1"/>
  <c r="L51" i="6" s="1"/>
  <c r="E303" i="7"/>
  <c r="P302" i="7"/>
  <c r="N302" i="7"/>
  <c r="O302" i="7" s="1"/>
  <c r="K302" i="7"/>
  <c r="I302" i="7"/>
  <c r="J302" i="7" s="1"/>
  <c r="E302" i="7"/>
  <c r="P301" i="7"/>
  <c r="N301" i="7"/>
  <c r="O301" i="7" s="1"/>
  <c r="K301" i="7"/>
  <c r="I301" i="7"/>
  <c r="J301" i="7" s="1"/>
  <c r="E301" i="7"/>
  <c r="P300" i="7"/>
  <c r="O300" i="7"/>
  <c r="N300" i="7"/>
  <c r="K300" i="7"/>
  <c r="J300" i="7"/>
  <c r="I300" i="7"/>
  <c r="E300" i="7"/>
  <c r="P299" i="7"/>
  <c r="O299" i="7"/>
  <c r="N299" i="7"/>
  <c r="K299" i="7"/>
  <c r="I299" i="7"/>
  <c r="J299" i="7" s="1"/>
  <c r="E299" i="7"/>
  <c r="P298" i="7"/>
  <c r="O298" i="7"/>
  <c r="N298" i="7"/>
  <c r="K298" i="7"/>
  <c r="I298" i="7"/>
  <c r="J298" i="7" s="1"/>
  <c r="E298" i="7"/>
  <c r="P297" i="7"/>
  <c r="O297" i="7"/>
  <c r="N297" i="7"/>
  <c r="K297" i="7"/>
  <c r="I297" i="7"/>
  <c r="J297" i="7" s="1"/>
  <c r="E297" i="7"/>
  <c r="P296" i="7"/>
  <c r="O296" i="7"/>
  <c r="N296" i="7"/>
  <c r="K296" i="7"/>
  <c r="I296" i="7"/>
  <c r="J296" i="7" s="1"/>
  <c r="K50" i="8" s="1"/>
  <c r="N50" i="8" s="1"/>
  <c r="E296" i="7"/>
  <c r="P295" i="7"/>
  <c r="O295" i="7"/>
  <c r="N295" i="7"/>
  <c r="K295" i="7"/>
  <c r="I295" i="7"/>
  <c r="J295" i="7" s="1"/>
  <c r="E295" i="7"/>
  <c r="P294" i="7"/>
  <c r="O294" i="7"/>
  <c r="N294" i="7"/>
  <c r="K294" i="7"/>
  <c r="J294" i="7"/>
  <c r="I294" i="7"/>
  <c r="E294" i="7"/>
  <c r="P293" i="7"/>
  <c r="O293" i="7"/>
  <c r="N293" i="7"/>
  <c r="K293" i="7"/>
  <c r="I293" i="7"/>
  <c r="J293" i="7" s="1"/>
  <c r="E293" i="7"/>
  <c r="P292" i="7"/>
  <c r="O292" i="7"/>
  <c r="N292" i="7"/>
  <c r="K292" i="7"/>
  <c r="I292" i="7"/>
  <c r="J292" i="7" s="1"/>
  <c r="E292" i="7"/>
  <c r="P291" i="7"/>
  <c r="N291" i="7"/>
  <c r="O291" i="7" s="1"/>
  <c r="K291" i="7"/>
  <c r="I291" i="7"/>
  <c r="J291" i="7" s="1"/>
  <c r="E291" i="7"/>
  <c r="P290" i="7"/>
  <c r="O290" i="7"/>
  <c r="N290" i="7"/>
  <c r="K290" i="7"/>
  <c r="I290" i="7"/>
  <c r="J290" i="7" s="1"/>
  <c r="E290" i="7"/>
  <c r="P289" i="7"/>
  <c r="O289" i="7"/>
  <c r="N289" i="7"/>
  <c r="K289" i="7"/>
  <c r="I289" i="7"/>
  <c r="J289" i="7" s="1"/>
  <c r="E289" i="7"/>
  <c r="P288" i="7"/>
  <c r="O288" i="7"/>
  <c r="N288" i="7"/>
  <c r="K288" i="7"/>
  <c r="I288" i="7"/>
  <c r="J288" i="7" s="1"/>
  <c r="E288" i="7"/>
  <c r="P287" i="7"/>
  <c r="O287" i="7"/>
  <c r="N287" i="7"/>
  <c r="K287" i="7"/>
  <c r="J287" i="7"/>
  <c r="I287" i="7"/>
  <c r="E287" i="7"/>
  <c r="P286" i="7"/>
  <c r="O286" i="7"/>
  <c r="N286" i="7"/>
  <c r="K286" i="7"/>
  <c r="I286" i="7"/>
  <c r="J286" i="7" s="1"/>
  <c r="E286" i="7"/>
  <c r="P285" i="7"/>
  <c r="O285" i="7"/>
  <c r="N285" i="7"/>
  <c r="K285" i="7"/>
  <c r="I285" i="7"/>
  <c r="J285" i="7" s="1"/>
  <c r="E285" i="7"/>
  <c r="P284" i="7"/>
  <c r="O284" i="7"/>
  <c r="N284" i="7"/>
  <c r="K284" i="7"/>
  <c r="J284" i="7"/>
  <c r="I284" i="7"/>
  <c r="E284" i="7"/>
  <c r="P283" i="7"/>
  <c r="O283" i="7"/>
  <c r="N283" i="7"/>
  <c r="K283" i="7"/>
  <c r="J283" i="7"/>
  <c r="I283" i="7"/>
  <c r="E283" i="7"/>
  <c r="P282" i="7"/>
  <c r="O282" i="7"/>
  <c r="N282" i="7"/>
  <c r="K282" i="7"/>
  <c r="I282" i="7"/>
  <c r="J282" i="7" s="1"/>
  <c r="E282" i="7"/>
  <c r="P281" i="7"/>
  <c r="O281" i="7"/>
  <c r="N281" i="7"/>
  <c r="K281" i="7"/>
  <c r="J281" i="7"/>
  <c r="I281" i="7"/>
  <c r="E281" i="7"/>
  <c r="P280" i="7"/>
  <c r="O280" i="7"/>
  <c r="N280" i="7"/>
  <c r="K280" i="7"/>
  <c r="I280" i="7"/>
  <c r="J280" i="7" s="1"/>
  <c r="E280" i="7"/>
  <c r="P279" i="7"/>
  <c r="O279" i="7"/>
  <c r="N279" i="7"/>
  <c r="K279" i="7"/>
  <c r="J279" i="7"/>
  <c r="I279" i="7"/>
  <c r="E279" i="7"/>
  <c r="P278" i="7"/>
  <c r="O278" i="7"/>
  <c r="N278" i="7"/>
  <c r="K278" i="7"/>
  <c r="I278" i="7"/>
  <c r="J278" i="7" s="1"/>
  <c r="E278" i="7"/>
  <c r="P277" i="7"/>
  <c r="O277" i="7"/>
  <c r="N277" i="7"/>
  <c r="K277" i="7"/>
  <c r="I277" i="7"/>
  <c r="J277" i="7" s="1"/>
  <c r="E277" i="7"/>
  <c r="P276" i="7"/>
  <c r="O276" i="7"/>
  <c r="N276" i="7"/>
  <c r="K276" i="7"/>
  <c r="I276" i="7"/>
  <c r="J276" i="7" s="1"/>
  <c r="L47" i="8" s="1"/>
  <c r="O47" i="8" s="1"/>
  <c r="E276" i="7"/>
  <c r="P275" i="7"/>
  <c r="N275" i="7"/>
  <c r="O275" i="7" s="1"/>
  <c r="K275" i="7"/>
  <c r="I275" i="7"/>
  <c r="J275" i="7" s="1"/>
  <c r="E275" i="7"/>
  <c r="P274" i="7"/>
  <c r="O274" i="7"/>
  <c r="N274" i="7"/>
  <c r="K274" i="7"/>
  <c r="J274" i="7"/>
  <c r="K47" i="8" s="1"/>
  <c r="N47" i="8" s="1"/>
  <c r="G47" i="6" s="1"/>
  <c r="I274" i="7"/>
  <c r="E274" i="7"/>
  <c r="P273" i="7"/>
  <c r="O273" i="7"/>
  <c r="N273" i="7"/>
  <c r="K273" i="7"/>
  <c r="I273" i="7"/>
  <c r="J273" i="7" s="1"/>
  <c r="E273" i="7"/>
  <c r="P272" i="7"/>
  <c r="O272" i="7"/>
  <c r="N272" i="7"/>
  <c r="K272" i="7"/>
  <c r="I272" i="7"/>
  <c r="J272" i="7" s="1"/>
  <c r="E272" i="7"/>
  <c r="P271" i="7"/>
  <c r="O271" i="7"/>
  <c r="N271" i="7"/>
  <c r="K271" i="7"/>
  <c r="I271" i="7"/>
  <c r="J271" i="7" s="1"/>
  <c r="K46" i="8" s="1"/>
  <c r="N46" i="8" s="1"/>
  <c r="E271" i="7"/>
  <c r="P270" i="7"/>
  <c r="O270" i="7"/>
  <c r="N270" i="7"/>
  <c r="K270" i="7"/>
  <c r="I270" i="7"/>
  <c r="J270" i="7" s="1"/>
  <c r="L45" i="8" s="1"/>
  <c r="O45" i="8" s="1"/>
  <c r="H45" i="6" s="1"/>
  <c r="E270" i="7"/>
  <c r="P269" i="7"/>
  <c r="N269" i="7"/>
  <c r="O269" i="7" s="1"/>
  <c r="K269" i="7"/>
  <c r="I269" i="7"/>
  <c r="J269" i="7" s="1"/>
  <c r="E269" i="7"/>
  <c r="P268" i="7"/>
  <c r="N268" i="7"/>
  <c r="O268" i="7" s="1"/>
  <c r="K268" i="7"/>
  <c r="I268" i="7"/>
  <c r="J268" i="7" s="1"/>
  <c r="E268" i="7"/>
  <c r="P267" i="7"/>
  <c r="O267" i="7"/>
  <c r="N267" i="7"/>
  <c r="K267" i="7"/>
  <c r="J267" i="7"/>
  <c r="I267" i="7"/>
  <c r="E267" i="7"/>
  <c r="P266" i="7"/>
  <c r="O266" i="7"/>
  <c r="N266" i="7"/>
  <c r="K266" i="7"/>
  <c r="J266" i="7"/>
  <c r="I266" i="7"/>
  <c r="E266" i="7"/>
  <c r="P265" i="7"/>
  <c r="O265" i="7"/>
  <c r="N265" i="7"/>
  <c r="K265" i="7"/>
  <c r="I265" i="7"/>
  <c r="J265" i="7" s="1"/>
  <c r="E265" i="7"/>
  <c r="P264" i="7"/>
  <c r="O264" i="7"/>
  <c r="N264" i="7"/>
  <c r="K264" i="7"/>
  <c r="J264" i="7"/>
  <c r="I264" i="7"/>
  <c r="E264" i="7"/>
  <c r="P263" i="7"/>
  <c r="O263" i="7"/>
  <c r="N263" i="7"/>
  <c r="K263" i="7"/>
  <c r="I263" i="7"/>
  <c r="J263" i="7" s="1"/>
  <c r="E263" i="7"/>
  <c r="P262" i="7"/>
  <c r="O262" i="7"/>
  <c r="N262" i="7"/>
  <c r="K262" i="7"/>
  <c r="I262" i="7"/>
  <c r="J262" i="7" s="1"/>
  <c r="E262" i="7"/>
  <c r="P261" i="7"/>
  <c r="O261" i="7"/>
  <c r="N261" i="7"/>
  <c r="K261" i="7"/>
  <c r="I261" i="7"/>
  <c r="J261" i="7" s="1"/>
  <c r="E261" i="7"/>
  <c r="P260" i="7"/>
  <c r="O260" i="7"/>
  <c r="N260" i="7"/>
  <c r="K260" i="7"/>
  <c r="I260" i="7"/>
  <c r="J260" i="7" s="1"/>
  <c r="E260" i="7"/>
  <c r="P259" i="7"/>
  <c r="O259" i="7"/>
  <c r="N259" i="7"/>
  <c r="K259" i="7"/>
  <c r="I259" i="7"/>
  <c r="J259" i="7" s="1"/>
  <c r="E259" i="7"/>
  <c r="P258" i="7"/>
  <c r="O258" i="7"/>
  <c r="N258" i="7"/>
  <c r="K258" i="7"/>
  <c r="I258" i="7"/>
  <c r="J258" i="7" s="1"/>
  <c r="E258" i="7"/>
  <c r="P257" i="7"/>
  <c r="O257" i="7"/>
  <c r="N257" i="7"/>
  <c r="K257" i="7"/>
  <c r="J257" i="7"/>
  <c r="L44" i="8" s="1"/>
  <c r="O44" i="8" s="1"/>
  <c r="I257" i="7"/>
  <c r="E257" i="7"/>
  <c r="P256" i="7"/>
  <c r="N256" i="7"/>
  <c r="O256" i="7" s="1"/>
  <c r="K256" i="7"/>
  <c r="I256" i="7"/>
  <c r="J256" i="7" s="1"/>
  <c r="E256" i="7"/>
  <c r="P255" i="7"/>
  <c r="O255" i="7"/>
  <c r="N255" i="7"/>
  <c r="K255" i="7"/>
  <c r="I255" i="7"/>
  <c r="J255" i="7" s="1"/>
  <c r="K44" i="8" s="1"/>
  <c r="N44" i="8" s="1"/>
  <c r="G44" i="6" s="1"/>
  <c r="K44" i="6" s="1"/>
  <c r="E255" i="7"/>
  <c r="P254" i="7"/>
  <c r="O254" i="7"/>
  <c r="N254" i="7"/>
  <c r="K254" i="7"/>
  <c r="I254" i="7"/>
  <c r="J254" i="7" s="1"/>
  <c r="E254" i="7"/>
  <c r="P253" i="7"/>
  <c r="O253" i="7"/>
  <c r="N253" i="7"/>
  <c r="K253" i="7"/>
  <c r="I253" i="7"/>
  <c r="J253" i="7" s="1"/>
  <c r="E253" i="7"/>
  <c r="P252" i="7"/>
  <c r="O252" i="7"/>
  <c r="N252" i="7"/>
  <c r="K252" i="7"/>
  <c r="J252" i="7"/>
  <c r="I252" i="7"/>
  <c r="E252" i="7"/>
  <c r="P251" i="7"/>
  <c r="O251" i="7"/>
  <c r="N251" i="7"/>
  <c r="K251" i="7"/>
  <c r="J251" i="7"/>
  <c r="I251" i="7"/>
  <c r="E251" i="7"/>
  <c r="P250" i="7"/>
  <c r="O250" i="7"/>
  <c r="N250" i="7"/>
  <c r="K250" i="7"/>
  <c r="I250" i="7"/>
  <c r="J250" i="7" s="1"/>
  <c r="E250" i="7"/>
  <c r="P249" i="7"/>
  <c r="O249" i="7"/>
  <c r="N249" i="7"/>
  <c r="K249" i="7"/>
  <c r="J249" i="7"/>
  <c r="J43" i="8" s="1"/>
  <c r="M43" i="8" s="1"/>
  <c r="P43" i="8" s="1"/>
  <c r="W43" i="8" s="1"/>
  <c r="I249" i="7"/>
  <c r="E249" i="7"/>
  <c r="P248" i="7"/>
  <c r="O248" i="7"/>
  <c r="N248" i="7"/>
  <c r="K248" i="7"/>
  <c r="I248" i="7"/>
  <c r="J248" i="7" s="1"/>
  <c r="E248" i="7"/>
  <c r="P247" i="7"/>
  <c r="O247" i="7"/>
  <c r="N247" i="7"/>
  <c r="K247" i="7"/>
  <c r="I247" i="7"/>
  <c r="J247" i="7" s="1"/>
  <c r="E247" i="7"/>
  <c r="P246" i="7"/>
  <c r="O246" i="7"/>
  <c r="N246" i="7"/>
  <c r="K246" i="7"/>
  <c r="I246" i="7"/>
  <c r="J246" i="7" s="1"/>
  <c r="E246" i="7"/>
  <c r="P245" i="7"/>
  <c r="O245" i="7"/>
  <c r="N245" i="7"/>
  <c r="K245" i="7"/>
  <c r="I245" i="7"/>
  <c r="J245" i="7" s="1"/>
  <c r="E245" i="7"/>
  <c r="P244" i="7"/>
  <c r="N244" i="7"/>
  <c r="O244" i="7" s="1"/>
  <c r="K244" i="7"/>
  <c r="I244" i="7"/>
  <c r="J244" i="7" s="1"/>
  <c r="E244" i="7"/>
  <c r="P243" i="7"/>
  <c r="O243" i="7"/>
  <c r="N243" i="7"/>
  <c r="K243" i="7"/>
  <c r="I243" i="7"/>
  <c r="J243" i="7" s="1"/>
  <c r="E243" i="7"/>
  <c r="P242" i="7"/>
  <c r="O242" i="7"/>
  <c r="N242" i="7"/>
  <c r="K242" i="7"/>
  <c r="I242" i="7"/>
  <c r="J242" i="7" s="1"/>
  <c r="E242" i="7"/>
  <c r="P241" i="7"/>
  <c r="O241" i="7"/>
  <c r="N241" i="7"/>
  <c r="K241" i="7"/>
  <c r="I241" i="7"/>
  <c r="J241" i="7" s="1"/>
  <c r="E241" i="7"/>
  <c r="P240" i="7"/>
  <c r="O240" i="7"/>
  <c r="N240" i="7"/>
  <c r="K240" i="7"/>
  <c r="I240" i="7"/>
  <c r="J240" i="7" s="1"/>
  <c r="E240" i="7"/>
  <c r="P239" i="7"/>
  <c r="O239" i="7"/>
  <c r="N239" i="7"/>
  <c r="K239" i="7"/>
  <c r="I239" i="7"/>
  <c r="J239" i="7" s="1"/>
  <c r="E239" i="7"/>
  <c r="P238" i="7"/>
  <c r="O238" i="7"/>
  <c r="N238" i="7"/>
  <c r="K238" i="7"/>
  <c r="I238" i="7"/>
  <c r="J238" i="7" s="1"/>
  <c r="E238" i="7"/>
  <c r="P237" i="7"/>
  <c r="N237" i="7"/>
  <c r="O237" i="7" s="1"/>
  <c r="K237" i="7"/>
  <c r="I237" i="7"/>
  <c r="J237" i="7" s="1"/>
  <c r="E237" i="7"/>
  <c r="P236" i="7"/>
  <c r="N236" i="7"/>
  <c r="O236" i="7" s="1"/>
  <c r="K236" i="7"/>
  <c r="I236" i="7"/>
  <c r="J236" i="7" s="1"/>
  <c r="E236" i="7"/>
  <c r="P235" i="7"/>
  <c r="O235" i="7"/>
  <c r="N235" i="7"/>
  <c r="K235" i="7"/>
  <c r="I235" i="7"/>
  <c r="J235" i="7" s="1"/>
  <c r="E235" i="7"/>
  <c r="P234" i="7"/>
  <c r="O234" i="7"/>
  <c r="N234" i="7"/>
  <c r="K234" i="7"/>
  <c r="I234" i="7"/>
  <c r="J234" i="7" s="1"/>
  <c r="E234" i="7"/>
  <c r="P233" i="7"/>
  <c r="O233" i="7"/>
  <c r="N233" i="7"/>
  <c r="K233" i="7"/>
  <c r="I233" i="7"/>
  <c r="J233" i="7" s="1"/>
  <c r="E233" i="7"/>
  <c r="P232" i="7"/>
  <c r="O232" i="7"/>
  <c r="N232" i="7"/>
  <c r="K232" i="7"/>
  <c r="J232" i="7"/>
  <c r="L40" i="8" s="1"/>
  <c r="O40" i="8" s="1"/>
  <c r="I232" i="7"/>
  <c r="E232" i="7"/>
  <c r="P231" i="7"/>
  <c r="O231" i="7"/>
  <c r="N231" i="7"/>
  <c r="K231" i="7"/>
  <c r="I231" i="7"/>
  <c r="J231" i="7" s="1"/>
  <c r="E231" i="7"/>
  <c r="P230" i="7"/>
  <c r="O230" i="7"/>
  <c r="N230" i="7"/>
  <c r="K230" i="7"/>
  <c r="J230" i="7"/>
  <c r="I230" i="7"/>
  <c r="E230" i="7"/>
  <c r="P229" i="7"/>
  <c r="O229" i="7"/>
  <c r="N229" i="7"/>
  <c r="K229" i="7"/>
  <c r="J229" i="7"/>
  <c r="I229" i="7"/>
  <c r="E229" i="7"/>
  <c r="P228" i="7"/>
  <c r="O228" i="7"/>
  <c r="N228" i="7"/>
  <c r="K228" i="7"/>
  <c r="I228" i="7"/>
  <c r="J228" i="7" s="1"/>
  <c r="E228" i="7"/>
  <c r="P227" i="7"/>
  <c r="O227" i="7"/>
  <c r="N227" i="7"/>
  <c r="K227" i="7"/>
  <c r="J227" i="7"/>
  <c r="I227" i="7"/>
  <c r="E227" i="7"/>
  <c r="P226" i="7"/>
  <c r="O226" i="7"/>
  <c r="N226" i="7"/>
  <c r="K226" i="7"/>
  <c r="I226" i="7"/>
  <c r="J226" i="7" s="1"/>
  <c r="E226" i="7"/>
  <c r="P225" i="7"/>
  <c r="O225" i="7"/>
  <c r="N225" i="7"/>
  <c r="K225" i="7"/>
  <c r="I225" i="7"/>
  <c r="J225" i="7" s="1"/>
  <c r="E225" i="7"/>
  <c r="P224" i="7"/>
  <c r="O224" i="7"/>
  <c r="N224" i="7"/>
  <c r="K224" i="7"/>
  <c r="J224" i="7"/>
  <c r="I224" i="7"/>
  <c r="E224" i="7"/>
  <c r="P223" i="7"/>
  <c r="O223" i="7"/>
  <c r="N223" i="7"/>
  <c r="K223" i="7"/>
  <c r="I223" i="7"/>
  <c r="J223" i="7" s="1"/>
  <c r="E223" i="7"/>
  <c r="P222" i="7"/>
  <c r="O222" i="7"/>
  <c r="N222" i="7"/>
  <c r="K222" i="7"/>
  <c r="I222" i="7"/>
  <c r="J222" i="7" s="1"/>
  <c r="E222" i="7"/>
  <c r="P221" i="7"/>
  <c r="O221" i="7"/>
  <c r="N221" i="7"/>
  <c r="K221" i="7"/>
  <c r="I221" i="7"/>
  <c r="J221" i="7" s="1"/>
  <c r="E221" i="7"/>
  <c r="P220" i="7"/>
  <c r="O220" i="7"/>
  <c r="N220" i="7"/>
  <c r="K220" i="7"/>
  <c r="I220" i="7"/>
  <c r="J220" i="7" s="1"/>
  <c r="E220" i="7"/>
  <c r="P219" i="7"/>
  <c r="O219" i="7"/>
  <c r="N219" i="7"/>
  <c r="K219" i="7"/>
  <c r="I219" i="7"/>
  <c r="J219" i="7" s="1"/>
  <c r="E219" i="7"/>
  <c r="P218" i="7"/>
  <c r="O218" i="7"/>
  <c r="N218" i="7"/>
  <c r="K218" i="7"/>
  <c r="I218" i="7"/>
  <c r="J218" i="7" s="1"/>
  <c r="L39" i="8" s="1"/>
  <c r="O39" i="8" s="1"/>
  <c r="H39" i="6" s="1"/>
  <c r="L39" i="6" s="1"/>
  <c r="E218" i="7"/>
  <c r="P217" i="7"/>
  <c r="O217" i="7"/>
  <c r="N217" i="7"/>
  <c r="K217" i="7"/>
  <c r="I217" i="7"/>
  <c r="J217" i="7" s="1"/>
  <c r="E217" i="7"/>
  <c r="P216" i="7"/>
  <c r="N216" i="7"/>
  <c r="O216" i="7" s="1"/>
  <c r="K216" i="7"/>
  <c r="I216" i="7"/>
  <c r="J216" i="7" s="1"/>
  <c r="E216" i="7"/>
  <c r="P215" i="7"/>
  <c r="O215" i="7"/>
  <c r="N215" i="7"/>
  <c r="K215" i="7"/>
  <c r="J215" i="7"/>
  <c r="I215" i="7"/>
  <c r="E215" i="7"/>
  <c r="P214" i="7"/>
  <c r="O214" i="7"/>
  <c r="N214" i="7"/>
  <c r="K214" i="7"/>
  <c r="J214" i="7"/>
  <c r="I214" i="7"/>
  <c r="E214" i="7"/>
  <c r="P213" i="7"/>
  <c r="O213" i="7"/>
  <c r="N213" i="7"/>
  <c r="K213" i="7"/>
  <c r="I213" i="7"/>
  <c r="J213" i="7" s="1"/>
  <c r="E213" i="7"/>
  <c r="P212" i="7"/>
  <c r="O212" i="7"/>
  <c r="N212" i="7"/>
  <c r="K212" i="7"/>
  <c r="I212" i="7"/>
  <c r="J212" i="7" s="1"/>
  <c r="E212" i="7"/>
  <c r="P211" i="7"/>
  <c r="O211" i="7"/>
  <c r="N211" i="7"/>
  <c r="K211" i="7"/>
  <c r="I211" i="7"/>
  <c r="J211" i="7" s="1"/>
  <c r="E211" i="7"/>
  <c r="P210" i="7"/>
  <c r="O210" i="7"/>
  <c r="N210" i="7"/>
  <c r="K210" i="7"/>
  <c r="J210" i="7"/>
  <c r="L38" i="8" s="1"/>
  <c r="O38" i="8" s="1"/>
  <c r="H38" i="6" s="1"/>
  <c r="I210" i="7"/>
  <c r="E210" i="7"/>
  <c r="P209" i="7"/>
  <c r="N209" i="7"/>
  <c r="O209" i="7" s="1"/>
  <c r="K209" i="7"/>
  <c r="I209" i="7"/>
  <c r="J209" i="7" s="1"/>
  <c r="E209" i="7"/>
  <c r="P208" i="7"/>
  <c r="N208" i="7"/>
  <c r="O208" i="7" s="1"/>
  <c r="K208" i="7"/>
  <c r="I208" i="7"/>
  <c r="J208" i="7" s="1"/>
  <c r="E208" i="7"/>
  <c r="P207" i="7"/>
  <c r="O207" i="7"/>
  <c r="N207" i="7"/>
  <c r="K207" i="7"/>
  <c r="J207" i="7"/>
  <c r="I207" i="7"/>
  <c r="E207" i="7"/>
  <c r="P206" i="7"/>
  <c r="O206" i="7"/>
  <c r="N206" i="7"/>
  <c r="K206" i="7"/>
  <c r="J206" i="7"/>
  <c r="I206" i="7"/>
  <c r="E206" i="7"/>
  <c r="P205" i="7"/>
  <c r="O205" i="7"/>
  <c r="N205" i="7"/>
  <c r="K205" i="7"/>
  <c r="I205" i="7"/>
  <c r="J205" i="7" s="1"/>
  <c r="E205" i="7"/>
  <c r="P204" i="7"/>
  <c r="O204" i="7"/>
  <c r="N204" i="7"/>
  <c r="K204" i="7"/>
  <c r="J204" i="7"/>
  <c r="I204" i="7"/>
  <c r="E204" i="7"/>
  <c r="P203" i="7"/>
  <c r="O203" i="7"/>
  <c r="N203" i="7"/>
  <c r="K203" i="7"/>
  <c r="I203" i="7"/>
  <c r="J203" i="7" s="1"/>
  <c r="E203" i="7"/>
  <c r="P202" i="7"/>
  <c r="O202" i="7"/>
  <c r="N202" i="7"/>
  <c r="K202" i="7"/>
  <c r="J202" i="7"/>
  <c r="I202" i="7"/>
  <c r="E202" i="7"/>
  <c r="P201" i="7"/>
  <c r="O201" i="7"/>
  <c r="N201" i="7"/>
  <c r="K201" i="7"/>
  <c r="I201" i="7"/>
  <c r="J201" i="7" s="1"/>
  <c r="E201" i="7"/>
  <c r="P200" i="7"/>
  <c r="N200" i="7"/>
  <c r="O200" i="7" s="1"/>
  <c r="K200" i="7"/>
  <c r="I200" i="7"/>
  <c r="J200" i="7" s="1"/>
  <c r="E200" i="7"/>
  <c r="P199" i="7"/>
  <c r="O199" i="7"/>
  <c r="N199" i="7"/>
  <c r="K199" i="7"/>
  <c r="I199" i="7"/>
  <c r="J199" i="7" s="1"/>
  <c r="E199" i="7"/>
  <c r="P198" i="7"/>
  <c r="O198" i="7"/>
  <c r="N198" i="7"/>
  <c r="K198" i="7"/>
  <c r="I198" i="7"/>
  <c r="J198" i="7" s="1"/>
  <c r="E198" i="7"/>
  <c r="P197" i="7"/>
  <c r="O197" i="7"/>
  <c r="N197" i="7"/>
  <c r="K197" i="7"/>
  <c r="I197" i="7"/>
  <c r="J197" i="7" s="1"/>
  <c r="E197" i="7"/>
  <c r="P196" i="7"/>
  <c r="O196" i="7"/>
  <c r="N196" i="7"/>
  <c r="K196" i="7"/>
  <c r="I196" i="7"/>
  <c r="J196" i="7" s="1"/>
  <c r="E196" i="7"/>
  <c r="P195" i="7"/>
  <c r="O195" i="7"/>
  <c r="N195" i="7"/>
  <c r="K195" i="7"/>
  <c r="I195" i="7"/>
  <c r="J195" i="7" s="1"/>
  <c r="E195" i="7"/>
  <c r="P194" i="7"/>
  <c r="O194" i="7"/>
  <c r="N194" i="7"/>
  <c r="K194" i="7"/>
  <c r="I194" i="7"/>
  <c r="J194" i="7" s="1"/>
  <c r="E194" i="7"/>
  <c r="P193" i="7"/>
  <c r="O193" i="7"/>
  <c r="N193" i="7"/>
  <c r="K193" i="7"/>
  <c r="I193" i="7"/>
  <c r="J193" i="7" s="1"/>
  <c r="E193" i="7"/>
  <c r="P192" i="7"/>
  <c r="O192" i="7"/>
  <c r="N192" i="7"/>
  <c r="K192" i="7"/>
  <c r="I192" i="7"/>
  <c r="J192" i="7" s="1"/>
  <c r="E192" i="7"/>
  <c r="P191" i="7"/>
  <c r="O191" i="7"/>
  <c r="N191" i="7"/>
  <c r="K191" i="7"/>
  <c r="I191" i="7"/>
  <c r="J191" i="7" s="1"/>
  <c r="E191" i="7"/>
  <c r="P190" i="7"/>
  <c r="O190" i="7"/>
  <c r="N190" i="7"/>
  <c r="K190" i="7"/>
  <c r="I190" i="7"/>
  <c r="J190" i="7" s="1"/>
  <c r="E190" i="7"/>
  <c r="P189" i="7"/>
  <c r="O189" i="7"/>
  <c r="N189" i="7"/>
  <c r="K189" i="7"/>
  <c r="I189" i="7"/>
  <c r="J189" i="7" s="1"/>
  <c r="E189" i="7"/>
  <c r="P188" i="7"/>
  <c r="O188" i="7"/>
  <c r="N188" i="7"/>
  <c r="K188" i="7"/>
  <c r="I188" i="7"/>
  <c r="J188" i="7" s="1"/>
  <c r="E188" i="7"/>
  <c r="P187" i="7"/>
  <c r="N187" i="7"/>
  <c r="O187" i="7" s="1"/>
  <c r="K187" i="7"/>
  <c r="J187" i="7"/>
  <c r="I187" i="7"/>
  <c r="E187" i="7"/>
  <c r="P186" i="7"/>
  <c r="N186" i="7"/>
  <c r="O186" i="7" s="1"/>
  <c r="K186" i="7"/>
  <c r="I186" i="7"/>
  <c r="J186" i="7" s="1"/>
  <c r="E186" i="7"/>
  <c r="P185" i="7"/>
  <c r="O185" i="7"/>
  <c r="N185" i="7"/>
  <c r="K185" i="7"/>
  <c r="I185" i="7"/>
  <c r="J185" i="7" s="1"/>
  <c r="E185" i="7"/>
  <c r="P184" i="7"/>
  <c r="O184" i="7"/>
  <c r="N184" i="7"/>
  <c r="K184" i="7"/>
  <c r="I184" i="7"/>
  <c r="J184" i="7" s="1"/>
  <c r="E184" i="7"/>
  <c r="P183" i="7"/>
  <c r="O183" i="7"/>
  <c r="N183" i="7"/>
  <c r="K183" i="7"/>
  <c r="I183" i="7"/>
  <c r="J183" i="7" s="1"/>
  <c r="E183" i="7"/>
  <c r="P182" i="7"/>
  <c r="O182" i="7"/>
  <c r="N182" i="7"/>
  <c r="K182" i="7"/>
  <c r="J182" i="7"/>
  <c r="I182" i="7"/>
  <c r="E182" i="7"/>
  <c r="P181" i="7"/>
  <c r="O181" i="7"/>
  <c r="N181" i="7"/>
  <c r="K181" i="7"/>
  <c r="I181" i="7"/>
  <c r="J181" i="7" s="1"/>
  <c r="E181" i="7"/>
  <c r="P180" i="7"/>
  <c r="O180" i="7"/>
  <c r="N180" i="7"/>
  <c r="K180" i="7"/>
  <c r="I180" i="7"/>
  <c r="J180" i="7" s="1"/>
  <c r="E180" i="7"/>
  <c r="P179" i="7"/>
  <c r="O179" i="7"/>
  <c r="N179" i="7"/>
  <c r="K179" i="7"/>
  <c r="I179" i="7"/>
  <c r="J179" i="7" s="1"/>
  <c r="E179" i="7"/>
  <c r="P178" i="7"/>
  <c r="O178" i="7"/>
  <c r="N178" i="7"/>
  <c r="K178" i="7"/>
  <c r="I178" i="7"/>
  <c r="J178" i="7" s="1"/>
  <c r="E178" i="7"/>
  <c r="P177" i="7"/>
  <c r="O177" i="7"/>
  <c r="N177" i="7"/>
  <c r="K177" i="7"/>
  <c r="I177" i="7"/>
  <c r="J177" i="7" s="1"/>
  <c r="E177" i="7"/>
  <c r="P176" i="7"/>
  <c r="O176" i="7"/>
  <c r="N176" i="7"/>
  <c r="K176" i="7"/>
  <c r="I176" i="7"/>
  <c r="J176" i="7" s="1"/>
  <c r="E176" i="7"/>
  <c r="P175" i="7"/>
  <c r="O175" i="7"/>
  <c r="N175" i="7"/>
  <c r="K175" i="7"/>
  <c r="I175" i="7"/>
  <c r="J175" i="7" s="1"/>
  <c r="E175" i="7"/>
  <c r="P174" i="7"/>
  <c r="N174" i="7"/>
  <c r="O174" i="7" s="1"/>
  <c r="K174" i="7"/>
  <c r="I174" i="7"/>
  <c r="J174" i="7" s="1"/>
  <c r="E174" i="7"/>
  <c r="P173" i="7"/>
  <c r="N173" i="7"/>
  <c r="O173" i="7" s="1"/>
  <c r="K173" i="7"/>
  <c r="I173" i="7"/>
  <c r="J173" i="7" s="1"/>
  <c r="E173" i="7"/>
  <c r="P172" i="7"/>
  <c r="O172" i="7"/>
  <c r="N172" i="7"/>
  <c r="K172" i="7"/>
  <c r="I172" i="7"/>
  <c r="J172" i="7" s="1"/>
  <c r="E172" i="7"/>
  <c r="P171" i="7"/>
  <c r="O171" i="7"/>
  <c r="N171" i="7"/>
  <c r="K171" i="7"/>
  <c r="I171" i="7"/>
  <c r="J171" i="7" s="1"/>
  <c r="E171" i="7"/>
  <c r="P170" i="7"/>
  <c r="O170" i="7"/>
  <c r="N170" i="7"/>
  <c r="K170" i="7"/>
  <c r="I170" i="7"/>
  <c r="J170" i="7" s="1"/>
  <c r="E170" i="7"/>
  <c r="P169" i="7"/>
  <c r="O169" i="7"/>
  <c r="N169" i="7"/>
  <c r="K169" i="7"/>
  <c r="I169" i="7"/>
  <c r="J169" i="7" s="1"/>
  <c r="E169" i="7"/>
  <c r="P168" i="7"/>
  <c r="O168" i="7"/>
  <c r="N168" i="7"/>
  <c r="K168" i="7"/>
  <c r="I168" i="7"/>
  <c r="J168" i="7" s="1"/>
  <c r="E168" i="7"/>
  <c r="P167" i="7"/>
  <c r="O167" i="7"/>
  <c r="N167" i="7"/>
  <c r="K167" i="7"/>
  <c r="I167" i="7"/>
  <c r="J167" i="7" s="1"/>
  <c r="E167" i="7"/>
  <c r="P166" i="7"/>
  <c r="O166" i="7"/>
  <c r="N166" i="7"/>
  <c r="K166" i="7"/>
  <c r="I166" i="7"/>
  <c r="J166" i="7" s="1"/>
  <c r="E166" i="7"/>
  <c r="P165" i="7"/>
  <c r="O165" i="7"/>
  <c r="N165" i="7"/>
  <c r="K165" i="7"/>
  <c r="I165" i="7"/>
  <c r="J165" i="7" s="1"/>
  <c r="E165" i="7"/>
  <c r="P164" i="7"/>
  <c r="O164" i="7"/>
  <c r="N164" i="7"/>
  <c r="K164" i="7"/>
  <c r="I164" i="7"/>
  <c r="J164" i="7" s="1"/>
  <c r="E164" i="7"/>
  <c r="P163" i="7"/>
  <c r="O163" i="7"/>
  <c r="N163" i="7"/>
  <c r="K163" i="7"/>
  <c r="I163" i="7"/>
  <c r="J163" i="7" s="1"/>
  <c r="E163" i="7"/>
  <c r="P162" i="7"/>
  <c r="O162" i="7"/>
  <c r="N162" i="7"/>
  <c r="K162" i="7"/>
  <c r="I162" i="7"/>
  <c r="J162" i="7" s="1"/>
  <c r="E162" i="7"/>
  <c r="P161" i="7"/>
  <c r="O161" i="7"/>
  <c r="N161" i="7"/>
  <c r="K161" i="7"/>
  <c r="I161" i="7"/>
  <c r="J161" i="7" s="1"/>
  <c r="E161" i="7"/>
  <c r="P160" i="7"/>
  <c r="O160" i="7"/>
  <c r="N160" i="7"/>
  <c r="K160" i="7"/>
  <c r="I160" i="7"/>
  <c r="J160" i="7" s="1"/>
  <c r="E160" i="7"/>
  <c r="P159" i="7"/>
  <c r="O159" i="7"/>
  <c r="N159" i="7"/>
  <c r="K159" i="7"/>
  <c r="I159" i="7"/>
  <c r="J159" i="7" s="1"/>
  <c r="E159" i="7"/>
  <c r="P158" i="7"/>
  <c r="O158" i="7"/>
  <c r="N158" i="7"/>
  <c r="K158" i="7"/>
  <c r="J158" i="7"/>
  <c r="I158" i="7"/>
  <c r="E158" i="7"/>
  <c r="P157" i="7"/>
  <c r="O157" i="7"/>
  <c r="N157" i="7"/>
  <c r="K157" i="7"/>
  <c r="I157" i="7"/>
  <c r="J157" i="7" s="1"/>
  <c r="E157" i="7"/>
  <c r="P156" i="7"/>
  <c r="O156" i="7"/>
  <c r="N156" i="7"/>
  <c r="K156" i="7"/>
  <c r="J156" i="7"/>
  <c r="I156" i="7"/>
  <c r="E156" i="7"/>
  <c r="P155" i="7"/>
  <c r="O155" i="7"/>
  <c r="N155" i="7"/>
  <c r="K155" i="7"/>
  <c r="I155" i="7"/>
  <c r="J155" i="7" s="1"/>
  <c r="E155" i="7"/>
  <c r="P154" i="7"/>
  <c r="O154" i="7"/>
  <c r="N154" i="7"/>
  <c r="K154" i="7"/>
  <c r="I154" i="7"/>
  <c r="J154" i="7" s="1"/>
  <c r="E154" i="7"/>
  <c r="P153" i="7"/>
  <c r="O153" i="7"/>
  <c r="N153" i="7"/>
  <c r="K153" i="7"/>
  <c r="I153" i="7"/>
  <c r="J153" i="7" s="1"/>
  <c r="E153" i="7"/>
  <c r="P152" i="7"/>
  <c r="O152" i="7"/>
  <c r="N152" i="7"/>
  <c r="K152" i="7"/>
  <c r="I152" i="7"/>
  <c r="J152" i="7" s="1"/>
  <c r="E152" i="7"/>
  <c r="P151" i="7"/>
  <c r="N151" i="7"/>
  <c r="O151" i="7" s="1"/>
  <c r="K151" i="7"/>
  <c r="I151" i="7"/>
  <c r="J151" i="7" s="1"/>
  <c r="E151" i="7"/>
  <c r="P150" i="7"/>
  <c r="O150" i="7"/>
  <c r="N150" i="7"/>
  <c r="K150" i="7"/>
  <c r="I150" i="7"/>
  <c r="J150" i="7" s="1"/>
  <c r="E150" i="7"/>
  <c r="P149" i="7"/>
  <c r="O149" i="7"/>
  <c r="N149" i="7"/>
  <c r="K149" i="7"/>
  <c r="J149" i="7"/>
  <c r="I149" i="7"/>
  <c r="E149" i="7"/>
  <c r="P148" i="7"/>
  <c r="O148" i="7"/>
  <c r="N148" i="7"/>
  <c r="K148" i="7"/>
  <c r="I148" i="7"/>
  <c r="J148" i="7" s="1"/>
  <c r="E148" i="7"/>
  <c r="P147" i="7"/>
  <c r="O147" i="7"/>
  <c r="N147" i="7"/>
  <c r="K147" i="7"/>
  <c r="I147" i="7"/>
  <c r="J147" i="7" s="1"/>
  <c r="E147" i="7"/>
  <c r="P146" i="7"/>
  <c r="O146" i="7"/>
  <c r="N146" i="7"/>
  <c r="K146" i="7"/>
  <c r="I146" i="7"/>
  <c r="J146" i="7" s="1"/>
  <c r="E146" i="7"/>
  <c r="P145" i="7"/>
  <c r="O145" i="7"/>
  <c r="N145" i="7"/>
  <c r="K145" i="7"/>
  <c r="J145" i="7"/>
  <c r="I145" i="7"/>
  <c r="E145" i="7"/>
  <c r="P144" i="7"/>
  <c r="O144" i="7"/>
  <c r="N144" i="7"/>
  <c r="K144" i="7"/>
  <c r="I144" i="7"/>
  <c r="J144" i="7" s="1"/>
  <c r="E144" i="7"/>
  <c r="P143" i="7"/>
  <c r="O143" i="7"/>
  <c r="N143" i="7"/>
  <c r="K143" i="7"/>
  <c r="I143" i="7"/>
  <c r="J143" i="7" s="1"/>
  <c r="E143" i="7"/>
  <c r="P142" i="7"/>
  <c r="O142" i="7"/>
  <c r="N142" i="7"/>
  <c r="K142" i="7"/>
  <c r="I142" i="7"/>
  <c r="J142" i="7" s="1"/>
  <c r="E142" i="7"/>
  <c r="P141" i="7"/>
  <c r="N141" i="7"/>
  <c r="O141" i="7" s="1"/>
  <c r="K141" i="7"/>
  <c r="I141" i="7"/>
  <c r="J141" i="7" s="1"/>
  <c r="E141" i="7"/>
  <c r="P140" i="7"/>
  <c r="N140" i="7"/>
  <c r="O140" i="7" s="1"/>
  <c r="K140" i="7"/>
  <c r="I140" i="7"/>
  <c r="J140" i="7" s="1"/>
  <c r="E140" i="7"/>
  <c r="P139" i="7"/>
  <c r="O139" i="7"/>
  <c r="N139" i="7"/>
  <c r="K139" i="7"/>
  <c r="I139" i="7"/>
  <c r="J139" i="7" s="1"/>
  <c r="E139" i="7"/>
  <c r="P138" i="7"/>
  <c r="O138" i="7"/>
  <c r="N138" i="7"/>
  <c r="K138" i="7"/>
  <c r="I138" i="7"/>
  <c r="J138" i="7" s="1"/>
  <c r="E138" i="7"/>
  <c r="P137" i="7"/>
  <c r="O137" i="7"/>
  <c r="N137" i="7"/>
  <c r="K137" i="7"/>
  <c r="I137" i="7"/>
  <c r="J137" i="7" s="1"/>
  <c r="E137" i="7"/>
  <c r="P136" i="7"/>
  <c r="O136" i="7"/>
  <c r="N136" i="7"/>
  <c r="K136" i="7"/>
  <c r="I136" i="7"/>
  <c r="J136" i="7" s="1"/>
  <c r="E136" i="7"/>
  <c r="P135" i="7"/>
  <c r="O135" i="7"/>
  <c r="N135" i="7"/>
  <c r="K135" i="7"/>
  <c r="I135" i="7"/>
  <c r="J135" i="7" s="1"/>
  <c r="E135" i="7"/>
  <c r="P134" i="7"/>
  <c r="O134" i="7"/>
  <c r="N134" i="7"/>
  <c r="K134" i="7"/>
  <c r="I134" i="7"/>
  <c r="J134" i="7" s="1"/>
  <c r="E134" i="7"/>
  <c r="P133" i="7"/>
  <c r="O133" i="7"/>
  <c r="N133" i="7"/>
  <c r="K133" i="7"/>
  <c r="J133" i="7"/>
  <c r="L31" i="8" s="1"/>
  <c r="O31" i="8" s="1"/>
  <c r="H31" i="6" s="1"/>
  <c r="L31" i="6" s="1"/>
  <c r="I133" i="7"/>
  <c r="E133" i="7"/>
  <c r="P132" i="7"/>
  <c r="N132" i="7"/>
  <c r="O132" i="7" s="1"/>
  <c r="K132" i="7"/>
  <c r="J132" i="7"/>
  <c r="I132" i="7"/>
  <c r="E132" i="7"/>
  <c r="P131" i="7"/>
  <c r="N131" i="7"/>
  <c r="O131" i="7" s="1"/>
  <c r="K131" i="7"/>
  <c r="I131" i="7"/>
  <c r="J131" i="7" s="1"/>
  <c r="K31" i="8" s="1"/>
  <c r="N31" i="8" s="1"/>
  <c r="G31" i="6" s="1"/>
  <c r="E131" i="7"/>
  <c r="P130" i="7"/>
  <c r="O130" i="7"/>
  <c r="N130" i="7"/>
  <c r="K130" i="7"/>
  <c r="I130" i="7"/>
  <c r="J130" i="7" s="1"/>
  <c r="E130" i="7"/>
  <c r="P129" i="7"/>
  <c r="O129" i="7"/>
  <c r="N129" i="7"/>
  <c r="K129" i="7"/>
  <c r="J129" i="7"/>
  <c r="J30" i="8" s="1"/>
  <c r="M30" i="8" s="1"/>
  <c r="P30" i="8" s="1"/>
  <c r="W30" i="8" s="1"/>
  <c r="I129" i="7"/>
  <c r="E129" i="7"/>
  <c r="P128" i="7"/>
  <c r="O128" i="7"/>
  <c r="N128" i="7"/>
  <c r="K128" i="7"/>
  <c r="I128" i="7"/>
  <c r="J128" i="7" s="1"/>
  <c r="J29" i="8" s="1"/>
  <c r="M29" i="8" s="1"/>
  <c r="E128" i="7"/>
  <c r="P127" i="7"/>
  <c r="O127" i="7"/>
  <c r="N127" i="7"/>
  <c r="K127" i="7"/>
  <c r="I127" i="7"/>
  <c r="J127" i="7" s="1"/>
  <c r="L28" i="8" s="1"/>
  <c r="O28" i="8" s="1"/>
  <c r="H28" i="6" s="1"/>
  <c r="L28" i="6" s="1"/>
  <c r="E127" i="7"/>
  <c r="P126" i="7"/>
  <c r="O126" i="7"/>
  <c r="N126" i="7"/>
  <c r="K126" i="7"/>
  <c r="J126" i="7"/>
  <c r="J27" i="8" s="1"/>
  <c r="M27" i="8" s="1"/>
  <c r="I126" i="7"/>
  <c r="E126" i="7"/>
  <c r="P125" i="7"/>
  <c r="O125" i="7"/>
  <c r="N125" i="7"/>
  <c r="K125" i="7"/>
  <c r="I125" i="7"/>
  <c r="J125" i="7" s="1"/>
  <c r="L26" i="8" s="1"/>
  <c r="O26" i="8" s="1"/>
  <c r="H26" i="6" s="1"/>
  <c r="L26" i="6" s="1"/>
  <c r="E125" i="7"/>
  <c r="P124" i="7"/>
  <c r="N124" i="7"/>
  <c r="O124" i="7" s="1"/>
  <c r="K124" i="7"/>
  <c r="I124" i="7"/>
  <c r="J124" i="7" s="1"/>
  <c r="E124" i="7"/>
  <c r="P123" i="7"/>
  <c r="N123" i="7"/>
  <c r="O123" i="7" s="1"/>
  <c r="K123" i="7"/>
  <c r="I123" i="7"/>
  <c r="J123" i="7" s="1"/>
  <c r="E123" i="7"/>
  <c r="P122" i="7"/>
  <c r="N122" i="7"/>
  <c r="O122" i="7" s="1"/>
  <c r="K122" i="7"/>
  <c r="I122" i="7"/>
  <c r="J122" i="7" s="1"/>
  <c r="E122" i="7"/>
  <c r="P121" i="7"/>
  <c r="O121" i="7"/>
  <c r="N121" i="7"/>
  <c r="K121" i="7"/>
  <c r="I121" i="7"/>
  <c r="J121" i="7" s="1"/>
  <c r="J26" i="8" s="1"/>
  <c r="M26" i="8" s="1"/>
  <c r="E121" i="7"/>
  <c r="P120" i="7"/>
  <c r="O120" i="7"/>
  <c r="N120" i="7"/>
  <c r="K120" i="7"/>
  <c r="I120" i="7"/>
  <c r="J120" i="7" s="1"/>
  <c r="L25" i="8" s="1"/>
  <c r="O25" i="8" s="1"/>
  <c r="H25" i="6" s="1"/>
  <c r="E120" i="7"/>
  <c r="P119" i="7"/>
  <c r="N119" i="7"/>
  <c r="O119" i="7" s="1"/>
  <c r="K119" i="7"/>
  <c r="I119" i="7"/>
  <c r="J119" i="7" s="1"/>
  <c r="E119" i="7"/>
  <c r="P118" i="7"/>
  <c r="N118" i="7"/>
  <c r="O118" i="7" s="1"/>
  <c r="K118" i="7"/>
  <c r="I118" i="7"/>
  <c r="J118" i="7" s="1"/>
  <c r="E118" i="7"/>
  <c r="P117" i="7"/>
  <c r="O117" i="7"/>
  <c r="N117" i="7"/>
  <c r="K117" i="7"/>
  <c r="I117" i="7"/>
  <c r="J117" i="7" s="1"/>
  <c r="E117" i="7"/>
  <c r="P116" i="7"/>
  <c r="O116" i="7"/>
  <c r="N116" i="7"/>
  <c r="K116" i="7"/>
  <c r="I116" i="7"/>
  <c r="J116" i="7" s="1"/>
  <c r="J25" i="8" s="1"/>
  <c r="M25" i="8" s="1"/>
  <c r="E116" i="7"/>
  <c r="P115" i="7"/>
  <c r="O115" i="7"/>
  <c r="N115" i="7"/>
  <c r="K115" i="7"/>
  <c r="I115" i="7"/>
  <c r="J115" i="7" s="1"/>
  <c r="L24" i="8" s="1"/>
  <c r="O24" i="8" s="1"/>
  <c r="E115" i="7"/>
  <c r="P114" i="7"/>
  <c r="N114" i="7"/>
  <c r="O114" i="7" s="1"/>
  <c r="K114" i="7"/>
  <c r="J114" i="7"/>
  <c r="I114" i="7"/>
  <c r="E114" i="7"/>
  <c r="P113" i="7"/>
  <c r="N113" i="7"/>
  <c r="O113" i="7" s="1"/>
  <c r="K113" i="7"/>
  <c r="J113" i="7"/>
  <c r="I113" i="7"/>
  <c r="E113" i="7"/>
  <c r="P112" i="7"/>
  <c r="N112" i="7"/>
  <c r="O112" i="7" s="1"/>
  <c r="K112" i="7"/>
  <c r="I112" i="7"/>
  <c r="J112" i="7" s="1"/>
  <c r="E112" i="7"/>
  <c r="P111" i="7"/>
  <c r="O111" i="7"/>
  <c r="N111" i="7"/>
  <c r="K111" i="7"/>
  <c r="I111" i="7"/>
  <c r="J111" i="7" s="1"/>
  <c r="J24" i="8" s="1"/>
  <c r="M24" i="8" s="1"/>
  <c r="F24" i="6" s="1"/>
  <c r="E111" i="7"/>
  <c r="P110" i="7"/>
  <c r="O110" i="7"/>
  <c r="N110" i="7"/>
  <c r="K110" i="7"/>
  <c r="I110" i="7"/>
  <c r="J110" i="7" s="1"/>
  <c r="L23" i="8" s="1"/>
  <c r="O23" i="8" s="1"/>
  <c r="E110" i="7"/>
  <c r="P109" i="7"/>
  <c r="N109" i="7"/>
  <c r="O109" i="7" s="1"/>
  <c r="K109" i="7"/>
  <c r="I109" i="7"/>
  <c r="J109" i="7" s="1"/>
  <c r="E109" i="7"/>
  <c r="P108" i="7"/>
  <c r="N108" i="7"/>
  <c r="O108" i="7" s="1"/>
  <c r="K108" i="7"/>
  <c r="J108" i="7"/>
  <c r="I108" i="7"/>
  <c r="E108" i="7"/>
  <c r="P107" i="7"/>
  <c r="N107" i="7"/>
  <c r="O107" i="7" s="1"/>
  <c r="K107" i="7"/>
  <c r="I107" i="7"/>
  <c r="J107" i="7" s="1"/>
  <c r="E107" i="7"/>
  <c r="P106" i="7"/>
  <c r="O106" i="7"/>
  <c r="N106" i="7"/>
  <c r="K106" i="7"/>
  <c r="I106" i="7"/>
  <c r="J106" i="7" s="1"/>
  <c r="J23" i="8" s="1"/>
  <c r="M23" i="8" s="1"/>
  <c r="E106" i="7"/>
  <c r="P105" i="7"/>
  <c r="O105" i="7"/>
  <c r="N105" i="7"/>
  <c r="K105" i="7"/>
  <c r="I105" i="7"/>
  <c r="J105" i="7" s="1"/>
  <c r="L22" i="8" s="1"/>
  <c r="O22" i="8" s="1"/>
  <c r="E105" i="7"/>
  <c r="P104" i="7"/>
  <c r="N104" i="7"/>
  <c r="O104" i="7" s="1"/>
  <c r="K104" i="7"/>
  <c r="I104" i="7"/>
  <c r="J104" i="7" s="1"/>
  <c r="E104" i="7"/>
  <c r="P103" i="7"/>
  <c r="O103" i="7"/>
  <c r="N103" i="7"/>
  <c r="K103" i="7"/>
  <c r="J103" i="7"/>
  <c r="I103" i="7"/>
  <c r="E103" i="7"/>
  <c r="P102" i="7"/>
  <c r="N102" i="7"/>
  <c r="O102" i="7" s="1"/>
  <c r="K102" i="7"/>
  <c r="I102" i="7"/>
  <c r="J102" i="7" s="1"/>
  <c r="E102" i="7"/>
  <c r="P101" i="7"/>
  <c r="O101" i="7"/>
  <c r="N101" i="7"/>
  <c r="K101" i="7"/>
  <c r="J101" i="7"/>
  <c r="J22" i="8" s="1"/>
  <c r="M22" i="8" s="1"/>
  <c r="I101" i="7"/>
  <c r="E101" i="7"/>
  <c r="P100" i="7"/>
  <c r="O100" i="7"/>
  <c r="N100" i="7"/>
  <c r="K100" i="7"/>
  <c r="I100" i="7"/>
  <c r="J100" i="7" s="1"/>
  <c r="L21" i="8" s="1"/>
  <c r="O21" i="8" s="1"/>
  <c r="H21" i="6" s="1"/>
  <c r="E100" i="7"/>
  <c r="P99" i="7"/>
  <c r="N99" i="7"/>
  <c r="O99" i="7" s="1"/>
  <c r="K99" i="7"/>
  <c r="I99" i="7"/>
  <c r="J99" i="7" s="1"/>
  <c r="E99" i="7"/>
  <c r="P98" i="7"/>
  <c r="N98" i="7"/>
  <c r="O98" i="7" s="1"/>
  <c r="K98" i="7"/>
  <c r="I98" i="7"/>
  <c r="J98" i="7" s="1"/>
  <c r="E98" i="7"/>
  <c r="P97" i="7"/>
  <c r="N97" i="7"/>
  <c r="O97" i="7" s="1"/>
  <c r="K97" i="7"/>
  <c r="I97" i="7"/>
  <c r="J97" i="7" s="1"/>
  <c r="E97" i="7"/>
  <c r="P96" i="7"/>
  <c r="O96" i="7"/>
  <c r="N96" i="7"/>
  <c r="K96" i="7"/>
  <c r="I96" i="7"/>
  <c r="J96" i="7" s="1"/>
  <c r="J21" i="8" s="1"/>
  <c r="M21" i="8" s="1"/>
  <c r="F21" i="6" s="1"/>
  <c r="J21" i="6" s="1"/>
  <c r="E96" i="7"/>
  <c r="P95" i="7"/>
  <c r="O95" i="7"/>
  <c r="N95" i="7"/>
  <c r="K95" i="7"/>
  <c r="I95" i="7"/>
  <c r="J95" i="7" s="1"/>
  <c r="L20" i="8" s="1"/>
  <c r="O20" i="8" s="1"/>
  <c r="H20" i="6" s="1"/>
  <c r="L20" i="6" s="1"/>
  <c r="E95" i="7"/>
  <c r="P94" i="7"/>
  <c r="O94" i="7"/>
  <c r="N94" i="7"/>
  <c r="K94" i="7"/>
  <c r="J94" i="7"/>
  <c r="I94" i="7"/>
  <c r="E94" i="7"/>
  <c r="P93" i="7"/>
  <c r="O93" i="7"/>
  <c r="N93" i="7"/>
  <c r="K93" i="7"/>
  <c r="J93" i="7"/>
  <c r="I93" i="7"/>
  <c r="E93" i="7"/>
  <c r="P92" i="7"/>
  <c r="N92" i="7"/>
  <c r="O92" i="7" s="1"/>
  <c r="K92" i="7"/>
  <c r="J92" i="7"/>
  <c r="I92" i="7"/>
  <c r="E92" i="7"/>
  <c r="P91" i="7"/>
  <c r="O91" i="7"/>
  <c r="N91" i="7"/>
  <c r="K91" i="7"/>
  <c r="J91" i="7"/>
  <c r="J20" i="8" s="1"/>
  <c r="M20" i="8" s="1"/>
  <c r="I91" i="7"/>
  <c r="E91" i="7"/>
  <c r="P90" i="7"/>
  <c r="O90" i="7"/>
  <c r="N90" i="7"/>
  <c r="K90" i="7"/>
  <c r="I90" i="7"/>
  <c r="J90" i="7" s="1"/>
  <c r="L19" i="8" s="1"/>
  <c r="O19" i="8" s="1"/>
  <c r="H19" i="6" s="1"/>
  <c r="L19" i="6" s="1"/>
  <c r="E90" i="7"/>
  <c r="P89" i="7"/>
  <c r="N89" i="7"/>
  <c r="O89" i="7" s="1"/>
  <c r="K89" i="7"/>
  <c r="I89" i="7"/>
  <c r="J89" i="7" s="1"/>
  <c r="E89" i="7"/>
  <c r="P88" i="7"/>
  <c r="N88" i="7"/>
  <c r="O88" i="7" s="1"/>
  <c r="K88" i="7"/>
  <c r="I88" i="7"/>
  <c r="J88" i="7" s="1"/>
  <c r="E88" i="7"/>
  <c r="P87" i="7"/>
  <c r="N87" i="7"/>
  <c r="O87" i="7" s="1"/>
  <c r="K87" i="7"/>
  <c r="I87" i="7"/>
  <c r="J87" i="7" s="1"/>
  <c r="E87" i="7"/>
  <c r="P86" i="7"/>
  <c r="O86" i="7"/>
  <c r="N86" i="7"/>
  <c r="K86" i="7"/>
  <c r="J86" i="7"/>
  <c r="J19" i="8" s="1"/>
  <c r="M19" i="8" s="1"/>
  <c r="I86" i="7"/>
  <c r="E86" i="7"/>
  <c r="P85" i="7"/>
  <c r="O85" i="7"/>
  <c r="N85" i="7"/>
  <c r="K85" i="7"/>
  <c r="J85" i="7"/>
  <c r="L18" i="8" s="1"/>
  <c r="O18" i="8" s="1"/>
  <c r="I85" i="7"/>
  <c r="E85" i="7"/>
  <c r="P84" i="7"/>
  <c r="O84" i="7"/>
  <c r="N84" i="7"/>
  <c r="K84" i="7"/>
  <c r="I84" i="7"/>
  <c r="J84" i="7" s="1"/>
  <c r="K18" i="8" s="1"/>
  <c r="N18" i="8" s="1"/>
  <c r="G18" i="6" s="1"/>
  <c r="K18" i="6" s="1"/>
  <c r="E84" i="7"/>
  <c r="P83" i="7"/>
  <c r="O83" i="7"/>
  <c r="N83" i="7"/>
  <c r="K83" i="7"/>
  <c r="I83" i="7"/>
  <c r="J83" i="7" s="1"/>
  <c r="J18" i="8" s="1"/>
  <c r="M18" i="8" s="1"/>
  <c r="F18" i="6" s="1"/>
  <c r="J18" i="6" s="1"/>
  <c r="E83" i="7"/>
  <c r="P82" i="7"/>
  <c r="O82" i="7"/>
  <c r="N82" i="7"/>
  <c r="K82" i="7"/>
  <c r="I82" i="7"/>
  <c r="J82" i="7" s="1"/>
  <c r="L17" i="8" s="1"/>
  <c r="O17" i="8" s="1"/>
  <c r="H17" i="6" s="1"/>
  <c r="L17" i="6" s="1"/>
  <c r="E82" i="7"/>
  <c r="P81" i="7"/>
  <c r="O81" i="7"/>
  <c r="N81" i="7"/>
  <c r="K81" i="7"/>
  <c r="I81" i="7"/>
  <c r="J81" i="7" s="1"/>
  <c r="K17" i="8" s="1"/>
  <c r="N17" i="8" s="1"/>
  <c r="E81" i="7"/>
  <c r="P80" i="7"/>
  <c r="O80" i="7"/>
  <c r="N80" i="7"/>
  <c r="K80" i="7"/>
  <c r="I80" i="7"/>
  <c r="J80" i="7" s="1"/>
  <c r="J17" i="8" s="1"/>
  <c r="M17" i="8" s="1"/>
  <c r="E80" i="7"/>
  <c r="P79" i="7"/>
  <c r="O79" i="7"/>
  <c r="N79" i="7"/>
  <c r="K79" i="7"/>
  <c r="J79" i="7"/>
  <c r="L16" i="8" s="1"/>
  <c r="O16" i="8" s="1"/>
  <c r="I79" i="7"/>
  <c r="E79" i="7"/>
  <c r="P78" i="7"/>
  <c r="N78" i="7"/>
  <c r="O78" i="7" s="1"/>
  <c r="K78" i="7"/>
  <c r="I78" i="7"/>
  <c r="J78" i="7" s="1"/>
  <c r="E78" i="7"/>
  <c r="P77" i="7"/>
  <c r="N77" i="7"/>
  <c r="O77" i="7" s="1"/>
  <c r="K77" i="7"/>
  <c r="I77" i="7"/>
  <c r="J77" i="7" s="1"/>
  <c r="E77" i="7"/>
  <c r="P76" i="7"/>
  <c r="N76" i="7"/>
  <c r="O76" i="7" s="1"/>
  <c r="K76" i="7"/>
  <c r="J76" i="7"/>
  <c r="I76" i="7"/>
  <c r="E76" i="7"/>
  <c r="P75" i="7"/>
  <c r="O75" i="7"/>
  <c r="N75" i="7"/>
  <c r="K75" i="7"/>
  <c r="I75" i="7"/>
  <c r="J75" i="7" s="1"/>
  <c r="J16" i="8" s="1"/>
  <c r="M16" i="8" s="1"/>
  <c r="E75" i="7"/>
  <c r="P74" i="7"/>
  <c r="O74" i="7"/>
  <c r="N74" i="7"/>
  <c r="K74" i="7"/>
  <c r="I74" i="7"/>
  <c r="J74" i="7" s="1"/>
  <c r="L15" i="8" s="1"/>
  <c r="O15" i="8" s="1"/>
  <c r="H15" i="6" s="1"/>
  <c r="L15" i="6" s="1"/>
  <c r="E74" i="7"/>
  <c r="P73" i="7"/>
  <c r="O73" i="7"/>
  <c r="N73" i="7"/>
  <c r="K73" i="7"/>
  <c r="I73" i="7"/>
  <c r="J73" i="7" s="1"/>
  <c r="K15" i="8" s="1"/>
  <c r="N15" i="8" s="1"/>
  <c r="E73" i="7"/>
  <c r="P72" i="7"/>
  <c r="O72" i="7"/>
  <c r="N72" i="7"/>
  <c r="K72" i="7"/>
  <c r="I72" i="7"/>
  <c r="J72" i="7" s="1"/>
  <c r="E72" i="7"/>
  <c r="P71" i="7"/>
  <c r="O71" i="7"/>
  <c r="N71" i="7"/>
  <c r="K71" i="7"/>
  <c r="I71" i="7"/>
  <c r="J71" i="7" s="1"/>
  <c r="E71" i="7"/>
  <c r="P70" i="7"/>
  <c r="O70" i="7"/>
  <c r="N70" i="7"/>
  <c r="K70" i="7"/>
  <c r="I70" i="7"/>
  <c r="J70" i="7" s="1"/>
  <c r="J15" i="8" s="1"/>
  <c r="M15" i="8" s="1"/>
  <c r="E70" i="7"/>
  <c r="P69" i="7"/>
  <c r="O69" i="7"/>
  <c r="N69" i="7"/>
  <c r="K69" i="7"/>
  <c r="J69" i="7"/>
  <c r="K14" i="8" s="1"/>
  <c r="N14" i="8" s="1"/>
  <c r="G14" i="6" s="1"/>
  <c r="K14" i="6" s="1"/>
  <c r="I69" i="7"/>
  <c r="E69" i="7"/>
  <c r="P68" i="7"/>
  <c r="O68" i="7"/>
  <c r="N68" i="7"/>
  <c r="K68" i="7"/>
  <c r="I68" i="7"/>
  <c r="J68" i="7" s="1"/>
  <c r="L12" i="8" s="1"/>
  <c r="O12" i="8" s="1"/>
  <c r="E68" i="7"/>
  <c r="P67" i="7"/>
  <c r="O67" i="7"/>
  <c r="N67" i="7"/>
  <c r="K67" i="7"/>
  <c r="I67" i="7"/>
  <c r="J67" i="7" s="1"/>
  <c r="E67" i="7"/>
  <c r="P66" i="7"/>
  <c r="O66" i="7"/>
  <c r="N66" i="7"/>
  <c r="K66" i="7"/>
  <c r="J66" i="7"/>
  <c r="I66" i="7"/>
  <c r="E66" i="7"/>
  <c r="P65" i="7"/>
  <c r="O65" i="7"/>
  <c r="N65" i="7"/>
  <c r="K65" i="7"/>
  <c r="J65" i="7"/>
  <c r="K11" i="8" s="1"/>
  <c r="N11" i="8" s="1"/>
  <c r="G11" i="6" s="1"/>
  <c r="K11" i="6" s="1"/>
  <c r="I65" i="7"/>
  <c r="E65" i="7"/>
  <c r="P64" i="7"/>
  <c r="O64" i="7"/>
  <c r="N64" i="7"/>
  <c r="K64" i="7"/>
  <c r="J64" i="7"/>
  <c r="I64" i="7"/>
  <c r="E64" i="7"/>
  <c r="P63" i="7"/>
  <c r="O63" i="7"/>
  <c r="N63" i="7"/>
  <c r="K63" i="7"/>
  <c r="I63" i="7"/>
  <c r="J63" i="7" s="1"/>
  <c r="E63" i="7"/>
  <c r="P62" i="7"/>
  <c r="O62" i="7"/>
  <c r="N62" i="7"/>
  <c r="K62" i="7"/>
  <c r="I62" i="7"/>
  <c r="J62" i="7" s="1"/>
  <c r="E62" i="7"/>
  <c r="P61" i="7"/>
  <c r="O61" i="7"/>
  <c r="N61" i="7"/>
  <c r="K61" i="7"/>
  <c r="I61" i="7"/>
  <c r="J61" i="7" s="1"/>
  <c r="L9" i="8" s="1"/>
  <c r="O9" i="8" s="1"/>
  <c r="H9" i="6" s="1"/>
  <c r="L9" i="6" s="1"/>
  <c r="E61" i="7"/>
  <c r="P60" i="7"/>
  <c r="N60" i="7"/>
  <c r="O60" i="7" s="1"/>
  <c r="K60" i="7"/>
  <c r="J60" i="7"/>
  <c r="I60" i="7"/>
  <c r="E60" i="7"/>
  <c r="P59" i="7"/>
  <c r="N59" i="7"/>
  <c r="O59" i="7" s="1"/>
  <c r="K59" i="7"/>
  <c r="J59" i="7"/>
  <c r="K9" i="8" s="1"/>
  <c r="N9" i="8" s="1"/>
  <c r="G9" i="6" s="1"/>
  <c r="K9" i="6" s="1"/>
  <c r="I59" i="7"/>
  <c r="E59" i="7"/>
  <c r="P58" i="7"/>
  <c r="O58" i="7"/>
  <c r="N58" i="7"/>
  <c r="K58" i="7"/>
  <c r="J58" i="7"/>
  <c r="I58" i="7"/>
  <c r="E58" i="7"/>
  <c r="P57" i="7"/>
  <c r="O57" i="7"/>
  <c r="N57" i="7"/>
  <c r="K57" i="7"/>
  <c r="I57" i="7"/>
  <c r="J57" i="7" s="1"/>
  <c r="E57" i="7"/>
  <c r="P56" i="7"/>
  <c r="O56" i="7"/>
  <c r="N56" i="7"/>
  <c r="L56" i="7"/>
  <c r="K56" i="7"/>
  <c r="I56" i="7"/>
  <c r="J56" i="7" s="1"/>
  <c r="E56" i="7"/>
  <c r="P55" i="7"/>
  <c r="O55" i="7"/>
  <c r="N55" i="7"/>
  <c r="K55" i="7"/>
  <c r="I55" i="7"/>
  <c r="J55" i="7" s="1"/>
  <c r="E55" i="7"/>
  <c r="P54" i="7"/>
  <c r="O54" i="7"/>
  <c r="N54" i="7"/>
  <c r="K54" i="7"/>
  <c r="I54" i="7"/>
  <c r="J54" i="7" s="1"/>
  <c r="E54" i="7"/>
  <c r="P53" i="7"/>
  <c r="O53" i="7"/>
  <c r="N53" i="7"/>
  <c r="K53" i="7"/>
  <c r="I53" i="7"/>
  <c r="J53" i="7" s="1"/>
  <c r="E53" i="7"/>
  <c r="P52" i="7"/>
  <c r="O52" i="7"/>
  <c r="N52" i="7"/>
  <c r="K52" i="7"/>
  <c r="I52" i="7"/>
  <c r="J52" i="7" s="1"/>
  <c r="E52" i="7"/>
  <c r="P51" i="7"/>
  <c r="O51" i="7"/>
  <c r="N51" i="7"/>
  <c r="K51" i="7"/>
  <c r="I51" i="7"/>
  <c r="J51" i="7" s="1"/>
  <c r="E51" i="7"/>
  <c r="P50" i="7"/>
  <c r="O50" i="7"/>
  <c r="N50" i="7"/>
  <c r="K50" i="7"/>
  <c r="I50" i="7"/>
  <c r="J50" i="7" s="1"/>
  <c r="L8" i="8" s="1"/>
  <c r="O8" i="8" s="1"/>
  <c r="E50" i="7"/>
  <c r="P49" i="7"/>
  <c r="N49" i="7"/>
  <c r="O49" i="7" s="1"/>
  <c r="K49" i="7"/>
  <c r="I49" i="7"/>
  <c r="J49" i="7" s="1"/>
  <c r="E49" i="7"/>
  <c r="P48" i="7"/>
  <c r="O48" i="7"/>
  <c r="N48" i="7"/>
  <c r="K48" i="7"/>
  <c r="I48" i="7"/>
  <c r="J48" i="7" s="1"/>
  <c r="E48" i="7"/>
  <c r="P47" i="7"/>
  <c r="O47" i="7"/>
  <c r="N47" i="7"/>
  <c r="K47" i="7"/>
  <c r="I47" i="7"/>
  <c r="J47" i="7" s="1"/>
  <c r="E47" i="7"/>
  <c r="P46" i="7"/>
  <c r="O46" i="7"/>
  <c r="N46" i="7"/>
  <c r="K46" i="7"/>
  <c r="I46" i="7"/>
  <c r="J46" i="7" s="1"/>
  <c r="E46" i="7"/>
  <c r="P45" i="7"/>
  <c r="O45" i="7"/>
  <c r="N45" i="7"/>
  <c r="K45" i="7"/>
  <c r="I45" i="7"/>
  <c r="J45" i="7" s="1"/>
  <c r="E45" i="7"/>
  <c r="P44" i="7"/>
  <c r="N44" i="7"/>
  <c r="O44" i="7" s="1"/>
  <c r="K44" i="7"/>
  <c r="J44" i="7"/>
  <c r="I44" i="7"/>
  <c r="E44" i="7"/>
  <c r="P43" i="7"/>
  <c r="N43" i="7"/>
  <c r="O43" i="7" s="1"/>
  <c r="K43" i="7"/>
  <c r="I43" i="7"/>
  <c r="J43" i="7" s="1"/>
  <c r="E43" i="7"/>
  <c r="P42" i="7"/>
  <c r="O42" i="7"/>
  <c r="N42" i="7"/>
  <c r="K42" i="7"/>
  <c r="I42" i="7"/>
  <c r="J42" i="7" s="1"/>
  <c r="E42" i="7"/>
  <c r="P41" i="7"/>
  <c r="O41" i="7"/>
  <c r="N41" i="7"/>
  <c r="K41" i="7"/>
  <c r="I41" i="7"/>
  <c r="J41" i="7" s="1"/>
  <c r="E41" i="7"/>
  <c r="P40" i="7"/>
  <c r="O40" i="7"/>
  <c r="N40" i="7"/>
  <c r="K40" i="7"/>
  <c r="I40" i="7"/>
  <c r="J40" i="7" s="1"/>
  <c r="E40" i="7"/>
  <c r="P39" i="7"/>
  <c r="O39" i="7"/>
  <c r="N39" i="7"/>
  <c r="K39" i="7"/>
  <c r="I39" i="7"/>
  <c r="J39" i="7" s="1"/>
  <c r="L6" i="8" s="1"/>
  <c r="O6" i="8" s="1"/>
  <c r="H6" i="6" s="1"/>
  <c r="L6" i="6" s="1"/>
  <c r="E39" i="7"/>
  <c r="P38" i="7"/>
  <c r="O38" i="7"/>
  <c r="N38" i="7"/>
  <c r="K38" i="7"/>
  <c r="I38" i="7"/>
  <c r="J38" i="7" s="1"/>
  <c r="E38" i="7"/>
  <c r="P37" i="7"/>
  <c r="O37" i="7"/>
  <c r="N37" i="7"/>
  <c r="K37" i="7"/>
  <c r="I37" i="7"/>
  <c r="J37" i="7" s="1"/>
  <c r="E37" i="7"/>
  <c r="P36" i="7"/>
  <c r="O36" i="7"/>
  <c r="N36" i="7"/>
  <c r="K36" i="7"/>
  <c r="I36" i="7"/>
  <c r="J36" i="7" s="1"/>
  <c r="E36" i="7"/>
  <c r="P35" i="7"/>
  <c r="O35" i="7"/>
  <c r="N35" i="7"/>
  <c r="K35" i="7"/>
  <c r="I35" i="7"/>
  <c r="J35" i="7" s="1"/>
  <c r="E35" i="7"/>
  <c r="P34" i="7"/>
  <c r="O34" i="7"/>
  <c r="N34" i="7"/>
  <c r="K34" i="7"/>
  <c r="J34" i="7"/>
  <c r="I34" i="7"/>
  <c r="E34" i="7"/>
  <c r="P33" i="7"/>
  <c r="O33" i="7"/>
  <c r="N33" i="7"/>
  <c r="K33" i="7"/>
  <c r="I33" i="7"/>
  <c r="J33" i="7" s="1"/>
  <c r="E33" i="7"/>
  <c r="P32" i="7"/>
  <c r="O32" i="7"/>
  <c r="N32" i="7"/>
  <c r="K32" i="7"/>
  <c r="L32" i="7" s="1"/>
  <c r="M32" i="7" s="1"/>
  <c r="I32" i="7"/>
  <c r="J32" i="7" s="1"/>
  <c r="E32" i="7"/>
  <c r="P31" i="7"/>
  <c r="O31" i="7"/>
  <c r="N31" i="7"/>
  <c r="K31" i="7"/>
  <c r="I31" i="7"/>
  <c r="J31" i="7" s="1"/>
  <c r="E31" i="7"/>
  <c r="P30" i="7"/>
  <c r="O30" i="7"/>
  <c r="N30" i="7"/>
  <c r="K30" i="7"/>
  <c r="I30" i="7"/>
  <c r="J30" i="7" s="1"/>
  <c r="E30" i="7"/>
  <c r="P29" i="7"/>
  <c r="N29" i="7"/>
  <c r="O29" i="7" s="1"/>
  <c r="K29" i="7"/>
  <c r="I29" i="7"/>
  <c r="J29" i="7" s="1"/>
  <c r="E29" i="7"/>
  <c r="P28" i="7"/>
  <c r="N28" i="7"/>
  <c r="O28" i="7" s="1"/>
  <c r="K28" i="7"/>
  <c r="J28" i="7"/>
  <c r="I28" i="7"/>
  <c r="E28" i="7"/>
  <c r="P27" i="7"/>
  <c r="N27" i="7"/>
  <c r="O27" i="7" s="1"/>
  <c r="K27" i="7"/>
  <c r="I27" i="7"/>
  <c r="J27" i="7" s="1"/>
  <c r="E27" i="7"/>
  <c r="P26" i="7"/>
  <c r="N26" i="7"/>
  <c r="O26" i="7" s="1"/>
  <c r="K26" i="7"/>
  <c r="J26" i="7"/>
  <c r="I26" i="7"/>
  <c r="E26" i="7"/>
  <c r="P25" i="7"/>
  <c r="O25" i="7"/>
  <c r="N25" i="7"/>
  <c r="K25" i="7"/>
  <c r="I25" i="7"/>
  <c r="J25" i="7" s="1"/>
  <c r="E25" i="7"/>
  <c r="P24" i="7"/>
  <c r="O24" i="7"/>
  <c r="N24" i="7"/>
  <c r="K24" i="7"/>
  <c r="I24" i="7"/>
  <c r="J24" i="7" s="1"/>
  <c r="E24" i="7"/>
  <c r="P23" i="7"/>
  <c r="O23" i="7"/>
  <c r="N23" i="7"/>
  <c r="K23" i="7"/>
  <c r="I23" i="7"/>
  <c r="J23" i="7" s="1"/>
  <c r="E23" i="7"/>
  <c r="P22" i="7"/>
  <c r="O22" i="7"/>
  <c r="N22" i="7"/>
  <c r="K22" i="7"/>
  <c r="I22" i="7"/>
  <c r="J22" i="7" s="1"/>
  <c r="E22" i="7"/>
  <c r="P21" i="7"/>
  <c r="O21" i="7"/>
  <c r="N21" i="7"/>
  <c r="K21" i="7"/>
  <c r="J21" i="7"/>
  <c r="I21" i="7"/>
  <c r="E21" i="7"/>
  <c r="P20" i="7"/>
  <c r="O20" i="7"/>
  <c r="N20" i="7"/>
  <c r="K20" i="7"/>
  <c r="I20" i="7"/>
  <c r="J20" i="7" s="1"/>
  <c r="E20" i="7"/>
  <c r="P19" i="7"/>
  <c r="O19" i="7"/>
  <c r="N19" i="7"/>
  <c r="K19" i="7"/>
  <c r="I19" i="7"/>
  <c r="J19" i="7" s="1"/>
  <c r="E19" i="7"/>
  <c r="P18" i="7"/>
  <c r="O18" i="7"/>
  <c r="N18" i="7"/>
  <c r="K18" i="7"/>
  <c r="J18" i="7"/>
  <c r="I18" i="7"/>
  <c r="E18" i="7"/>
  <c r="P17" i="7"/>
  <c r="O17" i="7"/>
  <c r="N17" i="7"/>
  <c r="K17" i="7"/>
  <c r="I17" i="7"/>
  <c r="J17" i="7" s="1"/>
  <c r="E17" i="7"/>
  <c r="P16" i="7"/>
  <c r="O16" i="7"/>
  <c r="N16" i="7"/>
  <c r="K16" i="7"/>
  <c r="I16" i="7"/>
  <c r="J16" i="7" s="1"/>
  <c r="L5" i="8" s="1"/>
  <c r="O5" i="8" s="1"/>
  <c r="H5" i="6" s="1"/>
  <c r="L5" i="6" s="1"/>
  <c r="E16" i="7"/>
  <c r="P15" i="7"/>
  <c r="O15" i="7"/>
  <c r="N15" i="7"/>
  <c r="K15" i="7"/>
  <c r="I15" i="7"/>
  <c r="J15" i="7" s="1"/>
  <c r="E15" i="7"/>
  <c r="P14" i="7"/>
  <c r="N14" i="7"/>
  <c r="O14" i="7" s="1"/>
  <c r="K14" i="7"/>
  <c r="I14" i="7"/>
  <c r="J14" i="7" s="1"/>
  <c r="E14" i="7"/>
  <c r="P13" i="7"/>
  <c r="N13" i="7"/>
  <c r="O13" i="7" s="1"/>
  <c r="K13" i="7"/>
  <c r="I13" i="7"/>
  <c r="J13" i="7" s="1"/>
  <c r="E13" i="7"/>
  <c r="P12" i="7"/>
  <c r="O12" i="7"/>
  <c r="N12" i="7"/>
  <c r="K12" i="7"/>
  <c r="I12" i="7"/>
  <c r="J12" i="7" s="1"/>
  <c r="E12" i="7"/>
  <c r="P11" i="7"/>
  <c r="O11" i="7"/>
  <c r="N11" i="7"/>
  <c r="K11" i="7"/>
  <c r="I11" i="7"/>
  <c r="J11" i="7" s="1"/>
  <c r="E11" i="7"/>
  <c r="P10" i="7"/>
  <c r="O10" i="7"/>
  <c r="N10" i="7"/>
  <c r="K10" i="7"/>
  <c r="I10" i="7"/>
  <c r="J10" i="7" s="1"/>
  <c r="E10" i="7"/>
  <c r="P9" i="7"/>
  <c r="O9" i="7"/>
  <c r="N9" i="7"/>
  <c r="K9" i="7"/>
  <c r="I9" i="7"/>
  <c r="J9" i="7" s="1"/>
  <c r="E9" i="7"/>
  <c r="P8" i="7"/>
  <c r="O8" i="7"/>
  <c r="N8" i="7"/>
  <c r="K8" i="7"/>
  <c r="I8" i="7"/>
  <c r="J8" i="7" s="1"/>
  <c r="E8" i="7"/>
  <c r="P7" i="7"/>
  <c r="O7" i="7"/>
  <c r="N7" i="7"/>
  <c r="K7" i="7"/>
  <c r="I7" i="7"/>
  <c r="J7" i="7" s="1"/>
  <c r="E7" i="7"/>
  <c r="P6" i="7"/>
  <c r="O6" i="7"/>
  <c r="N6" i="7"/>
  <c r="K6" i="7"/>
  <c r="J6" i="7"/>
  <c r="I6" i="7"/>
  <c r="E6" i="7"/>
  <c r="P5" i="7"/>
  <c r="O5" i="7"/>
  <c r="N5" i="7"/>
  <c r="K5" i="7"/>
  <c r="I5" i="7"/>
  <c r="J5" i="7" s="1"/>
  <c r="J3" i="8" s="1"/>
  <c r="M3" i="8" s="1"/>
  <c r="E5" i="7"/>
  <c r="P4" i="7"/>
  <c r="O4" i="7"/>
  <c r="N4" i="7"/>
  <c r="K4" i="7"/>
  <c r="L116" i="7" s="1"/>
  <c r="M116" i="7" s="1"/>
  <c r="I4" i="7"/>
  <c r="J4" i="7" s="1"/>
  <c r="L3" i="8" s="1"/>
  <c r="O3" i="8" s="1"/>
  <c r="H3" i="6" s="1"/>
  <c r="L3" i="6" s="1"/>
  <c r="E4" i="7"/>
  <c r="P3" i="7"/>
  <c r="N3" i="7"/>
  <c r="O3" i="7" s="1"/>
  <c r="K3" i="7"/>
  <c r="I3" i="7"/>
  <c r="J3" i="7" s="1"/>
  <c r="E3" i="7"/>
  <c r="P2" i="7"/>
  <c r="O2" i="7"/>
  <c r="N2" i="7"/>
  <c r="K2" i="7"/>
  <c r="J2" i="7"/>
  <c r="K3" i="8" s="1"/>
  <c r="N3" i="8" s="1"/>
  <c r="G3" i="6" s="1"/>
  <c r="K3" i="6" s="1"/>
  <c r="I2" i="7"/>
  <c r="E2" i="7"/>
  <c r="H190" i="6"/>
  <c r="L190" i="6" s="1"/>
  <c r="G190" i="6"/>
  <c r="K190" i="6" s="1"/>
  <c r="F190" i="6"/>
  <c r="J190" i="6" s="1"/>
  <c r="H189" i="6"/>
  <c r="L189" i="6" s="1"/>
  <c r="G189" i="6"/>
  <c r="K189" i="6" s="1"/>
  <c r="F189" i="6"/>
  <c r="J189" i="6" s="1"/>
  <c r="G188" i="6"/>
  <c r="K188" i="6" s="1"/>
  <c r="F188" i="6"/>
  <c r="J188" i="6" s="1"/>
  <c r="M188" i="6" s="1"/>
  <c r="H187" i="6"/>
  <c r="L187" i="6" s="1"/>
  <c r="G186" i="6"/>
  <c r="K186" i="6" s="1"/>
  <c r="L185" i="6"/>
  <c r="H185" i="6"/>
  <c r="G185" i="6"/>
  <c r="K185" i="6" s="1"/>
  <c r="G183" i="6"/>
  <c r="K183" i="6" s="1"/>
  <c r="F183" i="6"/>
  <c r="J183" i="6" s="1"/>
  <c r="M183" i="6" s="1"/>
  <c r="K182" i="6"/>
  <c r="G182" i="6"/>
  <c r="L181" i="6"/>
  <c r="H181" i="6"/>
  <c r="H180" i="6"/>
  <c r="L180" i="6" s="1"/>
  <c r="G180" i="6"/>
  <c r="K180" i="6" s="1"/>
  <c r="F180" i="6"/>
  <c r="J180" i="6" s="1"/>
  <c r="H179" i="6"/>
  <c r="L179" i="6" s="1"/>
  <c r="G179" i="6"/>
  <c r="K179" i="6" s="1"/>
  <c r="H178" i="6"/>
  <c r="L178" i="6" s="1"/>
  <c r="G178" i="6"/>
  <c r="K178" i="6" s="1"/>
  <c r="I177" i="6"/>
  <c r="H177" i="6"/>
  <c r="L177" i="6" s="1"/>
  <c r="G177" i="6"/>
  <c r="K177" i="6" s="1"/>
  <c r="F177" i="6"/>
  <c r="J177" i="6" s="1"/>
  <c r="H175" i="6"/>
  <c r="L175" i="6" s="1"/>
  <c r="G175" i="6"/>
  <c r="K175" i="6" s="1"/>
  <c r="F175" i="6"/>
  <c r="J175" i="6" s="1"/>
  <c r="L174" i="6"/>
  <c r="K174" i="6"/>
  <c r="G174" i="6"/>
  <c r="F174" i="6"/>
  <c r="J174" i="6" s="1"/>
  <c r="J173" i="6"/>
  <c r="G173" i="6"/>
  <c r="K173" i="6" s="1"/>
  <c r="F173" i="6"/>
  <c r="H172" i="6"/>
  <c r="L172" i="6" s="1"/>
  <c r="G172" i="6"/>
  <c r="K172" i="6" s="1"/>
  <c r="F172" i="6"/>
  <c r="J172" i="6" s="1"/>
  <c r="H171" i="6"/>
  <c r="L171" i="6" s="1"/>
  <c r="G171" i="6"/>
  <c r="K171" i="6" s="1"/>
  <c r="F171" i="6"/>
  <c r="J171" i="6" s="1"/>
  <c r="H167" i="6"/>
  <c r="L167" i="6" s="1"/>
  <c r="G167" i="6"/>
  <c r="K167" i="6" s="1"/>
  <c r="F167" i="6"/>
  <c r="J167" i="6" s="1"/>
  <c r="J166" i="6"/>
  <c r="H166" i="6"/>
  <c r="L166" i="6" s="1"/>
  <c r="G166" i="6"/>
  <c r="K166" i="6" s="1"/>
  <c r="F166" i="6"/>
  <c r="L165" i="6"/>
  <c r="H165" i="6"/>
  <c r="F165" i="6"/>
  <c r="J165" i="6" s="1"/>
  <c r="G164" i="6"/>
  <c r="K164" i="6" s="1"/>
  <c r="G163" i="6"/>
  <c r="K163" i="6" s="1"/>
  <c r="H162" i="6"/>
  <c r="L162" i="6" s="1"/>
  <c r="G162" i="6"/>
  <c r="K162" i="6" s="1"/>
  <c r="H161" i="6"/>
  <c r="L161" i="6" s="1"/>
  <c r="G160" i="6"/>
  <c r="K160" i="6" s="1"/>
  <c r="F160" i="6"/>
  <c r="J160" i="6" s="1"/>
  <c r="G159" i="6"/>
  <c r="K159" i="6" s="1"/>
  <c r="L158" i="6"/>
  <c r="J158" i="6"/>
  <c r="I158" i="6"/>
  <c r="H158" i="6"/>
  <c r="G158" i="6"/>
  <c r="K158" i="6" s="1"/>
  <c r="F158" i="6"/>
  <c r="H157" i="6"/>
  <c r="L157" i="6" s="1"/>
  <c r="G157" i="6"/>
  <c r="K157" i="6" s="1"/>
  <c r="F157" i="6"/>
  <c r="J157" i="6" s="1"/>
  <c r="F156" i="6"/>
  <c r="J156" i="6" s="1"/>
  <c r="H155" i="6"/>
  <c r="L155" i="6" s="1"/>
  <c r="G155" i="6"/>
  <c r="K155" i="6" s="1"/>
  <c r="F155" i="6"/>
  <c r="J155" i="6" s="1"/>
  <c r="H154" i="6"/>
  <c r="L154" i="6" s="1"/>
  <c r="G154" i="6"/>
  <c r="K154" i="6" s="1"/>
  <c r="F154" i="6"/>
  <c r="J154" i="6" s="1"/>
  <c r="G153" i="6"/>
  <c r="K153" i="6" s="1"/>
  <c r="H152" i="6"/>
  <c r="L152" i="6" s="1"/>
  <c r="F152" i="6"/>
  <c r="J152" i="6" s="1"/>
  <c r="J151" i="6"/>
  <c r="M151" i="6" s="1"/>
  <c r="H151" i="6"/>
  <c r="L151" i="6" s="1"/>
  <c r="G151" i="6"/>
  <c r="K151" i="6" s="1"/>
  <c r="F151" i="6"/>
  <c r="H150" i="6"/>
  <c r="L150" i="6" s="1"/>
  <c r="G150" i="6"/>
  <c r="K150" i="6" s="1"/>
  <c r="L149" i="6"/>
  <c r="H149" i="6"/>
  <c r="F149" i="6"/>
  <c r="J149" i="6" s="1"/>
  <c r="H148" i="6"/>
  <c r="L148" i="6" s="1"/>
  <c r="F148" i="6"/>
  <c r="J148" i="6" s="1"/>
  <c r="G147" i="6"/>
  <c r="K147" i="6" s="1"/>
  <c r="F147" i="6"/>
  <c r="J147" i="6" s="1"/>
  <c r="G146" i="6"/>
  <c r="K146" i="6" s="1"/>
  <c r="F146" i="6"/>
  <c r="J146" i="6" s="1"/>
  <c r="H145" i="6"/>
  <c r="L145" i="6" s="1"/>
  <c r="G145" i="6"/>
  <c r="K145" i="6" s="1"/>
  <c r="F145" i="6"/>
  <c r="J145" i="6" s="1"/>
  <c r="M145" i="6" s="1"/>
  <c r="H144" i="6"/>
  <c r="L144" i="6" s="1"/>
  <c r="G144" i="6"/>
  <c r="K144" i="6" s="1"/>
  <c r="F144" i="6"/>
  <c r="J144" i="6" s="1"/>
  <c r="G143" i="6"/>
  <c r="K143" i="6" s="1"/>
  <c r="F143" i="6"/>
  <c r="J143" i="6" s="1"/>
  <c r="H142" i="6"/>
  <c r="L142" i="6" s="1"/>
  <c r="F142" i="6"/>
  <c r="J142" i="6" s="1"/>
  <c r="G141" i="6"/>
  <c r="K141" i="6" s="1"/>
  <c r="J140" i="6"/>
  <c r="G140" i="6"/>
  <c r="K140" i="6" s="1"/>
  <c r="F140" i="6"/>
  <c r="F139" i="6"/>
  <c r="J139" i="6" s="1"/>
  <c r="H138" i="6"/>
  <c r="L138" i="6" s="1"/>
  <c r="G138" i="6"/>
  <c r="K138" i="6" s="1"/>
  <c r="F138" i="6"/>
  <c r="J138" i="6" s="1"/>
  <c r="F137" i="6"/>
  <c r="J137" i="6" s="1"/>
  <c r="H136" i="6"/>
  <c r="L136" i="6" s="1"/>
  <c r="G136" i="6"/>
  <c r="K136" i="6" s="1"/>
  <c r="H135" i="6"/>
  <c r="L135" i="6" s="1"/>
  <c r="H134" i="6"/>
  <c r="L134" i="6" s="1"/>
  <c r="G134" i="6"/>
  <c r="K134" i="6" s="1"/>
  <c r="F134" i="6"/>
  <c r="J134" i="6" s="1"/>
  <c r="H133" i="6"/>
  <c r="L133" i="6" s="1"/>
  <c r="F133" i="6"/>
  <c r="J133" i="6" s="1"/>
  <c r="G132" i="6"/>
  <c r="K132" i="6" s="1"/>
  <c r="F132" i="6"/>
  <c r="J132" i="6" s="1"/>
  <c r="H131" i="6"/>
  <c r="L131" i="6" s="1"/>
  <c r="G131" i="6"/>
  <c r="K131" i="6" s="1"/>
  <c r="M131" i="6" s="1"/>
  <c r="F131" i="6"/>
  <c r="J131" i="6" s="1"/>
  <c r="H130" i="6"/>
  <c r="L130" i="6" s="1"/>
  <c r="G130" i="6"/>
  <c r="K130" i="6" s="1"/>
  <c r="F130" i="6"/>
  <c r="J130" i="6" s="1"/>
  <c r="H129" i="6"/>
  <c r="L129" i="6" s="1"/>
  <c r="G129" i="6"/>
  <c r="K129" i="6" s="1"/>
  <c r="L128" i="6"/>
  <c r="H128" i="6"/>
  <c r="G128" i="6"/>
  <c r="K128" i="6" s="1"/>
  <c r="F128" i="6"/>
  <c r="J128" i="6" s="1"/>
  <c r="M128" i="6" s="1"/>
  <c r="G127" i="6"/>
  <c r="K127" i="6" s="1"/>
  <c r="F127" i="6"/>
  <c r="J127" i="6" s="1"/>
  <c r="L126" i="6"/>
  <c r="H126" i="6"/>
  <c r="H125" i="6"/>
  <c r="L125" i="6" s="1"/>
  <c r="F124" i="6"/>
  <c r="J124" i="6" s="1"/>
  <c r="G123" i="6"/>
  <c r="K123" i="6" s="1"/>
  <c r="K122" i="6"/>
  <c r="H122" i="6"/>
  <c r="L122" i="6" s="1"/>
  <c r="G121" i="6"/>
  <c r="K121" i="6" s="1"/>
  <c r="H120" i="6"/>
  <c r="L120" i="6" s="1"/>
  <c r="G120" i="6"/>
  <c r="K120" i="6" s="1"/>
  <c r="G118" i="6"/>
  <c r="K118" i="6" s="1"/>
  <c r="H117" i="6"/>
  <c r="L117" i="6" s="1"/>
  <c r="G117" i="6"/>
  <c r="K117" i="6" s="1"/>
  <c r="G116" i="6"/>
  <c r="K116" i="6" s="1"/>
  <c r="G115" i="6"/>
  <c r="K115" i="6" s="1"/>
  <c r="K114" i="6"/>
  <c r="G114" i="6"/>
  <c r="G113" i="6"/>
  <c r="K113" i="6" s="1"/>
  <c r="G111" i="6"/>
  <c r="K111" i="6" s="1"/>
  <c r="G110" i="6"/>
  <c r="K110" i="6" s="1"/>
  <c r="G108" i="6"/>
  <c r="K108" i="6" s="1"/>
  <c r="H107" i="6"/>
  <c r="L107" i="6" s="1"/>
  <c r="F106" i="6"/>
  <c r="J106" i="6" s="1"/>
  <c r="H105" i="6"/>
  <c r="L105" i="6" s="1"/>
  <c r="F105" i="6"/>
  <c r="J105" i="6" s="1"/>
  <c r="J103" i="6"/>
  <c r="H103" i="6"/>
  <c r="L103" i="6" s="1"/>
  <c r="G103" i="6"/>
  <c r="K103" i="6" s="1"/>
  <c r="F103" i="6"/>
  <c r="L102" i="6"/>
  <c r="J102" i="6"/>
  <c r="I102" i="6"/>
  <c r="H102" i="6"/>
  <c r="G102" i="6"/>
  <c r="K102" i="6" s="1"/>
  <c r="F102" i="6"/>
  <c r="I100" i="6"/>
  <c r="H100" i="6"/>
  <c r="L100" i="6" s="1"/>
  <c r="G100" i="6"/>
  <c r="K100" i="6" s="1"/>
  <c r="F100" i="6"/>
  <c r="J100" i="6" s="1"/>
  <c r="M100" i="6" s="1"/>
  <c r="I99" i="6"/>
  <c r="H99" i="6"/>
  <c r="L99" i="6" s="1"/>
  <c r="G99" i="6"/>
  <c r="K99" i="6" s="1"/>
  <c r="F99" i="6"/>
  <c r="J99" i="6" s="1"/>
  <c r="M99" i="6" s="1"/>
  <c r="H98" i="6"/>
  <c r="L98" i="6" s="1"/>
  <c r="G98" i="6"/>
  <c r="K98" i="6" s="1"/>
  <c r="H97" i="6"/>
  <c r="L97" i="6" s="1"/>
  <c r="G97" i="6"/>
  <c r="K97" i="6" s="1"/>
  <c r="F97" i="6"/>
  <c r="J97" i="6" s="1"/>
  <c r="H96" i="6"/>
  <c r="L96" i="6" s="1"/>
  <c r="G96" i="6"/>
  <c r="K96" i="6" s="1"/>
  <c r="F96" i="6"/>
  <c r="J96" i="6" s="1"/>
  <c r="H95" i="6"/>
  <c r="L95" i="6" s="1"/>
  <c r="H94" i="6"/>
  <c r="L94" i="6" s="1"/>
  <c r="G94" i="6"/>
  <c r="K94" i="6" s="1"/>
  <c r="F94" i="6"/>
  <c r="J94" i="6" s="1"/>
  <c r="H93" i="6"/>
  <c r="L93" i="6" s="1"/>
  <c r="F93" i="6"/>
  <c r="J93" i="6" s="1"/>
  <c r="I87" i="6"/>
  <c r="H87" i="6"/>
  <c r="L87" i="6" s="1"/>
  <c r="F87" i="6"/>
  <c r="J87" i="6" s="1"/>
  <c r="G85" i="6"/>
  <c r="K85" i="6" s="1"/>
  <c r="H81" i="6"/>
  <c r="L81" i="6" s="1"/>
  <c r="H79" i="6"/>
  <c r="L79" i="6" s="1"/>
  <c r="H78" i="6"/>
  <c r="L78" i="6" s="1"/>
  <c r="H72" i="6"/>
  <c r="L72" i="6" s="1"/>
  <c r="J71" i="6"/>
  <c r="M71" i="6" s="1"/>
  <c r="H71" i="6"/>
  <c r="L71" i="6" s="1"/>
  <c r="G71" i="6"/>
  <c r="K71" i="6" s="1"/>
  <c r="F71" i="6"/>
  <c r="H70" i="6"/>
  <c r="L70" i="6" s="1"/>
  <c r="L68" i="6"/>
  <c r="H68" i="6"/>
  <c r="G68" i="6"/>
  <c r="K68" i="6" s="1"/>
  <c r="F68" i="6"/>
  <c r="J68" i="6" s="1"/>
  <c r="H67" i="6"/>
  <c r="L67" i="6" s="1"/>
  <c r="G67" i="6"/>
  <c r="K67" i="6" s="1"/>
  <c r="F67" i="6"/>
  <c r="J67" i="6" s="1"/>
  <c r="M67" i="6" s="1"/>
  <c r="F64" i="6"/>
  <c r="J64" i="6" s="1"/>
  <c r="H61" i="6"/>
  <c r="L61" i="6" s="1"/>
  <c r="H57" i="6"/>
  <c r="L57" i="6" s="1"/>
  <c r="H56" i="6"/>
  <c r="L56" i="6" s="1"/>
  <c r="H54" i="6"/>
  <c r="L54" i="6" s="1"/>
  <c r="G54" i="6"/>
  <c r="K54" i="6" s="1"/>
  <c r="F54" i="6"/>
  <c r="J54" i="6" s="1"/>
  <c r="H53" i="6"/>
  <c r="L53" i="6" s="1"/>
  <c r="G53" i="6"/>
  <c r="K53" i="6" s="1"/>
  <c r="M53" i="6" s="1"/>
  <c r="F53" i="6"/>
  <c r="J53" i="6" s="1"/>
  <c r="H52" i="6"/>
  <c r="L52" i="6" s="1"/>
  <c r="G52" i="6"/>
  <c r="K52" i="6" s="1"/>
  <c r="G50" i="6"/>
  <c r="K50" i="6" s="1"/>
  <c r="F50" i="6"/>
  <c r="J50" i="6" s="1"/>
  <c r="K47" i="6"/>
  <c r="H47" i="6"/>
  <c r="L47" i="6" s="1"/>
  <c r="H46" i="6"/>
  <c r="L46" i="6" s="1"/>
  <c r="F46" i="6"/>
  <c r="J46" i="6" s="1"/>
  <c r="L45" i="6"/>
  <c r="L44" i="6"/>
  <c r="H44" i="6"/>
  <c r="L43" i="6"/>
  <c r="H43" i="6"/>
  <c r="G43" i="6"/>
  <c r="K43" i="6" s="1"/>
  <c r="H40" i="6"/>
  <c r="L40" i="6" s="1"/>
  <c r="L38" i="6"/>
  <c r="K31" i="6"/>
  <c r="H30" i="6"/>
  <c r="L30" i="6" s="1"/>
  <c r="G30" i="6"/>
  <c r="K30" i="6" s="1"/>
  <c r="G29" i="6"/>
  <c r="K29" i="6" s="1"/>
  <c r="F29" i="6"/>
  <c r="J29" i="6" s="1"/>
  <c r="G28" i="6"/>
  <c r="K28" i="6" s="1"/>
  <c r="F28" i="6"/>
  <c r="J28" i="6" s="1"/>
  <c r="L27" i="6"/>
  <c r="K27" i="6"/>
  <c r="H27" i="6"/>
  <c r="G27" i="6"/>
  <c r="F27" i="6"/>
  <c r="J27" i="6" s="1"/>
  <c r="M27" i="6" s="1"/>
  <c r="F26" i="6"/>
  <c r="J26" i="6" s="1"/>
  <c r="L25" i="6"/>
  <c r="J24" i="6"/>
  <c r="H24" i="6"/>
  <c r="L24" i="6" s="1"/>
  <c r="H23" i="6"/>
  <c r="L23" i="6" s="1"/>
  <c r="H22" i="6"/>
  <c r="L22" i="6" s="1"/>
  <c r="L21" i="6"/>
  <c r="F20" i="6"/>
  <c r="J20" i="6" s="1"/>
  <c r="H18" i="6"/>
  <c r="L18" i="6" s="1"/>
  <c r="G17" i="6"/>
  <c r="K17" i="6" s="1"/>
  <c r="F17" i="6"/>
  <c r="J17" i="6" s="1"/>
  <c r="M17" i="6" s="1"/>
  <c r="H16" i="6"/>
  <c r="L16" i="6" s="1"/>
  <c r="F16" i="6"/>
  <c r="J16" i="6" s="1"/>
  <c r="K15" i="6"/>
  <c r="G15" i="6"/>
  <c r="H14" i="6"/>
  <c r="L14" i="6" s="1"/>
  <c r="F14" i="6"/>
  <c r="J14" i="6" s="1"/>
  <c r="H13" i="6"/>
  <c r="L13" i="6" s="1"/>
  <c r="G13" i="6"/>
  <c r="K13" i="6" s="1"/>
  <c r="F13" i="6"/>
  <c r="J13" i="6" s="1"/>
  <c r="H12" i="6"/>
  <c r="L12" i="6" s="1"/>
  <c r="F12" i="6"/>
  <c r="J12" i="6" s="1"/>
  <c r="L11" i="6"/>
  <c r="H11" i="6"/>
  <c r="F11" i="6"/>
  <c r="J11" i="6" s="1"/>
  <c r="M11" i="6" s="1"/>
  <c r="H10" i="6"/>
  <c r="L10" i="6" s="1"/>
  <c r="H8" i="6"/>
  <c r="L8" i="6" s="1"/>
  <c r="H7" i="6"/>
  <c r="L7" i="6" s="1"/>
  <c r="F7" i="6"/>
  <c r="J7" i="6" s="1"/>
  <c r="H4" i="6"/>
  <c r="L4" i="6" s="1"/>
  <c r="G4" i="6"/>
  <c r="K4" i="6" s="1"/>
  <c r="F4" i="6"/>
  <c r="J4" i="6" s="1"/>
  <c r="F3" i="6"/>
  <c r="J3" i="6" s="1"/>
  <c r="M3" i="6" s="1"/>
  <c r="L2" i="6"/>
  <c r="H2" i="6"/>
  <c r="D5" i="3"/>
  <c r="E5" i="3" s="1"/>
  <c r="D4" i="3"/>
  <c r="E4" i="3" s="1"/>
  <c r="D3" i="3"/>
  <c r="E3" i="3" s="1"/>
  <c r="D2" i="3"/>
  <c r="E2" i="3" s="1"/>
  <c r="C213" i="2"/>
  <c r="C212" i="2"/>
  <c r="C211" i="2"/>
  <c r="M18" i="6" l="1"/>
  <c r="M29" i="6"/>
  <c r="M13" i="6"/>
  <c r="P141" i="8"/>
  <c r="F141" i="6"/>
  <c r="J141" i="6" s="1"/>
  <c r="M141" i="6" s="1"/>
  <c r="M161" i="6"/>
  <c r="M87" i="6"/>
  <c r="M152" i="6"/>
  <c r="P17" i="8"/>
  <c r="K73" i="8"/>
  <c r="N73" i="8" s="1"/>
  <c r="G73" i="6" s="1"/>
  <c r="K73" i="6" s="1"/>
  <c r="P153" i="8"/>
  <c r="F153" i="6"/>
  <c r="J153" i="6" s="1"/>
  <c r="P134" i="8"/>
  <c r="P101" i="8"/>
  <c r="F101" i="6"/>
  <c r="J101" i="6" s="1"/>
  <c r="M101" i="6" s="1"/>
  <c r="J65" i="8"/>
  <c r="M65" i="8" s="1"/>
  <c r="J58" i="8"/>
  <c r="M58" i="8" s="1"/>
  <c r="F58" i="6" s="1"/>
  <c r="J58" i="6" s="1"/>
  <c r="M137" i="6"/>
  <c r="L115" i="8"/>
  <c r="O115" i="8" s="1"/>
  <c r="H115" i="6" s="1"/>
  <c r="L115" i="6" s="1"/>
  <c r="M156" i="6"/>
  <c r="P69" i="8"/>
  <c r="P164" i="8"/>
  <c r="F164" i="6"/>
  <c r="J164" i="6" s="1"/>
  <c r="M164" i="6" s="1"/>
  <c r="M144" i="6"/>
  <c r="F43" i="6"/>
  <c r="J43" i="6" s="1"/>
  <c r="M43" i="6" s="1"/>
  <c r="K34" i="8"/>
  <c r="N34" i="8" s="1"/>
  <c r="G34" i="6" s="1"/>
  <c r="K34" i="6" s="1"/>
  <c r="M139" i="6"/>
  <c r="P15" i="8"/>
  <c r="M132" i="6"/>
  <c r="L297" i="7"/>
  <c r="M297" i="7" s="1"/>
  <c r="I2" i="6"/>
  <c r="M54" i="6"/>
  <c r="M165" i="6"/>
  <c r="L18" i="7"/>
  <c r="M18" i="7" s="1"/>
  <c r="P64" i="8"/>
  <c r="L112" i="8"/>
  <c r="O112" i="8" s="1"/>
  <c r="H112" i="6" s="1"/>
  <c r="L112" i="6" s="1"/>
  <c r="J123" i="8"/>
  <c r="M123" i="8" s="1"/>
  <c r="F123" i="6" s="1"/>
  <c r="J123" i="6" s="1"/>
  <c r="J44" i="8"/>
  <c r="M44" i="8" s="1"/>
  <c r="P44" i="8" s="1"/>
  <c r="W44" i="8" s="1"/>
  <c r="J113" i="8"/>
  <c r="M113" i="8" s="1"/>
  <c r="F113" i="6" s="1"/>
  <c r="J113" i="6" s="1"/>
  <c r="M148" i="6"/>
  <c r="L12" i="7"/>
  <c r="M12" i="7" s="1"/>
  <c r="M149" i="6"/>
  <c r="F15" i="6"/>
  <c r="J15" i="6" s="1"/>
  <c r="M15" i="6" s="1"/>
  <c r="I43" i="6"/>
  <c r="F95" i="6"/>
  <c r="J95" i="6" s="1"/>
  <c r="M95" i="6" s="1"/>
  <c r="J8" i="8"/>
  <c r="M8" i="8" s="1"/>
  <c r="F8" i="6" s="1"/>
  <c r="J8" i="6" s="1"/>
  <c r="M8" i="6" s="1"/>
  <c r="J40" i="8"/>
  <c r="M40" i="8" s="1"/>
  <c r="F40" i="6" s="1"/>
  <c r="J40" i="6" s="1"/>
  <c r="M40" i="6" s="1"/>
  <c r="J115" i="8"/>
  <c r="M115" i="8" s="1"/>
  <c r="M129" i="6"/>
  <c r="M4" i="6"/>
  <c r="L80" i="7"/>
  <c r="M80" i="7" s="1"/>
  <c r="K23" i="8"/>
  <c r="N23" i="8" s="1"/>
  <c r="G23" i="6" s="1"/>
  <c r="K23" i="6" s="1"/>
  <c r="K105" i="8"/>
  <c r="N105" i="8" s="1"/>
  <c r="G105" i="6" s="1"/>
  <c r="K105" i="6" s="1"/>
  <c r="M105" i="6" s="1"/>
  <c r="P127" i="8"/>
  <c r="J77" i="8"/>
  <c r="M77" i="8" s="1"/>
  <c r="F77" i="6" s="1"/>
  <c r="J77" i="6" s="1"/>
  <c r="M77" i="6" s="1"/>
  <c r="I95" i="6"/>
  <c r="K21" i="8"/>
  <c r="N21" i="8" s="1"/>
  <c r="G21" i="6" s="1"/>
  <c r="K21" i="6" s="1"/>
  <c r="M21" i="6" s="1"/>
  <c r="J35" i="8"/>
  <c r="M35" i="8" s="1"/>
  <c r="P35" i="8" s="1"/>
  <c r="K59" i="8"/>
  <c r="N59" i="8" s="1"/>
  <c r="G59" i="6" s="1"/>
  <c r="K59" i="6" s="1"/>
  <c r="L89" i="8"/>
  <c r="O89" i="8" s="1"/>
  <c r="H89" i="6" s="1"/>
  <c r="L89" i="6" s="1"/>
  <c r="P178" i="8"/>
  <c r="F178" i="6"/>
  <c r="J178" i="6" s="1"/>
  <c r="M178" i="6" s="1"/>
  <c r="P159" i="8"/>
  <c r="F159" i="6"/>
  <c r="J159" i="6" s="1"/>
  <c r="M159" i="6" s="1"/>
  <c r="P184" i="8"/>
  <c r="F184" i="6"/>
  <c r="J184" i="6" s="1"/>
  <c r="M184" i="6" s="1"/>
  <c r="L253" i="7"/>
  <c r="L36" i="8"/>
  <c r="O36" i="8" s="1"/>
  <c r="H36" i="6" s="1"/>
  <c r="L36" i="6" s="1"/>
  <c r="F69" i="6"/>
  <c r="J69" i="6" s="1"/>
  <c r="J72" i="8"/>
  <c r="M72" i="8" s="1"/>
  <c r="F72" i="6" s="1"/>
  <c r="J72" i="6" s="1"/>
  <c r="P105" i="8"/>
  <c r="P181" i="8"/>
  <c r="F181" i="6"/>
  <c r="J181" i="6" s="1"/>
  <c r="M181" i="6" s="1"/>
  <c r="L82" i="7"/>
  <c r="M82" i="7" s="1"/>
  <c r="M127" i="6"/>
  <c r="P93" i="8"/>
  <c r="G93" i="6"/>
  <c r="K93" i="6" s="1"/>
  <c r="M93" i="6" s="1"/>
  <c r="F2" i="6"/>
  <c r="J2" i="6" s="1"/>
  <c r="M2" i="6" s="1"/>
  <c r="M103" i="6"/>
  <c r="K77" i="8"/>
  <c r="N77" i="8" s="1"/>
  <c r="G77" i="6" s="1"/>
  <c r="K77" i="6" s="1"/>
  <c r="P166" i="8"/>
  <c r="L35" i="8"/>
  <c r="O35" i="8" s="1"/>
  <c r="H35" i="6" s="1"/>
  <c r="L35" i="6" s="1"/>
  <c r="J47" i="8"/>
  <c r="M47" i="8" s="1"/>
  <c r="M147" i="6"/>
  <c r="K48" i="8"/>
  <c r="N48" i="8" s="1"/>
  <c r="G48" i="6" s="1"/>
  <c r="K48" i="6" s="1"/>
  <c r="J51" i="8"/>
  <c r="M51" i="8" s="1"/>
  <c r="F51" i="6" s="1"/>
  <c r="J51" i="6" s="1"/>
  <c r="J57" i="8"/>
  <c r="M57" i="8" s="1"/>
  <c r="F57" i="6" s="1"/>
  <c r="J57" i="6" s="1"/>
  <c r="M57" i="6" s="1"/>
  <c r="M179" i="6"/>
  <c r="J168" i="8"/>
  <c r="M168" i="8" s="1"/>
  <c r="F168" i="6" s="1"/>
  <c r="J168" i="6" s="1"/>
  <c r="L111" i="8"/>
  <c r="O111" i="8" s="1"/>
  <c r="H111" i="6" s="1"/>
  <c r="L111" i="6" s="1"/>
  <c r="P151" i="8"/>
  <c r="J187" i="8"/>
  <c r="M187" i="8" s="1"/>
  <c r="F187" i="6" s="1"/>
  <c r="J187" i="6" s="1"/>
  <c r="M187" i="6" s="1"/>
  <c r="M97" i="6"/>
  <c r="M175" i="6"/>
  <c r="M180" i="6"/>
  <c r="P29" i="8"/>
  <c r="K40" i="8"/>
  <c r="N40" i="8" s="1"/>
  <c r="G40" i="6" s="1"/>
  <c r="K40" i="6" s="1"/>
  <c r="L49" i="8"/>
  <c r="O49" i="8" s="1"/>
  <c r="H49" i="6" s="1"/>
  <c r="L49" i="6" s="1"/>
  <c r="J55" i="8"/>
  <c r="M55" i="8" s="1"/>
  <c r="F55" i="6" s="1"/>
  <c r="J55" i="6" s="1"/>
  <c r="J107" i="8"/>
  <c r="M107" i="8" s="1"/>
  <c r="F107" i="6" s="1"/>
  <c r="J107" i="6" s="1"/>
  <c r="J125" i="8"/>
  <c r="M125" i="8" s="1"/>
  <c r="F125" i="6" s="1"/>
  <c r="J125" i="6" s="1"/>
  <c r="M125" i="6" s="1"/>
  <c r="P190" i="8"/>
  <c r="P167" i="8"/>
  <c r="W167" i="8" s="1"/>
  <c r="M133" i="6"/>
  <c r="K36" i="8"/>
  <c r="N36" i="8" s="1"/>
  <c r="G36" i="6" s="1"/>
  <c r="K36" i="6" s="1"/>
  <c r="J42" i="8"/>
  <c r="M42" i="8" s="1"/>
  <c r="F42" i="6" s="1"/>
  <c r="J42" i="6" s="1"/>
  <c r="P4" i="8"/>
  <c r="P173" i="8"/>
  <c r="M167" i="6"/>
  <c r="L55" i="8"/>
  <c r="O55" i="8" s="1"/>
  <c r="H55" i="6" s="1"/>
  <c r="L55" i="6" s="1"/>
  <c r="K61" i="8"/>
  <c r="N61" i="8" s="1"/>
  <c r="G61" i="6" s="1"/>
  <c r="K61" i="6" s="1"/>
  <c r="P71" i="8"/>
  <c r="K125" i="8"/>
  <c r="N125" i="8" s="1"/>
  <c r="G125" i="6" s="1"/>
  <c r="K125" i="6" s="1"/>
  <c r="P189" i="8"/>
  <c r="P132" i="8"/>
  <c r="K8" i="8"/>
  <c r="N8" i="8" s="1"/>
  <c r="G8" i="6" s="1"/>
  <c r="K8" i="6" s="1"/>
  <c r="P27" i="8"/>
  <c r="M177" i="6"/>
  <c r="K49" i="8"/>
  <c r="N49" i="8" s="1"/>
  <c r="G49" i="6" s="1"/>
  <c r="K49" i="6" s="1"/>
  <c r="L80" i="8"/>
  <c r="O80" i="8" s="1"/>
  <c r="H80" i="6" s="1"/>
  <c r="L80" i="6" s="1"/>
  <c r="L20" i="7"/>
  <c r="M20" i="7" s="1"/>
  <c r="L239" i="7"/>
  <c r="K42" i="8"/>
  <c r="N42" i="8" s="1"/>
  <c r="G42" i="6" s="1"/>
  <c r="K42" i="6" s="1"/>
  <c r="L66" i="8"/>
  <c r="O66" i="8" s="1"/>
  <c r="H66" i="6" s="1"/>
  <c r="L66" i="6" s="1"/>
  <c r="L83" i="8"/>
  <c r="O83" i="8" s="1"/>
  <c r="H83" i="6" s="1"/>
  <c r="L83" i="6" s="1"/>
  <c r="J88" i="8"/>
  <c r="M88" i="8" s="1"/>
  <c r="F88" i="6" s="1"/>
  <c r="J88" i="6" s="1"/>
  <c r="M88" i="6" s="1"/>
  <c r="L91" i="8"/>
  <c r="O91" i="8" s="1"/>
  <c r="H91" i="6" s="1"/>
  <c r="L91" i="6" s="1"/>
  <c r="L104" i="8"/>
  <c r="O104" i="8" s="1"/>
  <c r="H104" i="6" s="1"/>
  <c r="L104" i="6" s="1"/>
  <c r="P128" i="8"/>
  <c r="P144" i="8"/>
  <c r="P155" i="8"/>
  <c r="M143" i="6"/>
  <c r="K5" i="8"/>
  <c r="N5" i="8" s="1"/>
  <c r="G5" i="6" s="1"/>
  <c r="K5" i="6" s="1"/>
  <c r="L45" i="7"/>
  <c r="L168" i="7"/>
  <c r="M168" i="7" s="1"/>
  <c r="L149" i="7"/>
  <c r="M149" i="7" s="1"/>
  <c r="L90" i="7"/>
  <c r="M90" i="7" s="1"/>
  <c r="L127" i="7"/>
  <c r="M127" i="7" s="1"/>
  <c r="L166" i="7"/>
  <c r="M166" i="7" s="1"/>
  <c r="F22" i="6"/>
  <c r="J22" i="6" s="1"/>
  <c r="L101" i="7"/>
  <c r="M101" i="7" s="1"/>
  <c r="L76" i="7"/>
  <c r="M76" i="7" s="1"/>
  <c r="L97" i="7"/>
  <c r="M97" i="7" s="1"/>
  <c r="M138" i="6"/>
  <c r="L43" i="7"/>
  <c r="M43" i="7" s="1"/>
  <c r="L62" i="7"/>
  <c r="M62" i="7" s="1"/>
  <c r="L125" i="7"/>
  <c r="M125" i="7" s="1"/>
  <c r="L603" i="7"/>
  <c r="M603" i="7" s="1"/>
  <c r="L175" i="7"/>
  <c r="M175" i="7" s="1"/>
  <c r="M28" i="6"/>
  <c r="L104" i="7"/>
  <c r="M104" i="7" s="1"/>
  <c r="L156" i="7"/>
  <c r="M156" i="7" s="1"/>
  <c r="L202" i="7"/>
  <c r="M202" i="7" s="1"/>
  <c r="K22" i="8"/>
  <c r="N22" i="8" s="1"/>
  <c r="G22" i="6" s="1"/>
  <c r="K22" i="6" s="1"/>
  <c r="M155" i="6"/>
  <c r="J36" i="8"/>
  <c r="M36" i="8" s="1"/>
  <c r="L186" i="7"/>
  <c r="M186" i="7" s="1"/>
  <c r="L34" i="7"/>
  <c r="M34" i="7" s="1"/>
  <c r="M25" i="7"/>
  <c r="L444" i="7"/>
  <c r="M444" i="7" s="1"/>
  <c r="P179" i="8"/>
  <c r="L669" i="7"/>
  <c r="M669" i="7" s="1"/>
  <c r="M176" i="6"/>
  <c r="L14" i="7"/>
  <c r="M14" i="7" s="1"/>
  <c r="L406" i="7"/>
  <c r="L481" i="7"/>
  <c r="M481" i="7" s="1"/>
  <c r="L474" i="7"/>
  <c r="L184" i="7"/>
  <c r="M184" i="7" s="1"/>
  <c r="L281" i="7"/>
  <c r="I44" i="6"/>
  <c r="L499" i="7"/>
  <c r="M499" i="7" s="1"/>
  <c r="L99" i="7"/>
  <c r="M99" i="7" s="1"/>
  <c r="L200" i="7"/>
  <c r="M200" i="7" s="1"/>
  <c r="M154" i="6"/>
  <c r="M239" i="7"/>
  <c r="M123" i="6"/>
  <c r="F30" i="6"/>
  <c r="J30" i="6" s="1"/>
  <c r="M30" i="6" s="1"/>
  <c r="L41" i="7"/>
  <c r="M41" i="7" s="1"/>
  <c r="F19" i="6"/>
  <c r="J19" i="6" s="1"/>
  <c r="L88" i="7"/>
  <c r="M88" i="7" s="1"/>
  <c r="M166" i="6"/>
  <c r="L141" i="7"/>
  <c r="L30" i="7"/>
  <c r="M30" i="7" s="1"/>
  <c r="M209" i="7"/>
  <c r="L209" i="7"/>
  <c r="L92" i="7"/>
  <c r="M92" i="7" s="1"/>
  <c r="M172" i="6"/>
  <c r="M134" i="6"/>
  <c r="L794" i="7"/>
  <c r="M794" i="7" s="1"/>
  <c r="L36" i="7"/>
  <c r="M36" i="7" s="1"/>
  <c r="L60" i="7"/>
  <c r="L86" i="7"/>
  <c r="M86" i="7" s="1"/>
  <c r="L123" i="7"/>
  <c r="M123" i="7" s="1"/>
  <c r="L346" i="7"/>
  <c r="F65" i="6"/>
  <c r="J65" i="6" s="1"/>
  <c r="P182" i="8"/>
  <c r="F182" i="6"/>
  <c r="J182" i="6" s="1"/>
  <c r="M182" i="6" s="1"/>
  <c r="M146" i="7"/>
  <c r="J45" i="8"/>
  <c r="M45" i="8" s="1"/>
  <c r="P160" i="8"/>
  <c r="L188" i="7"/>
  <c r="M188" i="7" s="1"/>
  <c r="L305" i="7"/>
  <c r="M305" i="7" s="1"/>
  <c r="F35" i="6"/>
  <c r="J35" i="6" s="1"/>
  <c r="M69" i="6"/>
  <c r="M170" i="6"/>
  <c r="M189" i="6"/>
  <c r="L58" i="7"/>
  <c r="M58" i="7" s="1"/>
  <c r="L84" i="7"/>
  <c r="M84" i="7" s="1"/>
  <c r="L108" i="7"/>
  <c r="M108" i="7" s="1"/>
  <c r="F25" i="6"/>
  <c r="J25" i="6" s="1"/>
  <c r="L118" i="7"/>
  <c r="M118" i="7" s="1"/>
  <c r="L177" i="7"/>
  <c r="M177" i="7" s="1"/>
  <c r="L182" i="7"/>
  <c r="M182" i="7" s="1"/>
  <c r="L269" i="7"/>
  <c r="M269" i="7" s="1"/>
  <c r="P47" i="8"/>
  <c r="F47" i="6"/>
  <c r="J47" i="6" s="1"/>
  <c r="M47" i="6" s="1"/>
  <c r="L331" i="7"/>
  <c r="M331" i="7" s="1"/>
  <c r="L353" i="7"/>
  <c r="M353" i="7" s="1"/>
  <c r="L411" i="7"/>
  <c r="L211" i="7"/>
  <c r="M211" i="7" s="1"/>
  <c r="L386" i="7"/>
  <c r="M386" i="7" s="1"/>
  <c r="L54" i="7"/>
  <c r="M54" i="7" s="1"/>
  <c r="L158" i="7"/>
  <c r="W166" i="8"/>
  <c r="I166" i="6"/>
  <c r="L224" i="7"/>
  <c r="M224" i="7" s="1"/>
  <c r="M14" i="6"/>
  <c r="I30" i="6"/>
  <c r="F44" i="6"/>
  <c r="J44" i="6" s="1"/>
  <c r="M44" i="6" s="1"/>
  <c r="P23" i="8"/>
  <c r="F23" i="6"/>
  <c r="J23" i="6" s="1"/>
  <c r="M23" i="6" s="1"/>
  <c r="L388" i="7"/>
  <c r="M388" i="7" s="1"/>
  <c r="J59" i="8"/>
  <c r="M59" i="8" s="1"/>
  <c r="M140" i="6"/>
  <c r="M146" i="6"/>
  <c r="M157" i="6"/>
  <c r="M160" i="6"/>
  <c r="M60" i="7"/>
  <c r="P24" i="8"/>
  <c r="L241" i="7"/>
  <c r="M241" i="7" s="1"/>
  <c r="L307" i="7"/>
  <c r="M307" i="7" s="1"/>
  <c r="L501" i="7"/>
  <c r="M501" i="7" s="1"/>
  <c r="L657" i="7"/>
  <c r="M657" i="7" s="1"/>
  <c r="L472" i="7"/>
  <c r="M472" i="7" s="1"/>
  <c r="M173" i="6"/>
  <c r="L332" i="7"/>
  <c r="M332" i="7" s="1"/>
  <c r="L437" i="7"/>
  <c r="M437" i="7" s="1"/>
  <c r="W183" i="8"/>
  <c r="I183" i="6"/>
  <c r="L430" i="7"/>
  <c r="M430" i="7" s="1"/>
  <c r="P3" i="8"/>
  <c r="L9" i="7"/>
  <c r="M9" i="7" s="1"/>
  <c r="L11" i="7"/>
  <c r="M11" i="7" s="1"/>
  <c r="L15" i="7"/>
  <c r="M15" i="7" s="1"/>
  <c r="L28" i="7"/>
  <c r="M28" i="7" s="1"/>
  <c r="L102" i="7"/>
  <c r="M102" i="7" s="1"/>
  <c r="K24" i="8"/>
  <c r="N24" i="8" s="1"/>
  <c r="G24" i="6" s="1"/>
  <c r="K24" i="6" s="1"/>
  <c r="M24" i="6" s="1"/>
  <c r="L164" i="7"/>
  <c r="M164" i="7" s="1"/>
  <c r="L173" i="7"/>
  <c r="M173" i="7" s="1"/>
  <c r="J48" i="8"/>
  <c r="M48" i="8" s="1"/>
  <c r="L284" i="7"/>
  <c r="M284" i="7" s="1"/>
  <c r="L344" i="7"/>
  <c r="M344" i="7" s="1"/>
  <c r="L380" i="7"/>
  <c r="L435" i="7"/>
  <c r="M435" i="7" s="1"/>
  <c r="L570" i="7"/>
  <c r="M570" i="7" s="1"/>
  <c r="L572" i="7"/>
  <c r="M572" i="7" s="1"/>
  <c r="L579" i="7"/>
  <c r="M579" i="7" s="1"/>
  <c r="M64" i="6"/>
  <c r="L78" i="7"/>
  <c r="M78" i="7" s="1"/>
  <c r="L95" i="7"/>
  <c r="M95" i="7" s="1"/>
  <c r="L237" i="7"/>
  <c r="M237" i="7" s="1"/>
  <c r="L442" i="7"/>
  <c r="M442" i="7" s="1"/>
  <c r="P176" i="8"/>
  <c r="G176" i="6"/>
  <c r="K176" i="6" s="1"/>
  <c r="J33" i="8"/>
  <c r="M33" i="8" s="1"/>
  <c r="M150" i="6"/>
  <c r="M171" i="6"/>
  <c r="L7" i="7"/>
  <c r="M7" i="7" s="1"/>
  <c r="K6" i="8"/>
  <c r="N6" i="8" s="1"/>
  <c r="G6" i="6" s="1"/>
  <c r="K6" i="6" s="1"/>
  <c r="L26" i="7"/>
  <c r="M26" i="7" s="1"/>
  <c r="J9" i="8"/>
  <c r="M9" i="8" s="1"/>
  <c r="L74" i="7"/>
  <c r="M74" i="7" s="1"/>
  <c r="M91" i="7"/>
  <c r="L137" i="7"/>
  <c r="M137" i="7" s="1"/>
  <c r="L144" i="7"/>
  <c r="M144" i="7" s="1"/>
  <c r="L146" i="7"/>
  <c r="L148" i="7"/>
  <c r="M148" i="7" s="1"/>
  <c r="L150" i="7"/>
  <c r="M150" i="7" s="1"/>
  <c r="L162" i="7"/>
  <c r="M162" i="7" s="1"/>
  <c r="L171" i="7"/>
  <c r="M171" i="7" s="1"/>
  <c r="L249" i="7"/>
  <c r="M249" i="7" s="1"/>
  <c r="P46" i="8"/>
  <c r="G46" i="6"/>
  <c r="K46" i="6" s="1"/>
  <c r="M46" i="6" s="1"/>
  <c r="L289" i="7"/>
  <c r="M289" i="7" s="1"/>
  <c r="L397" i="7"/>
  <c r="M397" i="7" s="1"/>
  <c r="L563" i="7"/>
  <c r="M563" i="7" s="1"/>
  <c r="M70" i="6"/>
  <c r="L93" i="7"/>
  <c r="M93" i="7" s="1"/>
  <c r="L428" i="7"/>
  <c r="M428" i="7" s="1"/>
  <c r="I167" i="6"/>
  <c r="M96" i="6"/>
  <c r="I180" i="6"/>
  <c r="L5" i="7"/>
  <c r="M5" i="7" s="1"/>
  <c r="L13" i="7"/>
  <c r="M13" i="7" s="1"/>
  <c r="L57" i="7"/>
  <c r="M57" i="7" s="1"/>
  <c r="L61" i="7"/>
  <c r="M61" i="7" s="1"/>
  <c r="L63" i="7"/>
  <c r="M63" i="7" s="1"/>
  <c r="L91" i="7"/>
  <c r="L100" i="7"/>
  <c r="M100" i="7" s="1"/>
  <c r="J32" i="8"/>
  <c r="M32" i="8" s="1"/>
  <c r="L32" i="8"/>
  <c r="O32" i="8" s="1"/>
  <c r="H32" i="6" s="1"/>
  <c r="L32" i="6" s="1"/>
  <c r="L187" i="7"/>
  <c r="M187" i="7" s="1"/>
  <c r="L228" i="7"/>
  <c r="M228" i="7" s="1"/>
  <c r="L278" i="7"/>
  <c r="M278" i="7" s="1"/>
  <c r="L280" i="7"/>
  <c r="M280" i="7" s="1"/>
  <c r="L282" i="7"/>
  <c r="M282" i="7" s="1"/>
  <c r="J49" i="8"/>
  <c r="M49" i="8" s="1"/>
  <c r="L373" i="7"/>
  <c r="M373" i="7" s="1"/>
  <c r="M263" i="7"/>
  <c r="L263" i="7"/>
  <c r="K16" i="8"/>
  <c r="N16" i="8" s="1"/>
  <c r="G16" i="6" s="1"/>
  <c r="K16" i="6" s="1"/>
  <c r="M16" i="6" s="1"/>
  <c r="L121" i="7"/>
  <c r="M121" i="7" s="1"/>
  <c r="L251" i="7"/>
  <c r="M251" i="7" s="1"/>
  <c r="L24" i="7"/>
  <c r="M24" i="7" s="1"/>
  <c r="L51" i="7"/>
  <c r="M51" i="7" s="1"/>
  <c r="L53" i="7"/>
  <c r="M53" i="7" s="1"/>
  <c r="L55" i="7"/>
  <c r="M55" i="7" s="1"/>
  <c r="L72" i="7"/>
  <c r="M72" i="7" s="1"/>
  <c r="P21" i="8"/>
  <c r="L126" i="7"/>
  <c r="M126" i="7" s="1"/>
  <c r="L135" i="7"/>
  <c r="M135" i="7" s="1"/>
  <c r="K37" i="8"/>
  <c r="N37" i="8" s="1"/>
  <c r="G37" i="6" s="1"/>
  <c r="K37" i="6" s="1"/>
  <c r="L226" i="7"/>
  <c r="M226" i="7" s="1"/>
  <c r="L240" i="7"/>
  <c r="M240" i="7" s="1"/>
  <c r="L276" i="7"/>
  <c r="M276" i="7" s="1"/>
  <c r="L313" i="7"/>
  <c r="M313" i="7" s="1"/>
  <c r="L328" i="7"/>
  <c r="M328" i="7" s="1"/>
  <c r="L412" i="7"/>
  <c r="M412" i="7" s="1"/>
  <c r="P115" i="8"/>
  <c r="F115" i="6"/>
  <c r="J115" i="6" s="1"/>
  <c r="M115" i="6" s="1"/>
  <c r="L767" i="7"/>
  <c r="M767" i="7" s="1"/>
  <c r="M98" i="6"/>
  <c r="L207" i="7"/>
  <c r="M207" i="7" s="1"/>
  <c r="L291" i="7"/>
  <c r="M291" i="7" s="1"/>
  <c r="L426" i="7"/>
  <c r="M426" i="7" s="1"/>
  <c r="M68" i="6"/>
  <c r="M130" i="6"/>
  <c r="M3" i="7"/>
  <c r="L3" i="7"/>
  <c r="L49" i="7"/>
  <c r="M49" i="7" s="1"/>
  <c r="L59" i="7"/>
  <c r="M59" i="7" s="1"/>
  <c r="L70" i="7"/>
  <c r="M70" i="7" s="1"/>
  <c r="L87" i="7"/>
  <c r="M87" i="7" s="1"/>
  <c r="L98" i="7"/>
  <c r="M98" i="7" s="1"/>
  <c r="L160" i="7"/>
  <c r="M160" i="7" s="1"/>
  <c r="L169" i="7"/>
  <c r="M169" i="7" s="1"/>
  <c r="L215" i="7"/>
  <c r="M215" i="7" s="1"/>
  <c r="L222" i="7"/>
  <c r="M222" i="7" s="1"/>
  <c r="L392" i="7"/>
  <c r="L417" i="7"/>
  <c r="M417" i="7" s="1"/>
  <c r="L805" i="7"/>
  <c r="M805" i="7" s="1"/>
  <c r="L969" i="7"/>
  <c r="M969" i="7" s="1"/>
  <c r="L948" i="7"/>
  <c r="M948" i="7" s="1"/>
  <c r="L955" i="7"/>
  <c r="M955" i="7" s="1"/>
  <c r="L939" i="7"/>
  <c r="M939" i="7" s="1"/>
  <c r="L923" i="7"/>
  <c r="M923" i="7" s="1"/>
  <c r="L907" i="7"/>
  <c r="M907" i="7" s="1"/>
  <c r="L891" i="7"/>
  <c r="M891" i="7" s="1"/>
  <c r="L875" i="7"/>
  <c r="M875" i="7" s="1"/>
  <c r="L971" i="7"/>
  <c r="M971" i="7" s="1"/>
  <c r="L919" i="7"/>
  <c r="L913" i="7"/>
  <c r="M913" i="7" s="1"/>
  <c r="L911" i="7"/>
  <c r="M911" i="7" s="1"/>
  <c r="L903" i="7"/>
  <c r="M903" i="7" s="1"/>
  <c r="L862" i="7"/>
  <c r="M862" i="7" s="1"/>
  <c r="L849" i="7"/>
  <c r="M849" i="7" s="1"/>
  <c r="L820" i="7"/>
  <c r="M820" i="7" s="1"/>
  <c r="L804" i="7"/>
  <c r="M804" i="7" s="1"/>
  <c r="L788" i="7"/>
  <c r="M788" i="7" s="1"/>
  <c r="L975" i="7"/>
  <c r="L952" i="7"/>
  <c r="M952" i="7" s="1"/>
  <c r="L929" i="7"/>
  <c r="M929" i="7" s="1"/>
  <c r="L927" i="7"/>
  <c r="M927" i="7" s="1"/>
  <c r="L915" i="7"/>
  <c r="M915" i="7" s="1"/>
  <c r="L899" i="7"/>
  <c r="M899" i="7" s="1"/>
  <c r="L897" i="7"/>
  <c r="M897" i="7" s="1"/>
  <c r="L838" i="7"/>
  <c r="M838" i="7" s="1"/>
  <c r="L827" i="7"/>
  <c r="M827" i="7" s="1"/>
  <c r="L811" i="7"/>
  <c r="M811" i="7" s="1"/>
  <c r="L795" i="7"/>
  <c r="M795" i="7" s="1"/>
  <c r="L779" i="7"/>
  <c r="M779" i="7" s="1"/>
  <c r="L763" i="7"/>
  <c r="M763" i="7" s="1"/>
  <c r="L747" i="7"/>
  <c r="M747" i="7" s="1"/>
  <c r="L731" i="7"/>
  <c r="M731" i="7" s="1"/>
  <c r="L715" i="7"/>
  <c r="M715" i="7" s="1"/>
  <c r="L950" i="7"/>
  <c r="M950" i="7" s="1"/>
  <c r="L917" i="7"/>
  <c r="M917" i="7" s="1"/>
  <c r="L901" i="7"/>
  <c r="M901" i="7" s="1"/>
  <c r="L931" i="7"/>
  <c r="M931" i="7" s="1"/>
  <c r="L883" i="7"/>
  <c r="M883" i="7" s="1"/>
  <c r="L881" i="7"/>
  <c r="M881" i="7" s="1"/>
  <c r="L858" i="7"/>
  <c r="L933" i="7"/>
  <c r="M933" i="7" s="1"/>
  <c r="L885" i="7"/>
  <c r="M885" i="7" s="1"/>
  <c r="L856" i="7"/>
  <c r="M856" i="7" s="1"/>
  <c r="L843" i="7"/>
  <c r="M843" i="7" s="1"/>
  <c r="L834" i="7"/>
  <c r="M834" i="7" s="1"/>
  <c r="L816" i="7"/>
  <c r="M816" i="7" s="1"/>
  <c r="L800" i="7"/>
  <c r="M800" i="7" s="1"/>
  <c r="L784" i="7"/>
  <c r="M784" i="7" s="1"/>
  <c r="L768" i="7"/>
  <c r="M768" i="7" s="1"/>
  <c r="L752" i="7"/>
  <c r="M752" i="7" s="1"/>
  <c r="L736" i="7"/>
  <c r="M736" i="7" s="1"/>
  <c r="L720" i="7"/>
  <c r="M720" i="7" s="1"/>
  <c r="L704" i="7"/>
  <c r="M704" i="7" s="1"/>
  <c r="L688" i="7"/>
  <c r="M688" i="7" s="1"/>
  <c r="L672" i="7"/>
  <c r="M672" i="7" s="1"/>
  <c r="L656" i="7"/>
  <c r="M656" i="7" s="1"/>
  <c r="L942" i="7"/>
  <c r="M942" i="7" s="1"/>
  <c r="L932" i="7"/>
  <c r="L884" i="7"/>
  <c r="L878" i="7"/>
  <c r="M878" i="7" s="1"/>
  <c r="L824" i="7"/>
  <c r="M824" i="7" s="1"/>
  <c r="L808" i="7"/>
  <c r="M808" i="7" s="1"/>
  <c r="L792" i="7"/>
  <c r="M792" i="7" s="1"/>
  <c r="L776" i="7"/>
  <c r="M776" i="7" s="1"/>
  <c r="L760" i="7"/>
  <c r="M760" i="7" s="1"/>
  <c r="L744" i="7"/>
  <c r="M744" i="7" s="1"/>
  <c r="L728" i="7"/>
  <c r="M728" i="7" s="1"/>
  <c r="L712" i="7"/>
  <c r="M712" i="7" s="1"/>
  <c r="L696" i="7"/>
  <c r="M696" i="7" s="1"/>
  <c r="L680" i="7"/>
  <c r="M680" i="7" s="1"/>
  <c r="L664" i="7"/>
  <c r="M664" i="7" s="1"/>
  <c r="L870" i="7"/>
  <c r="M870" i="7" s="1"/>
  <c r="L813" i="7"/>
  <c r="M813" i="7" s="1"/>
  <c r="L801" i="7"/>
  <c r="M801" i="7" s="1"/>
  <c r="L793" i="7"/>
  <c r="L777" i="7"/>
  <c r="L769" i="7"/>
  <c r="M769" i="7" s="1"/>
  <c r="L651" i="7"/>
  <c r="M651" i="7" s="1"/>
  <c r="L982" i="7"/>
  <c r="M982" i="7" s="1"/>
  <c r="L880" i="7"/>
  <c r="M880" i="7" s="1"/>
  <c r="L817" i="7"/>
  <c r="M817" i="7" s="1"/>
  <c r="L809" i="7"/>
  <c r="L761" i="7"/>
  <c r="M761" i="7" s="1"/>
  <c r="L753" i="7"/>
  <c r="M753" i="7" s="1"/>
  <c r="L900" i="7"/>
  <c r="M900" i="7" s="1"/>
  <c r="L831" i="7"/>
  <c r="M831" i="7" s="1"/>
  <c r="L745" i="7"/>
  <c r="L739" i="7"/>
  <c r="M739" i="7" s="1"/>
  <c r="L737" i="7"/>
  <c r="M737" i="7" s="1"/>
  <c r="L725" i="7"/>
  <c r="M725" i="7" s="1"/>
  <c r="L717" i="7"/>
  <c r="M717" i="7" s="1"/>
  <c r="L682" i="7"/>
  <c r="M682" i="7" s="1"/>
  <c r="L676" i="7"/>
  <c r="M676" i="7" s="1"/>
  <c r="L972" i="7"/>
  <c r="M972" i="7" s="1"/>
  <c r="L949" i="7"/>
  <c r="M949" i="7" s="1"/>
  <c r="L906" i="7"/>
  <c r="M906" i="7" s="1"/>
  <c r="L904" i="7"/>
  <c r="M904" i="7" s="1"/>
  <c r="L825" i="7"/>
  <c r="L729" i="7"/>
  <c r="L723" i="7"/>
  <c r="M723" i="7" s="1"/>
  <c r="L721" i="7"/>
  <c r="M721" i="7" s="1"/>
  <c r="L709" i="7"/>
  <c r="M709" i="7" s="1"/>
  <c r="L668" i="7"/>
  <c r="M668" i="7" s="1"/>
  <c r="L662" i="7"/>
  <c r="L645" i="7"/>
  <c r="M645" i="7" s="1"/>
  <c r="L634" i="7"/>
  <c r="M634" i="7" s="1"/>
  <c r="L632" i="7"/>
  <c r="M632" i="7" s="1"/>
  <c r="L601" i="7"/>
  <c r="M601" i="7" s="1"/>
  <c r="L585" i="7"/>
  <c r="M585" i="7" s="1"/>
  <c r="L569" i="7"/>
  <c r="M569" i="7" s="1"/>
  <c r="L553" i="7"/>
  <c r="M553" i="7" s="1"/>
  <c r="L537" i="7"/>
  <c r="M537" i="7" s="1"/>
  <c r="L970" i="7"/>
  <c r="M970" i="7" s="1"/>
  <c r="L951" i="7"/>
  <c r="L910" i="7"/>
  <c r="M910" i="7" s="1"/>
  <c r="L902" i="7"/>
  <c r="M902" i="7" s="1"/>
  <c r="L839" i="7"/>
  <c r="M839" i="7" s="1"/>
  <c r="L837" i="7"/>
  <c r="M837" i="7" s="1"/>
  <c r="L835" i="7"/>
  <c r="M835" i="7" s="1"/>
  <c r="L713" i="7"/>
  <c r="L707" i="7"/>
  <c r="M707" i="7" s="1"/>
  <c r="L701" i="7"/>
  <c r="M701" i="7" s="1"/>
  <c r="L643" i="7"/>
  <c r="M643" i="7" s="1"/>
  <c r="L630" i="7"/>
  <c r="M630" i="7" s="1"/>
  <c r="L619" i="7"/>
  <c r="M619" i="7" s="1"/>
  <c r="L608" i="7"/>
  <c r="M608" i="7" s="1"/>
  <c r="L592" i="7"/>
  <c r="M592" i="7" s="1"/>
  <c r="L576" i="7"/>
  <c r="M576" i="7" s="1"/>
  <c r="L560" i="7"/>
  <c r="M560" i="7" s="1"/>
  <c r="L544" i="7"/>
  <c r="M544" i="7" s="1"/>
  <c r="L528" i="7"/>
  <c r="M528" i="7" s="1"/>
  <c r="L512" i="7"/>
  <c r="M512" i="7" s="1"/>
  <c r="L496" i="7"/>
  <c r="M496" i="7" s="1"/>
  <c r="L480" i="7"/>
  <c r="M480" i="7" s="1"/>
  <c r="L705" i="7"/>
  <c r="M705" i="7" s="1"/>
  <c r="L864" i="7"/>
  <c r="L699" i="7"/>
  <c r="M699" i="7" s="1"/>
  <c r="L918" i="7"/>
  <c r="M918" i="7" s="1"/>
  <c r="L859" i="7"/>
  <c r="M859" i="7" s="1"/>
  <c r="L667" i="7"/>
  <c r="M667" i="7" s="1"/>
  <c r="L677" i="7"/>
  <c r="M677" i="7" s="1"/>
  <c r="L640" i="7"/>
  <c r="M640" i="7" s="1"/>
  <c r="L627" i="7"/>
  <c r="M627" i="7" s="1"/>
  <c r="L581" i="7"/>
  <c r="M581" i="7" s="1"/>
  <c r="L575" i="7"/>
  <c r="L573" i="7"/>
  <c r="M573" i="7" s="1"/>
  <c r="L534" i="7"/>
  <c r="M534" i="7" s="1"/>
  <c r="L530" i="7"/>
  <c r="M530" i="7" s="1"/>
  <c r="L518" i="7"/>
  <c r="M518" i="7" s="1"/>
  <c r="L934" i="7"/>
  <c r="M934" i="7" s="1"/>
  <c r="L853" i="7"/>
  <c r="M853" i="7" s="1"/>
  <c r="L844" i="7"/>
  <c r="M844" i="7" s="1"/>
  <c r="L828" i="7"/>
  <c r="M828" i="7" s="1"/>
  <c r="L826" i="7"/>
  <c r="M826" i="7" s="1"/>
  <c r="L787" i="7"/>
  <c r="M787" i="7" s="1"/>
  <c r="L785" i="7"/>
  <c r="M785" i="7" s="1"/>
  <c r="L716" i="7"/>
  <c r="M716" i="7" s="1"/>
  <c r="L846" i="7"/>
  <c r="M846" i="7" s="1"/>
  <c r="L789" i="7"/>
  <c r="M789" i="7" s="1"/>
  <c r="L698" i="7"/>
  <c r="M698" i="7" s="1"/>
  <c r="L577" i="7"/>
  <c r="M577" i="7" s="1"/>
  <c r="L540" i="7"/>
  <c r="L538" i="7"/>
  <c r="M538" i="7" s="1"/>
  <c r="L522" i="7"/>
  <c r="M522" i="7" s="1"/>
  <c r="L508" i="7"/>
  <c r="M508" i="7" s="1"/>
  <c r="L857" i="7"/>
  <c r="M857" i="7" s="1"/>
  <c r="L772" i="7"/>
  <c r="M772" i="7" s="1"/>
  <c r="L740" i="7"/>
  <c r="M740" i="7" s="1"/>
  <c r="L702" i="7"/>
  <c r="L685" i="7"/>
  <c r="L681" i="7"/>
  <c r="L616" i="7"/>
  <c r="L614" i="7"/>
  <c r="M614" i="7" s="1"/>
  <c r="L610" i="7"/>
  <c r="M610" i="7" s="1"/>
  <c r="L550" i="7"/>
  <c r="M550" i="7" s="1"/>
  <c r="L546" i="7"/>
  <c r="L506" i="7"/>
  <c r="M506" i="7" s="1"/>
  <c r="L498" i="7"/>
  <c r="M498" i="7" s="1"/>
  <c r="L453" i="7"/>
  <c r="M453" i="7" s="1"/>
  <c r="L848" i="7"/>
  <c r="M848" i="7" s="1"/>
  <c r="L683" i="7"/>
  <c r="M683" i="7" s="1"/>
  <c r="L589" i="7"/>
  <c r="M589" i="7" s="1"/>
  <c r="L492" i="7"/>
  <c r="M492" i="7" s="1"/>
  <c r="L486" i="7"/>
  <c r="M486" i="7" s="1"/>
  <c r="L440" i="7"/>
  <c r="M440" i="7" s="1"/>
  <c r="L431" i="7"/>
  <c r="M431" i="7" s="1"/>
  <c r="L420" i="7"/>
  <c r="M420" i="7" s="1"/>
  <c r="L926" i="7"/>
  <c r="M926" i="7" s="1"/>
  <c r="L797" i="7"/>
  <c r="M797" i="7" s="1"/>
  <c r="L633" i="7"/>
  <c r="L867" i="7"/>
  <c r="L865" i="7"/>
  <c r="M865" i="7" s="1"/>
  <c r="L822" i="7"/>
  <c r="M822" i="7" s="1"/>
  <c r="L756" i="7"/>
  <c r="M756" i="7" s="1"/>
  <c r="L730" i="7"/>
  <c r="M730" i="7" s="1"/>
  <c r="L609" i="7"/>
  <c r="M609" i="7" s="1"/>
  <c r="L588" i="7"/>
  <c r="M588" i="7" s="1"/>
  <c r="L586" i="7"/>
  <c r="M586" i="7" s="1"/>
  <c r="L545" i="7"/>
  <c r="M545" i="7" s="1"/>
  <c r="L497" i="7"/>
  <c r="M497" i="7" s="1"/>
  <c r="L916" i="7"/>
  <c r="M916" i="7" s="1"/>
  <c r="L886" i="7"/>
  <c r="M886" i="7" s="1"/>
  <c r="L840" i="7"/>
  <c r="M840" i="7" s="1"/>
  <c r="L557" i="7"/>
  <c r="M557" i="7" s="1"/>
  <c r="L489" i="7"/>
  <c r="M489" i="7" s="1"/>
  <c r="L477" i="7"/>
  <c r="M477" i="7" s="1"/>
  <c r="L607" i="7"/>
  <c r="M607" i="7" s="1"/>
  <c r="L605" i="7"/>
  <c r="M605" i="7" s="1"/>
  <c r="L598" i="7"/>
  <c r="M598" i="7" s="1"/>
  <c r="L507" i="7"/>
  <c r="L404" i="7"/>
  <c r="M404" i="7" s="1"/>
  <c r="L869" i="7"/>
  <c r="M869" i="7" s="1"/>
  <c r="L694" i="7"/>
  <c r="M694" i="7" s="1"/>
  <c r="L692" i="7"/>
  <c r="M692" i="7" s="1"/>
  <c r="L511" i="7"/>
  <c r="L509" i="7"/>
  <c r="M509" i="7" s="1"/>
  <c r="L427" i="7"/>
  <c r="M427" i="7" s="1"/>
  <c r="L402" i="7"/>
  <c r="L376" i="7"/>
  <c r="M376" i="7" s="1"/>
  <c r="L367" i="7"/>
  <c r="L351" i="7"/>
  <c r="M351" i="7" s="1"/>
  <c r="L335" i="7"/>
  <c r="M335" i="7" s="1"/>
  <c r="L319" i="7"/>
  <c r="M319" i="7" s="1"/>
  <c r="L638" i="7"/>
  <c r="M638" i="7" s="1"/>
  <c r="L400" i="7"/>
  <c r="M400" i="7" s="1"/>
  <c r="L781" i="7"/>
  <c r="L665" i="7"/>
  <c r="L622" i="7"/>
  <c r="L613" i="7"/>
  <c r="M613" i="7" s="1"/>
  <c r="L611" i="7"/>
  <c r="M611" i="7" s="1"/>
  <c r="L562" i="7"/>
  <c r="M562" i="7" s="1"/>
  <c r="L517" i="7"/>
  <c r="L515" i="7"/>
  <c r="L513" i="7"/>
  <c r="M513" i="7" s="1"/>
  <c r="L454" i="7"/>
  <c r="L452" i="7"/>
  <c r="M452" i="7" s="1"/>
  <c r="L450" i="7"/>
  <c r="L425" i="7"/>
  <c r="M425" i="7" s="1"/>
  <c r="L421" i="7"/>
  <c r="M421" i="7" s="1"/>
  <c r="L398" i="7"/>
  <c r="M398" i="7" s="1"/>
  <c r="L385" i="7"/>
  <c r="M385" i="7" s="1"/>
  <c r="L365" i="7"/>
  <c r="L852" i="7"/>
  <c r="M852" i="7" s="1"/>
  <c r="L653" i="7"/>
  <c r="M653" i="7" s="1"/>
  <c r="L624" i="7"/>
  <c r="M624" i="7" s="1"/>
  <c r="L620" i="7"/>
  <c r="M620" i="7" s="1"/>
  <c r="L491" i="7"/>
  <c r="M491" i="7" s="1"/>
  <c r="L473" i="7"/>
  <c r="L460" i="7"/>
  <c r="M460" i="7" s="1"/>
  <c r="L419" i="7"/>
  <c r="M419" i="7" s="1"/>
  <c r="L396" i="7"/>
  <c r="M396" i="7" s="1"/>
  <c r="L372" i="7"/>
  <c r="M372" i="7" s="1"/>
  <c r="L356" i="7"/>
  <c r="M356" i="7" s="1"/>
  <c r="L340" i="7"/>
  <c r="M340" i="7" s="1"/>
  <c r="L324" i="7"/>
  <c r="M324" i="7" s="1"/>
  <c r="L765" i="7"/>
  <c r="M765" i="7" s="1"/>
  <c r="L448" i="7"/>
  <c r="M448" i="7" s="1"/>
  <c r="L446" i="7"/>
  <c r="L625" i="7"/>
  <c r="M625" i="7" s="1"/>
  <c r="L561" i="7"/>
  <c r="M561" i="7" s="1"/>
  <c r="L457" i="7"/>
  <c r="M457" i="7" s="1"/>
  <c r="L449" i="7"/>
  <c r="M449" i="7" s="1"/>
  <c r="L384" i="7"/>
  <c r="M384" i="7" s="1"/>
  <c r="L874" i="7"/>
  <c r="M874" i="7" s="1"/>
  <c r="L762" i="7"/>
  <c r="M762" i="7" s="1"/>
  <c r="L697" i="7"/>
  <c r="L529" i="7"/>
  <c r="M529" i="7" s="1"/>
  <c r="L416" i="7"/>
  <c r="M416" i="7" s="1"/>
  <c r="L851" i="7"/>
  <c r="M851" i="7" s="1"/>
  <c r="L812" i="7"/>
  <c r="L637" i="7"/>
  <c r="M637" i="7" s="1"/>
  <c r="L635" i="7"/>
  <c r="M635" i="7" s="1"/>
  <c r="L578" i="7"/>
  <c r="M578" i="7" s="1"/>
  <c r="L493" i="7"/>
  <c r="M493" i="7" s="1"/>
  <c r="L483" i="7"/>
  <c r="M483" i="7" s="1"/>
  <c r="L436" i="7"/>
  <c r="M436" i="7" s="1"/>
  <c r="L399" i="7"/>
  <c r="M399" i="7" s="1"/>
  <c r="L377" i="7"/>
  <c r="M377" i="7" s="1"/>
  <c r="L362" i="7"/>
  <c r="M362" i="7" s="1"/>
  <c r="L337" i="7"/>
  <c r="M337" i="7" s="1"/>
  <c r="L279" i="7"/>
  <c r="M279" i="7" s="1"/>
  <c r="L238" i="7"/>
  <c r="M238" i="7" s="1"/>
  <c r="L234" i="7"/>
  <c r="M234" i="7" s="1"/>
  <c r="L225" i="7"/>
  <c r="M225" i="7" s="1"/>
  <c r="L205" i="7"/>
  <c r="M205" i="7" s="1"/>
  <c r="L194" i="7"/>
  <c r="L165" i="7"/>
  <c r="M165" i="7" s="1"/>
  <c r="L147" i="7"/>
  <c r="M147" i="7" s="1"/>
  <c r="L131" i="7"/>
  <c r="M131" i="7" s="1"/>
  <c r="L689" i="7"/>
  <c r="M689" i="7" s="1"/>
  <c r="L675" i="7"/>
  <c r="M675" i="7" s="1"/>
  <c r="L673" i="7"/>
  <c r="M673" i="7" s="1"/>
  <c r="L525" i="7"/>
  <c r="M525" i="7" s="1"/>
  <c r="L495" i="7"/>
  <c r="M495" i="7" s="1"/>
  <c r="L464" i="7"/>
  <c r="M464" i="7" s="1"/>
  <c r="L379" i="7"/>
  <c r="M379" i="7" s="1"/>
  <c r="L262" i="7"/>
  <c r="M262" i="7" s="1"/>
  <c r="L247" i="7"/>
  <c r="M247" i="7" s="1"/>
  <c r="L214" i="7"/>
  <c r="M214" i="7" s="1"/>
  <c r="L183" i="7"/>
  <c r="M183" i="7" s="1"/>
  <c r="L174" i="7"/>
  <c r="M174" i="7" s="1"/>
  <c r="L154" i="7"/>
  <c r="M154" i="7" s="1"/>
  <c r="L138" i="7"/>
  <c r="M138" i="7" s="1"/>
  <c r="L122" i="7"/>
  <c r="M122" i="7" s="1"/>
  <c r="L106" i="7"/>
  <c r="M106" i="7" s="1"/>
  <c r="L764" i="7"/>
  <c r="M764" i="7" s="1"/>
  <c r="L527" i="7"/>
  <c r="M527" i="7" s="1"/>
  <c r="L485" i="7"/>
  <c r="L432" i="7"/>
  <c r="M432" i="7" s="1"/>
  <c r="L341" i="7"/>
  <c r="M341" i="7" s="1"/>
  <c r="L277" i="7"/>
  <c r="M277" i="7" s="1"/>
  <c r="L872" i="7"/>
  <c r="M872" i="7" s="1"/>
  <c r="L345" i="7"/>
  <c r="L308" i="7"/>
  <c r="M308" i="7" s="1"/>
  <c r="L292" i="7"/>
  <c r="M292" i="7" s="1"/>
  <c r="L260" i="7"/>
  <c r="M260" i="7" s="1"/>
  <c r="L245" i="7"/>
  <c r="M245" i="7" s="1"/>
  <c r="L212" i="7"/>
  <c r="M212" i="7" s="1"/>
  <c r="L594" i="7"/>
  <c r="M594" i="7" s="1"/>
  <c r="L543" i="7"/>
  <c r="M543" i="7" s="1"/>
  <c r="L541" i="7"/>
  <c r="M541" i="7" s="1"/>
  <c r="L304" i="7"/>
  <c r="M304" i="7" s="1"/>
  <c r="L288" i="7"/>
  <c r="M288" i="7" s="1"/>
  <c r="L271" i="7"/>
  <c r="M271" i="7" s="1"/>
  <c r="L256" i="7"/>
  <c r="M256" i="7" s="1"/>
  <c r="L243" i="7"/>
  <c r="M243" i="7" s="1"/>
  <c r="L230" i="7"/>
  <c r="M230" i="7" s="1"/>
  <c r="L221" i="7"/>
  <c r="M221" i="7" s="1"/>
  <c r="L210" i="7"/>
  <c r="L199" i="7"/>
  <c r="M199" i="7" s="1"/>
  <c r="L190" i="7"/>
  <c r="M190" i="7" s="1"/>
  <c r="L143" i="7"/>
  <c r="M143" i="7" s="1"/>
  <c r="L780" i="7"/>
  <c r="L724" i="7"/>
  <c r="M724" i="7" s="1"/>
  <c r="L349" i="7"/>
  <c r="M349" i="7" s="1"/>
  <c r="L854" i="7"/>
  <c r="M854" i="7" s="1"/>
  <c r="L369" i="7"/>
  <c r="M369" i="7" s="1"/>
  <c r="L321" i="7"/>
  <c r="M321" i="7" s="1"/>
  <c r="L303" i="7"/>
  <c r="M303" i="7" s="1"/>
  <c r="L244" i="7"/>
  <c r="M244" i="7" s="1"/>
  <c r="L180" i="7"/>
  <c r="M180" i="7" s="1"/>
  <c r="L593" i="7"/>
  <c r="M593" i="7" s="1"/>
  <c r="L521" i="7"/>
  <c r="M521" i="7" s="1"/>
  <c r="L325" i="7"/>
  <c r="M325" i="7" s="1"/>
  <c r="L441" i="7"/>
  <c r="M441" i="7" s="1"/>
  <c r="L361" i="7"/>
  <c r="M361" i="7" s="1"/>
  <c r="L336" i="7"/>
  <c r="M336" i="7" s="1"/>
  <c r="L334" i="7"/>
  <c r="M334" i="7" s="1"/>
  <c r="L250" i="7"/>
  <c r="L130" i="7"/>
  <c r="M130" i="7" s="1"/>
  <c r="L128" i="7"/>
  <c r="M128" i="7" s="1"/>
  <c r="L89" i="7"/>
  <c r="M89" i="7" s="1"/>
  <c r="L83" i="7"/>
  <c r="M83" i="7" s="1"/>
  <c r="L77" i="7"/>
  <c r="L52" i="7"/>
  <c r="M52" i="7" s="1"/>
  <c r="L31" i="7"/>
  <c r="M31" i="7" s="1"/>
  <c r="L29" i="7"/>
  <c r="M29" i="7" s="1"/>
  <c r="L27" i="7"/>
  <c r="M27" i="7" s="1"/>
  <c r="L350" i="7"/>
  <c r="M350" i="7" s="1"/>
  <c r="L338" i="7"/>
  <c r="L227" i="7"/>
  <c r="M227" i="7" s="1"/>
  <c r="L132" i="7"/>
  <c r="M132" i="7" s="1"/>
  <c r="L109" i="7"/>
  <c r="L107" i="7"/>
  <c r="M107" i="7" s="1"/>
  <c r="L105" i="7"/>
  <c r="M105" i="7" s="1"/>
  <c r="L79" i="7"/>
  <c r="M79" i="7" s="1"/>
  <c r="L75" i="7"/>
  <c r="M75" i="7" s="1"/>
  <c r="L50" i="7"/>
  <c r="M50" i="7" s="1"/>
  <c r="L21" i="7"/>
  <c r="M21" i="7" s="1"/>
  <c r="L10" i="7"/>
  <c r="M10" i="7" s="1"/>
  <c r="L8" i="7"/>
  <c r="M8" i="7" s="1"/>
  <c r="L408" i="7"/>
  <c r="M408" i="7" s="1"/>
  <c r="L317" i="7"/>
  <c r="M317" i="7" s="1"/>
  <c r="L301" i="7"/>
  <c r="M301" i="7" s="1"/>
  <c r="L259" i="7"/>
  <c r="M259" i="7" s="1"/>
  <c r="L48" i="7"/>
  <c r="M48" i="7" s="1"/>
  <c r="L621" i="7"/>
  <c r="L566" i="7"/>
  <c r="L533" i="7"/>
  <c r="L470" i="7"/>
  <c r="L285" i="7"/>
  <c r="M285" i="7" s="1"/>
  <c r="L265" i="7"/>
  <c r="M265" i="7" s="1"/>
  <c r="L233" i="7"/>
  <c r="M233" i="7" s="1"/>
  <c r="L231" i="7"/>
  <c r="M231" i="7" s="1"/>
  <c r="L197" i="7"/>
  <c r="M197" i="7" s="1"/>
  <c r="L176" i="7"/>
  <c r="M176" i="7" s="1"/>
  <c r="L155" i="7"/>
  <c r="M155" i="7" s="1"/>
  <c r="L140" i="7"/>
  <c r="M140" i="7" s="1"/>
  <c r="L111" i="7"/>
  <c r="M111" i="7" s="1"/>
  <c r="L73" i="7"/>
  <c r="M73" i="7" s="1"/>
  <c r="L46" i="7"/>
  <c r="M46" i="7" s="1"/>
  <c r="L44" i="7"/>
  <c r="M44" i="7" s="1"/>
  <c r="L19" i="7"/>
  <c r="L773" i="7"/>
  <c r="M773" i="7" s="1"/>
  <c r="L549" i="7"/>
  <c r="L547" i="7"/>
  <c r="M547" i="7" s="1"/>
  <c r="L422" i="7"/>
  <c r="L354" i="7"/>
  <c r="L254" i="7"/>
  <c r="M254" i="7" s="1"/>
  <c r="L216" i="7"/>
  <c r="M216" i="7" s="1"/>
  <c r="L193" i="7"/>
  <c r="M193" i="7" s="1"/>
  <c r="L191" i="7"/>
  <c r="M191" i="7" s="1"/>
  <c r="L115" i="7"/>
  <c r="M115" i="7" s="1"/>
  <c r="L67" i="7"/>
  <c r="M67" i="7" s="1"/>
  <c r="L42" i="7"/>
  <c r="M42" i="7" s="1"/>
  <c r="L40" i="7"/>
  <c r="M40" i="7" s="1"/>
  <c r="L4" i="7"/>
  <c r="M4" i="7" s="1"/>
  <c r="L523" i="7"/>
  <c r="L465" i="7"/>
  <c r="M465" i="7" s="1"/>
  <c r="L272" i="7"/>
  <c r="M272" i="7" s="1"/>
  <c r="L261" i="7"/>
  <c r="M261" i="7" s="1"/>
  <c r="L2" i="7"/>
  <c r="M2" i="7" s="1"/>
  <c r="L758" i="7"/>
  <c r="M758" i="7" s="1"/>
  <c r="L309" i="7"/>
  <c r="M309" i="7" s="1"/>
  <c r="L295" i="7"/>
  <c r="M295" i="7" s="1"/>
  <c r="L293" i="7"/>
  <c r="M293" i="7" s="1"/>
  <c r="L286" i="7"/>
  <c r="M286" i="7" s="1"/>
  <c r="L264" i="7"/>
  <c r="M264" i="7" s="1"/>
  <c r="L217" i="7"/>
  <c r="M217" i="7" s="1"/>
  <c r="L196" i="7"/>
  <c r="M196" i="7" s="1"/>
  <c r="L139" i="7"/>
  <c r="M139" i="7" s="1"/>
  <c r="L114" i="7"/>
  <c r="M114" i="7" s="1"/>
  <c r="L112" i="7"/>
  <c r="M112" i="7" s="1"/>
  <c r="L66" i="7"/>
  <c r="M66" i="7" s="1"/>
  <c r="L37" i="7"/>
  <c r="M37" i="7" s="1"/>
  <c r="L16" i="7"/>
  <c r="M16" i="7" s="1"/>
  <c r="L505" i="7"/>
  <c r="M505" i="7" s="1"/>
  <c r="L64" i="7"/>
  <c r="M64" i="7" s="1"/>
  <c r="M19" i="7"/>
  <c r="L48" i="8"/>
  <c r="O48" i="8" s="1"/>
  <c r="H48" i="6" s="1"/>
  <c r="L48" i="6" s="1"/>
  <c r="M153" i="6"/>
  <c r="L22" i="7"/>
  <c r="L33" i="7"/>
  <c r="L35" i="7"/>
  <c r="M35" i="7" s="1"/>
  <c r="L47" i="7"/>
  <c r="M47" i="7" s="1"/>
  <c r="L68" i="7"/>
  <c r="M68" i="7" s="1"/>
  <c r="L85" i="7"/>
  <c r="M85" i="7" s="1"/>
  <c r="L96" i="7"/>
  <c r="M96" i="7" s="1"/>
  <c r="L110" i="7"/>
  <c r="M110" i="7" s="1"/>
  <c r="L124" i="7"/>
  <c r="M124" i="7" s="1"/>
  <c r="L185" i="7"/>
  <c r="M185" i="7" s="1"/>
  <c r="L311" i="7"/>
  <c r="M311" i="7" s="1"/>
  <c r="L359" i="7"/>
  <c r="M359" i="7" s="1"/>
  <c r="L390" i="7"/>
  <c r="M390" i="7" s="1"/>
  <c r="L410" i="7"/>
  <c r="M410" i="7" s="1"/>
  <c r="M748" i="7"/>
  <c r="M799" i="7"/>
  <c r="L799" i="7"/>
  <c r="M50" i="6"/>
  <c r="M102" i="6"/>
  <c r="M22" i="7"/>
  <c r="M33" i="7"/>
  <c r="K7" i="8"/>
  <c r="N7" i="8" s="1"/>
  <c r="G7" i="6" s="1"/>
  <c r="K7" i="6" s="1"/>
  <c r="M7" i="6" s="1"/>
  <c r="K12" i="8"/>
  <c r="N12" i="8" s="1"/>
  <c r="G12" i="6" s="1"/>
  <c r="K12" i="6" s="1"/>
  <c r="M12" i="6" s="1"/>
  <c r="L94" i="7"/>
  <c r="M94" i="7" s="1"/>
  <c r="L103" i="7"/>
  <c r="M103" i="7" s="1"/>
  <c r="L133" i="7"/>
  <c r="M133" i="7" s="1"/>
  <c r="M158" i="7"/>
  <c r="M167" i="7"/>
  <c r="L167" i="7"/>
  <c r="L195" i="7"/>
  <c r="M195" i="7" s="1"/>
  <c r="L204" i="7"/>
  <c r="M204" i="7" s="1"/>
  <c r="L206" i="7"/>
  <c r="M206" i="7" s="1"/>
  <c r="L208" i="7"/>
  <c r="M208" i="7" s="1"/>
  <c r="L213" i="7"/>
  <c r="M213" i="7" s="1"/>
  <c r="L220" i="7"/>
  <c r="M220" i="7" s="1"/>
  <c r="L274" i="7"/>
  <c r="M274" i="7" s="1"/>
  <c r="L333" i="7"/>
  <c r="M333" i="7" s="1"/>
  <c r="L357" i="7"/>
  <c r="M357" i="7" s="1"/>
  <c r="W67" i="8"/>
  <c r="I67" i="6"/>
  <c r="L748" i="7"/>
  <c r="J6" i="8"/>
  <c r="M6" i="8" s="1"/>
  <c r="L120" i="7"/>
  <c r="M120" i="7" s="1"/>
  <c r="L255" i="7"/>
  <c r="M255" i="7" s="1"/>
  <c r="K45" i="8"/>
  <c r="N45" i="8" s="1"/>
  <c r="G45" i="6" s="1"/>
  <c r="K45" i="6" s="1"/>
  <c r="L302" i="7"/>
  <c r="M302" i="7" s="1"/>
  <c r="M318" i="7"/>
  <c r="L318" i="7"/>
  <c r="M330" i="7"/>
  <c r="L330" i="7"/>
  <c r="L355" i="7"/>
  <c r="M355" i="7" s="1"/>
  <c r="L39" i="7"/>
  <c r="M39" i="7" s="1"/>
  <c r="M45" i="7"/>
  <c r="M141" i="7"/>
  <c r="L179" i="7"/>
  <c r="M179" i="7" s="1"/>
  <c r="M198" i="7"/>
  <c r="L198" i="7"/>
  <c r="M253" i="7"/>
  <c r="L266" i="7"/>
  <c r="M266" i="7" s="1"/>
  <c r="L378" i="7"/>
  <c r="M378" i="7" s="1"/>
  <c r="L439" i="7"/>
  <c r="M439" i="7" s="1"/>
  <c r="P77" i="8"/>
  <c r="J82" i="8"/>
  <c r="M82" i="8" s="1"/>
  <c r="P123" i="8"/>
  <c r="L796" i="7"/>
  <c r="M796" i="7" s="1"/>
  <c r="M830" i="7"/>
  <c r="L842" i="7"/>
  <c r="M842" i="7" s="1"/>
  <c r="L65" i="7"/>
  <c r="M65" i="7" s="1"/>
  <c r="L142" i="7"/>
  <c r="M142" i="7" s="1"/>
  <c r="J39" i="8"/>
  <c r="M39" i="8" s="1"/>
  <c r="M218" i="7"/>
  <c r="L218" i="7"/>
  <c r="J41" i="8"/>
  <c r="M41" i="8" s="1"/>
  <c r="M287" i="7"/>
  <c r="L287" i="7"/>
  <c r="L342" i="7"/>
  <c r="M342" i="7" s="1"/>
  <c r="M354" i="7"/>
  <c r="M365" i="7"/>
  <c r="M540" i="7"/>
  <c r="M549" i="7"/>
  <c r="L554" i="7"/>
  <c r="M554" i="7" s="1"/>
  <c r="L568" i="7"/>
  <c r="M568" i="7" s="1"/>
  <c r="L650" i="7"/>
  <c r="M650" i="7" s="1"/>
  <c r="L863" i="7"/>
  <c r="M863" i="7" s="1"/>
  <c r="J5" i="8"/>
  <c r="M5" i="8" s="1"/>
  <c r="L17" i="7"/>
  <c r="M17" i="7" s="1"/>
  <c r="L38" i="7"/>
  <c r="M38" i="7" s="1"/>
  <c r="K25" i="8"/>
  <c r="N25" i="8" s="1"/>
  <c r="G25" i="6" s="1"/>
  <c r="K25" i="6" s="1"/>
  <c r="L119" i="7"/>
  <c r="M119" i="7" s="1"/>
  <c r="L33" i="8"/>
  <c r="O33" i="8" s="1"/>
  <c r="H33" i="6" s="1"/>
  <c r="L33" i="6" s="1"/>
  <c r="J34" i="8"/>
  <c r="M34" i="8" s="1"/>
  <c r="M161" i="7"/>
  <c r="L235" i="7"/>
  <c r="M235" i="7" s="1"/>
  <c r="L415" i="7"/>
  <c r="M415" i="7" s="1"/>
  <c r="L445" i="7"/>
  <c r="M445" i="7" s="1"/>
  <c r="M470" i="7"/>
  <c r="M533" i="7"/>
  <c r="L559" i="7"/>
  <c r="M559" i="7" s="1"/>
  <c r="M566" i="7"/>
  <c r="L597" i="7"/>
  <c r="M597" i="7" s="1"/>
  <c r="L868" i="7"/>
  <c r="M868" i="7" s="1"/>
  <c r="L178" i="7"/>
  <c r="M178" i="7" s="1"/>
  <c r="L270" i="7"/>
  <c r="M270" i="7" s="1"/>
  <c r="J56" i="8"/>
  <c r="M56" i="8" s="1"/>
  <c r="L329" i="7"/>
  <c r="M329" i="7" s="1"/>
  <c r="L455" i="7"/>
  <c r="M455" i="7" s="1"/>
  <c r="K78" i="8"/>
  <c r="N78" i="8" s="1"/>
  <c r="G78" i="6" s="1"/>
  <c r="K78" i="6" s="1"/>
  <c r="L475" i="7"/>
  <c r="M475" i="7" s="1"/>
  <c r="L487" i="7"/>
  <c r="M487" i="7" s="1"/>
  <c r="L648" i="7"/>
  <c r="M648" i="7" s="1"/>
  <c r="L749" i="7"/>
  <c r="M749" i="7" s="1"/>
  <c r="L6" i="7"/>
  <c r="M6" i="7" s="1"/>
  <c r="L25" i="7"/>
  <c r="L69" i="7"/>
  <c r="M69" i="7" s="1"/>
  <c r="L71" i="7"/>
  <c r="M71" i="7" s="1"/>
  <c r="P18" i="8"/>
  <c r="M109" i="7"/>
  <c r="L117" i="7"/>
  <c r="M117" i="7" s="1"/>
  <c r="J31" i="8"/>
  <c r="M31" i="8" s="1"/>
  <c r="L136" i="7"/>
  <c r="M136" i="7" s="1"/>
  <c r="L153" i="7"/>
  <c r="M153" i="7" s="1"/>
  <c r="L157" i="7"/>
  <c r="M157" i="7" s="1"/>
  <c r="L159" i="7"/>
  <c r="M159" i="7" s="1"/>
  <c r="L189" i="7"/>
  <c r="M189" i="7" s="1"/>
  <c r="L246" i="7"/>
  <c r="M246" i="7" s="1"/>
  <c r="L248" i="7"/>
  <c r="M248" i="7" s="1"/>
  <c r="L252" i="7"/>
  <c r="M252" i="7" s="1"/>
  <c r="M338" i="7"/>
  <c r="M345" i="7"/>
  <c r="L352" i="7"/>
  <c r="M352" i="7" s="1"/>
  <c r="L363" i="7"/>
  <c r="M363" i="7" s="1"/>
  <c r="L368" i="7"/>
  <c r="M368" i="7" s="1"/>
  <c r="M382" i="7"/>
  <c r="L382" i="7"/>
  <c r="L389" i="7"/>
  <c r="M389" i="7" s="1"/>
  <c r="L391" i="7"/>
  <c r="M391" i="7" s="1"/>
  <c r="L393" i="7"/>
  <c r="M393" i="7" s="1"/>
  <c r="L413" i="7"/>
  <c r="M413" i="7" s="1"/>
  <c r="L443" i="7"/>
  <c r="M443" i="7" s="1"/>
  <c r="J78" i="8"/>
  <c r="M78" i="8" s="1"/>
  <c r="L463" i="7"/>
  <c r="M463" i="7" s="1"/>
  <c r="L646" i="7"/>
  <c r="M646" i="7" s="1"/>
  <c r="M697" i="7"/>
  <c r="M94" i="6"/>
  <c r="L23" i="7"/>
  <c r="M23" i="7" s="1"/>
  <c r="M77" i="7"/>
  <c r="L81" i="7"/>
  <c r="M81" i="7" s="1"/>
  <c r="L134" i="7"/>
  <c r="M134" i="7" s="1"/>
  <c r="K33" i="8"/>
  <c r="N33" i="8" s="1"/>
  <c r="G33" i="6" s="1"/>
  <c r="K33" i="6" s="1"/>
  <c r="L229" i="7"/>
  <c r="M229" i="7" s="1"/>
  <c r="M250" i="7"/>
  <c r="L283" i="7"/>
  <c r="M283" i="7"/>
  <c r="L299" i="7"/>
  <c r="M299" i="7" s="1"/>
  <c r="L315" i="7"/>
  <c r="M315" i="7" s="1"/>
  <c r="L458" i="7"/>
  <c r="M458" i="7" s="1"/>
  <c r="L468" i="7"/>
  <c r="M468" i="7"/>
  <c r="L726" i="7"/>
  <c r="M726" i="7" s="1"/>
  <c r="M142" i="6"/>
  <c r="M158" i="6"/>
  <c r="M174" i="6"/>
  <c r="M190" i="6"/>
  <c r="M56" i="7"/>
  <c r="K10" i="8"/>
  <c r="N10" i="8" s="1"/>
  <c r="G10" i="6" s="1"/>
  <c r="K10" i="6" s="1"/>
  <c r="M10" i="6" s="1"/>
  <c r="K19" i="8"/>
  <c r="N19" i="8" s="1"/>
  <c r="G19" i="6" s="1"/>
  <c r="K19" i="6" s="1"/>
  <c r="K26" i="8"/>
  <c r="N26" i="8" s="1"/>
  <c r="G26" i="6" s="1"/>
  <c r="K26" i="6" s="1"/>
  <c r="M26" i="6" s="1"/>
  <c r="L151" i="7"/>
  <c r="M151" i="7" s="1"/>
  <c r="L34" i="8"/>
  <c r="O34" i="8" s="1"/>
  <c r="H34" i="6" s="1"/>
  <c r="L34" i="6" s="1"/>
  <c r="K38" i="8"/>
  <c r="N38" i="8" s="1"/>
  <c r="G38" i="6" s="1"/>
  <c r="K38" i="6" s="1"/>
  <c r="L257" i="7"/>
  <c r="M257" i="7" s="1"/>
  <c r="M281" i="7"/>
  <c r="L320" i="7"/>
  <c r="M320" i="7" s="1"/>
  <c r="M327" i="7"/>
  <c r="L327" i="7"/>
  <c r="M366" i="7"/>
  <c r="L366" i="7"/>
  <c r="L375" i="7"/>
  <c r="M375" i="7" s="1"/>
  <c r="M380" i="7"/>
  <c r="M387" i="7"/>
  <c r="M406" i="7"/>
  <c r="M411" i="7"/>
  <c r="L531" i="7"/>
  <c r="M531" i="7" s="1"/>
  <c r="L268" i="7"/>
  <c r="M268" i="7" s="1"/>
  <c r="K51" i="8"/>
  <c r="N51" i="8" s="1"/>
  <c r="G51" i="6" s="1"/>
  <c r="K51" i="6" s="1"/>
  <c r="M51" i="6" s="1"/>
  <c r="K55" i="8"/>
  <c r="N55" i="8" s="1"/>
  <c r="G55" i="6" s="1"/>
  <c r="K55" i="6" s="1"/>
  <c r="M55" i="6" s="1"/>
  <c r="L58" i="8"/>
  <c r="O58" i="8" s="1"/>
  <c r="H58" i="6" s="1"/>
  <c r="L58" i="6" s="1"/>
  <c r="L348" i="7"/>
  <c r="M348" i="7" s="1"/>
  <c r="M367" i="7"/>
  <c r="K62" i="8"/>
  <c r="N62" i="8" s="1"/>
  <c r="G62" i="6" s="1"/>
  <c r="K62" i="6" s="1"/>
  <c r="M62" i="6" s="1"/>
  <c r="L424" i="7"/>
  <c r="M424" i="7" s="1"/>
  <c r="L746" i="7"/>
  <c r="M746" i="7" s="1"/>
  <c r="L861" i="7"/>
  <c r="M861" i="7"/>
  <c r="K35" i="8"/>
  <c r="N35" i="8" s="1"/>
  <c r="G35" i="6" s="1"/>
  <c r="K35" i="6" s="1"/>
  <c r="L242" i="7"/>
  <c r="M242" i="7" s="1"/>
  <c r="L42" i="8"/>
  <c r="O42" i="8" s="1"/>
  <c r="H42" i="6" s="1"/>
  <c r="L42" i="6" s="1"/>
  <c r="P54" i="8"/>
  <c r="L323" i="7"/>
  <c r="M323" i="7" s="1"/>
  <c r="K58" i="8"/>
  <c r="N58" i="8" s="1"/>
  <c r="G58" i="6" s="1"/>
  <c r="K58" i="6" s="1"/>
  <c r="M346" i="7"/>
  <c r="L371" i="7"/>
  <c r="M371" i="7" s="1"/>
  <c r="M422" i="7"/>
  <c r="K75" i="8"/>
  <c r="N75" i="8" s="1"/>
  <c r="G75" i="6" s="1"/>
  <c r="K75" i="6" s="1"/>
  <c r="M450" i="7"/>
  <c r="L467" i="7"/>
  <c r="M467" i="7" s="1"/>
  <c r="L479" i="7"/>
  <c r="M479" i="7" s="1"/>
  <c r="M514" i="7"/>
  <c r="J90" i="8"/>
  <c r="M90" i="8" s="1"/>
  <c r="L574" i="7"/>
  <c r="M574" i="7" s="1"/>
  <c r="L595" i="7"/>
  <c r="M595" i="7" s="1"/>
  <c r="L628" i="7"/>
  <c r="M628" i="7" s="1"/>
  <c r="L732" i="7"/>
  <c r="M732" i="7" s="1"/>
  <c r="M210" i="7"/>
  <c r="L219" i="7"/>
  <c r="M219" i="7" s="1"/>
  <c r="L267" i="7"/>
  <c r="M267" i="7" s="1"/>
  <c r="L326" i="7"/>
  <c r="M326" i="7" s="1"/>
  <c r="L409" i="7"/>
  <c r="M409" i="7" s="1"/>
  <c r="J73" i="8"/>
  <c r="M73" i="8" s="1"/>
  <c r="L451" i="7"/>
  <c r="M451" i="7" s="1"/>
  <c r="L461" i="7"/>
  <c r="M461" i="7" s="1"/>
  <c r="M515" i="7"/>
  <c r="K89" i="8"/>
  <c r="N89" i="8" s="1"/>
  <c r="G89" i="6" s="1"/>
  <c r="K89" i="6" s="1"/>
  <c r="J37" i="8"/>
  <c r="M37" i="8" s="1"/>
  <c r="L37" i="8"/>
  <c r="O37" i="8" s="1"/>
  <c r="H37" i="6" s="1"/>
  <c r="L37" i="6" s="1"/>
  <c r="J52" i="8"/>
  <c r="M52" i="8" s="1"/>
  <c r="L347" i="7"/>
  <c r="M347" i="7" s="1"/>
  <c r="L383" i="7"/>
  <c r="M383" i="7" s="1"/>
  <c r="J75" i="8"/>
  <c r="M75" i="8" s="1"/>
  <c r="K80" i="8"/>
  <c r="N80" i="8" s="1"/>
  <c r="G80" i="6" s="1"/>
  <c r="K80" i="6" s="1"/>
  <c r="L693" i="7"/>
  <c r="M693" i="7" s="1"/>
  <c r="L710" i="7"/>
  <c r="M710" i="7" s="1"/>
  <c r="L766" i="7"/>
  <c r="M766" i="7" s="1"/>
  <c r="L778" i="7"/>
  <c r="M778" i="7" s="1"/>
  <c r="P139" i="8"/>
  <c r="L914" i="7"/>
  <c r="M914" i="7" s="1"/>
  <c r="L152" i="7"/>
  <c r="M152" i="7" s="1"/>
  <c r="L161" i="7"/>
  <c r="L170" i="7"/>
  <c r="M170" i="7" s="1"/>
  <c r="L181" i="7"/>
  <c r="M181" i="7" s="1"/>
  <c r="L258" i="7"/>
  <c r="M258" i="7" s="1"/>
  <c r="L294" i="7"/>
  <c r="L296" i="7"/>
  <c r="M296" i="7" s="1"/>
  <c r="M298" i="7"/>
  <c r="L300" i="7"/>
  <c r="M300" i="7" s="1"/>
  <c r="M306" i="7"/>
  <c r="L310" i="7"/>
  <c r="M310" i="7" s="1"/>
  <c r="L312" i="7"/>
  <c r="L316" i="7"/>
  <c r="M316" i="7" s="1"/>
  <c r="L322" i="7"/>
  <c r="M322" i="7" s="1"/>
  <c r="L370" i="7"/>
  <c r="M370" i="7" s="1"/>
  <c r="L76" i="8"/>
  <c r="O76" i="8" s="1"/>
  <c r="H76" i="6" s="1"/>
  <c r="L76" i="6" s="1"/>
  <c r="L466" i="7"/>
  <c r="M466" i="7" s="1"/>
  <c r="J86" i="8"/>
  <c r="M86" i="8" s="1"/>
  <c r="L114" i="8"/>
  <c r="O114" i="8" s="1"/>
  <c r="H114" i="6" s="1"/>
  <c r="L114" i="6" s="1"/>
  <c r="L790" i="7"/>
  <c r="M790" i="7" s="1"/>
  <c r="L113" i="7"/>
  <c r="M113" i="7" s="1"/>
  <c r="L129" i="7"/>
  <c r="M129" i="7" s="1"/>
  <c r="L145" i="7"/>
  <c r="M145" i="7" s="1"/>
  <c r="L163" i="7"/>
  <c r="M163" i="7" s="1"/>
  <c r="L172" i="7"/>
  <c r="M172" i="7" s="1"/>
  <c r="L192" i="7"/>
  <c r="M192" i="7" s="1"/>
  <c r="L201" i="7"/>
  <c r="M201" i="7" s="1"/>
  <c r="J38" i="8"/>
  <c r="M38" i="8" s="1"/>
  <c r="L223" i="7"/>
  <c r="M223" i="7" s="1"/>
  <c r="L232" i="7"/>
  <c r="M232" i="7" s="1"/>
  <c r="L41" i="8"/>
  <c r="O41" i="8" s="1"/>
  <c r="H41" i="6" s="1"/>
  <c r="L41" i="6" s="1"/>
  <c r="L273" i="7"/>
  <c r="M273" i="7" s="1"/>
  <c r="L275" i="7"/>
  <c r="M275" i="7" s="1"/>
  <c r="L290" i="7"/>
  <c r="M290" i="7" s="1"/>
  <c r="M294" i="7"/>
  <c r="L298" i="7"/>
  <c r="L306" i="7"/>
  <c r="M312" i="7"/>
  <c r="L314" i="7"/>
  <c r="M314" i="7" s="1"/>
  <c r="L343" i="7"/>
  <c r="M343" i="7" s="1"/>
  <c r="L60" i="8"/>
  <c r="O60" i="8" s="1"/>
  <c r="H60" i="6" s="1"/>
  <c r="L60" i="6" s="1"/>
  <c r="J61" i="8"/>
  <c r="M61" i="8" s="1"/>
  <c r="L364" i="7"/>
  <c r="M364" i="7" s="1"/>
  <c r="K63" i="8"/>
  <c r="N63" i="8" s="1"/>
  <c r="G63" i="6" s="1"/>
  <c r="K63" i="6" s="1"/>
  <c r="L381" i="7"/>
  <c r="M381" i="7" s="1"/>
  <c r="L401" i="7"/>
  <c r="M401" i="7" s="1"/>
  <c r="L403" i="7"/>
  <c r="M403" i="7" s="1"/>
  <c r="L405" i="7"/>
  <c r="M405" i="7" s="1"/>
  <c r="L407" i="7"/>
  <c r="M407" i="7" s="1"/>
  <c r="L414" i="7"/>
  <c r="M414" i="7" s="1"/>
  <c r="L434" i="7"/>
  <c r="M434" i="7" s="1"/>
  <c r="L447" i="7"/>
  <c r="M447" i="7" s="1"/>
  <c r="M454" i="7"/>
  <c r="J81" i="8"/>
  <c r="M81" i="8" s="1"/>
  <c r="L639" i="7"/>
  <c r="M639" i="7" s="1"/>
  <c r="K20" i="8"/>
  <c r="N20" i="8" s="1"/>
  <c r="G20" i="6" s="1"/>
  <c r="K20" i="6" s="1"/>
  <c r="M20" i="6" s="1"/>
  <c r="K32" i="8"/>
  <c r="N32" i="8" s="1"/>
  <c r="G32" i="6" s="1"/>
  <c r="K32" i="6" s="1"/>
  <c r="M194" i="7"/>
  <c r="L203" i="7"/>
  <c r="M203" i="7" s="1"/>
  <c r="K39" i="8"/>
  <c r="N39" i="8" s="1"/>
  <c r="G39" i="6" s="1"/>
  <c r="K39" i="6" s="1"/>
  <c r="K41" i="8"/>
  <c r="N41" i="8" s="1"/>
  <c r="G41" i="6" s="1"/>
  <c r="K41" i="6" s="1"/>
  <c r="K57" i="8"/>
  <c r="N57" i="8" s="1"/>
  <c r="G57" i="6" s="1"/>
  <c r="K57" i="6" s="1"/>
  <c r="L339" i="7"/>
  <c r="M339" i="7" s="1"/>
  <c r="J60" i="8"/>
  <c r="M60" i="8" s="1"/>
  <c r="L360" i="7"/>
  <c r="M360" i="7" s="1"/>
  <c r="J66" i="8"/>
  <c r="M66" i="8" s="1"/>
  <c r="L394" i="7"/>
  <c r="M394" i="7" s="1"/>
  <c r="K74" i="8"/>
  <c r="N74" i="8" s="1"/>
  <c r="G74" i="6" s="1"/>
  <c r="K74" i="6" s="1"/>
  <c r="L476" i="7"/>
  <c r="M476" i="7" s="1"/>
  <c r="L691" i="7"/>
  <c r="M691" i="7" s="1"/>
  <c r="L236" i="7"/>
  <c r="M236" i="7" s="1"/>
  <c r="L59" i="8"/>
  <c r="O59" i="8" s="1"/>
  <c r="H59" i="6" s="1"/>
  <c r="L59" i="6" s="1"/>
  <c r="L358" i="7"/>
  <c r="M358" i="7" s="1"/>
  <c r="M392" i="7"/>
  <c r="K72" i="8"/>
  <c r="N72" i="8" s="1"/>
  <c r="G72" i="6" s="1"/>
  <c r="K72" i="6" s="1"/>
  <c r="M72" i="6" s="1"/>
  <c r="K76" i="8"/>
  <c r="N76" i="8" s="1"/>
  <c r="G76" i="6" s="1"/>
  <c r="K76" i="6" s="1"/>
  <c r="M474" i="7"/>
  <c r="M523" i="7"/>
  <c r="L890" i="7"/>
  <c r="M890" i="7" s="1"/>
  <c r="L395" i="7"/>
  <c r="M395" i="7" s="1"/>
  <c r="L459" i="7"/>
  <c r="L503" i="7"/>
  <c r="M503" i="7" s="1"/>
  <c r="J85" i="8"/>
  <c r="M85" i="8" s="1"/>
  <c r="M556" i="7"/>
  <c r="L556" i="7"/>
  <c r="L565" i="7"/>
  <c r="M565" i="7" s="1"/>
  <c r="J117" i="8"/>
  <c r="M117" i="8" s="1"/>
  <c r="L771" i="7"/>
  <c r="M771" i="7" s="1"/>
  <c r="L810" i="7"/>
  <c r="M810" i="7" s="1"/>
  <c r="L879" i="7"/>
  <c r="M879" i="7" s="1"/>
  <c r="L418" i="7"/>
  <c r="M418" i="7" s="1"/>
  <c r="M459" i="7"/>
  <c r="M485" i="7"/>
  <c r="L490" i="7"/>
  <c r="M490" i="7" s="1"/>
  <c r="M621" i="7"/>
  <c r="L623" i="7"/>
  <c r="M623" i="7" s="1"/>
  <c r="L652" i="7"/>
  <c r="M652" i="7" s="1"/>
  <c r="M780" i="7"/>
  <c r="L803" i="7"/>
  <c r="M803" i="7" s="1"/>
  <c r="J74" i="8"/>
  <c r="M74" i="8" s="1"/>
  <c r="L438" i="7"/>
  <c r="M438" i="7" s="1"/>
  <c r="M473" i="7"/>
  <c r="M519" i="7"/>
  <c r="L539" i="7"/>
  <c r="M539" i="7" s="1"/>
  <c r="L591" i="7"/>
  <c r="M591" i="7" s="1"/>
  <c r="M722" i="7"/>
  <c r="L722" i="7"/>
  <c r="L754" i="7"/>
  <c r="M754" i="7" s="1"/>
  <c r="L783" i="7"/>
  <c r="M783" i="7" s="1"/>
  <c r="L818" i="7"/>
  <c r="M818" i="7" s="1"/>
  <c r="K56" i="8"/>
  <c r="N56" i="8" s="1"/>
  <c r="G56" i="6" s="1"/>
  <c r="K56" i="6" s="1"/>
  <c r="K60" i="8"/>
  <c r="N60" i="8" s="1"/>
  <c r="G60" i="6" s="1"/>
  <c r="K60" i="6" s="1"/>
  <c r="J63" i="8"/>
  <c r="M63" i="8" s="1"/>
  <c r="K65" i="8"/>
  <c r="N65" i="8" s="1"/>
  <c r="G65" i="6" s="1"/>
  <c r="K65" i="6" s="1"/>
  <c r="L456" i="7"/>
  <c r="M456" i="7" s="1"/>
  <c r="M462" i="7"/>
  <c r="L462" i="7"/>
  <c r="M517" i="7"/>
  <c r="L564" i="7"/>
  <c r="M564" i="7" s="1"/>
  <c r="P94" i="8"/>
  <c r="L584" i="7"/>
  <c r="M584" i="7" s="1"/>
  <c r="M622" i="7"/>
  <c r="L626" i="7"/>
  <c r="M626" i="7"/>
  <c r="L110" i="8"/>
  <c r="O110" i="8" s="1"/>
  <c r="H110" i="6" s="1"/>
  <c r="L110" i="6" s="1"/>
  <c r="M665" i="7"/>
  <c r="M781" i="7"/>
  <c r="L964" i="7"/>
  <c r="M964" i="7" s="1"/>
  <c r="P14" i="8"/>
  <c r="L423" i="7"/>
  <c r="M423" i="7" s="1"/>
  <c r="J79" i="8"/>
  <c r="M79" i="8" s="1"/>
  <c r="K104" i="8"/>
  <c r="N104" i="8" s="1"/>
  <c r="G104" i="6" s="1"/>
  <c r="K104" i="6" s="1"/>
  <c r="J120" i="8"/>
  <c r="M120" i="8" s="1"/>
  <c r="P125" i="8"/>
  <c r="L850" i="7"/>
  <c r="M850" i="7" s="1"/>
  <c r="L888" i="7"/>
  <c r="M888" i="7" s="1"/>
  <c r="L966" i="7"/>
  <c r="M966" i="7" s="1"/>
  <c r="L981" i="7"/>
  <c r="M981" i="7" s="1"/>
  <c r="L374" i="7"/>
  <c r="M374" i="7" s="1"/>
  <c r="L387" i="7"/>
  <c r="M402" i="7"/>
  <c r="L471" i="7"/>
  <c r="M471" i="7" s="1"/>
  <c r="M511" i="7"/>
  <c r="L524" i="7"/>
  <c r="M524" i="7" s="1"/>
  <c r="L582" i="7"/>
  <c r="M582" i="7" s="1"/>
  <c r="L618" i="7"/>
  <c r="M618" i="7" s="1"/>
  <c r="L636" i="7"/>
  <c r="M636" i="7" s="1"/>
  <c r="L976" i="7"/>
  <c r="M976" i="7" s="1"/>
  <c r="M433" i="7"/>
  <c r="L75" i="8"/>
  <c r="O75" i="8" s="1"/>
  <c r="H75" i="6" s="1"/>
  <c r="L75" i="6" s="1"/>
  <c r="M482" i="7"/>
  <c r="L482" i="7"/>
  <c r="M507" i="7"/>
  <c r="L706" i="7"/>
  <c r="M706" i="7"/>
  <c r="L786" i="7"/>
  <c r="M786" i="7" s="1"/>
  <c r="L814" i="7"/>
  <c r="M814" i="7" s="1"/>
  <c r="K66" i="8"/>
  <c r="N66" i="8" s="1"/>
  <c r="G66" i="6" s="1"/>
  <c r="K66" i="6" s="1"/>
  <c r="M429" i="7"/>
  <c r="L429" i="7"/>
  <c r="L433" i="7"/>
  <c r="J76" i="8"/>
  <c r="M76" i="8" s="1"/>
  <c r="L469" i="7"/>
  <c r="M469" i="7" s="1"/>
  <c r="K81" i="8"/>
  <c r="N81" i="8" s="1"/>
  <c r="G81" i="6" s="1"/>
  <c r="K81" i="6" s="1"/>
  <c r="L580" i="7"/>
  <c r="M580" i="7" s="1"/>
  <c r="L596" i="7"/>
  <c r="M596" i="7" s="1"/>
  <c r="L734" i="7"/>
  <c r="M734" i="7" s="1"/>
  <c r="L750" i="7"/>
  <c r="M750" i="7" s="1"/>
  <c r="M812" i="7"/>
  <c r="K82" i="8"/>
  <c r="N82" i="8" s="1"/>
  <c r="G82" i="6" s="1"/>
  <c r="K82" i="6" s="1"/>
  <c r="L555" i="7"/>
  <c r="M555" i="7" s="1"/>
  <c r="L590" i="7"/>
  <c r="M590" i="7" s="1"/>
  <c r="L671" i="7"/>
  <c r="M671" i="7" s="1"/>
  <c r="J116" i="8"/>
  <c r="M116" i="8" s="1"/>
  <c r="L775" i="7"/>
  <c r="M775" i="7" s="1"/>
  <c r="L798" i="7"/>
  <c r="M798" i="7" s="1"/>
  <c r="M867" i="7"/>
  <c r="P175" i="8"/>
  <c r="J83" i="8"/>
  <c r="M83" i="8" s="1"/>
  <c r="J84" i="8"/>
  <c r="M84" i="8" s="1"/>
  <c r="J89" i="8"/>
  <c r="M89" i="8" s="1"/>
  <c r="K107" i="8"/>
  <c r="N107" i="8" s="1"/>
  <c r="G107" i="6" s="1"/>
  <c r="K107" i="6" s="1"/>
  <c r="M107" i="6" s="1"/>
  <c r="J112" i="8"/>
  <c r="M112" i="8" s="1"/>
  <c r="L684" i="7"/>
  <c r="M684" i="7" s="1"/>
  <c r="L686" i="7"/>
  <c r="M686" i="7" s="1"/>
  <c r="L708" i="7"/>
  <c r="M708" i="7" s="1"/>
  <c r="L478" i="7"/>
  <c r="M478" i="7" s="1"/>
  <c r="L488" i="7"/>
  <c r="M488" i="7" s="1"/>
  <c r="M558" i="7"/>
  <c r="L558" i="7"/>
  <c r="L644" i="7"/>
  <c r="M644" i="7" s="1"/>
  <c r="L687" i="7"/>
  <c r="M687" i="7" s="1"/>
  <c r="L905" i="7"/>
  <c r="M905" i="7" s="1"/>
  <c r="L484" i="7"/>
  <c r="M484" i="7" s="1"/>
  <c r="K84" i="8"/>
  <c r="N84" i="8" s="1"/>
  <c r="G84" i="6" s="1"/>
  <c r="K84" i="6" s="1"/>
  <c r="M546" i="7"/>
  <c r="L552" i="7"/>
  <c r="M552" i="7" s="1"/>
  <c r="L587" i="7"/>
  <c r="M587" i="7" s="1"/>
  <c r="J108" i="8"/>
  <c r="M108" i="8" s="1"/>
  <c r="M616" i="7"/>
  <c r="L661" i="7"/>
  <c r="M661" i="7" s="1"/>
  <c r="M681" i="7"/>
  <c r="M685" i="7"/>
  <c r="L757" i="7"/>
  <c r="M757" i="7" s="1"/>
  <c r="L791" i="7"/>
  <c r="M791" i="7" s="1"/>
  <c r="M896" i="7"/>
  <c r="L924" i="7"/>
  <c r="M924" i="7" s="1"/>
  <c r="L494" i="7"/>
  <c r="M494" i="7" s="1"/>
  <c r="L504" i="7"/>
  <c r="M504" i="7" s="1"/>
  <c r="L548" i="7"/>
  <c r="M548" i="7" s="1"/>
  <c r="L612" i="7"/>
  <c r="M612" i="7" s="1"/>
  <c r="M700" i="7"/>
  <c r="L742" i="7"/>
  <c r="M742" i="7" s="1"/>
  <c r="L774" i="7"/>
  <c r="M774" i="7" s="1"/>
  <c r="L832" i="7"/>
  <c r="M832" i="7" s="1"/>
  <c r="L896" i="7"/>
  <c r="L958" i="7"/>
  <c r="M958" i="7" s="1"/>
  <c r="L963" i="7"/>
  <c r="M963" i="7" s="1"/>
  <c r="L500" i="7"/>
  <c r="M500" i="7" s="1"/>
  <c r="L502" i="7"/>
  <c r="M502" i="7" s="1"/>
  <c r="L86" i="8"/>
  <c r="O86" i="8" s="1"/>
  <c r="H86" i="6" s="1"/>
  <c r="L86" i="6" s="1"/>
  <c r="L542" i="7"/>
  <c r="M542" i="7" s="1"/>
  <c r="J91" i="8"/>
  <c r="M91" i="8" s="1"/>
  <c r="L602" i="7"/>
  <c r="M602" i="7" s="1"/>
  <c r="L604" i="7"/>
  <c r="M604" i="7" s="1"/>
  <c r="L606" i="7"/>
  <c r="M606" i="7" s="1"/>
  <c r="M629" i="7"/>
  <c r="M659" i="7"/>
  <c r="L700" i="7"/>
  <c r="L770" i="7"/>
  <c r="M770" i="7" s="1"/>
  <c r="L830" i="7"/>
  <c r="P138" i="8"/>
  <c r="P145" i="8"/>
  <c r="L922" i="7"/>
  <c r="M446" i="7"/>
  <c r="L510" i="7"/>
  <c r="M510" i="7" s="1"/>
  <c r="L514" i="7"/>
  <c r="L520" i="7"/>
  <c r="M520" i="7" s="1"/>
  <c r="L536" i="7"/>
  <c r="M536" i="7" s="1"/>
  <c r="K90" i="8"/>
  <c r="N90" i="8" s="1"/>
  <c r="G90" i="6" s="1"/>
  <c r="K90" i="6" s="1"/>
  <c r="M575" i="7"/>
  <c r="J109" i="8"/>
  <c r="M109" i="8" s="1"/>
  <c r="L629" i="7"/>
  <c r="J110" i="8"/>
  <c r="M110" i="8" s="1"/>
  <c r="L642" i="7"/>
  <c r="M642" i="7" s="1"/>
  <c r="L659" i="7"/>
  <c r="L679" i="7"/>
  <c r="M679" i="7" s="1"/>
  <c r="L714" i="7"/>
  <c r="M714" i="7" s="1"/>
  <c r="L718" i="7"/>
  <c r="M718" i="7" s="1"/>
  <c r="L738" i="7"/>
  <c r="M738" i="7" s="1"/>
  <c r="L806" i="7"/>
  <c r="M806" i="7" s="1"/>
  <c r="L855" i="7"/>
  <c r="M855" i="7" s="1"/>
  <c r="P148" i="8"/>
  <c r="L894" i="7"/>
  <c r="M894" i="7" s="1"/>
  <c r="L920" i="7"/>
  <c r="M920" i="7" s="1"/>
  <c r="M922" i="7"/>
  <c r="L936" i="7"/>
  <c r="M936" i="7" s="1"/>
  <c r="L938" i="7"/>
  <c r="M938" i="7" s="1"/>
  <c r="K168" i="8"/>
  <c r="N168" i="8" s="1"/>
  <c r="G168" i="6" s="1"/>
  <c r="K168" i="6" s="1"/>
  <c r="M168" i="6" s="1"/>
  <c r="P12" i="8"/>
  <c r="P53" i="8"/>
  <c r="J80" i="8"/>
  <c r="M80" i="8" s="1"/>
  <c r="L516" i="7"/>
  <c r="M516" i="7" s="1"/>
  <c r="L526" i="7"/>
  <c r="M526" i="7" s="1"/>
  <c r="L532" i="7"/>
  <c r="M532" i="7" s="1"/>
  <c r="M571" i="7"/>
  <c r="L571" i="7"/>
  <c r="L600" i="7"/>
  <c r="M600" i="7" s="1"/>
  <c r="L109" i="8"/>
  <c r="O109" i="8" s="1"/>
  <c r="H109" i="6" s="1"/>
  <c r="L109" i="6" s="1"/>
  <c r="L655" i="7"/>
  <c r="M655" i="7" s="1"/>
  <c r="J119" i="8"/>
  <c r="M119" i="8" s="1"/>
  <c r="J122" i="8"/>
  <c r="M122" i="8" s="1"/>
  <c r="L802" i="7"/>
  <c r="M802" i="7" s="1"/>
  <c r="L943" i="7"/>
  <c r="M943" i="7" s="1"/>
  <c r="L631" i="7"/>
  <c r="M631" i="7" s="1"/>
  <c r="M633" i="7"/>
  <c r="L663" i="7"/>
  <c r="M663" i="7" s="1"/>
  <c r="M702" i="7"/>
  <c r="J118" i="8"/>
  <c r="M118" i="8" s="1"/>
  <c r="J135" i="8"/>
  <c r="M135" i="8" s="1"/>
  <c r="P142" i="8"/>
  <c r="L892" i="7"/>
  <c r="M892" i="7" s="1"/>
  <c r="L945" i="7"/>
  <c r="M945" i="7" s="1"/>
  <c r="P174" i="8"/>
  <c r="P11" i="8"/>
  <c r="P103" i="8"/>
  <c r="L615" i="7"/>
  <c r="M615" i="7" s="1"/>
  <c r="L658" i="7"/>
  <c r="M658" i="7" s="1"/>
  <c r="L695" i="7"/>
  <c r="M695" i="7" s="1"/>
  <c r="L866" i="7"/>
  <c r="M866" i="7" s="1"/>
  <c r="P170" i="8"/>
  <c r="L965" i="7"/>
  <c r="M965" i="7" s="1"/>
  <c r="L979" i="7"/>
  <c r="M979" i="7" s="1"/>
  <c r="L519" i="7"/>
  <c r="L535" i="7"/>
  <c r="M535" i="7" s="1"/>
  <c r="L551" i="7"/>
  <c r="M551" i="7" s="1"/>
  <c r="L567" i="7"/>
  <c r="M567" i="7" s="1"/>
  <c r="L583" i="7"/>
  <c r="M583" i="7" s="1"/>
  <c r="L599" i="7"/>
  <c r="M599" i="7" s="1"/>
  <c r="L617" i="7"/>
  <c r="M617" i="7" s="1"/>
  <c r="L641" i="7"/>
  <c r="M641" i="7" s="1"/>
  <c r="L654" i="7"/>
  <c r="M654" i="7" s="1"/>
  <c r="L660" i="7"/>
  <c r="M660" i="7" s="1"/>
  <c r="L666" i="7"/>
  <c r="M666" i="7" s="1"/>
  <c r="M713" i="7"/>
  <c r="L782" i="7"/>
  <c r="M782" i="7" s="1"/>
  <c r="L912" i="7"/>
  <c r="M912" i="7" s="1"/>
  <c r="L930" i="7"/>
  <c r="M930" i="7" s="1"/>
  <c r="M951" i="7"/>
  <c r="P185" i="8"/>
  <c r="L84" i="8"/>
  <c r="O84" i="8" s="1"/>
  <c r="H84" i="6" s="1"/>
  <c r="L84" i="6" s="1"/>
  <c r="K86" i="8"/>
  <c r="N86" i="8" s="1"/>
  <c r="G86" i="6" s="1"/>
  <c r="K86" i="6" s="1"/>
  <c r="J92" i="8"/>
  <c r="M92" i="8" s="1"/>
  <c r="L108" i="8"/>
  <c r="O108" i="8" s="1"/>
  <c r="H108" i="6" s="1"/>
  <c r="L108" i="6" s="1"/>
  <c r="M662" i="7"/>
  <c r="L703" i="7"/>
  <c r="M703" i="7" s="1"/>
  <c r="M729" i="7"/>
  <c r="M825" i="7"/>
  <c r="M858" i="7"/>
  <c r="L860" i="7"/>
  <c r="M860" i="7" s="1"/>
  <c r="L882" i="7"/>
  <c r="M882" i="7" s="1"/>
  <c r="L908" i="7"/>
  <c r="M908" i="7" s="1"/>
  <c r="M961" i="7"/>
  <c r="L961" i="7"/>
  <c r="P68" i="8"/>
  <c r="P96" i="8"/>
  <c r="L90" i="8"/>
  <c r="O90" i="8" s="1"/>
  <c r="H90" i="6" s="1"/>
  <c r="L90" i="6" s="1"/>
  <c r="J104" i="8"/>
  <c r="M104" i="8" s="1"/>
  <c r="L106" i="8"/>
  <c r="O106" i="8" s="1"/>
  <c r="H106" i="6" s="1"/>
  <c r="L106" i="6" s="1"/>
  <c r="M106" i="6" s="1"/>
  <c r="J111" i="8"/>
  <c r="M111" i="8" s="1"/>
  <c r="L674" i="7"/>
  <c r="M674" i="7" s="1"/>
  <c r="L711" i="7"/>
  <c r="M711" i="7" s="1"/>
  <c r="M745" i="7"/>
  <c r="K126" i="8"/>
  <c r="N126" i="8" s="1"/>
  <c r="G126" i="6" s="1"/>
  <c r="K126" i="6" s="1"/>
  <c r="P147" i="8"/>
  <c r="L647" i="7"/>
  <c r="M647" i="7" s="1"/>
  <c r="L113" i="8"/>
  <c r="O113" i="8" s="1"/>
  <c r="H113" i="6" s="1"/>
  <c r="L113" i="6" s="1"/>
  <c r="M113" i="6" s="1"/>
  <c r="L719" i="7"/>
  <c r="M719" i="7" s="1"/>
  <c r="L727" i="7"/>
  <c r="M727" i="7" s="1"/>
  <c r="M809" i="7"/>
  <c r="L833" i="7"/>
  <c r="M833" i="7" s="1"/>
  <c r="L841" i="7"/>
  <c r="M841" i="7" s="1"/>
  <c r="L959" i="7"/>
  <c r="M959" i="7" s="1"/>
  <c r="L649" i="7"/>
  <c r="M649" i="7" s="1"/>
  <c r="L670" i="7"/>
  <c r="M670" i="7" s="1"/>
  <c r="L733" i="7"/>
  <c r="M733" i="7" s="1"/>
  <c r="L735" i="7"/>
  <c r="M735" i="7" s="1"/>
  <c r="L741" i="7"/>
  <c r="M741" i="7" s="1"/>
  <c r="L743" i="7"/>
  <c r="M743" i="7" s="1"/>
  <c r="L755" i="7"/>
  <c r="M755" i="7" s="1"/>
  <c r="M777" i="7"/>
  <c r="M793" i="7"/>
  <c r="K124" i="8"/>
  <c r="N124" i="8" s="1"/>
  <c r="G124" i="6" s="1"/>
  <c r="K124" i="6" s="1"/>
  <c r="M124" i="6" s="1"/>
  <c r="L819" i="7"/>
  <c r="M819" i="7" s="1"/>
  <c r="L821" i="7"/>
  <c r="M821" i="7" s="1"/>
  <c r="L823" i="7"/>
  <c r="M823" i="7" s="1"/>
  <c r="J136" i="8"/>
  <c r="M136" i="8" s="1"/>
  <c r="P150" i="8"/>
  <c r="L928" i="7"/>
  <c r="M928" i="7" s="1"/>
  <c r="L968" i="7"/>
  <c r="M968" i="7" s="1"/>
  <c r="P133" i="8"/>
  <c r="L678" i="7"/>
  <c r="M678" i="7" s="1"/>
  <c r="L690" i="7"/>
  <c r="M690" i="7" s="1"/>
  <c r="L751" i="7"/>
  <c r="M751" i="7" s="1"/>
  <c r="L759" i="7"/>
  <c r="M759" i="7" s="1"/>
  <c r="L807" i="7"/>
  <c r="M807" i="7" s="1"/>
  <c r="L815" i="7"/>
  <c r="M815" i="7" s="1"/>
  <c r="K135" i="8"/>
  <c r="N135" i="8" s="1"/>
  <c r="G135" i="6" s="1"/>
  <c r="K135" i="6" s="1"/>
  <c r="L871" i="7"/>
  <c r="M871" i="7" s="1"/>
  <c r="L898" i="7"/>
  <c r="M898" i="7" s="1"/>
  <c r="M947" i="7"/>
  <c r="L947" i="7"/>
  <c r="L980" i="7"/>
  <c r="M980" i="7" s="1"/>
  <c r="M884" i="7"/>
  <c r="P146" i="8"/>
  <c r="M932" i="7"/>
  <c r="P163" i="8"/>
  <c r="L957" i="7"/>
  <c r="M957" i="7" s="1"/>
  <c r="L978" i="7"/>
  <c r="M978" i="7" s="1"/>
  <c r="P28" i="8"/>
  <c r="J114" i="8"/>
  <c r="M114" i="8" s="1"/>
  <c r="L876" i="7"/>
  <c r="M876" i="7" s="1"/>
  <c r="P157" i="8"/>
  <c r="L940" i="7"/>
  <c r="M940" i="7" s="1"/>
  <c r="L944" i="7"/>
  <c r="M944" i="7" s="1"/>
  <c r="P188" i="8"/>
  <c r="P70" i="8"/>
  <c r="P143" i="8"/>
  <c r="L956" i="7"/>
  <c r="M956" i="7" s="1"/>
  <c r="L960" i="7"/>
  <c r="M960" i="7" s="1"/>
  <c r="P50" i="8"/>
  <c r="J121" i="8"/>
  <c r="M121" i="8" s="1"/>
  <c r="L877" i="7"/>
  <c r="M877" i="7" s="1"/>
  <c r="P149" i="8"/>
  <c r="L941" i="7"/>
  <c r="M941" i="7" s="1"/>
  <c r="L977" i="7"/>
  <c r="M977" i="7" s="1"/>
  <c r="P130" i="8"/>
  <c r="P154" i="8"/>
  <c r="M836" i="7"/>
  <c r="L845" i="7"/>
  <c r="M845" i="7" s="1"/>
  <c r="L873" i="7"/>
  <c r="M873" i="7" s="1"/>
  <c r="P161" i="8"/>
  <c r="L836" i="7"/>
  <c r="L847" i="7"/>
  <c r="M847" i="7" s="1"/>
  <c r="L887" i="7"/>
  <c r="M887" i="7" s="1"/>
  <c r="L893" i="7"/>
  <c r="M893" i="7" s="1"/>
  <c r="L895" i="7"/>
  <c r="M895" i="7" s="1"/>
  <c r="L935" i="7"/>
  <c r="M935" i="7" s="1"/>
  <c r="M937" i="7"/>
  <c r="K169" i="8"/>
  <c r="N169" i="8" s="1"/>
  <c r="G169" i="6" s="1"/>
  <c r="K169" i="6" s="1"/>
  <c r="M169" i="6" s="1"/>
  <c r="L954" i="7"/>
  <c r="M954" i="7" s="1"/>
  <c r="M975" i="7"/>
  <c r="P171" i="8"/>
  <c r="L116" i="8"/>
  <c r="O116" i="8" s="1"/>
  <c r="H116" i="6" s="1"/>
  <c r="L116" i="6" s="1"/>
  <c r="J126" i="8"/>
  <c r="M126" i="8" s="1"/>
  <c r="M889" i="7"/>
  <c r="L889" i="7"/>
  <c r="M919" i="7"/>
  <c r="J162" i="8"/>
  <c r="M162" i="8" s="1"/>
  <c r="L925" i="7"/>
  <c r="M925" i="7" s="1"/>
  <c r="P131" i="8"/>
  <c r="P137" i="8"/>
  <c r="L829" i="7"/>
  <c r="M829" i="7" s="1"/>
  <c r="M864" i="7"/>
  <c r="P140" i="8"/>
  <c r="L909" i="7"/>
  <c r="M909" i="7" s="1"/>
  <c r="J186" i="8"/>
  <c r="M186" i="8" s="1"/>
  <c r="L973" i="7"/>
  <c r="M973" i="7" s="1"/>
  <c r="P13" i="8"/>
  <c r="P156" i="8"/>
  <c r="P172" i="8"/>
  <c r="P98" i="8"/>
  <c r="L921" i="7"/>
  <c r="M921" i="7" s="1"/>
  <c r="L937" i="7"/>
  <c r="L953" i="7"/>
  <c r="M953" i="7" s="1"/>
  <c r="L974" i="7"/>
  <c r="M974" i="7" s="1"/>
  <c r="L946" i="7"/>
  <c r="M946" i="7" s="1"/>
  <c r="L962" i="7"/>
  <c r="M962" i="7" s="1"/>
  <c r="L967" i="7"/>
  <c r="M967" i="7" s="1"/>
  <c r="P97" i="8"/>
  <c r="P129" i="8"/>
  <c r="P152" i="8"/>
  <c r="P165" i="8"/>
  <c r="W178" i="8" l="1"/>
  <c r="I178" i="6"/>
  <c r="W173" i="8"/>
  <c r="I173" i="6"/>
  <c r="W93" i="8"/>
  <c r="I93" i="6"/>
  <c r="W134" i="8"/>
  <c r="I134" i="6"/>
  <c r="W4" i="8"/>
  <c r="I4" i="6"/>
  <c r="W151" i="8"/>
  <c r="I151" i="6"/>
  <c r="W15" i="8"/>
  <c r="I15" i="6"/>
  <c r="M35" i="6"/>
  <c r="W153" i="8"/>
  <c r="I153" i="6"/>
  <c r="L191" i="6"/>
  <c r="W101" i="8"/>
  <c r="I101" i="6"/>
  <c r="P55" i="8"/>
  <c r="P8" i="8"/>
  <c r="W190" i="8"/>
  <c r="I190" i="6"/>
  <c r="W127" i="8"/>
  <c r="I127" i="6"/>
  <c r="W181" i="8"/>
  <c r="I181" i="6"/>
  <c r="W17" i="8"/>
  <c r="I17" i="6"/>
  <c r="W105" i="8"/>
  <c r="I105" i="6"/>
  <c r="P10" i="8"/>
  <c r="P25" i="8"/>
  <c r="W27" i="8"/>
  <c r="I27" i="6"/>
  <c r="W164" i="8"/>
  <c r="I164" i="6"/>
  <c r="M58" i="6"/>
  <c r="W69" i="8"/>
  <c r="I69" i="6"/>
  <c r="P72" i="8"/>
  <c r="W72" i="8" s="1"/>
  <c r="P57" i="8"/>
  <c r="W155" i="8"/>
  <c r="I155" i="6"/>
  <c r="W132" i="8"/>
  <c r="I132" i="6"/>
  <c r="W141" i="8"/>
  <c r="I141" i="6"/>
  <c r="P7" i="8"/>
  <c r="P187" i="8"/>
  <c r="P40" i="8"/>
  <c r="W144" i="8"/>
  <c r="I144" i="6"/>
  <c r="W189" i="8"/>
  <c r="I189" i="6"/>
  <c r="W64" i="8"/>
  <c r="I64" i="6"/>
  <c r="P88" i="8"/>
  <c r="M22" i="6"/>
  <c r="W128" i="8"/>
  <c r="I128" i="6"/>
  <c r="W184" i="8"/>
  <c r="I184" i="6"/>
  <c r="P22" i="8"/>
  <c r="W71" i="8"/>
  <c r="I71" i="6"/>
  <c r="W29" i="8"/>
  <c r="I29" i="6"/>
  <c r="K191" i="6"/>
  <c r="P20" i="8"/>
  <c r="W159" i="8"/>
  <c r="I159" i="6"/>
  <c r="P114" i="8"/>
  <c r="F114" i="6"/>
  <c r="J114" i="6" s="1"/>
  <c r="M114" i="6" s="1"/>
  <c r="W150" i="8"/>
  <c r="I150" i="6"/>
  <c r="W96" i="8"/>
  <c r="I96" i="6"/>
  <c r="P92" i="8"/>
  <c r="F92" i="6"/>
  <c r="J92" i="6" s="1"/>
  <c r="M92" i="6" s="1"/>
  <c r="P90" i="8"/>
  <c r="F90" i="6"/>
  <c r="J90" i="6" s="1"/>
  <c r="M90" i="6" s="1"/>
  <c r="W139" i="8"/>
  <c r="I139" i="6"/>
  <c r="P52" i="8"/>
  <c r="F52" i="6"/>
  <c r="J52" i="6" s="1"/>
  <c r="M52" i="6" s="1"/>
  <c r="W20" i="8"/>
  <c r="I20" i="6"/>
  <c r="P31" i="8"/>
  <c r="F31" i="6"/>
  <c r="J31" i="6" s="1"/>
  <c r="M31" i="6" s="1"/>
  <c r="W28" i="8"/>
  <c r="I28" i="6"/>
  <c r="P60" i="8"/>
  <c r="F60" i="6"/>
  <c r="J60" i="6" s="1"/>
  <c r="M60" i="6" s="1"/>
  <c r="P73" i="8"/>
  <c r="F73" i="6"/>
  <c r="J73" i="6" s="1"/>
  <c r="M73" i="6" s="1"/>
  <c r="P33" i="8"/>
  <c r="F33" i="6"/>
  <c r="J33" i="6" s="1"/>
  <c r="M33" i="6" s="1"/>
  <c r="W182" i="8"/>
  <c r="I182" i="6"/>
  <c r="W35" i="8"/>
  <c r="I35" i="6"/>
  <c r="W129" i="8"/>
  <c r="I129" i="6"/>
  <c r="P136" i="8"/>
  <c r="F136" i="6"/>
  <c r="J136" i="6" s="1"/>
  <c r="M136" i="6" s="1"/>
  <c r="P169" i="8"/>
  <c r="W54" i="8"/>
  <c r="I54" i="6"/>
  <c r="P78" i="8"/>
  <c r="F78" i="6"/>
  <c r="J78" i="6" s="1"/>
  <c r="M78" i="6" s="1"/>
  <c r="P34" i="8"/>
  <c r="F34" i="6"/>
  <c r="J34" i="6" s="1"/>
  <c r="M34" i="6" s="1"/>
  <c r="P32" i="8"/>
  <c r="F32" i="6"/>
  <c r="J32" i="6" s="1"/>
  <c r="M32" i="6" s="1"/>
  <c r="P26" i="8"/>
  <c r="M65" i="6"/>
  <c r="W165" i="8"/>
  <c r="I165" i="6"/>
  <c r="W152" i="8"/>
  <c r="I152" i="6"/>
  <c r="P186" i="8"/>
  <c r="F186" i="6"/>
  <c r="J186" i="6" s="1"/>
  <c r="M186" i="6" s="1"/>
  <c r="W171" i="8"/>
  <c r="I171" i="6"/>
  <c r="W97" i="8"/>
  <c r="I97" i="6"/>
  <c r="W143" i="8"/>
  <c r="I143" i="6"/>
  <c r="W185" i="8"/>
  <c r="I185" i="6"/>
  <c r="P80" i="8"/>
  <c r="F80" i="6"/>
  <c r="J80" i="6" s="1"/>
  <c r="M80" i="6" s="1"/>
  <c r="P74" i="8"/>
  <c r="F74" i="6"/>
  <c r="J74" i="6" s="1"/>
  <c r="M74" i="6" s="1"/>
  <c r="W176" i="8"/>
  <c r="I176" i="6"/>
  <c r="P65" i="8"/>
  <c r="P63" i="8"/>
  <c r="F63" i="6"/>
  <c r="J63" i="6" s="1"/>
  <c r="M63" i="6" s="1"/>
  <c r="P59" i="8"/>
  <c r="F59" i="6"/>
  <c r="J59" i="6" s="1"/>
  <c r="M59" i="6" s="1"/>
  <c r="W25" i="8"/>
  <c r="I25" i="6"/>
  <c r="P85" i="8"/>
  <c r="F85" i="6"/>
  <c r="J85" i="6" s="1"/>
  <c r="M85" i="6" s="1"/>
  <c r="W68" i="8"/>
  <c r="I68" i="6"/>
  <c r="P108" i="8"/>
  <c r="F108" i="6"/>
  <c r="J108" i="6" s="1"/>
  <c r="M108" i="6" s="1"/>
  <c r="W140" i="8"/>
  <c r="I140" i="6"/>
  <c r="W70" i="8"/>
  <c r="I70" i="6"/>
  <c r="W163" i="8"/>
  <c r="I163" i="6"/>
  <c r="W53" i="8"/>
  <c r="I53" i="6"/>
  <c r="W125" i="8"/>
  <c r="I125" i="6"/>
  <c r="W94" i="8"/>
  <c r="I94" i="6"/>
  <c r="P37" i="8"/>
  <c r="F37" i="6"/>
  <c r="J37" i="6" s="1"/>
  <c r="M37" i="6" s="1"/>
  <c r="W18" i="8"/>
  <c r="I18" i="6"/>
  <c r="P62" i="8"/>
  <c r="W3" i="8"/>
  <c r="I3" i="6"/>
  <c r="W7" i="8"/>
  <c r="I7" i="6"/>
  <c r="P120" i="8"/>
  <c r="F120" i="6"/>
  <c r="J120" i="6" s="1"/>
  <c r="M120" i="6" s="1"/>
  <c r="P126" i="8"/>
  <c r="F126" i="6"/>
  <c r="J126" i="6" s="1"/>
  <c r="M126" i="6" s="1"/>
  <c r="W161" i="8"/>
  <c r="I161" i="6"/>
  <c r="W50" i="8"/>
  <c r="I50" i="6"/>
  <c r="W57" i="8"/>
  <c r="I57" i="6"/>
  <c r="P122" i="8"/>
  <c r="F122" i="6"/>
  <c r="J122" i="6" s="1"/>
  <c r="M122" i="6" s="1"/>
  <c r="W8" i="8"/>
  <c r="I8" i="6"/>
  <c r="W174" i="8"/>
  <c r="I174" i="6"/>
  <c r="P119" i="8"/>
  <c r="F119" i="6"/>
  <c r="J119" i="6" s="1"/>
  <c r="M119" i="6" s="1"/>
  <c r="P112" i="8"/>
  <c r="F112" i="6"/>
  <c r="J112" i="6" s="1"/>
  <c r="M112" i="6" s="1"/>
  <c r="P79" i="8"/>
  <c r="F79" i="6"/>
  <c r="J79" i="6" s="1"/>
  <c r="M79" i="6" s="1"/>
  <c r="P113" i="8"/>
  <c r="P168" i="8"/>
  <c r="W187" i="8"/>
  <c r="I187" i="6"/>
  <c r="W55" i="8"/>
  <c r="I55" i="6"/>
  <c r="P56" i="8"/>
  <c r="F56" i="6"/>
  <c r="J56" i="6" s="1"/>
  <c r="M56" i="6" s="1"/>
  <c r="W123" i="8"/>
  <c r="I123" i="6"/>
  <c r="W115" i="8"/>
  <c r="I115" i="6"/>
  <c r="P49" i="8"/>
  <c r="F49" i="6"/>
  <c r="J49" i="6" s="1"/>
  <c r="M49" i="6" s="1"/>
  <c r="P9" i="8"/>
  <c r="F9" i="6"/>
  <c r="J9" i="6" s="1"/>
  <c r="M9" i="6" s="1"/>
  <c r="W103" i="8"/>
  <c r="I103" i="6"/>
  <c r="W21" i="8"/>
  <c r="I21" i="6"/>
  <c r="W22" i="8"/>
  <c r="I22" i="6"/>
  <c r="P117" i="8"/>
  <c r="F117" i="6"/>
  <c r="J117" i="6" s="1"/>
  <c r="M117" i="6" s="1"/>
  <c r="P106" i="8"/>
  <c r="P86" i="8"/>
  <c r="F86" i="6"/>
  <c r="J86" i="6" s="1"/>
  <c r="M86" i="6" s="1"/>
  <c r="P51" i="8"/>
  <c r="W46" i="8"/>
  <c r="I46" i="6"/>
  <c r="M42" i="6"/>
  <c r="W131" i="8"/>
  <c r="I131" i="6"/>
  <c r="W157" i="8"/>
  <c r="I157" i="6"/>
  <c r="P110" i="8"/>
  <c r="F110" i="6"/>
  <c r="J110" i="6" s="1"/>
  <c r="M110" i="6" s="1"/>
  <c r="P107" i="8"/>
  <c r="W14" i="8"/>
  <c r="I14" i="6"/>
  <c r="P75" i="8"/>
  <c r="F75" i="6"/>
  <c r="J75" i="6" s="1"/>
  <c r="M75" i="6" s="1"/>
  <c r="P5" i="8"/>
  <c r="F5" i="6"/>
  <c r="J5" i="6" s="1"/>
  <c r="P82" i="8"/>
  <c r="F82" i="6"/>
  <c r="J82" i="6" s="1"/>
  <c r="M82" i="6" s="1"/>
  <c r="P6" i="8"/>
  <c r="F6" i="6"/>
  <c r="J6" i="6" s="1"/>
  <c r="M6" i="6" s="1"/>
  <c r="P42" i="8"/>
  <c r="P36" i="8"/>
  <c r="F36" i="6"/>
  <c r="J36" i="6" s="1"/>
  <c r="M36" i="6" s="1"/>
  <c r="W137" i="8"/>
  <c r="I137" i="6"/>
  <c r="W130" i="8"/>
  <c r="I130" i="6"/>
  <c r="P48" i="8"/>
  <c r="F48" i="6"/>
  <c r="J48" i="6" s="1"/>
  <c r="M48" i="6" s="1"/>
  <c r="P89" i="8"/>
  <c r="F89" i="6"/>
  <c r="J89" i="6" s="1"/>
  <c r="M89" i="6" s="1"/>
  <c r="P76" i="8"/>
  <c r="F76" i="6"/>
  <c r="J76" i="6" s="1"/>
  <c r="M76" i="6" s="1"/>
  <c r="P41" i="8"/>
  <c r="F41" i="6"/>
  <c r="J41" i="6" s="1"/>
  <c r="M41" i="6" s="1"/>
  <c r="W77" i="8"/>
  <c r="I77" i="6"/>
  <c r="W160" i="8"/>
  <c r="I160" i="6"/>
  <c r="W12" i="8"/>
  <c r="I12" i="6"/>
  <c r="W154" i="8"/>
  <c r="I154" i="6"/>
  <c r="W188" i="8"/>
  <c r="I188" i="6"/>
  <c r="W146" i="8"/>
  <c r="I146" i="6"/>
  <c r="W172" i="8"/>
  <c r="I172" i="6"/>
  <c r="P111" i="8"/>
  <c r="F111" i="6"/>
  <c r="J111" i="6" s="1"/>
  <c r="M111" i="6" s="1"/>
  <c r="P135" i="8"/>
  <c r="F135" i="6"/>
  <c r="J135" i="6" s="1"/>
  <c r="M135" i="6" s="1"/>
  <c r="P109" i="8"/>
  <c r="F109" i="6"/>
  <c r="J109" i="6" s="1"/>
  <c r="M109" i="6" s="1"/>
  <c r="W145" i="8"/>
  <c r="I145" i="6"/>
  <c r="P91" i="8"/>
  <c r="F91" i="6"/>
  <c r="J91" i="6" s="1"/>
  <c r="M91" i="6" s="1"/>
  <c r="P84" i="8"/>
  <c r="F84" i="6"/>
  <c r="J84" i="6" s="1"/>
  <c r="M84" i="6" s="1"/>
  <c r="P61" i="8"/>
  <c r="F61" i="6"/>
  <c r="J61" i="6" s="1"/>
  <c r="M61" i="6" s="1"/>
  <c r="P58" i="8"/>
  <c r="P45" i="8"/>
  <c r="F45" i="6"/>
  <c r="J45" i="6" s="1"/>
  <c r="M45" i="6" s="1"/>
  <c r="M19" i="6"/>
  <c r="W179" i="8"/>
  <c r="I179" i="6"/>
  <c r="W147" i="8"/>
  <c r="I147" i="6"/>
  <c r="I88" i="6"/>
  <c r="W88" i="8"/>
  <c r="W24" i="8"/>
  <c r="I24" i="6"/>
  <c r="W47" i="8"/>
  <c r="I47" i="6"/>
  <c r="W149" i="8"/>
  <c r="I149" i="6"/>
  <c r="W133" i="8"/>
  <c r="I133" i="6"/>
  <c r="W170" i="8"/>
  <c r="I170" i="6"/>
  <c r="W142" i="8"/>
  <c r="I142" i="6"/>
  <c r="W156" i="8"/>
  <c r="I156" i="6"/>
  <c r="P118" i="8"/>
  <c r="F118" i="6"/>
  <c r="J118" i="6" s="1"/>
  <c r="M118" i="6" s="1"/>
  <c r="W148" i="8"/>
  <c r="I148" i="6"/>
  <c r="W138" i="8"/>
  <c r="I138" i="6"/>
  <c r="P83" i="8"/>
  <c r="F83" i="6"/>
  <c r="J83" i="6" s="1"/>
  <c r="M83" i="6" s="1"/>
  <c r="P66" i="8"/>
  <c r="F66" i="6"/>
  <c r="J66" i="6" s="1"/>
  <c r="M66" i="6" s="1"/>
  <c r="P81" i="8"/>
  <c r="F81" i="6"/>
  <c r="J81" i="6" s="1"/>
  <c r="M81" i="6" s="1"/>
  <c r="P38" i="8"/>
  <c r="F38" i="6"/>
  <c r="J38" i="6" s="1"/>
  <c r="M38" i="6" s="1"/>
  <c r="P19" i="8"/>
  <c r="P116" i="8"/>
  <c r="F116" i="6"/>
  <c r="J116" i="6" s="1"/>
  <c r="M116" i="6" s="1"/>
  <c r="W23" i="8"/>
  <c r="I23" i="6"/>
  <c r="W11" i="8"/>
  <c r="I11" i="6"/>
  <c r="W40" i="8"/>
  <c r="I40" i="6"/>
  <c r="W98" i="8"/>
  <c r="I98" i="6"/>
  <c r="P162" i="8"/>
  <c r="F162" i="6"/>
  <c r="J162" i="6" s="1"/>
  <c r="M162" i="6" s="1"/>
  <c r="W13" i="8"/>
  <c r="I13" i="6"/>
  <c r="P121" i="8"/>
  <c r="F121" i="6"/>
  <c r="J121" i="6" s="1"/>
  <c r="M121" i="6" s="1"/>
  <c r="P124" i="8"/>
  <c r="P104" i="8"/>
  <c r="F104" i="6"/>
  <c r="J104" i="6" s="1"/>
  <c r="M104" i="6" s="1"/>
  <c r="W175" i="8"/>
  <c r="I175" i="6"/>
  <c r="W10" i="8"/>
  <c r="I10" i="6"/>
  <c r="P16" i="8"/>
  <c r="P39" i="8"/>
  <c r="F39" i="6"/>
  <c r="J39" i="6" s="1"/>
  <c r="M39" i="6" s="1"/>
  <c r="M25" i="6"/>
  <c r="I72" i="6" l="1"/>
  <c r="W104" i="8"/>
  <c r="I104" i="6"/>
  <c r="W74" i="8"/>
  <c r="I74" i="6"/>
  <c r="W19" i="8"/>
  <c r="I19" i="6"/>
  <c r="W109" i="8"/>
  <c r="I109" i="6"/>
  <c r="W36" i="8"/>
  <c r="I36" i="6"/>
  <c r="W42" i="8"/>
  <c r="I42" i="6"/>
  <c r="W80" i="8"/>
  <c r="I80" i="6"/>
  <c r="W26" i="8"/>
  <c r="I26" i="6"/>
  <c r="W122" i="8"/>
  <c r="I122" i="6"/>
  <c r="W108" i="8"/>
  <c r="I108" i="6"/>
  <c r="W52" i="8"/>
  <c r="I52" i="6"/>
  <c r="W121" i="8"/>
  <c r="I121" i="6"/>
  <c r="W38" i="8"/>
  <c r="I38" i="6"/>
  <c r="W135" i="8"/>
  <c r="I135" i="6"/>
  <c r="W168" i="8"/>
  <c r="I168" i="6"/>
  <c r="W37" i="8"/>
  <c r="I37" i="6"/>
  <c r="W118" i="8"/>
  <c r="I118" i="6"/>
  <c r="W34" i="8"/>
  <c r="I34" i="6"/>
  <c r="W66" i="8"/>
  <c r="I66" i="6"/>
  <c r="W58" i="8"/>
  <c r="I58" i="6"/>
  <c r="W76" i="8"/>
  <c r="I76" i="6"/>
  <c r="M5" i="6"/>
  <c r="M191" i="6" s="1"/>
  <c r="J191" i="6"/>
  <c r="W51" i="8"/>
  <c r="I51" i="6"/>
  <c r="W73" i="8"/>
  <c r="I73" i="6"/>
  <c r="W92" i="8"/>
  <c r="I92" i="6"/>
  <c r="W62" i="8"/>
  <c r="I62" i="6"/>
  <c r="W32" i="8"/>
  <c r="I32" i="6"/>
  <c r="W33" i="8"/>
  <c r="I33" i="6"/>
  <c r="W49" i="8"/>
  <c r="I49" i="6"/>
  <c r="W112" i="8"/>
  <c r="I112" i="6"/>
  <c r="W126" i="8"/>
  <c r="I126" i="6"/>
  <c r="W16" i="8"/>
  <c r="I16" i="6"/>
  <c r="W83" i="8"/>
  <c r="I83" i="6"/>
  <c r="W61" i="8"/>
  <c r="I61" i="6"/>
  <c r="W89" i="8"/>
  <c r="I89" i="6"/>
  <c r="W86" i="8"/>
  <c r="I86" i="6"/>
  <c r="W59" i="8"/>
  <c r="I59" i="6"/>
  <c r="W60" i="8"/>
  <c r="I60" i="6"/>
  <c r="W45" i="8"/>
  <c r="I45" i="6"/>
  <c r="W75" i="8"/>
  <c r="I75" i="6"/>
  <c r="W106" i="8"/>
  <c r="I106" i="6"/>
  <c r="W119" i="8"/>
  <c r="I119" i="6"/>
  <c r="W120" i="8"/>
  <c r="I120" i="6"/>
  <c r="W56" i="8"/>
  <c r="I56" i="6"/>
  <c r="W124" i="8"/>
  <c r="I124" i="6"/>
  <c r="W116" i="8"/>
  <c r="I116" i="6"/>
  <c r="W81" i="8"/>
  <c r="I81" i="6"/>
  <c r="W90" i="8"/>
  <c r="I90" i="6"/>
  <c r="W162" i="8"/>
  <c r="I162" i="6"/>
  <c r="W82" i="8"/>
  <c r="I82" i="6"/>
  <c r="W9" i="8"/>
  <c r="I9" i="6"/>
  <c r="W79" i="8"/>
  <c r="I79" i="6"/>
  <c r="W39" i="8"/>
  <c r="I39" i="6"/>
  <c r="W5" i="8"/>
  <c r="I5" i="6"/>
  <c r="W84" i="8"/>
  <c r="I84" i="6"/>
  <c r="W48" i="8"/>
  <c r="I48" i="6"/>
  <c r="W63" i="8"/>
  <c r="I63" i="6"/>
  <c r="W169" i="8"/>
  <c r="I169" i="6"/>
  <c r="W110" i="8"/>
  <c r="I110" i="6"/>
  <c r="W6" i="8"/>
  <c r="I6" i="6"/>
  <c r="W113" i="8"/>
  <c r="I113" i="6"/>
  <c r="W111" i="8"/>
  <c r="I111" i="6"/>
  <c r="W41" i="8"/>
  <c r="I41" i="6"/>
  <c r="W78" i="8"/>
  <c r="I78" i="6"/>
  <c r="W117" i="8"/>
  <c r="I117" i="6"/>
  <c r="W65" i="8"/>
  <c r="I65" i="6"/>
  <c r="W186" i="8"/>
  <c r="I186" i="6"/>
  <c r="W85" i="8"/>
  <c r="I85" i="6"/>
  <c r="W91" i="8"/>
  <c r="I91" i="6"/>
  <c r="W107" i="8"/>
  <c r="I107" i="6"/>
  <c r="W136" i="8"/>
  <c r="I136" i="6"/>
  <c r="W31" i="8"/>
  <c r="I31" i="6"/>
  <c r="W114" i="8"/>
  <c r="I114" i="6"/>
</calcChain>
</file>

<file path=xl/sharedStrings.xml><?xml version="1.0" encoding="utf-8"?>
<sst xmlns="http://schemas.openxmlformats.org/spreadsheetml/2006/main" count="7085" uniqueCount="1223">
  <si>
    <t>CONFIGURACIÓN DEL APU UNIFICADO — SVD 4140</t>
  </si>
  <si>
    <t>Parámetro</t>
  </si>
  <si>
    <t>Valor</t>
  </si>
  <si>
    <t>Notas</t>
  </si>
  <si>
    <t>Obra</t>
  </si>
  <si>
    <t>El Salvador 4140 (SVD)</t>
  </si>
  <si>
    <t>Mes de referencia</t>
  </si>
  <si>
    <t>Septiembre</t>
  </si>
  <si>
    <t>Mes de precios del APU 09-24</t>
  </si>
  <si>
    <t>Año de referencia</t>
  </si>
  <si>
    <t>Versión</t>
  </si>
  <si>
    <t>v1.0 — APU Unificado SVD</t>
  </si>
  <si>
    <t>Generado desde El Salvador_Pres 04</t>
  </si>
  <si>
    <t>GG%</t>
  </si>
  <si>
    <t>0 = se aplica en presupuesto, no en APU</t>
  </si>
  <si>
    <t>BB%</t>
  </si>
  <si>
    <t>Coef. Cargas MO</t>
  </si>
  <si>
    <t>Jornal P.MO ya es costo total/día</t>
  </si>
  <si>
    <t>IVA</t>
  </si>
  <si>
    <t>Obra civil 10,5%</t>
  </si>
  <si>
    <t>Código</t>
  </si>
  <si>
    <t>Descripción</t>
  </si>
  <si>
    <t>Unidad</t>
  </si>
  <si>
    <t>Precio $</t>
  </si>
  <si>
    <t>Categoría</t>
  </si>
  <si>
    <t>MAT-0001</t>
  </si>
  <si>
    <t>C. CIN. T101 ESP 0,50 MM (C25)</t>
  </si>
  <si>
    <t>Otros</t>
  </si>
  <si>
    <t>MAT-0002</t>
  </si>
  <si>
    <t>Peril UPN 100 x 12 m</t>
  </si>
  <si>
    <t>MAT-0003</t>
  </si>
  <si>
    <t>Tubo estructural 40 x 40 x 2, Largo 6 metros</t>
  </si>
  <si>
    <t>MAT-0004</t>
  </si>
  <si>
    <t>Riel Roma 174 e: 2,1 mm. 53 x 60 x 6000</t>
  </si>
  <si>
    <t>MAT-0005</t>
  </si>
  <si>
    <t>Carro acero 174 4 ruedas puertas portones Ø45mm</t>
  </si>
  <si>
    <t>MAT-0006</t>
  </si>
  <si>
    <t>Autoperforantes punta mecha 14 x 2</t>
  </si>
  <si>
    <t>MAT-0007</t>
  </si>
  <si>
    <t>Rollo Concertina</t>
  </si>
  <si>
    <t>MAT-0008</t>
  </si>
  <si>
    <t>MAT-0009</t>
  </si>
  <si>
    <t>Precio fenolico comun e: 18 mm</t>
  </si>
  <si>
    <t>MAT-0010</t>
  </si>
  <si>
    <t>Tabla 4 x 1 x 3,6 Saligna bruto</t>
  </si>
  <si>
    <t>MAT-0011</t>
  </si>
  <si>
    <t>Tirante 3 x 3 x 3,6 Saligna bruto</t>
  </si>
  <si>
    <t>MAT-0012</t>
  </si>
  <si>
    <t>Flechas 3 x 6 x 3,7 - Reutilizado (estimado 3 usos)</t>
  </si>
  <si>
    <t>MAT-0013</t>
  </si>
  <si>
    <t>Escalera</t>
  </si>
  <si>
    <t>MAT-0014</t>
  </si>
  <si>
    <t>Materiales varios</t>
  </si>
  <si>
    <t>Corralón</t>
  </si>
  <si>
    <t>MAT-0015</t>
  </si>
  <si>
    <t>Rollo de cable TPR 3 x 2,5</t>
  </si>
  <si>
    <t>MAT-0016</t>
  </si>
  <si>
    <t>Zocalo E27</t>
  </si>
  <si>
    <t>MAT-0017</t>
  </si>
  <si>
    <t>Lampara Led 12 w</t>
  </si>
  <si>
    <t>MAT-0018</t>
  </si>
  <si>
    <t>Mat. Elect. (tomas, enchufes, etc.)</t>
  </si>
  <si>
    <t>MAT-0019</t>
  </si>
  <si>
    <t>Materiales Sanit</t>
  </si>
  <si>
    <t>MAT-0020</t>
  </si>
  <si>
    <t>Inodoro</t>
  </si>
  <si>
    <t>MAT-0021</t>
  </si>
  <si>
    <t>Mochila plastico</t>
  </si>
  <si>
    <t>MAT-0022</t>
  </si>
  <si>
    <t>Bacha</t>
  </si>
  <si>
    <t>MAT-0023</t>
  </si>
  <si>
    <t>Termo electrico 40 lts</t>
  </si>
  <si>
    <t>MAT-0024</t>
  </si>
  <si>
    <t>Pilar de obra, albañileria</t>
  </si>
  <si>
    <t>MAT-0025</t>
  </si>
  <si>
    <t>Kit medidor pilar Edenor Conextube</t>
  </si>
  <si>
    <t>MAT-0026</t>
  </si>
  <si>
    <t>Kit jabalina + caja + toma cable</t>
  </si>
  <si>
    <t>MAT-0027</t>
  </si>
  <si>
    <t>Cable subterraneo 5 x 10 mm2</t>
  </si>
  <si>
    <t>MAT-0028</t>
  </si>
  <si>
    <t>Tablero de obra</t>
  </si>
  <si>
    <t>MAT-0029</t>
  </si>
  <si>
    <t>Tanque de Bombeo 500 lts (reutilizado)</t>
  </si>
  <si>
    <t>MAT-0030</t>
  </si>
  <si>
    <t>Bomba pres (reutilizada)</t>
  </si>
  <si>
    <t>MAT-0031</t>
  </si>
  <si>
    <t>Flotante mecanico 1" + boya</t>
  </si>
  <si>
    <t>MAT-0032</t>
  </si>
  <si>
    <t>Flotante automatico</t>
  </si>
  <si>
    <t>MAT-0033</t>
  </si>
  <si>
    <t>Caño 3/4"</t>
  </si>
  <si>
    <t>MAT-0034</t>
  </si>
  <si>
    <t>Val. esf doble media union 1"</t>
  </si>
  <si>
    <t>MAT-0035</t>
  </si>
  <si>
    <t>Canilla de pvc</t>
  </si>
  <si>
    <t>MAT-0036</t>
  </si>
  <si>
    <t>Desperdicio</t>
  </si>
  <si>
    <t>MAT-0037</t>
  </si>
  <si>
    <t>H13 6.20</t>
  </si>
  <si>
    <t>MAT-0038</t>
  </si>
  <si>
    <t>Bombeo</t>
  </si>
  <si>
    <t>MAT-0039</t>
  </si>
  <si>
    <t>Acarreo</t>
  </si>
  <si>
    <t>MAT-0040</t>
  </si>
  <si>
    <t>Encofrado Tabique submuración - H30 (95 kg/m3 de hierro)</t>
  </si>
  <si>
    <t>MAT-0041</t>
  </si>
  <si>
    <t>Encofrado Zapata corrida tabique - H30 (120 kg/m3)</t>
  </si>
  <si>
    <t>MAT-0042</t>
  </si>
  <si>
    <t>Encofrado Platea - H30 (95 kg/m3 de hierro)</t>
  </si>
  <si>
    <t>MAT-0043</t>
  </si>
  <si>
    <t>Encofrado Losa maciza visto - H30 (120 kg/m3 de hierro)</t>
  </si>
  <si>
    <t>MAT-0044</t>
  </si>
  <si>
    <t>Encofrado Losa maciza - H30 (120 kg/m3 de hierro)</t>
  </si>
  <si>
    <t>MAT-0045</t>
  </si>
  <si>
    <t>Encofrado Vigas - H30 (130 kg/m3 de hierro)</t>
  </si>
  <si>
    <t>MAT-0046</t>
  </si>
  <si>
    <t>Encofrado Vigas H° visto - H30 (130 kg/m3 de hierro)</t>
  </si>
  <si>
    <t>MAT-0047</t>
  </si>
  <si>
    <t>Encofrado Tabique - H30 (140 kg/m3 de hierro)</t>
  </si>
  <si>
    <t>MAT-0048</t>
  </si>
  <si>
    <t>Encofrado Columna - H30 (190 kg/m3 de hierro)</t>
  </si>
  <si>
    <t>MAT-0049</t>
  </si>
  <si>
    <t>Encofrado Escalera vista - H30 (105 kg/m3 de hierro)</t>
  </si>
  <si>
    <t>MAT-0050</t>
  </si>
  <si>
    <t>Sika Waterbars V15 x 15 mts</t>
  </si>
  <si>
    <t>MAT-0051</t>
  </si>
  <si>
    <t>Ensayos de Hormigon por etapas de hormigonado</t>
  </si>
  <si>
    <t>MAT-0052</t>
  </si>
  <si>
    <t>Permiso de estacionamiento de bomba de hormigón a contramano</t>
  </si>
  <si>
    <t>MAT-0053</t>
  </si>
  <si>
    <t>Volquetes</t>
  </si>
  <si>
    <t>MAT-0054</t>
  </si>
  <si>
    <t>LADRILLO CERAMICO 8 x 18 x 33 cm</t>
  </si>
  <si>
    <t>MAT-0055</t>
  </si>
  <si>
    <t>Barra de Acero Aleteado - 6mm x 12m</t>
  </si>
  <si>
    <t>MAT-0056</t>
  </si>
  <si>
    <t>ARENA LAVADA</t>
  </si>
  <si>
    <t>MAT-0057</t>
  </si>
  <si>
    <t>Cal Comun x 25kg</t>
  </si>
  <si>
    <t>MAT-0058</t>
  </si>
  <si>
    <t>Cemento Portland x 50kg</t>
  </si>
  <si>
    <t>MAT-0059</t>
  </si>
  <si>
    <t>Ladrillo hueco ceramico 12x19x33 - Portante</t>
  </si>
  <si>
    <t>MAT-0060</t>
  </si>
  <si>
    <t>LADRILLO CERAMICO 12 x 18 x 33 cm</t>
  </si>
  <si>
    <t>MAT-0061</t>
  </si>
  <si>
    <t>Ladrillo Comun 12.5 x 5.5 x 25</t>
  </si>
  <si>
    <t>MAT-0062</t>
  </si>
  <si>
    <t>Bloque de Hormigon 19 x 19 x 39</t>
  </si>
  <si>
    <t>MAT-0063</t>
  </si>
  <si>
    <t>Taco quimico Fischer</t>
  </si>
  <si>
    <t>MAT-0064</t>
  </si>
  <si>
    <t>Hierro del 6</t>
  </si>
  <si>
    <t>MAT-0065</t>
  </si>
  <si>
    <t>H30 6.20</t>
  </si>
  <si>
    <t>MAT-0066</t>
  </si>
  <si>
    <t>MAT-0067</t>
  </si>
  <si>
    <t>Impermeabilizazión - Sika monotop 107</t>
  </si>
  <si>
    <t>MAT-0068</t>
  </si>
  <si>
    <t>Pintura Asfaltica Asfasol x18ts</t>
  </si>
  <si>
    <t>MAT-0069</t>
  </si>
  <si>
    <t>Membrana Geotextil Ormiflex 4mm - (35kg) x10m</t>
  </si>
  <si>
    <t>MAT-0070</t>
  </si>
  <si>
    <t>Rodillo de lana pelo largo N°22 - El Galgo</t>
  </si>
  <si>
    <t>MAT-0071</t>
  </si>
  <si>
    <t>Pincel N° 20 - El Galgo</t>
  </si>
  <si>
    <t>MAT-0072</t>
  </si>
  <si>
    <t>Aguarras Hydrarras Hydra x 18lts</t>
  </si>
  <si>
    <t>MAT-0073</t>
  </si>
  <si>
    <t>Trapo</t>
  </si>
  <si>
    <t>MAT-0074</t>
  </si>
  <si>
    <t>Guante vaqueta medio paseo</t>
  </si>
  <si>
    <t>MAT-0075</t>
  </si>
  <si>
    <t>Recarga de garrafa</t>
  </si>
  <si>
    <t>MAT-0076</t>
  </si>
  <si>
    <t>Aditivo Hidrofugo en pasta - Ceresita x 1kg</t>
  </si>
  <si>
    <t>MAT-0077</t>
  </si>
  <si>
    <t>Telgopor 1 x 1 x 20 mm densidad 20 kg</t>
  </si>
  <si>
    <t>MAT-0078</t>
  </si>
  <si>
    <t>Babeta</t>
  </si>
  <si>
    <t>MAT-0079</t>
  </si>
  <si>
    <t>Sellador / Silicona (rinde 5 mts)</t>
  </si>
  <si>
    <t>MAT-0080</t>
  </si>
  <si>
    <t>cal milagro</t>
  </si>
  <si>
    <t>MAT-0081</t>
  </si>
  <si>
    <t>Yeso Knauf MP 40/75 Proyectable x 25 kg</t>
  </si>
  <si>
    <t>MAT-0082</t>
  </si>
  <si>
    <t>PA-MAX PUENTE DE ADHERENCIA 20LT</t>
  </si>
  <si>
    <t>MAT-0083</t>
  </si>
  <si>
    <t>Malla de fibra 5 x 5 90 gr, rollo 1 x 50 mts</t>
  </si>
  <si>
    <t>MAT-0084</t>
  </si>
  <si>
    <t>Guardacanto yesero 2 mts</t>
  </si>
  <si>
    <t>MAT-0085</t>
  </si>
  <si>
    <t>Cascote</t>
  </si>
  <si>
    <t>MAT-0086</t>
  </si>
  <si>
    <t>Contrapiso de cascote s/terreno natural e: 20 cm - Incluye film de polietileno</t>
  </si>
  <si>
    <t>MAT-0087</t>
  </si>
  <si>
    <t>Sika Poro Plus x 10 kg</t>
  </si>
  <si>
    <t>MAT-0088</t>
  </si>
  <si>
    <t>Carpeta</t>
  </si>
  <si>
    <t>MAT-0089</t>
  </si>
  <si>
    <t>Carpeta cilindrada</t>
  </si>
  <si>
    <t>MAT-0090</t>
  </si>
  <si>
    <t>PERFIL ANGULO ALAS IGUALES ESTRUCTURAL ACERO 6M X 5/8" X 1/8</t>
  </si>
  <si>
    <t>MAT-0091</t>
  </si>
  <si>
    <t>Esmalte sintetico</t>
  </si>
  <si>
    <t>MAT-0092</t>
  </si>
  <si>
    <t>Electrodos</t>
  </si>
  <si>
    <t>MAT-0093</t>
  </si>
  <si>
    <t>PLACA CEMENTICIA CONSTRUCCION SECO SUPERBOARD ESTRUCTURAL BORDE RECTO 10MM X 1200MM X 2400MM</t>
  </si>
  <si>
    <t>MAT-0094</t>
  </si>
  <si>
    <t>Ventilación Baños - En caño Ø 110</t>
  </si>
  <si>
    <t>MAT-0095</t>
  </si>
  <si>
    <t>COVE: Sombreretes en chapa prepintad</t>
  </si>
  <si>
    <t>MAT-0096</t>
  </si>
  <si>
    <t>Adhesivo Klaukol Porcellanato Fluido x 30Kg</t>
  </si>
  <si>
    <t>MAT-0097</t>
  </si>
  <si>
    <t>Pastina Klaukol x 1kg - Alta performance</t>
  </si>
  <si>
    <t>MAT-0098</t>
  </si>
  <si>
    <t>Disco Diamantado Aliafor Turbo Fino TRF</t>
  </si>
  <si>
    <t>MAT-0099</t>
  </si>
  <si>
    <t>Arco y cuña niveladores porcelanatos x 150 un</t>
  </si>
  <si>
    <t>MAT-0100</t>
  </si>
  <si>
    <t>MAT-0101</t>
  </si>
  <si>
    <t>Malla Q188 15 x 15 6 mm 6x2,40</t>
  </si>
  <si>
    <t>MAT-0102</t>
  </si>
  <si>
    <t>Sikafloor Quartz top</t>
  </si>
  <si>
    <t>MAT-0103</t>
  </si>
  <si>
    <t>Selladores / etc.</t>
  </si>
  <si>
    <t>MAT-0104</t>
  </si>
  <si>
    <t>Zocalo 5,6cm Madera Mdf Redondeado Prepintado Blanco Pz-56l</t>
  </si>
  <si>
    <t>MAT-0105</t>
  </si>
  <si>
    <t>MAT-0106</t>
  </si>
  <si>
    <t>Varilla Guardacanto L Aluminio Cromo Mate 1663 12 Mm Atrim</t>
  </si>
  <si>
    <t>MAT-0107</t>
  </si>
  <si>
    <t>Solera 35mm x 2.60m</t>
  </si>
  <si>
    <t>MAT-0108</t>
  </si>
  <si>
    <t>Montante 34mm x 2.60m</t>
  </si>
  <si>
    <t>MAT-0109</t>
  </si>
  <si>
    <t>Tornillo T1 - Aguja</t>
  </si>
  <si>
    <t>MAT-0110</t>
  </si>
  <si>
    <t>Tornillo T2 - Aguja</t>
  </si>
  <si>
    <t>MAT-0111</t>
  </si>
  <si>
    <t>Fijacion completa del 8</t>
  </si>
  <si>
    <t>MAT-0112</t>
  </si>
  <si>
    <t>Cinta Entramada - 90m</t>
  </si>
  <si>
    <t>MAT-0113</t>
  </si>
  <si>
    <t>Masilla x 32kg</t>
  </si>
  <si>
    <t>MAT-0114</t>
  </si>
  <si>
    <t>Placa Roca de Yeso 1220 x 2440 - 12.5mm - STD</t>
  </si>
  <si>
    <t>MAT-0115</t>
  </si>
  <si>
    <t>Solera 70mm x 2.60m</t>
  </si>
  <si>
    <t>MAT-0116</t>
  </si>
  <si>
    <t>Montante 69mm x 2.60m</t>
  </si>
  <si>
    <t>MAT-0117</t>
  </si>
  <si>
    <t>Placa Roca de Yeso 1220 x 2440 - 12.5mm - RH</t>
  </si>
  <si>
    <t>MAT-0118</t>
  </si>
  <si>
    <t>Buña Z x 2.60m</t>
  </si>
  <si>
    <t>MAT-0119</t>
  </si>
  <si>
    <t>MAT-0120</t>
  </si>
  <si>
    <t>Caño rigido 7/8"</t>
  </si>
  <si>
    <t>MAT-0121</t>
  </si>
  <si>
    <t>Conector hierro 7/8"</t>
  </si>
  <si>
    <t>MAT-0122</t>
  </si>
  <si>
    <t>Cupla PVC 7/8"</t>
  </si>
  <si>
    <t>MAT-0123</t>
  </si>
  <si>
    <t>Cable unipolar 1 x 1,50</t>
  </si>
  <si>
    <t>MAT-0124</t>
  </si>
  <si>
    <t>Cable unipolar 1 x 2,50 VA</t>
  </si>
  <si>
    <t>MAT-0125</t>
  </si>
  <si>
    <t>Cable unipolar 1 x 2,50 Rojo/Marron/Negro</t>
  </si>
  <si>
    <t>MAT-0126</t>
  </si>
  <si>
    <t>Caja rectangular chica</t>
  </si>
  <si>
    <t>MAT-0127</t>
  </si>
  <si>
    <t>Caja octogonal chica</t>
  </si>
  <si>
    <t>MAT-0128</t>
  </si>
  <si>
    <t>Caño rigido 3/4"</t>
  </si>
  <si>
    <t>MAT-0129</t>
  </si>
  <si>
    <t>Conector hierro 3/4"</t>
  </si>
  <si>
    <t>MAT-0130</t>
  </si>
  <si>
    <t>Cupla PVC 3/4"</t>
  </si>
  <si>
    <t>MAT-0131</t>
  </si>
  <si>
    <t>STECK DIFERENCIAL 2X25A 30MA</t>
  </si>
  <si>
    <t>u</t>
  </si>
  <si>
    <t>MAT-0132</t>
  </si>
  <si>
    <t>STECK DIFERENCIAL 4X40A 30MA</t>
  </si>
  <si>
    <t>MAT-0133</t>
  </si>
  <si>
    <t>STECK DIFERENCIAL 4X63A 30MA</t>
  </si>
  <si>
    <t>MAT-0134</t>
  </si>
  <si>
    <t>STECK TM BIPOLAR 10A 6KA</t>
  </si>
  <si>
    <t>MAT-0135</t>
  </si>
  <si>
    <t>STECK TM BIPOLAR 16A 6KA</t>
  </si>
  <si>
    <t>MAT-0136</t>
  </si>
  <si>
    <t>STECK TM TETRAPOLAR 32A 6KA</t>
  </si>
  <si>
    <t>MAT-0137</t>
  </si>
  <si>
    <t>STECK TM TETRAPOLAR 50A 6KA</t>
  </si>
  <si>
    <t>MAT-0138</t>
  </si>
  <si>
    <t>GAB. IP65 SERIE 9000 600X900X225</t>
  </si>
  <si>
    <t>MAT-0139</t>
  </si>
  <si>
    <t>CONTRAF ABISAG CALADO 60BIP S9000 600X900</t>
  </si>
  <si>
    <t>MAT-0140</t>
  </si>
  <si>
    <t>RIEL DIN 35MM 1 METRO PERFOR.</t>
  </si>
  <si>
    <t>MAT-0141</t>
  </si>
  <si>
    <t>RIEL PORTA ELEMENTOS X 1 METRO</t>
  </si>
  <si>
    <t>MAT-0142</t>
  </si>
  <si>
    <t>SOP REG P/CONTRAFRENTE PROF 225 X1</t>
  </si>
  <si>
    <t>MAT-0143</t>
  </si>
  <si>
    <t>INTERRUPTOR COMPACTO 4X125A S250</t>
  </si>
  <si>
    <t>MAT-0144</t>
  </si>
  <si>
    <t>DISTRIBUIDOR TETRAP.160A 15 STD</t>
  </si>
  <si>
    <t>MAT-0145</t>
  </si>
  <si>
    <t>TERMINAL COBRE SCC 120-2 (5/8)</t>
  </si>
  <si>
    <t>MAT-0146</t>
  </si>
  <si>
    <t>Voltimetro Display Ojo de Buey 22 mm</t>
  </si>
  <si>
    <t>MAT-0147</t>
  </si>
  <si>
    <t>LC1D18M7 18A 7,5KW 1+1 220V</t>
  </si>
  <si>
    <t>MAT-0148</t>
  </si>
  <si>
    <t>ALTERNADOR 2 BOMBA DIGITAL 24/110/220VCA</t>
  </si>
  <si>
    <t>MAT-0149</t>
  </si>
  <si>
    <t>GAB. IP65 SERIE 9000 450X450X225</t>
  </si>
  <si>
    <t>MAT-0150</t>
  </si>
  <si>
    <t>CONTRAF ABISAG.CALADO 18BIP S9000 450X450</t>
  </si>
  <si>
    <t>MAT-0151</t>
  </si>
  <si>
    <t>GAB. IP65 SERIE 9000 300X300X150</t>
  </si>
  <si>
    <t>MAT-0152</t>
  </si>
  <si>
    <t>CONTRAF ABISAG.CALADO 10BIP S9000 300X300</t>
  </si>
  <si>
    <t>MAT-0153</t>
  </si>
  <si>
    <t>CAJA EMB P/ TM 24 POLOS BC T/FUME</t>
  </si>
  <si>
    <t>MAT-0154</t>
  </si>
  <si>
    <t>STECK DIFERENCIAL 4X25A 30MA</t>
  </si>
  <si>
    <t>MAT-0155</t>
  </si>
  <si>
    <t>STECK TM TETRAPOLAR 16A 6KA</t>
  </si>
  <si>
    <t>MAT-0156</t>
  </si>
  <si>
    <t>CAJA EMB P/ TM 36 POLOS BC T/FUME</t>
  </si>
  <si>
    <t>MAT-0157</t>
  </si>
  <si>
    <t>Montante eléctrica</t>
  </si>
  <si>
    <t>MAT-0158</t>
  </si>
  <si>
    <t>CAÑOX3M RIGIDO 25MM PVC TUBE</t>
  </si>
  <si>
    <t>MAT-0159</t>
  </si>
  <si>
    <t>RIEL DE FIJAC.1.22 OLMAR</t>
  </si>
  <si>
    <t>MAT-0160</t>
  </si>
  <si>
    <t>BROCA METALICA 1/4 CJA X 100</t>
  </si>
  <si>
    <t>MAT-0161</t>
  </si>
  <si>
    <t>VARILLA ROSCADA 1/4"X1MTC/BUL.</t>
  </si>
  <si>
    <t>MAT-0162</t>
  </si>
  <si>
    <t>GRAMPA P/RIEL 1</t>
  </si>
  <si>
    <t>MAT-0163</t>
  </si>
  <si>
    <t>CAJA DE CONEXION 30X40X10 CH20</t>
  </si>
  <si>
    <t>MAT-0164</t>
  </si>
  <si>
    <t>CONECTOR 25MM PVC RIG IP54 TUBE</t>
  </si>
  <si>
    <t>MAT-0165</t>
  </si>
  <si>
    <t>RLLOX100M 1X 1,5MM NEGRO N.IRAM</t>
  </si>
  <si>
    <t>rol</t>
  </si>
  <si>
    <t>MAT-0166</t>
  </si>
  <si>
    <t>M SUBTERRANEO N IRAM 1X 120MM2</t>
  </si>
  <si>
    <t>ml</t>
  </si>
  <si>
    <t>MAT-0167</t>
  </si>
  <si>
    <t>Gabinete columna 2 modulos trifasico Edesur</t>
  </si>
  <si>
    <t>MAT-0168</t>
  </si>
  <si>
    <t>Gabinete columna 3 modulos monofasico Edesur</t>
  </si>
  <si>
    <t>MAT-0169</t>
  </si>
  <si>
    <t>Caja de toma y secc. 400A c/6 bases NH T3</t>
  </si>
  <si>
    <t>MAT-0170</t>
  </si>
  <si>
    <t>Fusible NH 00 63 A</t>
  </si>
  <si>
    <t>MAT-0171</t>
  </si>
  <si>
    <t>Fusible NH 02 a 125 A</t>
  </si>
  <si>
    <t>MAT-0172</t>
  </si>
  <si>
    <t>M COBRE DESNUDO 7H 25MM</t>
  </si>
  <si>
    <t>MAT-0173</t>
  </si>
  <si>
    <t>CONDUWELD JAB ST 3/4 1.5M</t>
  </si>
  <si>
    <t>MAT-0174</t>
  </si>
  <si>
    <t>CONDUWELD TOMACABLE 3</t>
  </si>
  <si>
    <t>MAT-0175</t>
  </si>
  <si>
    <t>CAJA INSPECCION 15 x 15 PVC</t>
  </si>
  <si>
    <t>MAT-0176</t>
  </si>
  <si>
    <t>Tendido caño cloacal en planta baja y ss</t>
  </si>
  <si>
    <t>MAT-0177</t>
  </si>
  <si>
    <t>Armado de pozo de bombeo cloacal</t>
  </si>
  <si>
    <t>MAT-0178</t>
  </si>
  <si>
    <t>Por armar CDV en planta tipo</t>
  </si>
  <si>
    <t>MAT-0179</t>
  </si>
  <si>
    <t>Montantes, remate y ventilación a los 4 vientos</t>
  </si>
  <si>
    <t>MAT-0180</t>
  </si>
  <si>
    <t>Tendido caño pluvial en planta baja y ss</t>
  </si>
  <si>
    <t>MAT-0181</t>
  </si>
  <si>
    <t>Tendido caño pluvial por pisos</t>
  </si>
  <si>
    <t>MAT-0182</t>
  </si>
  <si>
    <t>Instalación tanque de recupero y bombeo pluvial</t>
  </si>
  <si>
    <t>MAT-0183</t>
  </si>
  <si>
    <t>Tendido caño de agua en SS hasta TB. Colocación de TB, armado de colector y cuadro de bombas</t>
  </si>
  <si>
    <t>MAT-0184</t>
  </si>
  <si>
    <t>Colocación TR, armado de colector, subida y bajadas de AF</t>
  </si>
  <si>
    <t>MAT-0185</t>
  </si>
  <si>
    <t>Colocación de bomba presurizadora, armado de colector y montantes presurizadas (ultimo piso 4°) AF</t>
  </si>
  <si>
    <t>MAT-0186</t>
  </si>
  <si>
    <t>Distribución agua fria y caliente en planta tipo</t>
  </si>
  <si>
    <t>MAT-0187</t>
  </si>
  <si>
    <t>Colocación de artefactos y griferias - Provisión a cargo del comitente</t>
  </si>
  <si>
    <t>MAT-0188</t>
  </si>
  <si>
    <t>Armado y conexionado de desagües AA.CC</t>
  </si>
  <si>
    <t>MAT-0189</t>
  </si>
  <si>
    <t>Tendido de cañerías de mando y retorno para calefacción</t>
  </si>
  <si>
    <t>MAT-0190</t>
  </si>
  <si>
    <t>Montaje de caldera y puesta en marcha - Provisión a cargo del comitente</t>
  </si>
  <si>
    <t>MAT-0191</t>
  </si>
  <si>
    <t xml:space="preserve">INCEND: Tendido cañeria de incendio - </t>
  </si>
  <si>
    <t>MAT-0192</t>
  </si>
  <si>
    <t>Provisión y tendido de cañerías de gas a cada UF</t>
  </si>
  <si>
    <t>MAT-0193</t>
  </si>
  <si>
    <t>Preinstalacion MAT</t>
  </si>
  <si>
    <t>MAT-0194</t>
  </si>
  <si>
    <t>Mmaposteria</t>
  </si>
  <si>
    <t>MAT-0195</t>
  </si>
  <si>
    <t>Revoque</t>
  </si>
  <si>
    <t>MAT-0196</t>
  </si>
  <si>
    <t>Ladrillo refractario</t>
  </si>
  <si>
    <t>MAT-0197</t>
  </si>
  <si>
    <t>WEBER REFRACTARIO X 10KG (rend. 0,5 m2)</t>
  </si>
  <si>
    <t>MAT-0198</t>
  </si>
  <si>
    <t>Dintel</t>
  </si>
  <si>
    <t>MAT-0199</t>
  </si>
  <si>
    <t>COVE: Provisión y amure de tapas par</t>
  </si>
  <si>
    <t>MAT-0200</t>
  </si>
  <si>
    <t>Defensas</t>
  </si>
  <si>
    <t>MAT-0201</t>
  </si>
  <si>
    <t>MAT-0202</t>
  </si>
  <si>
    <t>MAT-0203</t>
  </si>
  <si>
    <t>Mat.</t>
  </si>
  <si>
    <t>MAT-0204</t>
  </si>
  <si>
    <t>MAT-0205</t>
  </si>
  <si>
    <t>MAT-0206</t>
  </si>
  <si>
    <t>Hierro c/ corte y doblado</t>
  </si>
  <si>
    <t>MAT-0207</t>
  </si>
  <si>
    <t>H° - inc hidrofugo, bombeo, piedra 6/12</t>
  </si>
  <si>
    <t>MAT-0208</t>
  </si>
  <si>
    <t>Colocación de artefactos a gas - Anafe/Horno</t>
  </si>
  <si>
    <t>MAT-0209</t>
  </si>
  <si>
    <t>Sup</t>
  </si>
  <si>
    <t>7</t>
  </si>
  <si>
    <t>MAT-0210</t>
  </si>
  <si>
    <t>Conducto ventilacion 30 x 30 - FRENTE</t>
  </si>
  <si>
    <t>MAT-0211</t>
  </si>
  <si>
    <t>Conducto ventilacion 30 x 30 prep - FRENTE</t>
  </si>
  <si>
    <t>MAT-0212</t>
  </si>
  <si>
    <t>Sombrero - Spriros</t>
  </si>
  <si>
    <t>MAT-0213</t>
  </si>
  <si>
    <t>SXXI MODULO toma doble 10A</t>
  </si>
  <si>
    <t>MAT-0214</t>
  </si>
  <si>
    <t>S XXI/XXII BASTIDOR LUJO</t>
  </si>
  <si>
    <t>MAT-0215</t>
  </si>
  <si>
    <t>SXXII TAPA 2 MOD. BLANCA</t>
  </si>
  <si>
    <t>MAT-0216</t>
  </si>
  <si>
    <t>SXXI MODULO toma simple</t>
  </si>
  <si>
    <t>MAT-0217</t>
  </si>
  <si>
    <t>SXXII MODULO PUNTO</t>
  </si>
  <si>
    <t>MAT-0218</t>
  </si>
  <si>
    <t>SXXII MODULO PULSADOR</t>
  </si>
  <si>
    <t>MAT-0219</t>
  </si>
  <si>
    <t>S XXI SOPORTE MIGNON</t>
  </si>
  <si>
    <t>MAT-0220</t>
  </si>
  <si>
    <t>SXXII TAPA MIGNON 1 MD.BLANCA</t>
  </si>
  <si>
    <t>MAT-0221</t>
  </si>
  <si>
    <t>CALEFA: Tendido de cañería por piso, m</t>
  </si>
  <si>
    <t>MAT-0222</t>
  </si>
  <si>
    <t>CALEFA: Colectores y gabinetes</t>
  </si>
  <si>
    <t>MAT-0223</t>
  </si>
  <si>
    <t>Flexibles caldera</t>
  </si>
  <si>
    <t>MAT-CONS</t>
  </si>
  <si>
    <t>Consumibles</t>
  </si>
  <si>
    <t>gl</t>
  </si>
  <si>
    <t>Consumible</t>
  </si>
  <si>
    <t>Salario/día $</t>
  </si>
  <si>
    <t>Coef. Cargas</t>
  </si>
  <si>
    <t>Costo Jornal $</t>
  </si>
  <si>
    <t>MO-AYU</t>
  </si>
  <si>
    <t>AYUDANTE</t>
  </si>
  <si>
    <t>MO-ESP</t>
  </si>
  <si>
    <t>ESPECIALIZADO</t>
  </si>
  <si>
    <t>MO-MED</t>
  </si>
  <si>
    <t>MEDIO OFICIAL</t>
  </si>
  <si>
    <t>MO-OFI</t>
  </si>
  <si>
    <t>OFICIAL</t>
  </si>
  <si>
    <t>Precio $/día</t>
  </si>
  <si>
    <t>EQ-0001</t>
  </si>
  <si>
    <t>Herramientas/consumibles - Topógrafo - Visita de obra replanteo</t>
  </si>
  <si>
    <t>Equipo</t>
  </si>
  <si>
    <t>EQ-0002</t>
  </si>
  <si>
    <t xml:space="preserve">Herramientas/consumibles - Cerco de obra perimetral - En chapa C25 </t>
  </si>
  <si>
    <t>EQ-0003</t>
  </si>
  <si>
    <t>Herramientas/consumibles - Obrador colgante, pañol y ducha</t>
  </si>
  <si>
    <t>EQ-0004</t>
  </si>
  <si>
    <t>Herramientas/consumibles - Conexión pilar y luz de obra + Tablero d</t>
  </si>
  <si>
    <t>EQ-0005</t>
  </si>
  <si>
    <t>Herramientas/consumibles - Conexión agua de obra, tanque + bomba</t>
  </si>
  <si>
    <t>EQ-0006</t>
  </si>
  <si>
    <t xml:space="preserve">Herramientas/consumibles - Excavación a maquina para submuración y </t>
  </si>
  <si>
    <t>EQ-0007</t>
  </si>
  <si>
    <t>Herramientas/consumibles - Hormigón de limpieza - e: 10 cm</t>
  </si>
  <si>
    <t>EQ-0008</t>
  </si>
  <si>
    <t xml:space="preserve">Herramientas/consumibles - Tabique submuración - H30 hidrófugo (95 </t>
  </si>
  <si>
    <t>EQ-0009</t>
  </si>
  <si>
    <t>Herramientas/consumibles - Zapata corrida tabique - H30 hidrófugo (</t>
  </si>
  <si>
    <t>EQ-0010</t>
  </si>
  <si>
    <t>Herramientas/consumibles - Platea - H30 hidrófugo (95 kg/m3 de hier</t>
  </si>
  <si>
    <t>EQ-0011</t>
  </si>
  <si>
    <t>Herramientas/consumibles - Rampa - H30 (120 kg/m3 de hierro)</t>
  </si>
  <si>
    <t>EQ-0012</t>
  </si>
  <si>
    <t>Herramientas/consumibles - Losa maciza - H30 (110 kg/m3 de hierro)</t>
  </si>
  <si>
    <t>EQ-0013</t>
  </si>
  <si>
    <t>Herramientas/consumibles - Vigas - H30 (140 kg/m3 de hierro)</t>
  </si>
  <si>
    <t>EQ-0014</t>
  </si>
  <si>
    <t>Herramientas/consumibles - Vigas de H° visto - H30 (140 kg/m3 de hi</t>
  </si>
  <si>
    <t>EQ-0015</t>
  </si>
  <si>
    <t>Herramientas/consumibles - Tabiques - H30 (120 kg/m3 de hierro)</t>
  </si>
  <si>
    <t>EQ-0016</t>
  </si>
  <si>
    <t>Herramientas/consumibles - Columna - H30 (240 Kg/m3 de hierro)</t>
  </si>
  <si>
    <t>EQ-0017</t>
  </si>
  <si>
    <t>Herramientas/consumibles - Escaleras - H30 (105 kg/m3 de hierro)</t>
  </si>
  <si>
    <t>EQ-0018</t>
  </si>
  <si>
    <t xml:space="preserve">Herramientas/consumibles - Tabiques tanques de H° - H30 (120 kg/m3 </t>
  </si>
  <si>
    <t>EQ-0019</t>
  </si>
  <si>
    <t>Herramientas/consumibles - Sistema de apuntalamiento y reapuntalami</t>
  </si>
  <si>
    <t>EQ-0020</t>
  </si>
  <si>
    <t>Herramientas/consumibles - Picado de medianeras para columnas y vig</t>
  </si>
  <si>
    <t>EQ-0021</t>
  </si>
  <si>
    <t>EQUIPO DE ALBAÑILERIA, carpetas, ladrillo</t>
  </si>
  <si>
    <t>EQ-0022</t>
  </si>
  <si>
    <t>ANDAMIO TUBULAR DE UNO A TRES CUERPOS</t>
  </si>
  <si>
    <t>EQ-0023</t>
  </si>
  <si>
    <t>Hormigonera De 150 Litros 1hp Con Rueda Maciza</t>
  </si>
  <si>
    <t>EQ-0024</t>
  </si>
  <si>
    <t>Herramientas/consumibles - Cordón de hormigón en umbrales carpinter</t>
  </si>
  <si>
    <t>EQ-0025</t>
  </si>
  <si>
    <t>Herramientas/consumibles - Pozo de bombeo pluvial y cloacal</t>
  </si>
  <si>
    <t>EQ-0026</t>
  </si>
  <si>
    <t>Soldador Soplete A Gas Techista Membrana 10 Kg Boca 50mm</t>
  </si>
  <si>
    <t>EQ-0027</t>
  </si>
  <si>
    <t>Herramientas/consumibles - Babeta de chapa galvanizada en medianera</t>
  </si>
  <si>
    <t>EQ-0028</t>
  </si>
  <si>
    <t>Balancin</t>
  </si>
  <si>
    <t>EQ-0029</t>
  </si>
  <si>
    <t>Herramientas/consumibles - Banquinas para cocinas</t>
  </si>
  <si>
    <t>EQ-0030</t>
  </si>
  <si>
    <t>Herramientas/consumibles - Banquinas para bombas y tanques en SB</t>
  </si>
  <si>
    <t>EQ-0031</t>
  </si>
  <si>
    <t>Herramientas/consumibles - Cemento alisado arrodillado en escaleras</t>
  </si>
  <si>
    <t>EQ-0032</t>
  </si>
  <si>
    <t xml:space="preserve">Herramientas/consumibles - Provisión nariz escalera, hierro angulo </t>
  </si>
  <si>
    <t>EQ-0033</t>
  </si>
  <si>
    <t>Herramientas/consumibles - Provisión y colocación de Rodapie/ Zócal</t>
  </si>
  <si>
    <t>EQ-0034</t>
  </si>
  <si>
    <t>EQUIPO PARA COLOCACION DE CERAMICA</t>
  </si>
  <si>
    <t>EQ-0035</t>
  </si>
  <si>
    <t>CORTADORA CERAMICA PROFESIONAL 1200MM (PORCELANATO HASTA 16MM)</t>
  </si>
  <si>
    <t>EQ-0036</t>
  </si>
  <si>
    <t>Herramientas/consumibles - Provisión y ejecución de pavimento e: 18</t>
  </si>
  <si>
    <t>EQ-0037</t>
  </si>
  <si>
    <t>Herramientas/consumibles - Provisión y colocación de zocalos de Mad</t>
  </si>
  <si>
    <t>EQ-0038</t>
  </si>
  <si>
    <t>ESCALERA GLOSS ALUMINIO ARTICULADA 4 X 4 ESCALONES HASTA 150KG</t>
  </si>
  <si>
    <t>EQ-0039</t>
  </si>
  <si>
    <t>EQUIPO DE CONSTRUCCION EN SECO</t>
  </si>
  <si>
    <t>EQ-0040</t>
  </si>
  <si>
    <t>Herramientas/consumibles - H° Visto - Maquillaje para recibir pintu</t>
  </si>
  <si>
    <t>EQ-0041</t>
  </si>
  <si>
    <t xml:space="preserve">Herramientas/consumibles - Amure Puertas de Ascensor - Provisión a </t>
  </si>
  <si>
    <t>EQ-0042</t>
  </si>
  <si>
    <t>EQUIPO PARA INSTALACION ELECTRICA</t>
  </si>
  <si>
    <t>EQ-0043</t>
  </si>
  <si>
    <t>Herramientas/consumibles - Tablero Servicios generales - TSG</t>
  </si>
  <si>
    <t>EQ-0044</t>
  </si>
  <si>
    <t>Herramientas/consumibles - Tablero Bombas impulsión - TS BI</t>
  </si>
  <si>
    <t>EQ-0045</t>
  </si>
  <si>
    <t>Herramientas/consumibles - Tablero Seccional ascensor - TS.ASC.</t>
  </si>
  <si>
    <t>EQ-0046</t>
  </si>
  <si>
    <t>Herramientas/consumibles - Tablero de Bomba presurizadora - TS BR</t>
  </si>
  <si>
    <t>EQ-0047</t>
  </si>
  <si>
    <t>Herramientas/consumibles - Tablero TS Local</t>
  </si>
  <si>
    <t>EQ-0048</t>
  </si>
  <si>
    <t>Herramientas/consumibles - Tablero de UF (monoambiente)</t>
  </si>
  <si>
    <t>EQ-0049</t>
  </si>
  <si>
    <t>Herramientas/consumibles - Tablero de UF (2 y 3 ambientes)</t>
  </si>
  <si>
    <t>EQ-0050</t>
  </si>
  <si>
    <t>Herramientas/consumibles - Montante eléctrica</t>
  </si>
  <si>
    <t>EQ-0051</t>
  </si>
  <si>
    <t>Herramientas/consumibles - Montante TV + Tablero TV - Cañería c/cab</t>
  </si>
  <si>
    <t>EQ-0052</t>
  </si>
  <si>
    <t>Herramientas/consumibles - Montante PE + Tablero PE- Cañería c/cabl</t>
  </si>
  <si>
    <t>EQ-0053</t>
  </si>
  <si>
    <t>Herramientas/consumibles - Colocación de sensor de movimiento - Pro</t>
  </si>
  <si>
    <t>EQ-0054</t>
  </si>
  <si>
    <t>Herramientas/consumibles - Colocación de teclas simples y/o combina</t>
  </si>
  <si>
    <t>EQ-0055</t>
  </si>
  <si>
    <t xml:space="preserve">Herramientas/consumibles - Colocación de pulsadores, circulación + </t>
  </si>
  <si>
    <t>EQ-0056</t>
  </si>
  <si>
    <t>Herramientas/consumibles - Colocación de tomacorriente simple y dob</t>
  </si>
  <si>
    <t>EQ-0057</t>
  </si>
  <si>
    <t>Herramientas/consumibles - Colocación de luz de emergencia - Provis</t>
  </si>
  <si>
    <t>EQ-0058</t>
  </si>
  <si>
    <t>Herramientas/consumibles - Colocación de zumbador - Provisión a car</t>
  </si>
  <si>
    <t>EQ-0059</t>
  </si>
  <si>
    <t>Herramientas/consumibles - Colocación artefactos en espacios comune</t>
  </si>
  <si>
    <t>EQ-0060</t>
  </si>
  <si>
    <t>Herramientas/consumibles - Colocación de fotocelula - Provisión a c</t>
  </si>
  <si>
    <t>EQ-0061</t>
  </si>
  <si>
    <t>Herramientas/consumibles - Acometida y gabiente de medidores</t>
  </si>
  <si>
    <t>EQ-0062</t>
  </si>
  <si>
    <t>Herramientas/consumibles - Puesta a tierra, jabalinas y cableados</t>
  </si>
  <si>
    <t>EQ-0063</t>
  </si>
  <si>
    <t>Herramientas/consumibles - Tendido caño cloacal en planta baja y ss</t>
  </si>
  <si>
    <t>EQ-0064</t>
  </si>
  <si>
    <t>Herramientas/consumibles - Armado de pozo de bombeo cloacal</t>
  </si>
  <si>
    <t>EQ-0065</t>
  </si>
  <si>
    <t>Herramientas/consumibles - Por armar CDV en planta tipo</t>
  </si>
  <si>
    <t>EQ-0066</t>
  </si>
  <si>
    <t xml:space="preserve">Herramientas/consumibles - Montantes, remate y ventilación a los 4 </t>
  </si>
  <si>
    <t>EQ-0067</t>
  </si>
  <si>
    <t>Herramientas/consumibles - Tendido caño pluvial en planta baja y ss</t>
  </si>
  <si>
    <t>EQ-0068</t>
  </si>
  <si>
    <t>Herramientas/consumibles - Tendido caño pluvial por pisos</t>
  </si>
  <si>
    <t>EQ-0069</t>
  </si>
  <si>
    <t xml:space="preserve">Herramientas/consumibles - Instalación tanque de recupero y bombeo </t>
  </si>
  <si>
    <t>EQ-0070</t>
  </si>
  <si>
    <t>Herramientas/consumibles - Tendido caño de agua en SS hasta TB. Col</t>
  </si>
  <si>
    <t>EQ-0071</t>
  </si>
  <si>
    <t>Herramientas/consumibles - Colocación TR, armado de colector, subid</t>
  </si>
  <si>
    <t>EQ-0072</t>
  </si>
  <si>
    <t>Herramientas/consumibles - Colocación de bomba presurizadora, armad</t>
  </si>
  <si>
    <t>EQ-0073</t>
  </si>
  <si>
    <t>Herramientas/consumibles - Distribución agua fria y caliente en pla</t>
  </si>
  <si>
    <t>EQ-0074</t>
  </si>
  <si>
    <t>Herramientas/consumibles - Colocación de artefactos y griferias - P</t>
  </si>
  <si>
    <t>EQ-0075</t>
  </si>
  <si>
    <t>Herramientas/consumibles - Armado y conexionado de desagües AA.CC</t>
  </si>
  <si>
    <t>EQ-0076</t>
  </si>
  <si>
    <t>Herramientas/consumibles - Tendido de cañerías de mando y retorno p</t>
  </si>
  <si>
    <t>EQ-0077</t>
  </si>
  <si>
    <t>Herramientas/consumibles - Montaje de radiadores - Provisión a carg</t>
  </si>
  <si>
    <t>EQ-0078</t>
  </si>
  <si>
    <t xml:space="preserve">Herramientas/consumibles - Montaje de caldera y puesta en marcha - </t>
  </si>
  <si>
    <t>EQ-0079</t>
  </si>
  <si>
    <t>Herramientas/consumibles - Tendido cañeria de incendio - Gabinetes,</t>
  </si>
  <si>
    <t>EQ-0080</t>
  </si>
  <si>
    <t>Herramientas/consumibles - Provisión y tendido de cañerías de gas a</t>
  </si>
  <si>
    <t>EQ-0081</t>
  </si>
  <si>
    <t>Herramientas/consumibles - Albañilería parrila completa</t>
  </si>
  <si>
    <t>EQ-0082</t>
  </si>
  <si>
    <t>Herramientas/consumibles - Colocación de ladrillos de vidrio - Prov</t>
  </si>
  <si>
    <t>EQ-0083</t>
  </si>
  <si>
    <t>Herramientas/consumibles - Protecciones y defensas</t>
  </si>
  <si>
    <t>EQ-0084</t>
  </si>
  <si>
    <t>Herramientas/consumibles - Ayuda de gremios</t>
  </si>
  <si>
    <t>EQ-0085</t>
  </si>
  <si>
    <t>Herramientas/consumibles - Limpieza periodica</t>
  </si>
  <si>
    <t>EQ-0086</t>
  </si>
  <si>
    <t>Herramientas/consumibles - Tendido de cañería por piso, manta y mal</t>
  </si>
  <si>
    <t>EQ-0087</t>
  </si>
  <si>
    <t>Herramientas/consumibles - Colectores y gabinetes</t>
  </si>
  <si>
    <t>EQ-0088</t>
  </si>
  <si>
    <t>Herramientas/consumibles - Flexibles caldera</t>
  </si>
  <si>
    <t>Ud</t>
  </si>
  <si>
    <t>Precio Unitario $</t>
  </si>
  <si>
    <t>SUB-0001</t>
  </si>
  <si>
    <t>JEFE DE OBRA</t>
  </si>
  <si>
    <t>Subcontrato</t>
  </si>
  <si>
    <t>SUB-0002</t>
  </si>
  <si>
    <t>Flete madera</t>
  </si>
  <si>
    <t>SUB-0003</t>
  </si>
  <si>
    <t>Baño portatil / Ducha</t>
  </si>
  <si>
    <t>SUB-0004</t>
  </si>
  <si>
    <t>Traslado flete entrega/ retiro</t>
  </si>
  <si>
    <t>SUB-0005</t>
  </si>
  <si>
    <t>Gestion suministros luz de obra</t>
  </si>
  <si>
    <t>SUB-0006</t>
  </si>
  <si>
    <t>Luz de Obra</t>
  </si>
  <si>
    <t>SUB-0007</t>
  </si>
  <si>
    <t>Medicion PAT luz de obra</t>
  </si>
  <si>
    <t>SUB-0008</t>
  </si>
  <si>
    <t>Total de Obra (3 perforaciones)</t>
  </si>
  <si>
    <t>SUB-0009</t>
  </si>
  <si>
    <t>Desmonte, retiro, aporte y compactación e: 40 cm</t>
  </si>
  <si>
    <t>SUB-0010</t>
  </si>
  <si>
    <t>H.A. De vigas de fundación (115kg/m3 de hierro)</t>
  </si>
  <si>
    <t>SUB-0011</t>
  </si>
  <si>
    <t>HA. De cabezales (90 kg/m3 de hierro)</t>
  </si>
  <si>
    <t>SUB-0012</t>
  </si>
  <si>
    <t>OFICIAL ESPECIALIZADO ALBAÑIL</t>
  </si>
  <si>
    <t>SUB-0013</t>
  </si>
  <si>
    <t>AYUDANTE ALBAÑIL</t>
  </si>
  <si>
    <t>SUB-0014</t>
  </si>
  <si>
    <t>Impermeabilización de subsuelo</t>
  </si>
  <si>
    <t>SUB-0015</t>
  </si>
  <si>
    <t>Buña en revoque</t>
  </si>
  <si>
    <t>SUB-0016</t>
  </si>
  <si>
    <t>Yeso</t>
  </si>
  <si>
    <t>SUB-0017</t>
  </si>
  <si>
    <t>Arista / Buña</t>
  </si>
  <si>
    <t>SUB-0018</t>
  </si>
  <si>
    <t>Cantonera</t>
  </si>
  <si>
    <t>SUB-0019</t>
  </si>
  <si>
    <t>SUB-0020</t>
  </si>
  <si>
    <t>SUB-0021</t>
  </si>
  <si>
    <t>SUB-0022</t>
  </si>
  <si>
    <t>Alquiler de aserradora</t>
  </si>
  <si>
    <t>SUB-0023</t>
  </si>
  <si>
    <t>Alquiler de helicoptero</t>
  </si>
  <si>
    <t>SUB-0024</t>
  </si>
  <si>
    <t>MEDIO OFICIAL ALBAÑIL</t>
  </si>
  <si>
    <t>SUB-0025</t>
  </si>
  <si>
    <t>OFICIAL COLOCADOR</t>
  </si>
  <si>
    <t>SUB-0026</t>
  </si>
  <si>
    <t>OFICIAL ESPECIALIZADO PINTOR</t>
  </si>
  <si>
    <t>SUB-0027</t>
  </si>
  <si>
    <t>MEDIO OFICIAL PINTOR</t>
  </si>
  <si>
    <t>SUB-0028</t>
  </si>
  <si>
    <t>Boca completa</t>
  </si>
  <si>
    <t>SUB-0029</t>
  </si>
  <si>
    <t>Canalización</t>
  </si>
  <si>
    <t>SUB-0030</t>
  </si>
  <si>
    <t>Tablero seccional de 36 a 54 polos</t>
  </si>
  <si>
    <t>SUB-0031</t>
  </si>
  <si>
    <t>Tablero seccional de 8 a 36 polos</t>
  </si>
  <si>
    <t>SUB-0032</t>
  </si>
  <si>
    <t>SUB-0033</t>
  </si>
  <si>
    <t>SUB-0034</t>
  </si>
  <si>
    <t>SUB-0035</t>
  </si>
  <si>
    <t>SUB-0036</t>
  </si>
  <si>
    <t>Colocación artefacto</t>
  </si>
  <si>
    <t>SUB-0037</t>
  </si>
  <si>
    <t>Conexión de punto y toma</t>
  </si>
  <si>
    <t>SUB-0038</t>
  </si>
  <si>
    <t>Luz de emergencia</t>
  </si>
  <si>
    <t>SUB-0039</t>
  </si>
  <si>
    <t>Gabinete 4 medidores</t>
  </si>
  <si>
    <t>SUB-0040</t>
  </si>
  <si>
    <t>Gabinete 1 medidor trif</t>
  </si>
  <si>
    <t>SUB-0041</t>
  </si>
  <si>
    <t>Caño de acometida</t>
  </si>
  <si>
    <t>SUB-0042</t>
  </si>
  <si>
    <t>Caja de toma</t>
  </si>
  <si>
    <t>SUB-0043</t>
  </si>
  <si>
    <t>PAT de Servicio</t>
  </si>
  <si>
    <t>SUB-0044</t>
  </si>
  <si>
    <t>Servicios grales T1</t>
  </si>
  <si>
    <t>SUB-0045</t>
  </si>
  <si>
    <t>SUB-0046</t>
  </si>
  <si>
    <t>SUB-0047</t>
  </si>
  <si>
    <t>SUB-0048</t>
  </si>
  <si>
    <t>SUB-0049</t>
  </si>
  <si>
    <t>SUB-0050</t>
  </si>
  <si>
    <t>SUB-0051</t>
  </si>
  <si>
    <t>SUB-0052</t>
  </si>
  <si>
    <t>SUB-0053</t>
  </si>
  <si>
    <t>SUB-0054</t>
  </si>
  <si>
    <t>SUB-0055</t>
  </si>
  <si>
    <t>SUB-0056</t>
  </si>
  <si>
    <t>SUB-0057</t>
  </si>
  <si>
    <t>SUB-0058</t>
  </si>
  <si>
    <t>Tendido de cañerías</t>
  </si>
  <si>
    <t>SUB-0059</t>
  </si>
  <si>
    <t>Montaje de radiadores</t>
  </si>
  <si>
    <t>SUB-0060</t>
  </si>
  <si>
    <t>Puesta en marcha de caldera</t>
  </si>
  <si>
    <t>SUB-0061</t>
  </si>
  <si>
    <t>SUB-0062</t>
  </si>
  <si>
    <t>SUB-0063</t>
  </si>
  <si>
    <t>Tramites gas - Prefactibilidad, inspección parcial, final</t>
  </si>
  <si>
    <t>SUB-0064</t>
  </si>
  <si>
    <t>Preinstalacion M.O</t>
  </si>
  <si>
    <t>SUB-0065</t>
  </si>
  <si>
    <t>Instalacion y puesta en marcha</t>
  </si>
  <si>
    <t>SUB-0066</t>
  </si>
  <si>
    <t>Colocación extractor de aire en baño</t>
  </si>
  <si>
    <t>SUB-0067</t>
  </si>
  <si>
    <t>SUB-0068</t>
  </si>
  <si>
    <t>GGBB: Sereno</t>
  </si>
  <si>
    <t>SUB-0069</t>
  </si>
  <si>
    <t>GGBB: Tecnico de seguridad &amp; higiene</t>
  </si>
  <si>
    <t>SUB-0070</t>
  </si>
  <si>
    <t>GGBB: Higiene y seguridad Res 51</t>
  </si>
  <si>
    <t>SUB-0071</t>
  </si>
  <si>
    <t>Fletes</t>
  </si>
  <si>
    <t>SUB-0072</t>
  </si>
  <si>
    <t>GGBB: Supervisión profesional de Obr</t>
  </si>
  <si>
    <t>SUB-0073</t>
  </si>
  <si>
    <t>GGBB: Movilidad y viaticos</t>
  </si>
  <si>
    <t>SUB-0074</t>
  </si>
  <si>
    <t>COVE: Provisión y colicación de camp</t>
  </si>
  <si>
    <t>SUB-0075</t>
  </si>
  <si>
    <t>Piso radiante + caldera</t>
  </si>
  <si>
    <t>#</t>
  </si>
  <si>
    <t>Rubro</t>
  </si>
  <si>
    <t>Ud.</t>
  </si>
  <si>
    <t>Cant.</t>
  </si>
  <si>
    <t>MAT/ud</t>
  </si>
  <si>
    <t>MO/ud</t>
  </si>
  <si>
    <t>EQ/ud</t>
  </si>
  <si>
    <t>CD/ud</t>
  </si>
  <si>
    <t>MAT total</t>
  </si>
  <si>
    <t>MO total</t>
  </si>
  <si>
    <t>EQ total</t>
  </si>
  <si>
    <t>Costo Total</t>
  </si>
  <si>
    <t>Tareas Preliminares</t>
  </si>
  <si>
    <t>Limpieza y preparación del terreno - No cotiza</t>
  </si>
  <si>
    <t>PTO-0101</t>
  </si>
  <si>
    <t>Topógrafo - Visita de obra replanteo</t>
  </si>
  <si>
    <t>un</t>
  </si>
  <si>
    <t>PTO-0102</t>
  </si>
  <si>
    <t>Cartel de Obra - No cotiza</t>
  </si>
  <si>
    <t>PTO-0103</t>
  </si>
  <si>
    <t>Cerco de obra perimetral - En chapa C25 + Concertina + Porton corredizo</t>
  </si>
  <si>
    <t>PTO-0104</t>
  </si>
  <si>
    <t>Obrador colgante, pañol y ducha</t>
  </si>
  <si>
    <t>PTO-0105</t>
  </si>
  <si>
    <t>Alquiler de baños quimicos y duchas portatiles</t>
  </si>
  <si>
    <t>mes</t>
  </si>
  <si>
    <t>PTO-0106</t>
  </si>
  <si>
    <t>Conexión pilar y luz de obra + Tablero de obra</t>
  </si>
  <si>
    <t>PTO-0107</t>
  </si>
  <si>
    <t>Conexión agua de obra, tanque + bomba</t>
  </si>
  <si>
    <t>PTO-0108</t>
  </si>
  <si>
    <t>Tramite luz de obra, certificado luz de obra (2) y medición PAT</t>
  </si>
  <si>
    <t>PTO-0109</t>
  </si>
  <si>
    <t>Sistema de depresión de napas</t>
  </si>
  <si>
    <t>PTO-0110</t>
  </si>
  <si>
    <t>Movimiento de Suelos</t>
  </si>
  <si>
    <t>Excavación a maquina para submuración y subsuelo</t>
  </si>
  <si>
    <t>m3</t>
  </si>
  <si>
    <t>PTO-0201</t>
  </si>
  <si>
    <t>Demolición y retiro de fundaciones existentes - No cotiza</t>
  </si>
  <si>
    <t>PTO-0202</t>
  </si>
  <si>
    <t>Excavación manual para pozo de achique y bombeo</t>
  </si>
  <si>
    <t>PTO-0203</t>
  </si>
  <si>
    <t>Estructura Resistente</t>
  </si>
  <si>
    <t>Hormigón de limpieza - e: 10 cm</t>
  </si>
  <si>
    <t>PTO-0301</t>
  </si>
  <si>
    <t>Tabique submuración - H30 hidrófugo (95 kg/m3 de hierro)</t>
  </si>
  <si>
    <t>PTO-0302</t>
  </si>
  <si>
    <t>Zapata corrida tabique - H30 hidrófugo (120 kg/m3)</t>
  </si>
  <si>
    <t>PTO-0303</t>
  </si>
  <si>
    <t>Platea - H30 hidrófugo (95 kg/m3 de hierro)</t>
  </si>
  <si>
    <t>PTO-0304</t>
  </si>
  <si>
    <t>Rampa - H30 (120 kg/m3 de hierro)</t>
  </si>
  <si>
    <t>PTO-0305</t>
  </si>
  <si>
    <t>Losa maciza - H30 (110 kg/m3 de hierro)</t>
  </si>
  <si>
    <t>PTO-0306</t>
  </si>
  <si>
    <t>Vigas - H30 (140 kg/m3 de hierro)</t>
  </si>
  <si>
    <t>PTO-0307</t>
  </si>
  <si>
    <t>Vigas de H° visto - H30 (140 kg/m3 de hierro)</t>
  </si>
  <si>
    <t>PTO-0308</t>
  </si>
  <si>
    <t>Tabiques - H30 (120 kg/m3 de hierro)</t>
  </si>
  <si>
    <t>PTO-0309</t>
  </si>
  <si>
    <t>Columna - H30 (240 Kg/m3 de hierro)</t>
  </si>
  <si>
    <t>PTO-0310</t>
  </si>
  <si>
    <t>Escaleras - H30 (105 kg/m3 de hierro)</t>
  </si>
  <si>
    <t>PTO-0311</t>
  </si>
  <si>
    <t>Tabiques tanques de H° - H30 (120 kg/m3 de hierro)</t>
  </si>
  <si>
    <t>PTO-0312</t>
  </si>
  <si>
    <t>Junta de impermeabilización de PVC - Sika Waterbars v15 x 15mts o similar</t>
  </si>
  <si>
    <t>PTO-0313</t>
  </si>
  <si>
    <t>Sistema de apuntalamiento y reapuntalamiento</t>
  </si>
  <si>
    <t>PTO-0314</t>
  </si>
  <si>
    <t>PTO-0315</t>
  </si>
  <si>
    <t>PTO-0316</t>
  </si>
  <si>
    <t>Picado de medianeras para columnas y vigas - Cotizado solo para PB y 1P, No contempla picado en SS</t>
  </si>
  <si>
    <t>m2</t>
  </si>
  <si>
    <t>PTO-0317</t>
  </si>
  <si>
    <t>Albañilería</t>
  </si>
  <si>
    <t>Muro tipo 1 (interiores, divisorio de locales) e: 10 cm - Ladrillo hueco 08 x 18 x 33</t>
  </si>
  <si>
    <t>PTO-0401</t>
  </si>
  <si>
    <t>Muro tipo 2 y 3 (medianera, caja de escaleras y ascensor) e: 15 cm - Ladrillo hueco portante 12 x 19 x 33</t>
  </si>
  <si>
    <t>PTO-0402</t>
  </si>
  <si>
    <t>Muro tipo 4 (divisorio de unidades y fachas) e: 15 cm - Ladrillo hueco 12 x 18 x 33</t>
  </si>
  <si>
    <t>PTO-0403</t>
  </si>
  <si>
    <t>Enchape medianeras existentes - Contemplamos picado zonas sueltas y enchape con ladrillo comun para PB</t>
  </si>
  <si>
    <t>PTO-0404</t>
  </si>
  <si>
    <t>Mamposteria cribada de ladrillo visto en balcones</t>
  </si>
  <si>
    <t>PTO-0405</t>
  </si>
  <si>
    <t>Bloque de H° con masillado de hormigon</t>
  </si>
  <si>
    <t>PTO-0406</t>
  </si>
  <si>
    <t>Cordón de hormigón en umbrales carpinterías</t>
  </si>
  <si>
    <t>PTO-0407</t>
  </si>
  <si>
    <t>Pozo de bombeo pluvial y cloacal</t>
  </si>
  <si>
    <t>PTO-0408</t>
  </si>
  <si>
    <t>Aislaciones</t>
  </si>
  <si>
    <t>Aislación hidrófuga horizontal (baños) - Inc. membrana geotextil y 35% en concepto de babetas</t>
  </si>
  <si>
    <t>PTO-0501</t>
  </si>
  <si>
    <t>Azotado hidrofugo - Sobre medianeras existentes</t>
  </si>
  <si>
    <t>PTO-0502</t>
  </si>
  <si>
    <t>Azotado hidrofugo - Contrapiso de vereda</t>
  </si>
  <si>
    <t>PTO-0503</t>
  </si>
  <si>
    <t>Aislación térmica en terrazas, eps e:2,00 cm</t>
  </si>
  <si>
    <t>PTO-0504</t>
  </si>
  <si>
    <t>Barrera de vapor</t>
  </si>
  <si>
    <t>PTO-0505</t>
  </si>
  <si>
    <t>Membrana asfaltica geotextil 4mm - Balcones y azotea - Inc. 20% en concepto de babetas</t>
  </si>
  <si>
    <t>PTO-0506</t>
  </si>
  <si>
    <t>PTO-0507</t>
  </si>
  <si>
    <t>Cubiertas</t>
  </si>
  <si>
    <t>Babeta de chapa galvanizada en medianeras</t>
  </si>
  <si>
    <t>PTO-0602</t>
  </si>
  <si>
    <t>Revoques</t>
  </si>
  <si>
    <t>Revoque Grueso Impermeable Exterior proyectable</t>
  </si>
  <si>
    <t>PTO-0701</t>
  </si>
  <si>
    <t>Revoque Grueso Impermeable Exterior a mas de 3m proyectable - Medianero y fachadas</t>
  </si>
  <si>
    <t>PTO-0702</t>
  </si>
  <si>
    <t>PTO-0703</t>
  </si>
  <si>
    <t>Revoque Grueso Interior + fino</t>
  </si>
  <si>
    <t>PTO-0704</t>
  </si>
  <si>
    <t>Yeso interior</t>
  </si>
  <si>
    <t>PTO-0705</t>
  </si>
  <si>
    <t>Arista en yeso</t>
  </si>
  <si>
    <t>PTO-0706</t>
  </si>
  <si>
    <t>Provisión y colocación de guardacanto yesero</t>
  </si>
  <si>
    <t>PTO-0707</t>
  </si>
  <si>
    <t>Revoque Grueso Impermeable Interior b/ revestimiento</t>
  </si>
  <si>
    <t>PTO-0708</t>
  </si>
  <si>
    <t>Contrapisos y Carpetas</t>
  </si>
  <si>
    <t>Contrapiso de cascotes en SS e: 15 cm</t>
  </si>
  <si>
    <t>PTO-0801</t>
  </si>
  <si>
    <t>PTO-0802</t>
  </si>
  <si>
    <t>Contrapiso de cascotes en azoteas c/pendiente e: 15 cm</t>
  </si>
  <si>
    <t>PTO-0803</t>
  </si>
  <si>
    <t>Contrapiso - Carpeta monolitico e: 7 cm</t>
  </si>
  <si>
    <t>PTO-0804</t>
  </si>
  <si>
    <t>Carpeta en PB y balcones, baños y azoteas e: 3,00 cm</t>
  </si>
  <si>
    <t>PTO-0805</t>
  </si>
  <si>
    <t>Carpeta sobre membrana</t>
  </si>
  <si>
    <t>PTO-0806</t>
  </si>
  <si>
    <t>Banquinas para cocinas</t>
  </si>
  <si>
    <t>PTO-0807</t>
  </si>
  <si>
    <t>Banquinas para bombas y tanques en SB</t>
  </si>
  <si>
    <t>PTO-0808</t>
  </si>
  <si>
    <t>Escaleras</t>
  </si>
  <si>
    <t>Cemento alisado arrodillado en escaleras</t>
  </si>
  <si>
    <t>PTO-0901</t>
  </si>
  <si>
    <t>Provisión nariz escalera, hierro angulo 5/8 x 1/8"</t>
  </si>
  <si>
    <t>PTO-0902</t>
  </si>
  <si>
    <t>Zócalo de concreto</t>
  </si>
  <si>
    <t>PTO-0903</t>
  </si>
  <si>
    <t>Provisión y colocación de Rodapie/ Zócalo rampante en placa cementicia</t>
  </si>
  <si>
    <t>PTO-0904</t>
  </si>
  <si>
    <t>Ventilaciones</t>
  </si>
  <si>
    <t>Ventilación Conducto Humos. Incluye toma de aire en PB - No aplica s/proyecto</t>
  </si>
  <si>
    <t>PTO-1001</t>
  </si>
  <si>
    <t>PTO-1002</t>
  </si>
  <si>
    <t>Colocación de rejillas de inyección y extracción - No aplica s/proyecto</t>
  </si>
  <si>
    <t>PTO-1003</t>
  </si>
  <si>
    <t>Sombreretes en chapa prepintada C25</t>
  </si>
  <si>
    <t>PTO-1004</t>
  </si>
  <si>
    <t>Pisos</t>
  </si>
  <si>
    <t>Colocación de travertino en hall PB - Provisión a cargo del comitente</t>
  </si>
  <si>
    <t>PTO-1101</t>
  </si>
  <si>
    <t>Colocación de porcelanato en paliers, terraza y espacios comunes - Provisión a cargo del comitente</t>
  </si>
  <si>
    <t>PTO-1102</t>
  </si>
  <si>
    <t>Colocación de porcelanato en UF - Provisión a cargo del comitente</t>
  </si>
  <si>
    <t>PTO-1103</t>
  </si>
  <si>
    <t>Colocación de porcelanato en baños - Provisión a cargo del comitente</t>
  </si>
  <si>
    <t>PTO-1104</t>
  </si>
  <si>
    <t>Provisión y ejecución de alisado de cemento rodillado</t>
  </si>
  <si>
    <t>PTO-1105</t>
  </si>
  <si>
    <t>Colocación de baldoson de vereda - Provisión a cargo del comitente</t>
  </si>
  <si>
    <t>PTO-1106</t>
  </si>
  <si>
    <t>Provisión y ejecución de pavimento e: 18 cm, incluye malla Q188</t>
  </si>
  <si>
    <t>PTO-1107</t>
  </si>
  <si>
    <t>Zócalos y Solias</t>
  </si>
  <si>
    <t>Provisión y colocación de zocalos de Madera (MDF) h: 7 cm</t>
  </si>
  <si>
    <t>PTO-1201</t>
  </si>
  <si>
    <t>PTO-1202</t>
  </si>
  <si>
    <t>Colocación de zocalo de porcelanico - Provisión a cargo del comitente</t>
  </si>
  <si>
    <t>PTO-1203</t>
  </si>
  <si>
    <t>Colocación de zocalo de porcelanato en palieres - Provisión a cargo del comitente</t>
  </si>
  <si>
    <t>PTO-1204</t>
  </si>
  <si>
    <t>Colocación de zocalo de porcelanato en terraza y espacios comunes - Provisión a cargo del comitente</t>
  </si>
  <si>
    <t>PTO-1205</t>
  </si>
  <si>
    <t>Revestimientos</t>
  </si>
  <si>
    <t>Revestimiento en baños - Provisión a cargo del comitente</t>
  </si>
  <si>
    <t>PTO-1301</t>
  </si>
  <si>
    <t>Revestimiento en cocinas - Provisión a cargo del comitente</t>
  </si>
  <si>
    <t>PTO-1302</t>
  </si>
  <si>
    <t>Revestimiento tejuela exterior - Provisión a cargo del comitente</t>
  </si>
  <si>
    <t>PTO-1303</t>
  </si>
  <si>
    <t>Provisión y colocación de perfileria de aluminio tipo ATRIM L anod. Natural</t>
  </si>
  <si>
    <t>PTO-1304</t>
  </si>
  <si>
    <t>Cielorrasos</t>
  </si>
  <si>
    <t>Cielorraso junta tomada placa STD</t>
  </si>
  <si>
    <t>PTO-1401</t>
  </si>
  <si>
    <t>Cielorraso junta tomada placa RH</t>
  </si>
  <si>
    <t>PTO-1402</t>
  </si>
  <si>
    <t>Cajon en junta tomada placa STD</t>
  </si>
  <si>
    <t>PTO-1403</t>
  </si>
  <si>
    <t>Buña perimetral / Cantoneras</t>
  </si>
  <si>
    <t>PTO-1404</t>
  </si>
  <si>
    <t>Aplicado de yeso interior</t>
  </si>
  <si>
    <t>PTO-1405</t>
  </si>
  <si>
    <t>Buña en yeso</t>
  </si>
  <si>
    <t>PTO-1406</t>
  </si>
  <si>
    <t>H° Visto - Maquillaje para recibir pintura</t>
  </si>
  <si>
    <t>PTO-1407</t>
  </si>
  <si>
    <t>Pintura</t>
  </si>
  <si>
    <t>Látex interior para paredes Bco. mate (enduido parcial)</t>
  </si>
  <si>
    <t>PTO-1501</t>
  </si>
  <si>
    <t>Látex interior para paredes Bco. mate (s/enduido)</t>
  </si>
  <si>
    <t>PTO-1502</t>
  </si>
  <si>
    <t>Látex para cielorraso Bco. mate (enduido parcial)</t>
  </si>
  <si>
    <t>PTO-1503</t>
  </si>
  <si>
    <t>Látex para cielorraso Bco. mate (enduido completo)</t>
  </si>
  <si>
    <t>PTO-1504</t>
  </si>
  <si>
    <t>Latex interior cielorraso sobre H°</t>
  </si>
  <si>
    <t>PTO-1505</t>
  </si>
  <si>
    <t>Revestimiento plastico tipo Quimtex en exteriores y PB</t>
  </si>
  <si>
    <t>PTO-1507</t>
  </si>
  <si>
    <t>Revestimiento plastico tipo Quimtex en exteriores a mas de 3m de altura, incluye medianeras</t>
  </si>
  <si>
    <t>PTO-1508</t>
  </si>
  <si>
    <t>Esmalte sintético en puertas placa, chapa y de ascensor</t>
  </si>
  <si>
    <t>PTO-1509</t>
  </si>
  <si>
    <t>Convertidor y esmalte sintentico en barandas - Escalera, balcones, porton, medidores y SDM</t>
  </si>
  <si>
    <t>PTO-1510</t>
  </si>
  <si>
    <t>Carpintería</t>
  </si>
  <si>
    <t>Amure de puertas placa Provisión a cargo del comitente</t>
  </si>
  <si>
    <t>PTO-1701</t>
  </si>
  <si>
    <t>Amure de puertas de chapa e ingresos depto - Provisión a cargo del comitente</t>
  </si>
  <si>
    <t>PTO-1702</t>
  </si>
  <si>
    <t>Amure de premarcos - Provisión a cargo del comitente</t>
  </si>
  <si>
    <t>PTO-1703</t>
  </si>
  <si>
    <t>Amure Puertas de Ascensor - Provisión a cargo del comitente</t>
  </si>
  <si>
    <t>PTO-1704</t>
  </si>
  <si>
    <t>Instalación Eléctrica</t>
  </si>
  <si>
    <t>Tendido y cableado boca Iluminación</t>
  </si>
  <si>
    <t>PTO-1801</t>
  </si>
  <si>
    <t>Tendido y cableado boca Iluminación - Caja mignon para Led</t>
  </si>
  <si>
    <t>PTO-1802</t>
  </si>
  <si>
    <t>Tendido y cableado boca tomacorriente</t>
  </si>
  <si>
    <t>PTO-1803</t>
  </si>
  <si>
    <t>Tendido y cableado boca tomacorriente especial (AA.CC)</t>
  </si>
  <si>
    <t>PTO-1804</t>
  </si>
  <si>
    <t>Tendido y cableado boca MBT Timbre</t>
  </si>
  <si>
    <t>PTO-1805</t>
  </si>
  <si>
    <t>Tendido y cableado boca de temostato - Sin instalación de termostato</t>
  </si>
  <si>
    <t>PTO-1806</t>
  </si>
  <si>
    <t>Boca de TV - Cañería c/cable testigo</t>
  </si>
  <si>
    <t>PTO-1807</t>
  </si>
  <si>
    <t>Boca de PE - Cañería c/cable testigo</t>
  </si>
  <si>
    <t>PTO-1808</t>
  </si>
  <si>
    <t>Boca de CCTV - Cañería c/cable testigo</t>
  </si>
  <si>
    <t>PTO-1809</t>
  </si>
  <si>
    <t>Tablero Servicios generales - TSG</t>
  </si>
  <si>
    <t>PTO-1810</t>
  </si>
  <si>
    <t>Tablero Bombas impulsión - TS BI</t>
  </si>
  <si>
    <t>PTO-1811</t>
  </si>
  <si>
    <t>Tablero Seccional ascensor - TS.ASC.</t>
  </si>
  <si>
    <t>PTO-1812</t>
  </si>
  <si>
    <t>Tablero de Bomba presurizadora - TS BR</t>
  </si>
  <si>
    <t>PTO-1813</t>
  </si>
  <si>
    <t>Tablero TS Local</t>
  </si>
  <si>
    <t>PTO-1814</t>
  </si>
  <si>
    <t>Tablero de UF (monoambiente)</t>
  </si>
  <si>
    <t>PTO-1815</t>
  </si>
  <si>
    <t>Tablero de UF (2 y 3 ambientes)</t>
  </si>
  <si>
    <t>PTO-1816</t>
  </si>
  <si>
    <t>PTO-1817</t>
  </si>
  <si>
    <t>Montante TV + Tablero TV - Cañería c/cable testigo</t>
  </si>
  <si>
    <t>PTO-1818</t>
  </si>
  <si>
    <t>Montante PE + Tablero PE- Cañería c/cable testigo</t>
  </si>
  <si>
    <t>PTO-1819</t>
  </si>
  <si>
    <t>Colocación de sensor de movimiento - Provisión a cargo del comitente</t>
  </si>
  <si>
    <t>PTO-1820</t>
  </si>
  <si>
    <t>Colocación de teclas simples y/o combinadas - Provisión a cargo del comitente</t>
  </si>
  <si>
    <t>PTO-1821</t>
  </si>
  <si>
    <t>Colocación de pulsadores, circulación + timbres - Provisión a cargo del comitente</t>
  </si>
  <si>
    <t>PTO-1822</t>
  </si>
  <si>
    <t>Colocación de tomacorriente simple y doble 10 A - Provisión a cargo del comitente</t>
  </si>
  <si>
    <t>PTO-1823</t>
  </si>
  <si>
    <t>Colocación de luz de emergencia - Provisión a cargo del comitente</t>
  </si>
  <si>
    <t>PTO-1824</t>
  </si>
  <si>
    <t>Colocación de zumbador - Provisión a cargo del comitente</t>
  </si>
  <si>
    <t>PTO-1825</t>
  </si>
  <si>
    <t>Colocación artefactos en espacios comunes y balcones - Provisión a cargo del comitente. NO incluye provisión, ni colocación de artefactos en interior de UF</t>
  </si>
  <si>
    <t>PTO-1826</t>
  </si>
  <si>
    <t>Colocación de fotocelula - Provisión a cargo del comitente</t>
  </si>
  <si>
    <t>PTO-1827</t>
  </si>
  <si>
    <t>Acometida y gabiente de medidores</t>
  </si>
  <si>
    <t>PTO-1828</t>
  </si>
  <si>
    <t>Puesta a tierra, jabalinas y cableados</t>
  </si>
  <si>
    <t>PTO-1829</t>
  </si>
  <si>
    <t>Certificado DCI para servicios generales</t>
  </si>
  <si>
    <t>PTO-1830</t>
  </si>
  <si>
    <t>Instalación Sanitaria</t>
  </si>
  <si>
    <t>PTO-1901</t>
  </si>
  <si>
    <t>PTO-1902</t>
  </si>
  <si>
    <t>PTO-1903</t>
  </si>
  <si>
    <t>PTO-1904</t>
  </si>
  <si>
    <t>PTO-1905</t>
  </si>
  <si>
    <t>PTO-1906</t>
  </si>
  <si>
    <t>PTO-1907</t>
  </si>
  <si>
    <t>PTO-1908</t>
  </si>
  <si>
    <t>PTO-1909</t>
  </si>
  <si>
    <t>PTO-1910</t>
  </si>
  <si>
    <t>PTO-1911</t>
  </si>
  <si>
    <t>PTO-1912</t>
  </si>
  <si>
    <t>PTO-1913</t>
  </si>
  <si>
    <t>PTO-1914</t>
  </si>
  <si>
    <t>Montaje de radiadores - Provisión a cargo del comitente</t>
  </si>
  <si>
    <t>PTO-1915</t>
  </si>
  <si>
    <t>PTO-1916</t>
  </si>
  <si>
    <t>Tendido cañeria de incendio - Gabinetes, mangueras, lanzas y valvulas cotizadas en provisiones</t>
  </si>
  <si>
    <t>PTO-1917</t>
  </si>
  <si>
    <t>PTO-1918</t>
  </si>
  <si>
    <t>PTO-1919</t>
  </si>
  <si>
    <t>Aire Acondicionado</t>
  </si>
  <si>
    <t>Preinstalación para AA.CC</t>
  </si>
  <si>
    <t>PTO-2001</t>
  </si>
  <si>
    <t>Montaje, colocación y puesta en marcha de equipos - Provisión a cargo del comitente</t>
  </si>
  <si>
    <t>PTO-2002</t>
  </si>
  <si>
    <t>Ascensor</t>
  </si>
  <si>
    <t>Ascensores - Provisión y colocación a cargo del comitente</t>
  </si>
  <si>
    <t>PTO-2101</t>
  </si>
  <si>
    <t>Equipamiento</t>
  </si>
  <si>
    <t>Artefactos de cocina, instalacion anafes y hornos - Provisión a cargo del comitente</t>
  </si>
  <si>
    <t>PTO-2201</t>
  </si>
  <si>
    <t>Instalacion de extractores de baños - Provisión a cargo del comitente</t>
  </si>
  <si>
    <t>PTO-2202</t>
  </si>
  <si>
    <t>Trabajos Complementarios</t>
  </si>
  <si>
    <t>Albañilería parrila completa</t>
  </si>
  <si>
    <t>PTO-2301</t>
  </si>
  <si>
    <t>Colocación de ladrillos de vidrio - Provisión a cargo del comitente</t>
  </si>
  <si>
    <t>PTO-2302</t>
  </si>
  <si>
    <t>Provisión y amure de tapas para pleno electricos y gas en palieres</t>
  </si>
  <si>
    <t>PTO-2303</t>
  </si>
  <si>
    <t>Ayuda de Gremios</t>
  </si>
  <si>
    <t>Sereno</t>
  </si>
  <si>
    <t>PTO-2401</t>
  </si>
  <si>
    <t>Tecnico de seguridad &amp; higiene permanente en Obra</t>
  </si>
  <si>
    <t>PTO-2402</t>
  </si>
  <si>
    <t>Higiene y seguridad Res 51</t>
  </si>
  <si>
    <t>PTO-2403</t>
  </si>
  <si>
    <t>Protecciones y defensas</t>
  </si>
  <si>
    <t>PTO-2404</t>
  </si>
  <si>
    <t>Ayuda de gremios</t>
  </si>
  <si>
    <t>PTO-2405</t>
  </si>
  <si>
    <t>Limpieza periodica</t>
  </si>
  <si>
    <t>PTO-2406</t>
  </si>
  <si>
    <t>Limpieza final de Obra</t>
  </si>
  <si>
    <t>PTO-2407</t>
  </si>
  <si>
    <t>PTO-2408</t>
  </si>
  <si>
    <t>Alquiler de equipos - Montacargas, tubos de descarga y balancin</t>
  </si>
  <si>
    <t>PTO-2409</t>
  </si>
  <si>
    <t>PTO-2410</t>
  </si>
  <si>
    <t>Jefatura de Obra</t>
  </si>
  <si>
    <t>Supervisión profesional de Obra</t>
  </si>
  <si>
    <t>PTO-2501</t>
  </si>
  <si>
    <t>Movilidad y viaticos</t>
  </si>
  <si>
    <t>PTO-2502</t>
  </si>
  <si>
    <t>Compra Directa Comitente</t>
  </si>
  <si>
    <t>kg</t>
  </si>
  <si>
    <t>PTO-2601</t>
  </si>
  <si>
    <t>PTO-2602</t>
  </si>
  <si>
    <t>Tanques y bombas - No cotiza</t>
  </si>
  <si>
    <t>PTO-2603</t>
  </si>
  <si>
    <t>Matafuego ABC x 5 kg - No cotiza</t>
  </si>
  <si>
    <t>PTO-2604</t>
  </si>
  <si>
    <t>Matafuego CO2 x 3,5 kg - No cotiza</t>
  </si>
  <si>
    <t>PTO-2605</t>
  </si>
  <si>
    <t>Boca de incencio - No cotiza</t>
  </si>
  <si>
    <t>PTO-2606</t>
  </si>
  <si>
    <t>Boca de impulsión - No cotiza</t>
  </si>
  <si>
    <t>PTO-2607</t>
  </si>
  <si>
    <t>Gestión de compras</t>
  </si>
  <si>
    <t>%</t>
  </si>
  <si>
    <t>PTO-2608</t>
  </si>
  <si>
    <t>Varios</t>
  </si>
  <si>
    <t>PTO-2701</t>
  </si>
  <si>
    <t>Provisión y colicación de campanas de parrilla y ventilaciones individuales. Tramo a los 4 vientos en chapa prep. Negra</t>
  </si>
  <si>
    <t>PTO-2702</t>
  </si>
  <si>
    <t>Provisión de teclas, tomacorrientes, pulsadores marca Cambre Linea SXXI No incluye mod. Coaxil ni RJ45</t>
  </si>
  <si>
    <t>PTO-2703</t>
  </si>
  <si>
    <t>Calefacción</t>
  </si>
  <si>
    <t>Tendido de cañería por piso, manta y malla</t>
  </si>
  <si>
    <t>PTO-2801</t>
  </si>
  <si>
    <t>Colectores y gabinetes</t>
  </si>
  <si>
    <t>PTO-2802</t>
  </si>
  <si>
    <t>PTO-2803</t>
  </si>
  <si>
    <t>TOTAL OBRA</t>
  </si>
  <si>
    <t>Partida</t>
  </si>
  <si>
    <t>Tipo</t>
  </si>
  <si>
    <t>Subtipo</t>
  </si>
  <si>
    <t>Cod_Insumo</t>
  </si>
  <si>
    <t>Cant</t>
  </si>
  <si>
    <t>%Desp</t>
  </si>
  <si>
    <t>Precio</t>
  </si>
  <si>
    <t>Costo</t>
  </si>
  <si>
    <t>Clave</t>
  </si>
  <si>
    <t>Count</t>
  </si>
  <si>
    <t>Clave2</t>
  </si>
  <si>
    <t>Rend. Part.</t>
  </si>
  <si>
    <t>Cant MO/ALB Unit</t>
  </si>
  <si>
    <t>Cant. Ej. Part.</t>
  </si>
  <si>
    <t>MO</t>
  </si>
  <si>
    <t>OTR</t>
  </si>
  <si>
    <t>j</t>
  </si>
  <si>
    <t>ALB</t>
  </si>
  <si>
    <t>EQ</t>
  </si>
  <si>
    <t>MAT</t>
  </si>
  <si>
    <t>CONS</t>
  </si>
  <si>
    <t>COR</t>
  </si>
  <si>
    <t>Ítem</t>
  </si>
  <si>
    <t>Rend.</t>
  </si>
  <si>
    <t>Cant Cons.</t>
  </si>
  <si>
    <t>% Cons. Desp.</t>
  </si>
  <si>
    <t>Grado Dif.</t>
  </si>
  <si>
    <t>MAT (sum/ud)</t>
  </si>
  <si>
    <t>MO (sum/día)</t>
  </si>
  <si>
    <t>EQ (sum/día)</t>
  </si>
  <si>
    <t># Comp.</t>
  </si>
  <si>
    <t>Cant Obra</t>
  </si>
  <si>
    <t>Fuente</t>
  </si>
  <si>
    <t>Orig MAT</t>
  </si>
  <si>
    <t>Orig MO</t>
  </si>
  <si>
    <t>Orig EQ</t>
  </si>
  <si>
    <t>Δ% CD</t>
  </si>
  <si>
    <t>directo</t>
  </si>
  <si>
    <t>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</si>
</sst>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###"/>
    <numFmt numFmtId="165" formatCode="0.####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b/>
      <sz val="11"/>
      <color rgb="FFFFFFFF"/>
      <name val="Aptos Narrow"/>
    </font>
    <font>
      <sz val="11"/>
      <color rgb="FF0000FF"/>
      <name val="Aptos Narrow"/>
    </font>
    <font>
      <sz val="11"/>
      <color rgb="FF000000"/>
      <name val="Aptos Narrow"/>
    </font>
    <font>
      <sz val="11"/>
      <color rgb="FF008000"/>
      <name val="Aptos Narrow"/>
    </font>
    <font>
      <b/>
      <sz val="11"/>
      <name val="Aptos Narrow"/>
    </font>
    <font>
      <b/>
      <sz val="11"/>
      <color rgb="FF008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 wrapText="1"/>
    </xf>
    <xf numFmtId="0" fontId="4" fillId="0" borderId="0" xfId="0" applyFont="1"/>
    <xf numFmtId="4" fontId="3" fillId="0" borderId="0" xfId="0" applyNumberFormat="1" applyFon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4" fontId="7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4" fontId="4" fillId="0" borderId="0" xfId="0" applyNumberFormat="1" applyFont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5" x14ac:dyDescent="0.35"/>
  <cols>
    <col min="1" max="1" width="22" customWidth="1"/>
    <col min="2" max="2" width="26" customWidth="1"/>
    <col min="3" max="3" width="40" customWidth="1"/>
  </cols>
  <sheetData>
    <row r="1" spans="1:3" ht="17" x14ac:dyDescent="0.4">
      <c r="A1" s="1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t="s">
        <v>4</v>
      </c>
      <c r="B4" s="3" t="s">
        <v>5</v>
      </c>
    </row>
    <row r="5" spans="1:3" x14ac:dyDescent="0.35">
      <c r="A5" t="s">
        <v>6</v>
      </c>
      <c r="B5" s="3" t="s">
        <v>7</v>
      </c>
      <c r="C5" t="s">
        <v>8</v>
      </c>
    </row>
    <row r="6" spans="1:3" x14ac:dyDescent="0.35">
      <c r="A6" t="s">
        <v>9</v>
      </c>
      <c r="B6" s="3">
        <v>2024</v>
      </c>
    </row>
    <row r="7" spans="1:3" x14ac:dyDescent="0.35">
      <c r="A7" t="s">
        <v>10</v>
      </c>
      <c r="B7" s="3" t="s">
        <v>11</v>
      </c>
      <c r="C7" t="s">
        <v>12</v>
      </c>
    </row>
    <row r="8" spans="1:3" x14ac:dyDescent="0.35">
      <c r="A8" t="s">
        <v>13</v>
      </c>
      <c r="B8" s="3">
        <v>0</v>
      </c>
      <c r="C8" t="s">
        <v>14</v>
      </c>
    </row>
    <row r="9" spans="1:3" x14ac:dyDescent="0.35">
      <c r="A9" t="s">
        <v>15</v>
      </c>
      <c r="B9" s="3">
        <v>0</v>
      </c>
    </row>
    <row r="10" spans="1:3" x14ac:dyDescent="0.35">
      <c r="A10" t="s">
        <v>16</v>
      </c>
      <c r="B10" s="3">
        <v>1</v>
      </c>
      <c r="C10" t="s">
        <v>17</v>
      </c>
    </row>
    <row r="11" spans="1:3" x14ac:dyDescent="0.35">
      <c r="A11" t="s">
        <v>18</v>
      </c>
      <c r="B11" s="3">
        <v>0.105</v>
      </c>
      <c r="C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4" customWidth="1"/>
    <col min="3" max="3" width="8" customWidth="1"/>
    <col min="4" max="4" width="14" customWidth="1"/>
    <col min="5" max="5" width="12" customWidth="1"/>
  </cols>
  <sheetData>
    <row r="1" spans="1:5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x14ac:dyDescent="0.35">
      <c r="A2" s="5" t="s">
        <v>25</v>
      </c>
      <c r="B2" s="5" t="s">
        <v>26</v>
      </c>
      <c r="C2" s="5"/>
      <c r="D2" s="6">
        <v>10599.9835</v>
      </c>
      <c r="E2" s="5" t="s">
        <v>27</v>
      </c>
    </row>
    <row r="3" spans="1:5" x14ac:dyDescent="0.35">
      <c r="A3" s="5" t="s">
        <v>28</v>
      </c>
      <c r="B3" s="5" t="s">
        <v>29</v>
      </c>
      <c r="C3" s="5"/>
      <c r="D3" s="6">
        <v>267019.01650000003</v>
      </c>
      <c r="E3" s="5" t="s">
        <v>27</v>
      </c>
    </row>
    <row r="4" spans="1:5" x14ac:dyDescent="0.35">
      <c r="A4" s="5" t="s">
        <v>30</v>
      </c>
      <c r="B4" s="5" t="s">
        <v>31</v>
      </c>
      <c r="C4" s="5"/>
      <c r="D4" s="6">
        <v>26250.6198</v>
      </c>
      <c r="E4" s="5" t="s">
        <v>27</v>
      </c>
    </row>
    <row r="5" spans="1:5" x14ac:dyDescent="0.35">
      <c r="A5" s="5" t="s">
        <v>32</v>
      </c>
      <c r="B5" s="5" t="s">
        <v>33</v>
      </c>
      <c r="C5" s="5"/>
      <c r="D5" s="6">
        <v>81509.950400000002</v>
      </c>
      <c r="E5" s="5" t="s">
        <v>27</v>
      </c>
    </row>
    <row r="6" spans="1:5" x14ac:dyDescent="0.35">
      <c r="A6" s="5" t="s">
        <v>34</v>
      </c>
      <c r="B6" s="5" t="s">
        <v>35</v>
      </c>
      <c r="C6" s="5"/>
      <c r="D6" s="6">
        <v>12131.562</v>
      </c>
      <c r="E6" s="5" t="s">
        <v>27</v>
      </c>
    </row>
    <row r="7" spans="1:5" x14ac:dyDescent="0.35">
      <c r="A7" s="5" t="s">
        <v>36</v>
      </c>
      <c r="B7" s="5" t="s">
        <v>37</v>
      </c>
      <c r="C7" s="5"/>
      <c r="D7" s="6">
        <v>120</v>
      </c>
      <c r="E7" s="5" t="s">
        <v>27</v>
      </c>
    </row>
    <row r="8" spans="1:5" x14ac:dyDescent="0.35">
      <c r="A8" s="5" t="s">
        <v>38</v>
      </c>
      <c r="B8" s="5" t="s">
        <v>39</v>
      </c>
      <c r="C8" s="5"/>
      <c r="D8" s="6">
        <v>31404.958699999999</v>
      </c>
      <c r="E8" s="5" t="s">
        <v>27</v>
      </c>
    </row>
    <row r="9" spans="1:5" x14ac:dyDescent="0.35">
      <c r="A9" s="5" t="s">
        <v>40</v>
      </c>
      <c r="B9" s="5" t="s">
        <v>26</v>
      </c>
      <c r="C9" s="5"/>
      <c r="D9" s="6">
        <v>5299.9916999999996</v>
      </c>
      <c r="E9" s="5" t="s">
        <v>27</v>
      </c>
    </row>
    <row r="10" spans="1:5" x14ac:dyDescent="0.35">
      <c r="A10" s="5" t="s">
        <v>41</v>
      </c>
      <c r="B10" s="5" t="s">
        <v>42</v>
      </c>
      <c r="C10" s="5"/>
      <c r="D10" s="6">
        <v>13161.34</v>
      </c>
      <c r="E10" s="5" t="s">
        <v>27</v>
      </c>
    </row>
    <row r="11" spans="1:5" x14ac:dyDescent="0.35">
      <c r="A11" s="5" t="s">
        <v>43</v>
      </c>
      <c r="B11" s="5" t="s">
        <v>44</v>
      </c>
      <c r="C11" s="5"/>
      <c r="D11" s="6">
        <v>970.97400000000005</v>
      </c>
      <c r="E11" s="5" t="s">
        <v>27</v>
      </c>
    </row>
    <row r="12" spans="1:5" x14ac:dyDescent="0.35">
      <c r="A12" s="5" t="s">
        <v>45</v>
      </c>
      <c r="B12" s="5" t="s">
        <v>46</v>
      </c>
      <c r="C12" s="5"/>
      <c r="D12" s="6">
        <v>2184.7139999999999</v>
      </c>
      <c r="E12" s="5" t="s">
        <v>27</v>
      </c>
    </row>
    <row r="13" spans="1:5" x14ac:dyDescent="0.35">
      <c r="A13" s="5" t="s">
        <v>47</v>
      </c>
      <c r="B13" s="5" t="s">
        <v>48</v>
      </c>
      <c r="C13" s="5"/>
      <c r="D13" s="6">
        <v>4369.4279999999999</v>
      </c>
      <c r="E13" s="5" t="s">
        <v>27</v>
      </c>
    </row>
    <row r="14" spans="1:5" x14ac:dyDescent="0.35">
      <c r="A14" s="5" t="s">
        <v>49</v>
      </c>
      <c r="B14" s="5" t="s">
        <v>50</v>
      </c>
      <c r="C14" s="5"/>
      <c r="D14" s="6">
        <v>252455.04000000001</v>
      </c>
      <c r="E14" s="5" t="s">
        <v>27</v>
      </c>
    </row>
    <row r="15" spans="1:5" x14ac:dyDescent="0.35">
      <c r="A15" s="5" t="s">
        <v>51</v>
      </c>
      <c r="B15" s="5" t="s">
        <v>52</v>
      </c>
      <c r="C15" s="5"/>
      <c r="D15" s="6">
        <v>100000</v>
      </c>
      <c r="E15" s="5" t="s">
        <v>53</v>
      </c>
    </row>
    <row r="16" spans="1:5" x14ac:dyDescent="0.35">
      <c r="A16" s="5" t="s">
        <v>54</v>
      </c>
      <c r="B16" s="5" t="s">
        <v>55</v>
      </c>
      <c r="C16" s="5"/>
      <c r="D16" s="6">
        <v>214876.0331</v>
      </c>
      <c r="E16" s="5" t="s">
        <v>27</v>
      </c>
    </row>
    <row r="17" spans="1:5" x14ac:dyDescent="0.35">
      <c r="A17" s="5" t="s">
        <v>56</v>
      </c>
      <c r="B17" s="5" t="s">
        <v>57</v>
      </c>
      <c r="C17" s="5"/>
      <c r="D17" s="6">
        <v>369.8347</v>
      </c>
      <c r="E17" s="5" t="s">
        <v>27</v>
      </c>
    </row>
    <row r="18" spans="1:5" x14ac:dyDescent="0.35">
      <c r="A18" s="5" t="s">
        <v>58</v>
      </c>
      <c r="B18" s="5" t="s">
        <v>59</v>
      </c>
      <c r="C18" s="5"/>
      <c r="D18" s="6">
        <v>2363.6363999999999</v>
      </c>
      <c r="E18" s="5" t="s">
        <v>27</v>
      </c>
    </row>
    <row r="19" spans="1:5" x14ac:dyDescent="0.35">
      <c r="A19" s="5" t="s">
        <v>60</v>
      </c>
      <c r="B19" s="5" t="s">
        <v>61</v>
      </c>
      <c r="C19" s="5"/>
      <c r="D19" s="6">
        <v>242210.7438</v>
      </c>
      <c r="E19" s="5" t="s">
        <v>27</v>
      </c>
    </row>
    <row r="20" spans="1:5" x14ac:dyDescent="0.35">
      <c r="A20" s="5" t="s">
        <v>62</v>
      </c>
      <c r="B20" s="5" t="s">
        <v>63</v>
      </c>
      <c r="C20" s="5"/>
      <c r="D20" s="6">
        <v>500000</v>
      </c>
      <c r="E20" s="5" t="s">
        <v>27</v>
      </c>
    </row>
    <row r="21" spans="1:5" x14ac:dyDescent="0.35">
      <c r="A21" s="5" t="s">
        <v>64</v>
      </c>
      <c r="B21" s="5" t="s">
        <v>65</v>
      </c>
      <c r="C21" s="5"/>
      <c r="D21" s="6">
        <v>100000</v>
      </c>
      <c r="E21" s="5" t="s">
        <v>27</v>
      </c>
    </row>
    <row r="22" spans="1:5" x14ac:dyDescent="0.35">
      <c r="A22" s="5" t="s">
        <v>66</v>
      </c>
      <c r="B22" s="5" t="s">
        <v>67</v>
      </c>
      <c r="C22" s="5"/>
      <c r="D22" s="6">
        <v>25000</v>
      </c>
      <c r="E22" s="5" t="s">
        <v>27</v>
      </c>
    </row>
    <row r="23" spans="1:5" x14ac:dyDescent="0.35">
      <c r="A23" s="5" t="s">
        <v>68</v>
      </c>
      <c r="B23" s="5" t="s">
        <v>69</v>
      </c>
      <c r="C23" s="5"/>
      <c r="D23" s="6">
        <v>24793.3884</v>
      </c>
      <c r="E23" s="5" t="s">
        <v>27</v>
      </c>
    </row>
    <row r="24" spans="1:5" x14ac:dyDescent="0.35">
      <c r="A24" s="5" t="s">
        <v>70</v>
      </c>
      <c r="B24" s="5" t="s">
        <v>71</v>
      </c>
      <c r="C24" s="5"/>
      <c r="D24" s="6">
        <v>200000</v>
      </c>
      <c r="E24" s="5" t="s">
        <v>27</v>
      </c>
    </row>
    <row r="25" spans="1:5" x14ac:dyDescent="0.35">
      <c r="A25" s="5" t="s">
        <v>72</v>
      </c>
      <c r="B25" s="5" t="s">
        <v>73</v>
      </c>
      <c r="C25" s="5"/>
      <c r="D25" s="6">
        <v>25000</v>
      </c>
      <c r="E25" s="5" t="s">
        <v>53</v>
      </c>
    </row>
    <row r="26" spans="1:5" x14ac:dyDescent="0.35">
      <c r="A26" s="5" t="s">
        <v>74</v>
      </c>
      <c r="B26" s="5" t="s">
        <v>75</v>
      </c>
      <c r="C26" s="5"/>
      <c r="D26" s="6">
        <v>150000</v>
      </c>
      <c r="E26" s="5" t="s">
        <v>27</v>
      </c>
    </row>
    <row r="27" spans="1:5" x14ac:dyDescent="0.35">
      <c r="A27" s="5" t="s">
        <v>76</v>
      </c>
      <c r="B27" s="5" t="s">
        <v>77</v>
      </c>
      <c r="C27" s="5"/>
      <c r="D27" s="6">
        <v>15000</v>
      </c>
      <c r="E27" s="5" t="s">
        <v>27</v>
      </c>
    </row>
    <row r="28" spans="1:5" x14ac:dyDescent="0.35">
      <c r="A28" s="5" t="s">
        <v>78</v>
      </c>
      <c r="B28" s="5" t="s">
        <v>79</v>
      </c>
      <c r="C28" s="5"/>
      <c r="D28" s="6">
        <v>16528.925599999999</v>
      </c>
      <c r="E28" s="5" t="s">
        <v>27</v>
      </c>
    </row>
    <row r="29" spans="1:5" x14ac:dyDescent="0.35">
      <c r="A29" s="5" t="s">
        <v>80</v>
      </c>
      <c r="B29" s="5" t="s">
        <v>81</v>
      </c>
      <c r="C29" s="5"/>
      <c r="D29" s="6">
        <v>300000</v>
      </c>
      <c r="E29" s="5" t="s">
        <v>27</v>
      </c>
    </row>
    <row r="30" spans="1:5" x14ac:dyDescent="0.35">
      <c r="A30" s="5" t="s">
        <v>82</v>
      </c>
      <c r="B30" s="5" t="s">
        <v>83</v>
      </c>
      <c r="C30" s="5"/>
      <c r="D30" s="6">
        <v>150000</v>
      </c>
      <c r="E30" s="5" t="s">
        <v>27</v>
      </c>
    </row>
    <row r="31" spans="1:5" x14ac:dyDescent="0.35">
      <c r="A31" s="5" t="s">
        <v>84</v>
      </c>
      <c r="B31" s="5" t="s">
        <v>85</v>
      </c>
      <c r="C31" s="5"/>
      <c r="D31" s="6">
        <v>200000</v>
      </c>
      <c r="E31" s="5" t="s">
        <v>27</v>
      </c>
    </row>
    <row r="32" spans="1:5" x14ac:dyDescent="0.35">
      <c r="A32" s="5" t="s">
        <v>86</v>
      </c>
      <c r="B32" s="5" t="s">
        <v>87</v>
      </c>
      <c r="C32" s="5"/>
      <c r="D32" s="6">
        <v>50000</v>
      </c>
      <c r="E32" s="5" t="s">
        <v>27</v>
      </c>
    </row>
    <row r="33" spans="1:5" x14ac:dyDescent="0.35">
      <c r="A33" s="5" t="s">
        <v>88</v>
      </c>
      <c r="B33" s="5" t="s">
        <v>89</v>
      </c>
      <c r="C33" s="5"/>
      <c r="D33" s="6">
        <v>10000</v>
      </c>
      <c r="E33" s="5" t="s">
        <v>27</v>
      </c>
    </row>
    <row r="34" spans="1:5" x14ac:dyDescent="0.35">
      <c r="A34" s="5" t="s">
        <v>90</v>
      </c>
      <c r="B34" s="5" t="s">
        <v>91</v>
      </c>
      <c r="C34" s="5"/>
      <c r="D34" s="6">
        <v>10000</v>
      </c>
      <c r="E34" s="5" t="s">
        <v>27</v>
      </c>
    </row>
    <row r="35" spans="1:5" x14ac:dyDescent="0.35">
      <c r="A35" s="5" t="s">
        <v>92</v>
      </c>
      <c r="B35" s="5" t="s">
        <v>93</v>
      </c>
      <c r="C35" s="5"/>
      <c r="D35" s="6">
        <v>15000</v>
      </c>
      <c r="E35" s="5" t="s">
        <v>27</v>
      </c>
    </row>
    <row r="36" spans="1:5" x14ac:dyDescent="0.35">
      <c r="A36" s="5" t="s">
        <v>94</v>
      </c>
      <c r="B36" s="5" t="s">
        <v>95</v>
      </c>
      <c r="C36" s="5"/>
      <c r="D36" s="6">
        <v>2000</v>
      </c>
      <c r="E36" s="5" t="s">
        <v>27</v>
      </c>
    </row>
    <row r="37" spans="1:5" x14ac:dyDescent="0.35">
      <c r="A37" s="5" t="s">
        <v>96</v>
      </c>
      <c r="B37" s="5" t="s">
        <v>97</v>
      </c>
      <c r="C37" s="5"/>
      <c r="D37" s="6">
        <v>567000</v>
      </c>
      <c r="E37" s="5" t="s">
        <v>27</v>
      </c>
    </row>
    <row r="38" spans="1:5" x14ac:dyDescent="0.35">
      <c r="A38" s="5" t="s">
        <v>98</v>
      </c>
      <c r="B38" s="5" t="s">
        <v>99</v>
      </c>
      <c r="C38" s="5"/>
      <c r="D38" s="6">
        <v>115100</v>
      </c>
      <c r="E38" s="5" t="s">
        <v>27</v>
      </c>
    </row>
    <row r="39" spans="1:5" x14ac:dyDescent="0.35">
      <c r="A39" s="5" t="s">
        <v>100</v>
      </c>
      <c r="B39" s="5" t="s">
        <v>101</v>
      </c>
      <c r="C39" s="5"/>
      <c r="D39" s="6">
        <v>5330</v>
      </c>
      <c r="E39" s="5" t="s">
        <v>27</v>
      </c>
    </row>
    <row r="40" spans="1:5" x14ac:dyDescent="0.35">
      <c r="A40" s="5" t="s">
        <v>102</v>
      </c>
      <c r="B40" s="5" t="s">
        <v>103</v>
      </c>
      <c r="C40" s="5"/>
      <c r="D40" s="6">
        <v>76142.857099999994</v>
      </c>
      <c r="E40" s="5" t="s">
        <v>53</v>
      </c>
    </row>
    <row r="41" spans="1:5" x14ac:dyDescent="0.35">
      <c r="A41" s="5" t="s">
        <v>104</v>
      </c>
      <c r="B41" s="5" t="s">
        <v>105</v>
      </c>
      <c r="C41" s="5"/>
      <c r="D41" s="6">
        <v>70843.445699999997</v>
      </c>
      <c r="E41" s="5" t="s">
        <v>27</v>
      </c>
    </row>
    <row r="42" spans="1:5" x14ac:dyDescent="0.35">
      <c r="A42" s="5" t="s">
        <v>106</v>
      </c>
      <c r="B42" s="5" t="s">
        <v>107</v>
      </c>
      <c r="C42" s="5"/>
      <c r="D42" s="6">
        <v>55068.8217</v>
      </c>
      <c r="E42" s="5" t="s">
        <v>27</v>
      </c>
    </row>
    <row r="43" spans="1:5" x14ac:dyDescent="0.35">
      <c r="A43" s="5" t="s">
        <v>108</v>
      </c>
      <c r="B43" s="5" t="s">
        <v>109</v>
      </c>
      <c r="C43" s="5"/>
      <c r="D43" s="6">
        <v>2471.4097999999999</v>
      </c>
      <c r="E43" s="5" t="s">
        <v>27</v>
      </c>
    </row>
    <row r="44" spans="1:5" x14ac:dyDescent="0.35">
      <c r="A44" s="5" t="s">
        <v>110</v>
      </c>
      <c r="B44" s="5" t="s">
        <v>111</v>
      </c>
      <c r="C44" s="5"/>
      <c r="D44" s="6">
        <v>40150.005400000002</v>
      </c>
      <c r="E44" s="5" t="s">
        <v>27</v>
      </c>
    </row>
    <row r="45" spans="1:5" x14ac:dyDescent="0.35">
      <c r="A45" s="5" t="s">
        <v>112</v>
      </c>
      <c r="B45" s="5" t="s">
        <v>113</v>
      </c>
      <c r="C45" s="5"/>
      <c r="D45" s="6">
        <v>32975.501400000001</v>
      </c>
      <c r="E45" s="5" t="s">
        <v>27</v>
      </c>
    </row>
    <row r="46" spans="1:5" x14ac:dyDescent="0.35">
      <c r="A46" s="5" t="s">
        <v>114</v>
      </c>
      <c r="B46" s="5" t="s">
        <v>115</v>
      </c>
      <c r="C46" s="5"/>
      <c r="D46" s="6">
        <v>94228.958100000003</v>
      </c>
      <c r="E46" s="5" t="s">
        <v>27</v>
      </c>
    </row>
    <row r="47" spans="1:5" x14ac:dyDescent="0.35">
      <c r="A47" s="5" t="s">
        <v>116</v>
      </c>
      <c r="B47" s="5" t="s">
        <v>117</v>
      </c>
      <c r="C47" s="5"/>
      <c r="D47" s="6">
        <v>92072.316600000006</v>
      </c>
      <c r="E47" s="5" t="s">
        <v>27</v>
      </c>
    </row>
    <row r="48" spans="1:5" x14ac:dyDescent="0.35">
      <c r="A48" s="5" t="s">
        <v>118</v>
      </c>
      <c r="B48" s="5" t="s">
        <v>119</v>
      </c>
      <c r="C48" s="5"/>
      <c r="D48" s="6">
        <v>70843.445699999997</v>
      </c>
      <c r="E48" s="5" t="s">
        <v>27</v>
      </c>
    </row>
    <row r="49" spans="1:5" x14ac:dyDescent="0.35">
      <c r="A49" s="5" t="s">
        <v>120</v>
      </c>
      <c r="B49" s="5" t="s">
        <v>121</v>
      </c>
      <c r="C49" s="5"/>
      <c r="D49" s="6">
        <v>60951.378700000001</v>
      </c>
      <c r="E49" s="5" t="s">
        <v>27</v>
      </c>
    </row>
    <row r="50" spans="1:5" x14ac:dyDescent="0.35">
      <c r="A50" s="5" t="s">
        <v>122</v>
      </c>
      <c r="B50" s="5" t="s">
        <v>123</v>
      </c>
      <c r="C50" s="5"/>
      <c r="D50" s="6">
        <v>68185.040999999997</v>
      </c>
      <c r="E50" s="5" t="s">
        <v>27</v>
      </c>
    </row>
    <row r="51" spans="1:5" x14ac:dyDescent="0.35">
      <c r="A51" s="5" t="s">
        <v>124</v>
      </c>
      <c r="B51" s="5" t="s">
        <v>125</v>
      </c>
      <c r="C51" s="5"/>
      <c r="D51" s="6">
        <v>24772.727299999999</v>
      </c>
      <c r="E51" s="5" t="s">
        <v>27</v>
      </c>
    </row>
    <row r="52" spans="1:5" x14ac:dyDescent="0.35">
      <c r="A52" s="5" t="s">
        <v>126</v>
      </c>
      <c r="B52" s="5" t="s">
        <v>127</v>
      </c>
      <c r="C52" s="5"/>
      <c r="D52" s="6">
        <v>123492.85709999999</v>
      </c>
      <c r="E52" s="5" t="s">
        <v>27</v>
      </c>
    </row>
    <row r="53" spans="1:5" x14ac:dyDescent="0.35">
      <c r="A53" s="5" t="s">
        <v>128</v>
      </c>
      <c r="B53" s="5" t="s">
        <v>129</v>
      </c>
      <c r="C53" s="5"/>
      <c r="D53" s="6">
        <v>55000</v>
      </c>
      <c r="E53" s="5" t="s">
        <v>27</v>
      </c>
    </row>
    <row r="54" spans="1:5" x14ac:dyDescent="0.35">
      <c r="A54" s="5" t="s">
        <v>130</v>
      </c>
      <c r="B54" s="5" t="s">
        <v>131</v>
      </c>
      <c r="C54" s="5"/>
      <c r="D54" s="6">
        <v>80000</v>
      </c>
      <c r="E54" s="5" t="s">
        <v>27</v>
      </c>
    </row>
    <row r="55" spans="1:5" x14ac:dyDescent="0.35">
      <c r="A55" s="5" t="s">
        <v>132</v>
      </c>
      <c r="B55" s="5" t="s">
        <v>133</v>
      </c>
      <c r="C55" s="5"/>
      <c r="D55" s="6">
        <v>292.32</v>
      </c>
      <c r="E55" s="5" t="s">
        <v>53</v>
      </c>
    </row>
    <row r="56" spans="1:5" x14ac:dyDescent="0.35">
      <c r="A56" s="5" t="s">
        <v>134</v>
      </c>
      <c r="B56" s="5" t="s">
        <v>135</v>
      </c>
      <c r="C56" s="5"/>
      <c r="D56" s="6">
        <v>3611.22</v>
      </c>
      <c r="E56" s="5" t="s">
        <v>53</v>
      </c>
    </row>
    <row r="57" spans="1:5" x14ac:dyDescent="0.35">
      <c r="A57" s="5" t="s">
        <v>136</v>
      </c>
      <c r="B57" s="5" t="s">
        <v>137</v>
      </c>
      <c r="C57" s="5"/>
      <c r="D57" s="6">
        <v>31265.15</v>
      </c>
      <c r="E57" s="5" t="s">
        <v>53</v>
      </c>
    </row>
    <row r="58" spans="1:5" x14ac:dyDescent="0.35">
      <c r="A58" s="5" t="s">
        <v>138</v>
      </c>
      <c r="B58" s="5" t="s">
        <v>139</v>
      </c>
      <c r="C58" s="5"/>
      <c r="D58" s="6">
        <v>3532.67</v>
      </c>
      <c r="E58" s="5" t="s">
        <v>53</v>
      </c>
    </row>
    <row r="59" spans="1:5" x14ac:dyDescent="0.35">
      <c r="A59" s="5" t="s">
        <v>140</v>
      </c>
      <c r="B59" s="5" t="s">
        <v>141</v>
      </c>
      <c r="C59" s="5"/>
      <c r="D59" s="6">
        <v>7233.47</v>
      </c>
      <c r="E59" s="5" t="s">
        <v>53</v>
      </c>
    </row>
    <row r="60" spans="1:5" x14ac:dyDescent="0.35">
      <c r="A60" s="5" t="s">
        <v>142</v>
      </c>
      <c r="B60" s="5" t="s">
        <v>143</v>
      </c>
      <c r="C60" s="5"/>
      <c r="D60" s="6">
        <v>563.22</v>
      </c>
      <c r="E60" s="5" t="s">
        <v>53</v>
      </c>
    </row>
    <row r="61" spans="1:5" x14ac:dyDescent="0.35">
      <c r="A61" s="5" t="s">
        <v>144</v>
      </c>
      <c r="B61" s="5" t="s">
        <v>145</v>
      </c>
      <c r="C61" s="5"/>
      <c r="D61" s="6">
        <v>365.4</v>
      </c>
      <c r="E61" s="5" t="s">
        <v>53</v>
      </c>
    </row>
    <row r="62" spans="1:5" x14ac:dyDescent="0.35">
      <c r="A62" s="5" t="s">
        <v>146</v>
      </c>
      <c r="B62" s="5" t="s">
        <v>147</v>
      </c>
      <c r="C62" s="5"/>
      <c r="D62" s="6">
        <v>115.2</v>
      </c>
      <c r="E62" s="5" t="s">
        <v>53</v>
      </c>
    </row>
    <row r="63" spans="1:5" x14ac:dyDescent="0.35">
      <c r="A63" s="5" t="s">
        <v>148</v>
      </c>
      <c r="B63" s="5" t="s">
        <v>149</v>
      </c>
      <c r="C63" s="5"/>
      <c r="D63" s="6">
        <v>919.8</v>
      </c>
      <c r="E63" s="5" t="s">
        <v>53</v>
      </c>
    </row>
    <row r="64" spans="1:5" x14ac:dyDescent="0.35">
      <c r="A64" s="5" t="s">
        <v>150</v>
      </c>
      <c r="B64" s="5" t="s">
        <v>151</v>
      </c>
      <c r="C64" s="5"/>
      <c r="D64" s="6">
        <v>50000</v>
      </c>
      <c r="E64" s="5" t="s">
        <v>27</v>
      </c>
    </row>
    <row r="65" spans="1:5" x14ac:dyDescent="0.35">
      <c r="A65" s="5" t="s">
        <v>152</v>
      </c>
      <c r="B65" s="5" t="s">
        <v>153</v>
      </c>
      <c r="C65" s="5"/>
      <c r="D65" s="6">
        <v>1416.57</v>
      </c>
      <c r="E65" s="5" t="s">
        <v>27</v>
      </c>
    </row>
    <row r="66" spans="1:5" x14ac:dyDescent="0.35">
      <c r="A66" s="5" t="s">
        <v>154</v>
      </c>
      <c r="B66" s="5" t="s">
        <v>155</v>
      </c>
      <c r="C66" s="5"/>
      <c r="D66" s="6">
        <v>125000</v>
      </c>
      <c r="E66" s="5" t="s">
        <v>27</v>
      </c>
    </row>
    <row r="67" spans="1:5" x14ac:dyDescent="0.35">
      <c r="A67" s="5" t="s">
        <v>156</v>
      </c>
      <c r="B67" s="5" t="s">
        <v>42</v>
      </c>
      <c r="C67" s="5"/>
      <c r="D67" s="6">
        <v>26322.68</v>
      </c>
      <c r="E67" s="5" t="s">
        <v>27</v>
      </c>
    </row>
    <row r="68" spans="1:5" x14ac:dyDescent="0.35">
      <c r="A68" s="5" t="s">
        <v>157</v>
      </c>
      <c r="B68" s="5" t="s">
        <v>158</v>
      </c>
      <c r="C68" s="5"/>
      <c r="D68" s="6">
        <v>50000</v>
      </c>
      <c r="E68" s="5" t="s">
        <v>27</v>
      </c>
    </row>
    <row r="69" spans="1:5" x14ac:dyDescent="0.35">
      <c r="A69" s="5" t="s">
        <v>159</v>
      </c>
      <c r="B69" s="5" t="s">
        <v>160</v>
      </c>
      <c r="C69" s="5"/>
      <c r="D69" s="6">
        <v>32845.78</v>
      </c>
      <c r="E69" s="5" t="s">
        <v>53</v>
      </c>
    </row>
    <row r="70" spans="1:5" x14ac:dyDescent="0.35">
      <c r="A70" s="5" t="s">
        <v>161</v>
      </c>
      <c r="B70" s="5" t="s">
        <v>162</v>
      </c>
      <c r="C70" s="5"/>
      <c r="D70" s="6">
        <v>70192.210000000006</v>
      </c>
      <c r="E70" s="5" t="s">
        <v>53</v>
      </c>
    </row>
    <row r="71" spans="1:5" x14ac:dyDescent="0.35">
      <c r="A71" s="5" t="s">
        <v>163</v>
      </c>
      <c r="B71" s="5" t="s">
        <v>164</v>
      </c>
      <c r="C71" s="5"/>
      <c r="D71" s="6">
        <v>7268.97</v>
      </c>
      <c r="E71" s="5" t="s">
        <v>53</v>
      </c>
    </row>
    <row r="72" spans="1:5" x14ac:dyDescent="0.35">
      <c r="A72" s="5" t="s">
        <v>165</v>
      </c>
      <c r="B72" s="5" t="s">
        <v>166</v>
      </c>
      <c r="C72" s="5"/>
      <c r="D72" s="6">
        <v>5452.63</v>
      </c>
      <c r="E72" s="5" t="s">
        <v>53</v>
      </c>
    </row>
    <row r="73" spans="1:5" x14ac:dyDescent="0.35">
      <c r="A73" s="5" t="s">
        <v>167</v>
      </c>
      <c r="B73" s="5" t="s">
        <v>168</v>
      </c>
      <c r="C73" s="5"/>
      <c r="D73" s="6">
        <v>29726.19</v>
      </c>
      <c r="E73" s="5" t="s">
        <v>53</v>
      </c>
    </row>
    <row r="74" spans="1:5" x14ac:dyDescent="0.35">
      <c r="A74" s="5" t="s">
        <v>169</v>
      </c>
      <c r="B74" s="5" t="s">
        <v>170</v>
      </c>
      <c r="C74" s="5"/>
      <c r="D74" s="6">
        <v>784.06</v>
      </c>
      <c r="E74" s="5" t="s">
        <v>53</v>
      </c>
    </row>
    <row r="75" spans="1:5" x14ac:dyDescent="0.35">
      <c r="A75" s="5" t="s">
        <v>171</v>
      </c>
      <c r="B75" s="5" t="s">
        <v>172</v>
      </c>
      <c r="C75" s="5"/>
      <c r="D75" s="6">
        <v>4842</v>
      </c>
      <c r="E75" s="5" t="s">
        <v>53</v>
      </c>
    </row>
    <row r="76" spans="1:5" x14ac:dyDescent="0.35">
      <c r="A76" s="5" t="s">
        <v>173</v>
      </c>
      <c r="B76" s="5" t="s">
        <v>174</v>
      </c>
      <c r="C76" s="5"/>
      <c r="D76" s="6">
        <v>12396.6942</v>
      </c>
      <c r="E76" s="5" t="s">
        <v>53</v>
      </c>
    </row>
    <row r="77" spans="1:5" x14ac:dyDescent="0.35">
      <c r="A77" s="5" t="s">
        <v>175</v>
      </c>
      <c r="B77" s="5" t="s">
        <v>176</v>
      </c>
      <c r="C77" s="5"/>
      <c r="D77" s="6">
        <v>1162.7550000000001</v>
      </c>
      <c r="E77" s="5" t="s">
        <v>53</v>
      </c>
    </row>
    <row r="78" spans="1:5" x14ac:dyDescent="0.35">
      <c r="A78" s="5" t="s">
        <v>177</v>
      </c>
      <c r="B78" s="5" t="s">
        <v>178</v>
      </c>
      <c r="C78" s="5"/>
      <c r="D78" s="6">
        <v>3502.8</v>
      </c>
      <c r="E78" s="5" t="s">
        <v>53</v>
      </c>
    </row>
    <row r="79" spans="1:5" x14ac:dyDescent="0.35">
      <c r="A79" s="5" t="s">
        <v>179</v>
      </c>
      <c r="B79" s="5" t="s">
        <v>180</v>
      </c>
      <c r="C79" s="5"/>
      <c r="D79" s="6">
        <v>16528.925599999999</v>
      </c>
      <c r="E79" s="5" t="s">
        <v>27</v>
      </c>
    </row>
    <row r="80" spans="1:5" x14ac:dyDescent="0.35">
      <c r="A80" s="5" t="s">
        <v>181</v>
      </c>
      <c r="B80" s="5" t="s">
        <v>182</v>
      </c>
      <c r="C80" s="5"/>
      <c r="D80" s="6">
        <v>24793.3884</v>
      </c>
      <c r="E80" s="5" t="s">
        <v>27</v>
      </c>
    </row>
    <row r="81" spans="1:5" x14ac:dyDescent="0.35">
      <c r="A81" s="5" t="s">
        <v>183</v>
      </c>
      <c r="B81" s="5" t="s">
        <v>184</v>
      </c>
      <c r="C81" s="5"/>
      <c r="D81" s="6">
        <v>10680.57</v>
      </c>
      <c r="E81" s="5" t="s">
        <v>53</v>
      </c>
    </row>
    <row r="82" spans="1:5" x14ac:dyDescent="0.35">
      <c r="A82" s="5" t="s">
        <v>185</v>
      </c>
      <c r="B82" s="5" t="s">
        <v>186</v>
      </c>
      <c r="C82" s="5"/>
      <c r="D82" s="6">
        <v>6694.38</v>
      </c>
      <c r="E82" s="5" t="s">
        <v>53</v>
      </c>
    </row>
    <row r="83" spans="1:5" x14ac:dyDescent="0.35">
      <c r="A83" s="5" t="s">
        <v>187</v>
      </c>
      <c r="B83" s="5" t="s">
        <v>188</v>
      </c>
      <c r="C83" s="5"/>
      <c r="D83" s="6">
        <v>124738</v>
      </c>
      <c r="E83" s="5" t="s">
        <v>53</v>
      </c>
    </row>
    <row r="84" spans="1:5" x14ac:dyDescent="0.35">
      <c r="A84" s="5" t="s">
        <v>189</v>
      </c>
      <c r="B84" s="5" t="s">
        <v>190</v>
      </c>
      <c r="C84" s="5"/>
      <c r="D84" s="6">
        <v>35708.400000000001</v>
      </c>
      <c r="E84" s="5" t="s">
        <v>53</v>
      </c>
    </row>
    <row r="85" spans="1:5" x14ac:dyDescent="0.35">
      <c r="A85" s="5" t="s">
        <v>191</v>
      </c>
      <c r="B85" s="5" t="s">
        <v>192</v>
      </c>
      <c r="C85" s="5"/>
      <c r="D85" s="6">
        <v>1159.2</v>
      </c>
      <c r="E85" s="5" t="s">
        <v>53</v>
      </c>
    </row>
    <row r="86" spans="1:5" x14ac:dyDescent="0.35">
      <c r="A86" s="5" t="s">
        <v>193</v>
      </c>
      <c r="B86" s="5" t="s">
        <v>194</v>
      </c>
      <c r="C86" s="5"/>
      <c r="D86" s="6">
        <v>34045.199999999997</v>
      </c>
      <c r="E86" s="5" t="s">
        <v>53</v>
      </c>
    </row>
    <row r="87" spans="1:5" x14ac:dyDescent="0.35">
      <c r="A87" s="5" t="s">
        <v>195</v>
      </c>
      <c r="B87" s="5" t="s">
        <v>196</v>
      </c>
      <c r="C87" s="5"/>
      <c r="D87" s="6">
        <v>500</v>
      </c>
      <c r="E87" s="5" t="s">
        <v>27</v>
      </c>
    </row>
    <row r="88" spans="1:5" x14ac:dyDescent="0.35">
      <c r="A88" s="5" t="s">
        <v>197</v>
      </c>
      <c r="B88" s="5" t="s">
        <v>198</v>
      </c>
      <c r="C88" s="5"/>
      <c r="D88" s="6">
        <v>194214.87599999999</v>
      </c>
      <c r="E88" s="5" t="s">
        <v>53</v>
      </c>
    </row>
    <row r="89" spans="1:5" x14ac:dyDescent="0.35">
      <c r="A89" s="5" t="s">
        <v>199</v>
      </c>
      <c r="B89" s="5" t="s">
        <v>200</v>
      </c>
      <c r="C89" s="5"/>
      <c r="D89" s="6">
        <v>3180.0904999999998</v>
      </c>
      <c r="E89" s="5" t="s">
        <v>27</v>
      </c>
    </row>
    <row r="90" spans="1:5" x14ac:dyDescent="0.35">
      <c r="A90" s="5" t="s">
        <v>201</v>
      </c>
      <c r="B90" s="5" t="s">
        <v>202</v>
      </c>
      <c r="C90" s="5"/>
      <c r="D90" s="6">
        <v>3816.1086</v>
      </c>
      <c r="E90" s="5" t="s">
        <v>53</v>
      </c>
    </row>
    <row r="91" spans="1:5" x14ac:dyDescent="0.35">
      <c r="A91" s="5" t="s">
        <v>203</v>
      </c>
      <c r="B91" s="5" t="s">
        <v>204</v>
      </c>
      <c r="C91" s="5"/>
      <c r="D91" s="6">
        <v>10464.9835</v>
      </c>
      <c r="E91" s="5" t="s">
        <v>27</v>
      </c>
    </row>
    <row r="92" spans="1:5" x14ac:dyDescent="0.35">
      <c r="A92" s="5" t="s">
        <v>205</v>
      </c>
      <c r="B92" s="5" t="s">
        <v>206</v>
      </c>
      <c r="C92" s="5"/>
      <c r="D92" s="6">
        <v>12396.6942</v>
      </c>
      <c r="E92" s="5" t="s">
        <v>27</v>
      </c>
    </row>
    <row r="93" spans="1:5" x14ac:dyDescent="0.35">
      <c r="A93" s="5" t="s">
        <v>207</v>
      </c>
      <c r="B93" s="5" t="s">
        <v>208</v>
      </c>
      <c r="C93" s="5"/>
      <c r="D93" s="6">
        <v>6611.5702000000001</v>
      </c>
      <c r="E93" s="5" t="s">
        <v>27</v>
      </c>
    </row>
    <row r="94" spans="1:5" x14ac:dyDescent="0.35">
      <c r="A94" s="5" t="s">
        <v>209</v>
      </c>
      <c r="B94" s="5" t="s">
        <v>210</v>
      </c>
      <c r="C94" s="5"/>
      <c r="D94" s="6">
        <v>46060.371899999998</v>
      </c>
      <c r="E94" s="5" t="s">
        <v>27</v>
      </c>
    </row>
    <row r="95" spans="1:5" x14ac:dyDescent="0.35">
      <c r="A95" s="5" t="s">
        <v>211</v>
      </c>
      <c r="B95" s="5" t="s">
        <v>212</v>
      </c>
      <c r="C95" s="5"/>
      <c r="D95" s="6">
        <v>700000</v>
      </c>
      <c r="E95" s="5" t="s">
        <v>27</v>
      </c>
    </row>
    <row r="96" spans="1:5" x14ac:dyDescent="0.35">
      <c r="A96" s="5" t="s">
        <v>213</v>
      </c>
      <c r="B96" s="5" t="s">
        <v>214</v>
      </c>
      <c r="C96" s="5"/>
      <c r="D96" s="6">
        <v>225038.87599999999</v>
      </c>
      <c r="E96" s="5" t="s">
        <v>27</v>
      </c>
    </row>
    <row r="97" spans="1:5" x14ac:dyDescent="0.35">
      <c r="A97" s="5" t="s">
        <v>215</v>
      </c>
      <c r="B97" s="5" t="s">
        <v>216</v>
      </c>
      <c r="C97" s="5"/>
      <c r="D97" s="6">
        <v>21494.592000000001</v>
      </c>
      <c r="E97" s="5" t="s">
        <v>53</v>
      </c>
    </row>
    <row r="98" spans="1:5" x14ac:dyDescent="0.35">
      <c r="A98" s="5" t="s">
        <v>217</v>
      </c>
      <c r="B98" s="5" t="s">
        <v>218</v>
      </c>
      <c r="C98" s="5"/>
      <c r="D98" s="6">
        <v>2930.36</v>
      </c>
      <c r="E98" s="5" t="s">
        <v>53</v>
      </c>
    </row>
    <row r="99" spans="1:5" x14ac:dyDescent="0.35">
      <c r="A99" s="5" t="s">
        <v>219</v>
      </c>
      <c r="B99" s="5" t="s">
        <v>220</v>
      </c>
      <c r="C99" s="5"/>
      <c r="D99" s="6">
        <v>21453.297500000001</v>
      </c>
      <c r="E99" s="5" t="s">
        <v>53</v>
      </c>
    </row>
    <row r="100" spans="1:5" x14ac:dyDescent="0.35">
      <c r="A100" s="5" t="s">
        <v>221</v>
      </c>
      <c r="B100" s="5" t="s">
        <v>222</v>
      </c>
      <c r="C100" s="5"/>
      <c r="D100" s="6">
        <v>32805.983500000002</v>
      </c>
      <c r="E100" s="5" t="s">
        <v>53</v>
      </c>
    </row>
    <row r="101" spans="1:5" x14ac:dyDescent="0.35">
      <c r="A101" s="5" t="s">
        <v>223</v>
      </c>
      <c r="B101" s="5" t="s">
        <v>103</v>
      </c>
      <c r="C101" s="5"/>
      <c r="D101" s="6">
        <v>533000</v>
      </c>
      <c r="E101" s="5" t="s">
        <v>27</v>
      </c>
    </row>
    <row r="102" spans="1:5" x14ac:dyDescent="0.35">
      <c r="A102" s="5" t="s">
        <v>224</v>
      </c>
      <c r="B102" s="5" t="s">
        <v>225</v>
      </c>
      <c r="C102" s="5"/>
      <c r="D102" s="6">
        <v>75473.119999999995</v>
      </c>
      <c r="E102" s="5" t="s">
        <v>27</v>
      </c>
    </row>
    <row r="103" spans="1:5" x14ac:dyDescent="0.35">
      <c r="A103" s="5" t="s">
        <v>226</v>
      </c>
      <c r="B103" s="5" t="s">
        <v>227</v>
      </c>
      <c r="C103" s="5"/>
      <c r="D103" s="6">
        <v>25000</v>
      </c>
      <c r="E103" s="5" t="s">
        <v>27</v>
      </c>
    </row>
    <row r="104" spans="1:5" x14ac:dyDescent="0.35">
      <c r="A104" s="5" t="s">
        <v>228</v>
      </c>
      <c r="B104" s="5" t="s">
        <v>229</v>
      </c>
      <c r="C104" s="5"/>
      <c r="D104" s="6">
        <v>8071883.04</v>
      </c>
      <c r="E104" s="5" t="s">
        <v>27</v>
      </c>
    </row>
    <row r="105" spans="1:5" x14ac:dyDescent="0.35">
      <c r="A105" s="5" t="s">
        <v>230</v>
      </c>
      <c r="B105" s="5" t="s">
        <v>231</v>
      </c>
      <c r="C105" s="5"/>
      <c r="D105" s="6">
        <v>1652.8925999999999</v>
      </c>
      <c r="E105" s="5" t="s">
        <v>27</v>
      </c>
    </row>
    <row r="106" spans="1:5" x14ac:dyDescent="0.35">
      <c r="A106" s="5" t="s">
        <v>232</v>
      </c>
      <c r="B106" s="5" t="s">
        <v>182</v>
      </c>
      <c r="C106" s="5"/>
      <c r="D106" s="6">
        <v>7396.6941999999999</v>
      </c>
      <c r="E106" s="5" t="s">
        <v>27</v>
      </c>
    </row>
    <row r="107" spans="1:5" x14ac:dyDescent="0.35">
      <c r="A107" s="5" t="s">
        <v>233</v>
      </c>
      <c r="B107" s="5" t="s">
        <v>234</v>
      </c>
      <c r="C107" s="5"/>
      <c r="D107" s="6">
        <v>15666.9421</v>
      </c>
      <c r="E107" s="5" t="s">
        <v>53</v>
      </c>
    </row>
    <row r="108" spans="1:5" x14ac:dyDescent="0.35">
      <c r="A108" s="5" t="s">
        <v>235</v>
      </c>
      <c r="B108" s="5" t="s">
        <v>236</v>
      </c>
      <c r="C108" s="5"/>
      <c r="D108" s="6">
        <v>2077.152</v>
      </c>
      <c r="E108" s="5" t="s">
        <v>53</v>
      </c>
    </row>
    <row r="109" spans="1:5" x14ac:dyDescent="0.35">
      <c r="A109" s="5" t="s">
        <v>237</v>
      </c>
      <c r="B109" s="5" t="s">
        <v>238</v>
      </c>
      <c r="C109" s="5"/>
      <c r="D109" s="6">
        <v>2310.5940000000001</v>
      </c>
      <c r="E109" s="5" t="s">
        <v>53</v>
      </c>
    </row>
    <row r="110" spans="1:5" x14ac:dyDescent="0.35">
      <c r="A110" s="5" t="s">
        <v>239</v>
      </c>
      <c r="B110" s="5" t="s">
        <v>240</v>
      </c>
      <c r="C110" s="5"/>
      <c r="D110" s="6">
        <v>6.9505999999999997</v>
      </c>
      <c r="E110" s="5" t="s">
        <v>53</v>
      </c>
    </row>
    <row r="111" spans="1:5" x14ac:dyDescent="0.35">
      <c r="A111" s="5" t="s">
        <v>241</v>
      </c>
      <c r="B111" s="5" t="s">
        <v>242</v>
      </c>
      <c r="C111" s="5"/>
      <c r="D111" s="6">
        <v>6.6471</v>
      </c>
      <c r="E111" s="5" t="s">
        <v>53</v>
      </c>
    </row>
    <row r="112" spans="1:5" x14ac:dyDescent="0.35">
      <c r="A112" s="5" t="s">
        <v>243</v>
      </c>
      <c r="B112" s="5" t="s">
        <v>244</v>
      </c>
      <c r="C112" s="5"/>
      <c r="D112" s="6">
        <v>39.519799999999996</v>
      </c>
      <c r="E112" s="5" t="s">
        <v>53</v>
      </c>
    </row>
    <row r="113" spans="1:5" x14ac:dyDescent="0.35">
      <c r="A113" s="5" t="s">
        <v>245</v>
      </c>
      <c r="B113" s="5" t="s">
        <v>246</v>
      </c>
      <c r="C113" s="5"/>
      <c r="D113" s="6">
        <v>3855.22</v>
      </c>
      <c r="E113" s="5" t="s">
        <v>53</v>
      </c>
    </row>
    <row r="114" spans="1:5" x14ac:dyDescent="0.35">
      <c r="A114" s="5" t="s">
        <v>247</v>
      </c>
      <c r="B114" s="5" t="s">
        <v>248</v>
      </c>
      <c r="C114" s="5"/>
      <c r="D114" s="6">
        <v>27038.112300000001</v>
      </c>
      <c r="E114" s="5" t="s">
        <v>53</v>
      </c>
    </row>
    <row r="115" spans="1:5" x14ac:dyDescent="0.35">
      <c r="A115" s="5" t="s">
        <v>249</v>
      </c>
      <c r="B115" s="5" t="s">
        <v>250</v>
      </c>
      <c r="C115" s="5"/>
      <c r="D115" s="6">
        <v>9356.76</v>
      </c>
      <c r="E115" s="5" t="s">
        <v>53</v>
      </c>
    </row>
    <row r="116" spans="1:5" x14ac:dyDescent="0.35">
      <c r="A116" s="5" t="s">
        <v>251</v>
      </c>
      <c r="B116" s="5" t="s">
        <v>252</v>
      </c>
      <c r="C116" s="5"/>
      <c r="D116" s="6">
        <v>2834.6579999999999</v>
      </c>
      <c r="E116" s="5" t="s">
        <v>53</v>
      </c>
    </row>
    <row r="117" spans="1:5" x14ac:dyDescent="0.35">
      <c r="A117" s="5" t="s">
        <v>253</v>
      </c>
      <c r="B117" s="5" t="s">
        <v>254</v>
      </c>
      <c r="C117" s="5"/>
      <c r="D117" s="6">
        <v>3082.4459999999999</v>
      </c>
      <c r="E117" s="5" t="s">
        <v>53</v>
      </c>
    </row>
    <row r="118" spans="1:5" x14ac:dyDescent="0.35">
      <c r="A118" s="5" t="s">
        <v>255</v>
      </c>
      <c r="B118" s="5" t="s">
        <v>256</v>
      </c>
      <c r="C118" s="5"/>
      <c r="D118" s="6">
        <v>15085.98</v>
      </c>
      <c r="E118" s="5" t="s">
        <v>53</v>
      </c>
    </row>
    <row r="119" spans="1:5" x14ac:dyDescent="0.35">
      <c r="A119" s="5" t="s">
        <v>257</v>
      </c>
      <c r="B119" s="5" t="s">
        <v>258</v>
      </c>
      <c r="C119" s="5"/>
      <c r="D119" s="6">
        <v>2499.6799999999998</v>
      </c>
      <c r="E119" s="5" t="s">
        <v>53</v>
      </c>
    </row>
    <row r="120" spans="1:5" x14ac:dyDescent="0.35">
      <c r="A120" s="5" t="s">
        <v>259</v>
      </c>
      <c r="B120" s="5" t="s">
        <v>52</v>
      </c>
      <c r="C120" s="5"/>
      <c r="D120" s="6">
        <v>150000</v>
      </c>
      <c r="E120" s="5" t="s">
        <v>27</v>
      </c>
    </row>
    <row r="121" spans="1:5" x14ac:dyDescent="0.35">
      <c r="A121" s="5" t="s">
        <v>260</v>
      </c>
      <c r="B121" s="5" t="s">
        <v>261</v>
      </c>
      <c r="C121" s="5"/>
      <c r="D121" s="6">
        <v>635.55999999999995</v>
      </c>
      <c r="E121" s="5" t="s">
        <v>53</v>
      </c>
    </row>
    <row r="122" spans="1:5" x14ac:dyDescent="0.35">
      <c r="A122" s="5" t="s">
        <v>262</v>
      </c>
      <c r="B122" s="5" t="s">
        <v>263</v>
      </c>
      <c r="C122" s="5"/>
      <c r="D122" s="6">
        <v>254.06100000000001</v>
      </c>
      <c r="E122" s="5" t="s">
        <v>53</v>
      </c>
    </row>
    <row r="123" spans="1:5" x14ac:dyDescent="0.35">
      <c r="A123" s="5" t="s">
        <v>264</v>
      </c>
      <c r="B123" s="5" t="s">
        <v>265</v>
      </c>
      <c r="C123" s="5"/>
      <c r="D123" s="6">
        <v>166.38300000000001</v>
      </c>
      <c r="E123" s="5" t="s">
        <v>53</v>
      </c>
    </row>
    <row r="124" spans="1:5" x14ac:dyDescent="0.35">
      <c r="A124" s="5" t="s">
        <v>266</v>
      </c>
      <c r="B124" s="5" t="s">
        <v>267</v>
      </c>
      <c r="C124" s="5"/>
      <c r="D124" s="6">
        <v>284.8</v>
      </c>
      <c r="E124" s="5" t="s">
        <v>53</v>
      </c>
    </row>
    <row r="125" spans="1:5" x14ac:dyDescent="0.35">
      <c r="A125" s="5" t="s">
        <v>268</v>
      </c>
      <c r="B125" s="5" t="s">
        <v>269</v>
      </c>
      <c r="C125" s="5"/>
      <c r="D125" s="6">
        <v>458.38339999999999</v>
      </c>
      <c r="E125" s="5" t="s">
        <v>53</v>
      </c>
    </row>
    <row r="126" spans="1:5" x14ac:dyDescent="0.35">
      <c r="A126" s="5" t="s">
        <v>270</v>
      </c>
      <c r="B126" s="5" t="s">
        <v>271</v>
      </c>
      <c r="C126" s="5"/>
      <c r="D126" s="6">
        <v>458.38339999999999</v>
      </c>
      <c r="E126" s="5" t="s">
        <v>53</v>
      </c>
    </row>
    <row r="127" spans="1:5" x14ac:dyDescent="0.35">
      <c r="A127" s="5" t="s">
        <v>272</v>
      </c>
      <c r="B127" s="5" t="s">
        <v>273</v>
      </c>
      <c r="C127" s="5"/>
      <c r="D127" s="6">
        <v>182.178</v>
      </c>
      <c r="E127" s="5" t="s">
        <v>53</v>
      </c>
    </row>
    <row r="128" spans="1:5" x14ac:dyDescent="0.35">
      <c r="A128" s="5" t="s">
        <v>274</v>
      </c>
      <c r="B128" s="5" t="s">
        <v>275</v>
      </c>
      <c r="C128" s="5"/>
      <c r="D128" s="6">
        <v>182.178</v>
      </c>
      <c r="E128" s="5" t="s">
        <v>53</v>
      </c>
    </row>
    <row r="129" spans="1:5" x14ac:dyDescent="0.35">
      <c r="A129" s="5" t="s">
        <v>276</v>
      </c>
      <c r="B129" s="5" t="s">
        <v>277</v>
      </c>
      <c r="C129" s="5"/>
      <c r="D129" s="6">
        <v>472.18</v>
      </c>
      <c r="E129" s="5" t="s">
        <v>53</v>
      </c>
    </row>
    <row r="130" spans="1:5" x14ac:dyDescent="0.35">
      <c r="A130" s="5" t="s">
        <v>278</v>
      </c>
      <c r="B130" s="5" t="s">
        <v>279</v>
      </c>
      <c r="C130" s="5"/>
      <c r="D130" s="6">
        <v>203.24879999999999</v>
      </c>
      <c r="E130" s="5" t="s">
        <v>53</v>
      </c>
    </row>
    <row r="131" spans="1:5" x14ac:dyDescent="0.35">
      <c r="A131" s="5" t="s">
        <v>280</v>
      </c>
      <c r="B131" s="5" t="s">
        <v>281</v>
      </c>
      <c r="C131" s="5"/>
      <c r="D131" s="6">
        <v>99.829800000000006</v>
      </c>
      <c r="E131" s="5" t="s">
        <v>53</v>
      </c>
    </row>
    <row r="132" spans="1:5" x14ac:dyDescent="0.35">
      <c r="A132" s="5" t="s">
        <v>282</v>
      </c>
      <c r="B132" s="5" t="s">
        <v>283</v>
      </c>
      <c r="C132" s="5" t="s">
        <v>284</v>
      </c>
      <c r="D132" s="6">
        <v>26757.217000000001</v>
      </c>
      <c r="E132" s="5" t="s">
        <v>27</v>
      </c>
    </row>
    <row r="133" spans="1:5" x14ac:dyDescent="0.35">
      <c r="A133" s="5" t="s">
        <v>285</v>
      </c>
      <c r="B133" s="5" t="s">
        <v>286</v>
      </c>
      <c r="C133" s="5" t="s">
        <v>284</v>
      </c>
      <c r="D133" s="6">
        <v>51788.8295</v>
      </c>
      <c r="E133" s="5" t="s">
        <v>27</v>
      </c>
    </row>
    <row r="134" spans="1:5" x14ac:dyDescent="0.35">
      <c r="A134" s="5" t="s">
        <v>287</v>
      </c>
      <c r="B134" s="5" t="s">
        <v>288</v>
      </c>
      <c r="C134" s="5" t="s">
        <v>284</v>
      </c>
      <c r="D134" s="6">
        <v>62722.718699999998</v>
      </c>
      <c r="E134" s="5" t="s">
        <v>27</v>
      </c>
    </row>
    <row r="135" spans="1:5" x14ac:dyDescent="0.35">
      <c r="A135" s="5" t="s">
        <v>289</v>
      </c>
      <c r="B135" s="5" t="s">
        <v>290</v>
      </c>
      <c r="C135" s="5" t="s">
        <v>284</v>
      </c>
      <c r="D135" s="6">
        <v>7624.2992000000004</v>
      </c>
      <c r="E135" s="5" t="s">
        <v>27</v>
      </c>
    </row>
    <row r="136" spans="1:5" x14ac:dyDescent="0.35">
      <c r="A136" s="5" t="s">
        <v>291</v>
      </c>
      <c r="B136" s="5" t="s">
        <v>292</v>
      </c>
      <c r="C136" s="5" t="s">
        <v>284</v>
      </c>
      <c r="D136" s="6">
        <v>7624.2992000000004</v>
      </c>
      <c r="E136" s="5" t="s">
        <v>27</v>
      </c>
    </row>
    <row r="137" spans="1:5" x14ac:dyDescent="0.35">
      <c r="A137" s="5" t="s">
        <v>293</v>
      </c>
      <c r="B137" s="5" t="s">
        <v>294</v>
      </c>
      <c r="C137" s="5" t="s">
        <v>284</v>
      </c>
      <c r="D137" s="6">
        <v>16112.078299999999</v>
      </c>
      <c r="E137" s="5" t="s">
        <v>27</v>
      </c>
    </row>
    <row r="138" spans="1:5" x14ac:dyDescent="0.35">
      <c r="A138" s="5" t="s">
        <v>295</v>
      </c>
      <c r="B138" s="5" t="s">
        <v>296</v>
      </c>
      <c r="C138" s="5" t="s">
        <v>284</v>
      </c>
      <c r="D138" s="6">
        <v>17262.943200000002</v>
      </c>
      <c r="E138" s="5" t="s">
        <v>27</v>
      </c>
    </row>
    <row r="139" spans="1:5" x14ac:dyDescent="0.35">
      <c r="A139" s="5" t="s">
        <v>297</v>
      </c>
      <c r="B139" s="5" t="s">
        <v>298</v>
      </c>
      <c r="C139" s="5" t="s">
        <v>284</v>
      </c>
      <c r="D139" s="6">
        <v>297024.26539999997</v>
      </c>
      <c r="E139" s="5" t="s">
        <v>27</v>
      </c>
    </row>
    <row r="140" spans="1:5" x14ac:dyDescent="0.35">
      <c r="A140" s="5" t="s">
        <v>299</v>
      </c>
      <c r="B140" s="5" t="s">
        <v>300</v>
      </c>
      <c r="C140" s="5" t="s">
        <v>284</v>
      </c>
      <c r="D140" s="6">
        <v>106731.8746</v>
      </c>
      <c r="E140" s="5" t="s">
        <v>27</v>
      </c>
    </row>
    <row r="141" spans="1:5" x14ac:dyDescent="0.35">
      <c r="A141" s="5" t="s">
        <v>301</v>
      </c>
      <c r="B141" s="5" t="s">
        <v>302</v>
      </c>
      <c r="C141" s="5" t="s">
        <v>284</v>
      </c>
      <c r="D141" s="6">
        <v>5662.3777</v>
      </c>
      <c r="E141" s="5" t="s">
        <v>27</v>
      </c>
    </row>
    <row r="142" spans="1:5" x14ac:dyDescent="0.35">
      <c r="A142" s="5" t="s">
        <v>303</v>
      </c>
      <c r="B142" s="5" t="s">
        <v>304</v>
      </c>
      <c r="C142" s="5" t="s">
        <v>284</v>
      </c>
      <c r="D142" s="6">
        <v>16325.561400000001</v>
      </c>
      <c r="E142" s="5" t="s">
        <v>27</v>
      </c>
    </row>
    <row r="143" spans="1:5" x14ac:dyDescent="0.35">
      <c r="A143" s="5" t="s">
        <v>305</v>
      </c>
      <c r="B143" s="5" t="s">
        <v>306</v>
      </c>
      <c r="C143" s="5" t="s">
        <v>284</v>
      </c>
      <c r="D143" s="6">
        <v>10323.0087</v>
      </c>
      <c r="E143" s="5" t="s">
        <v>27</v>
      </c>
    </row>
    <row r="144" spans="1:5" x14ac:dyDescent="0.35">
      <c r="A144" s="5" t="s">
        <v>307</v>
      </c>
      <c r="B144" s="5" t="s">
        <v>308</v>
      </c>
      <c r="C144" s="5" t="s">
        <v>284</v>
      </c>
      <c r="D144" s="6">
        <v>174931.16149999999</v>
      </c>
      <c r="E144" s="5" t="s">
        <v>27</v>
      </c>
    </row>
    <row r="145" spans="1:5" x14ac:dyDescent="0.35">
      <c r="A145" s="5" t="s">
        <v>309</v>
      </c>
      <c r="B145" s="5" t="s">
        <v>310</v>
      </c>
      <c r="C145" s="5" t="s">
        <v>284</v>
      </c>
      <c r="D145" s="6">
        <v>157716.45379999999</v>
      </c>
      <c r="E145" s="5" t="s">
        <v>27</v>
      </c>
    </row>
    <row r="146" spans="1:5" x14ac:dyDescent="0.35">
      <c r="A146" s="5" t="s">
        <v>311</v>
      </c>
      <c r="B146" s="5" t="s">
        <v>312</v>
      </c>
      <c r="C146" s="5" t="s">
        <v>284</v>
      </c>
      <c r="D146" s="6">
        <v>5329.6100999999999</v>
      </c>
      <c r="E146" s="5" t="s">
        <v>27</v>
      </c>
    </row>
    <row r="147" spans="1:5" x14ac:dyDescent="0.35">
      <c r="A147" s="5" t="s">
        <v>313</v>
      </c>
      <c r="B147" s="5" t="s">
        <v>314</v>
      </c>
      <c r="C147" s="5" t="s">
        <v>284</v>
      </c>
      <c r="D147" s="6">
        <v>4138.8173999999999</v>
      </c>
      <c r="E147" s="5" t="s">
        <v>27</v>
      </c>
    </row>
    <row r="148" spans="1:5" x14ac:dyDescent="0.35">
      <c r="A148" s="5" t="s">
        <v>315</v>
      </c>
      <c r="B148" s="5" t="s">
        <v>316</v>
      </c>
      <c r="C148" s="5" t="s">
        <v>284</v>
      </c>
      <c r="D148" s="6">
        <v>99169.454100000003</v>
      </c>
      <c r="E148" s="5" t="s">
        <v>27</v>
      </c>
    </row>
    <row r="149" spans="1:5" x14ac:dyDescent="0.35">
      <c r="A149" s="5" t="s">
        <v>317</v>
      </c>
      <c r="B149" s="5" t="s">
        <v>318</v>
      </c>
      <c r="C149" s="5" t="s">
        <v>284</v>
      </c>
      <c r="D149" s="6">
        <v>143446.73759999999</v>
      </c>
      <c r="E149" s="5" t="s">
        <v>27</v>
      </c>
    </row>
    <row r="150" spans="1:5" x14ac:dyDescent="0.35">
      <c r="A150" s="5" t="s">
        <v>319</v>
      </c>
      <c r="B150" s="5" t="s">
        <v>320</v>
      </c>
      <c r="C150" s="5" t="s">
        <v>284</v>
      </c>
      <c r="D150" s="6">
        <v>131120.3273</v>
      </c>
      <c r="E150" s="5" t="s">
        <v>27</v>
      </c>
    </row>
    <row r="151" spans="1:5" x14ac:dyDescent="0.35">
      <c r="A151" s="5" t="s">
        <v>321</v>
      </c>
      <c r="B151" s="5" t="s">
        <v>322</v>
      </c>
      <c r="C151" s="5" t="s">
        <v>284</v>
      </c>
      <c r="D151" s="6">
        <v>64963.7212</v>
      </c>
      <c r="E151" s="5" t="s">
        <v>27</v>
      </c>
    </row>
    <row r="152" spans="1:5" x14ac:dyDescent="0.35">
      <c r="A152" s="5" t="s">
        <v>323</v>
      </c>
      <c r="B152" s="5" t="s">
        <v>324</v>
      </c>
      <c r="C152" s="5" t="s">
        <v>284</v>
      </c>
      <c r="D152" s="6">
        <v>57566.354800000001</v>
      </c>
      <c r="E152" s="5" t="s">
        <v>27</v>
      </c>
    </row>
    <row r="153" spans="1:5" x14ac:dyDescent="0.35">
      <c r="A153" s="5" t="s">
        <v>325</v>
      </c>
      <c r="B153" s="5" t="s">
        <v>326</v>
      </c>
      <c r="C153" s="5" t="s">
        <v>284</v>
      </c>
      <c r="D153" s="6">
        <v>37586.7693</v>
      </c>
      <c r="E153" s="5" t="s">
        <v>27</v>
      </c>
    </row>
    <row r="154" spans="1:5" x14ac:dyDescent="0.35">
      <c r="A154" s="5" t="s">
        <v>327</v>
      </c>
      <c r="B154" s="5" t="s">
        <v>328</v>
      </c>
      <c r="C154" s="5" t="s">
        <v>284</v>
      </c>
      <c r="D154" s="6">
        <v>24268.1698</v>
      </c>
      <c r="E154" s="5" t="s">
        <v>27</v>
      </c>
    </row>
    <row r="155" spans="1:5" x14ac:dyDescent="0.35">
      <c r="A155" s="5" t="s">
        <v>329</v>
      </c>
      <c r="B155" s="5" t="s">
        <v>330</v>
      </c>
      <c r="C155" s="5" t="s">
        <v>284</v>
      </c>
      <c r="D155" s="6">
        <v>49487.109900000003</v>
      </c>
      <c r="E155" s="5" t="s">
        <v>27</v>
      </c>
    </row>
    <row r="156" spans="1:5" x14ac:dyDescent="0.35">
      <c r="A156" s="5" t="s">
        <v>331</v>
      </c>
      <c r="B156" s="5" t="s">
        <v>332</v>
      </c>
      <c r="C156" s="5" t="s">
        <v>284</v>
      </c>
      <c r="D156" s="6">
        <v>16112.078299999999</v>
      </c>
      <c r="E156" s="5" t="s">
        <v>27</v>
      </c>
    </row>
    <row r="157" spans="1:5" x14ac:dyDescent="0.35">
      <c r="A157" s="5" t="s">
        <v>333</v>
      </c>
      <c r="B157" s="5" t="s">
        <v>334</v>
      </c>
      <c r="C157" s="5" t="s">
        <v>284</v>
      </c>
      <c r="D157" s="6">
        <v>30335.3727</v>
      </c>
      <c r="E157" s="5" t="s">
        <v>27</v>
      </c>
    </row>
    <row r="158" spans="1:5" x14ac:dyDescent="0.35">
      <c r="A158" s="5" t="s">
        <v>335</v>
      </c>
      <c r="B158" s="5" t="s">
        <v>336</v>
      </c>
      <c r="C158" s="5"/>
      <c r="D158" s="6">
        <v>5500000</v>
      </c>
      <c r="E158" s="5" t="s">
        <v>27</v>
      </c>
    </row>
    <row r="159" spans="1:5" x14ac:dyDescent="0.35">
      <c r="A159" s="5" t="s">
        <v>337</v>
      </c>
      <c r="B159" s="5" t="s">
        <v>338</v>
      </c>
      <c r="C159" s="5" t="s">
        <v>284</v>
      </c>
      <c r="D159" s="6">
        <v>2038.6255000000001</v>
      </c>
      <c r="E159" s="5" t="s">
        <v>27</v>
      </c>
    </row>
    <row r="160" spans="1:5" x14ac:dyDescent="0.35">
      <c r="A160" s="5" t="s">
        <v>339</v>
      </c>
      <c r="B160" s="5" t="s">
        <v>340</v>
      </c>
      <c r="C160" s="5" t="s">
        <v>284</v>
      </c>
      <c r="D160" s="6">
        <v>5626.8379000000004</v>
      </c>
      <c r="E160" s="5" t="s">
        <v>27</v>
      </c>
    </row>
    <row r="161" spans="1:5" x14ac:dyDescent="0.35">
      <c r="A161" s="5" t="s">
        <v>341</v>
      </c>
      <c r="B161" s="5" t="s">
        <v>342</v>
      </c>
      <c r="C161" s="5" t="s">
        <v>284</v>
      </c>
      <c r="D161" s="6">
        <v>78570.602400000003</v>
      </c>
      <c r="E161" s="5" t="s">
        <v>27</v>
      </c>
    </row>
    <row r="162" spans="1:5" x14ac:dyDescent="0.35">
      <c r="A162" s="5" t="s">
        <v>343</v>
      </c>
      <c r="B162" s="5" t="s">
        <v>344</v>
      </c>
      <c r="C162" s="5" t="s">
        <v>284</v>
      </c>
      <c r="D162" s="6">
        <v>1220.4670000000001</v>
      </c>
      <c r="E162" s="5" t="s">
        <v>27</v>
      </c>
    </row>
    <row r="163" spans="1:5" x14ac:dyDescent="0.35">
      <c r="A163" s="5" t="s">
        <v>345</v>
      </c>
      <c r="B163" s="5" t="s">
        <v>346</v>
      </c>
      <c r="C163" s="5" t="s">
        <v>284</v>
      </c>
      <c r="D163" s="6">
        <v>793.12369999999999</v>
      </c>
      <c r="E163" s="5" t="s">
        <v>27</v>
      </c>
    </row>
    <row r="164" spans="1:5" x14ac:dyDescent="0.35">
      <c r="A164" s="5" t="s">
        <v>347</v>
      </c>
      <c r="B164" s="5" t="s">
        <v>348</v>
      </c>
      <c r="C164" s="5" t="s">
        <v>284</v>
      </c>
      <c r="D164" s="6">
        <v>18494.353299999999</v>
      </c>
      <c r="E164" s="5" t="s">
        <v>27</v>
      </c>
    </row>
    <row r="165" spans="1:5" x14ac:dyDescent="0.35">
      <c r="A165" s="5" t="s">
        <v>349</v>
      </c>
      <c r="B165" s="5" t="s">
        <v>350</v>
      </c>
      <c r="C165" s="5" t="s">
        <v>284</v>
      </c>
      <c r="D165" s="6">
        <v>263.46089999999998</v>
      </c>
      <c r="E165" s="5" t="s">
        <v>27</v>
      </c>
    </row>
    <row r="166" spans="1:5" x14ac:dyDescent="0.35">
      <c r="A166" s="5" t="s">
        <v>351</v>
      </c>
      <c r="B166" s="5" t="s">
        <v>352</v>
      </c>
      <c r="C166" s="5" t="s">
        <v>353</v>
      </c>
      <c r="D166" s="6">
        <v>34314.522499999999</v>
      </c>
      <c r="E166" s="5" t="s">
        <v>27</v>
      </c>
    </row>
    <row r="167" spans="1:5" x14ac:dyDescent="0.35">
      <c r="A167" s="5" t="s">
        <v>354</v>
      </c>
      <c r="B167" s="5" t="s">
        <v>355</v>
      </c>
      <c r="C167" s="5" t="s">
        <v>356</v>
      </c>
      <c r="D167" s="6">
        <v>26626.520700000001</v>
      </c>
      <c r="E167" s="5" t="s">
        <v>27</v>
      </c>
    </row>
    <row r="168" spans="1:5" x14ac:dyDescent="0.35">
      <c r="A168" s="5" t="s">
        <v>357</v>
      </c>
      <c r="B168" s="5" t="s">
        <v>358</v>
      </c>
      <c r="C168" s="5" t="s">
        <v>284</v>
      </c>
      <c r="D168" s="6">
        <v>499627.40580000001</v>
      </c>
      <c r="E168" s="5" t="s">
        <v>27</v>
      </c>
    </row>
    <row r="169" spans="1:5" x14ac:dyDescent="0.35">
      <c r="A169" s="5" t="s">
        <v>359</v>
      </c>
      <c r="B169" s="5" t="s">
        <v>360</v>
      </c>
      <c r="C169" s="5" t="s">
        <v>284</v>
      </c>
      <c r="D169" s="6">
        <v>448377.33799999999</v>
      </c>
      <c r="E169" s="5" t="s">
        <v>27</v>
      </c>
    </row>
    <row r="170" spans="1:5" x14ac:dyDescent="0.35">
      <c r="A170" s="5" t="s">
        <v>361</v>
      </c>
      <c r="B170" s="5" t="s">
        <v>362</v>
      </c>
      <c r="C170" s="5" t="s">
        <v>284</v>
      </c>
      <c r="D170" s="6">
        <v>557199.73149999999</v>
      </c>
      <c r="E170" s="5" t="s">
        <v>27</v>
      </c>
    </row>
    <row r="171" spans="1:5" x14ac:dyDescent="0.35">
      <c r="A171" s="5" t="s">
        <v>363</v>
      </c>
      <c r="B171" s="5" t="s">
        <v>364</v>
      </c>
      <c r="C171" s="5" t="s">
        <v>284</v>
      </c>
      <c r="D171" s="6">
        <v>5052.4728999999998</v>
      </c>
      <c r="E171" s="5" t="s">
        <v>27</v>
      </c>
    </row>
    <row r="172" spans="1:5" x14ac:dyDescent="0.35">
      <c r="A172" s="5" t="s">
        <v>365</v>
      </c>
      <c r="B172" s="5" t="s">
        <v>366</v>
      </c>
      <c r="C172" s="5" t="s">
        <v>284</v>
      </c>
      <c r="D172" s="6">
        <v>19115.189299999998</v>
      </c>
      <c r="E172" s="5" t="s">
        <v>27</v>
      </c>
    </row>
    <row r="173" spans="1:5" x14ac:dyDescent="0.35">
      <c r="A173" s="5" t="s">
        <v>367</v>
      </c>
      <c r="B173" s="5" t="s">
        <v>368</v>
      </c>
      <c r="C173" s="5" t="s">
        <v>356</v>
      </c>
      <c r="D173" s="6">
        <v>8567.2798999999995</v>
      </c>
      <c r="E173" s="5" t="s">
        <v>27</v>
      </c>
    </row>
    <row r="174" spans="1:5" x14ac:dyDescent="0.35">
      <c r="A174" s="5" t="s">
        <v>369</v>
      </c>
      <c r="B174" s="5" t="s">
        <v>370</v>
      </c>
      <c r="C174" s="5" t="s">
        <v>284</v>
      </c>
      <c r="D174" s="6">
        <v>34890.260699999999</v>
      </c>
      <c r="E174" s="5" t="s">
        <v>27</v>
      </c>
    </row>
    <row r="175" spans="1:5" x14ac:dyDescent="0.35">
      <c r="A175" s="5" t="s">
        <v>371</v>
      </c>
      <c r="B175" s="5" t="s">
        <v>372</v>
      </c>
      <c r="C175" s="5" t="s">
        <v>284</v>
      </c>
      <c r="D175" s="6">
        <v>21530.894400000001</v>
      </c>
      <c r="E175" s="5" t="s">
        <v>27</v>
      </c>
    </row>
    <row r="176" spans="1:5" x14ac:dyDescent="0.35">
      <c r="A176" s="5" t="s">
        <v>373</v>
      </c>
      <c r="B176" s="5" t="s">
        <v>374</v>
      </c>
      <c r="C176" s="5" t="s">
        <v>284</v>
      </c>
      <c r="D176" s="6">
        <v>1205.3565000000001</v>
      </c>
      <c r="E176" s="5" t="s">
        <v>27</v>
      </c>
    </row>
    <row r="177" spans="1:5" x14ac:dyDescent="0.35">
      <c r="A177" s="5" t="s">
        <v>375</v>
      </c>
      <c r="B177" s="5" t="s">
        <v>376</v>
      </c>
      <c r="C177" s="5"/>
      <c r="D177" s="6">
        <v>2127230.3546000002</v>
      </c>
      <c r="E177" s="5" t="s">
        <v>27</v>
      </c>
    </row>
    <row r="178" spans="1:5" x14ac:dyDescent="0.35">
      <c r="A178" s="5" t="s">
        <v>377</v>
      </c>
      <c r="B178" s="5" t="s">
        <v>378</v>
      </c>
      <c r="C178" s="5"/>
      <c r="D178" s="6">
        <v>278565.8798</v>
      </c>
      <c r="E178" s="5" t="s">
        <v>27</v>
      </c>
    </row>
    <row r="179" spans="1:5" x14ac:dyDescent="0.35">
      <c r="A179" s="5" t="s">
        <v>379</v>
      </c>
      <c r="B179" s="5" t="s">
        <v>380</v>
      </c>
      <c r="C179" s="5"/>
      <c r="D179" s="6">
        <v>2836307.1395</v>
      </c>
      <c r="E179" s="5" t="s">
        <v>27</v>
      </c>
    </row>
    <row r="180" spans="1:5" x14ac:dyDescent="0.35">
      <c r="A180" s="5" t="s">
        <v>381</v>
      </c>
      <c r="B180" s="5" t="s">
        <v>382</v>
      </c>
      <c r="C180" s="5"/>
      <c r="D180" s="6">
        <v>1215560.2026</v>
      </c>
      <c r="E180" s="5" t="s">
        <v>27</v>
      </c>
    </row>
    <row r="181" spans="1:5" x14ac:dyDescent="0.35">
      <c r="A181" s="5" t="s">
        <v>383</v>
      </c>
      <c r="B181" s="5" t="s">
        <v>384</v>
      </c>
      <c r="C181" s="5"/>
      <c r="D181" s="6">
        <v>599178.95070000004</v>
      </c>
      <c r="E181" s="5" t="s">
        <v>27</v>
      </c>
    </row>
    <row r="182" spans="1:5" x14ac:dyDescent="0.35">
      <c r="A182" s="5" t="s">
        <v>385</v>
      </c>
      <c r="B182" s="5" t="s">
        <v>386</v>
      </c>
      <c r="C182" s="5"/>
      <c r="D182" s="6">
        <v>898768.42599999998</v>
      </c>
      <c r="E182" s="5" t="s">
        <v>27</v>
      </c>
    </row>
    <row r="183" spans="1:5" x14ac:dyDescent="0.35">
      <c r="A183" s="5" t="s">
        <v>387</v>
      </c>
      <c r="B183" s="5" t="s">
        <v>388</v>
      </c>
      <c r="C183" s="5"/>
      <c r="D183" s="6">
        <v>213992.48240000001</v>
      </c>
      <c r="E183" s="5" t="s">
        <v>27</v>
      </c>
    </row>
    <row r="184" spans="1:5" x14ac:dyDescent="0.35">
      <c r="A184" s="5" t="s">
        <v>389</v>
      </c>
      <c r="B184" s="5" t="s">
        <v>390</v>
      </c>
      <c r="C184" s="5"/>
      <c r="D184" s="6">
        <v>979935.30830000003</v>
      </c>
      <c r="E184" s="5" t="s">
        <v>27</v>
      </c>
    </row>
    <row r="185" spans="1:5" x14ac:dyDescent="0.35">
      <c r="A185" s="5" t="s">
        <v>391</v>
      </c>
      <c r="B185" s="5" t="s">
        <v>392</v>
      </c>
      <c r="C185" s="5"/>
      <c r="D185" s="6">
        <v>1959870.6166000001</v>
      </c>
      <c r="E185" s="5" t="s">
        <v>27</v>
      </c>
    </row>
    <row r="186" spans="1:5" x14ac:dyDescent="0.35">
      <c r="A186" s="5" t="s">
        <v>393</v>
      </c>
      <c r="B186" s="5" t="s">
        <v>394</v>
      </c>
      <c r="C186" s="5"/>
      <c r="D186" s="6">
        <v>391974.12329999998</v>
      </c>
      <c r="E186" s="5" t="s">
        <v>27</v>
      </c>
    </row>
    <row r="187" spans="1:5" x14ac:dyDescent="0.35">
      <c r="A187" s="5" t="s">
        <v>395</v>
      </c>
      <c r="B187" s="5" t="s">
        <v>396</v>
      </c>
      <c r="C187" s="5"/>
      <c r="D187" s="6">
        <v>3135792.9865000001</v>
      </c>
      <c r="E187" s="5" t="s">
        <v>27</v>
      </c>
    </row>
    <row r="188" spans="1:5" x14ac:dyDescent="0.35">
      <c r="A188" s="5" t="s">
        <v>397</v>
      </c>
      <c r="B188" s="5" t="s">
        <v>398</v>
      </c>
      <c r="C188" s="5"/>
      <c r="D188" s="6">
        <v>2939805.9249</v>
      </c>
      <c r="E188" s="5" t="s">
        <v>27</v>
      </c>
    </row>
    <row r="189" spans="1:5" x14ac:dyDescent="0.35">
      <c r="A189" s="5" t="s">
        <v>399</v>
      </c>
      <c r="B189" s="5" t="s">
        <v>400</v>
      </c>
      <c r="C189" s="5"/>
      <c r="D189" s="6">
        <v>534981.20600000001</v>
      </c>
      <c r="E189" s="5" t="s">
        <v>27</v>
      </c>
    </row>
    <row r="190" spans="1:5" x14ac:dyDescent="0.35">
      <c r="A190" s="5" t="s">
        <v>401</v>
      </c>
      <c r="B190" s="5" t="s">
        <v>402</v>
      </c>
      <c r="C190" s="5"/>
      <c r="D190" s="6">
        <v>3558424.4301</v>
      </c>
      <c r="E190" s="5" t="s">
        <v>27</v>
      </c>
    </row>
    <row r="191" spans="1:5" x14ac:dyDescent="0.35">
      <c r="A191" s="5" t="s">
        <v>403</v>
      </c>
      <c r="B191" s="5" t="s">
        <v>404</v>
      </c>
      <c r="C191" s="5"/>
      <c r="D191" s="6">
        <v>1455719.085</v>
      </c>
      <c r="E191" s="5" t="s">
        <v>27</v>
      </c>
    </row>
    <row r="192" spans="1:5" x14ac:dyDescent="0.35">
      <c r="A192" s="5" t="s">
        <v>405</v>
      </c>
      <c r="B192" s="5" t="s">
        <v>406</v>
      </c>
      <c r="C192" s="5"/>
      <c r="D192" s="6">
        <v>2093587.3781999999</v>
      </c>
      <c r="E192" s="5" t="s">
        <v>27</v>
      </c>
    </row>
    <row r="193" spans="1:5" x14ac:dyDescent="0.35">
      <c r="A193" s="5" t="s">
        <v>407</v>
      </c>
      <c r="B193" s="5" t="s">
        <v>408</v>
      </c>
      <c r="C193" s="5"/>
      <c r="D193" s="6">
        <v>6500000</v>
      </c>
      <c r="E193" s="5" t="s">
        <v>27</v>
      </c>
    </row>
    <row r="194" spans="1:5" x14ac:dyDescent="0.35">
      <c r="A194" s="5" t="s">
        <v>409</v>
      </c>
      <c r="B194" s="5" t="s">
        <v>410</v>
      </c>
      <c r="C194" s="5"/>
      <c r="D194" s="6">
        <v>375000</v>
      </c>
      <c r="E194" s="5" t="s">
        <v>27</v>
      </c>
    </row>
    <row r="195" spans="1:5" x14ac:dyDescent="0.35">
      <c r="A195" s="5" t="s">
        <v>411</v>
      </c>
      <c r="B195" s="5" t="s">
        <v>412</v>
      </c>
      <c r="C195" s="5"/>
      <c r="D195" s="6">
        <v>6545.2008999999998</v>
      </c>
      <c r="E195" s="5" t="s">
        <v>53</v>
      </c>
    </row>
    <row r="196" spans="1:5" x14ac:dyDescent="0.35">
      <c r="A196" s="5" t="s">
        <v>413</v>
      </c>
      <c r="B196" s="5" t="s">
        <v>414</v>
      </c>
      <c r="C196" s="5"/>
      <c r="D196" s="6">
        <v>3747.8692999999998</v>
      </c>
      <c r="E196" s="5" t="s">
        <v>53</v>
      </c>
    </row>
    <row r="197" spans="1:5" x14ac:dyDescent="0.35">
      <c r="A197" s="5" t="s">
        <v>415</v>
      </c>
      <c r="B197" s="5" t="s">
        <v>416</v>
      </c>
      <c r="C197" s="5"/>
      <c r="D197" s="6">
        <v>417.3</v>
      </c>
      <c r="E197" s="5" t="s">
        <v>27</v>
      </c>
    </row>
    <row r="198" spans="1:5" x14ac:dyDescent="0.35">
      <c r="A198" s="5" t="s">
        <v>417</v>
      </c>
      <c r="B198" s="5" t="s">
        <v>418</v>
      </c>
      <c r="C198" s="5"/>
      <c r="D198" s="6">
        <v>15474.06</v>
      </c>
      <c r="E198" s="5" t="s">
        <v>27</v>
      </c>
    </row>
    <row r="199" spans="1:5" x14ac:dyDescent="0.35">
      <c r="A199" s="5" t="s">
        <v>419</v>
      </c>
      <c r="B199" s="5" t="s">
        <v>420</v>
      </c>
      <c r="C199" s="5"/>
      <c r="D199" s="6">
        <v>30000</v>
      </c>
      <c r="E199" s="5" t="s">
        <v>27</v>
      </c>
    </row>
    <row r="200" spans="1:5" x14ac:dyDescent="0.35">
      <c r="A200" s="5" t="s">
        <v>421</v>
      </c>
      <c r="B200" s="5" t="s">
        <v>422</v>
      </c>
      <c r="C200" s="5"/>
      <c r="D200" s="6">
        <v>253919.62650000001</v>
      </c>
      <c r="E200" s="5" t="s">
        <v>27</v>
      </c>
    </row>
    <row r="201" spans="1:5" x14ac:dyDescent="0.35">
      <c r="A201" s="5" t="s">
        <v>423</v>
      </c>
      <c r="B201" s="5" t="s">
        <v>424</v>
      </c>
      <c r="C201" s="5"/>
      <c r="D201" s="6">
        <v>25783.917300000001</v>
      </c>
      <c r="E201" s="5" t="s">
        <v>27</v>
      </c>
    </row>
    <row r="202" spans="1:5" x14ac:dyDescent="0.35">
      <c r="A202" s="5" t="s">
        <v>425</v>
      </c>
      <c r="B202" s="5" t="s">
        <v>44</v>
      </c>
      <c r="C202" s="5"/>
      <c r="D202" s="6">
        <v>1294.6320000000001</v>
      </c>
      <c r="E202" s="5" t="s">
        <v>27</v>
      </c>
    </row>
    <row r="203" spans="1:5" x14ac:dyDescent="0.35">
      <c r="A203" s="5" t="s">
        <v>426</v>
      </c>
      <c r="B203" s="5" t="s">
        <v>46</v>
      </c>
      <c r="C203" s="5"/>
      <c r="D203" s="6">
        <v>2912.9520000000002</v>
      </c>
      <c r="E203" s="5" t="s">
        <v>27</v>
      </c>
    </row>
    <row r="204" spans="1:5" x14ac:dyDescent="0.35">
      <c r="A204" s="5" t="s">
        <v>427</v>
      </c>
      <c r="B204" s="5" t="s">
        <v>428</v>
      </c>
      <c r="C204" s="5"/>
      <c r="D204" s="6">
        <v>50000</v>
      </c>
      <c r="E204" s="5" t="s">
        <v>53</v>
      </c>
    </row>
    <row r="205" spans="1:5" x14ac:dyDescent="0.35">
      <c r="A205" s="5" t="s">
        <v>429</v>
      </c>
      <c r="B205" s="5" t="s">
        <v>428</v>
      </c>
      <c r="C205" s="5"/>
      <c r="D205" s="6">
        <v>25000</v>
      </c>
      <c r="E205" s="5" t="s">
        <v>53</v>
      </c>
    </row>
    <row r="206" spans="1:5" x14ac:dyDescent="0.35">
      <c r="A206" s="5" t="s">
        <v>430</v>
      </c>
      <c r="B206" s="5" t="s">
        <v>131</v>
      </c>
      <c r="C206" s="5"/>
      <c r="D206" s="6">
        <v>200000</v>
      </c>
      <c r="E206" s="5" t="s">
        <v>27</v>
      </c>
    </row>
    <row r="207" spans="1:5" x14ac:dyDescent="0.35">
      <c r="A207" s="5" t="s">
        <v>431</v>
      </c>
      <c r="B207" s="5" t="s">
        <v>432</v>
      </c>
      <c r="C207" s="5"/>
      <c r="D207" s="6">
        <v>1675.9465</v>
      </c>
      <c r="E207" s="5" t="s">
        <v>27</v>
      </c>
    </row>
    <row r="208" spans="1:5" x14ac:dyDescent="0.35">
      <c r="A208" s="5" t="s">
        <v>433</v>
      </c>
      <c r="B208" s="5" t="s">
        <v>434</v>
      </c>
      <c r="C208" s="5"/>
      <c r="D208" s="6">
        <v>161741.24100000001</v>
      </c>
      <c r="E208" s="5" t="s">
        <v>27</v>
      </c>
    </row>
    <row r="209" spans="1:5" x14ac:dyDescent="0.35">
      <c r="A209" s="5" t="s">
        <v>435</v>
      </c>
      <c r="B209" s="5" t="s">
        <v>436</v>
      </c>
      <c r="C209" s="5"/>
      <c r="D209" s="6">
        <v>15000</v>
      </c>
      <c r="E209" s="5" t="s">
        <v>27</v>
      </c>
    </row>
    <row r="210" spans="1:5" x14ac:dyDescent="0.35">
      <c r="A210" s="5" t="s">
        <v>437</v>
      </c>
      <c r="B210" s="5" t="s">
        <v>438</v>
      </c>
      <c r="C210" s="5" t="s">
        <v>439</v>
      </c>
      <c r="D210" s="6">
        <v>35122.669399999999</v>
      </c>
      <c r="E210" s="5" t="s">
        <v>27</v>
      </c>
    </row>
    <row r="211" spans="1:5" x14ac:dyDescent="0.35">
      <c r="A211" s="5" t="s">
        <v>440</v>
      </c>
      <c r="B211" s="5" t="s">
        <v>441</v>
      </c>
      <c r="C211" s="5">
        <f>(12+9+6)-(5*3)</f>
        <v>12</v>
      </c>
      <c r="D211" s="6">
        <v>20295.537199999999</v>
      </c>
      <c r="E211" s="5" t="s">
        <v>27</v>
      </c>
    </row>
    <row r="212" spans="1:5" x14ac:dyDescent="0.35">
      <c r="A212" s="5" t="s">
        <v>442</v>
      </c>
      <c r="B212" s="5" t="s">
        <v>443</v>
      </c>
      <c r="C212" s="5">
        <f>5*3</f>
        <v>15</v>
      </c>
      <c r="D212" s="6">
        <v>37506.479299999999</v>
      </c>
      <c r="E212" s="5" t="s">
        <v>27</v>
      </c>
    </row>
    <row r="213" spans="1:5" x14ac:dyDescent="0.35">
      <c r="A213" s="5" t="s">
        <v>444</v>
      </c>
      <c r="B213" s="5" t="s">
        <v>445</v>
      </c>
      <c r="C213" s="5">
        <f>+D23</f>
        <v>24793.3884</v>
      </c>
      <c r="D213" s="6">
        <v>37506.479299999999</v>
      </c>
      <c r="E213" s="5" t="s">
        <v>27</v>
      </c>
    </row>
    <row r="214" spans="1:5" x14ac:dyDescent="0.35">
      <c r="A214" s="5" t="s">
        <v>446</v>
      </c>
      <c r="B214" s="5" t="s">
        <v>447</v>
      </c>
      <c r="C214" s="5"/>
      <c r="D214" s="6">
        <v>4378.8099000000002</v>
      </c>
      <c r="E214" s="5" t="s">
        <v>27</v>
      </c>
    </row>
    <row r="215" spans="1:5" x14ac:dyDescent="0.35">
      <c r="A215" s="5" t="s">
        <v>448</v>
      </c>
      <c r="B215" s="5" t="s">
        <v>449</v>
      </c>
      <c r="C215" s="5"/>
      <c r="D215" s="6">
        <v>455.6182</v>
      </c>
      <c r="E215" s="5" t="s">
        <v>27</v>
      </c>
    </row>
    <row r="216" spans="1:5" x14ac:dyDescent="0.35">
      <c r="A216" s="5" t="s">
        <v>450</v>
      </c>
      <c r="B216" s="5" t="s">
        <v>451</v>
      </c>
      <c r="C216" s="5"/>
      <c r="D216" s="6">
        <v>1214.9853000000001</v>
      </c>
      <c r="E216" s="5" t="s">
        <v>27</v>
      </c>
    </row>
    <row r="217" spans="1:5" x14ac:dyDescent="0.35">
      <c r="A217" s="5" t="s">
        <v>452</v>
      </c>
      <c r="B217" s="5" t="s">
        <v>453</v>
      </c>
      <c r="C217" s="5"/>
      <c r="D217" s="6">
        <v>2189.4049</v>
      </c>
      <c r="E217" s="5" t="s">
        <v>27</v>
      </c>
    </row>
    <row r="218" spans="1:5" x14ac:dyDescent="0.35">
      <c r="A218" s="5" t="s">
        <v>454</v>
      </c>
      <c r="B218" s="5" t="s">
        <v>455</v>
      </c>
      <c r="C218" s="5"/>
      <c r="D218" s="6">
        <v>2075.6019000000001</v>
      </c>
      <c r="E218" s="5" t="s">
        <v>27</v>
      </c>
    </row>
    <row r="219" spans="1:5" x14ac:dyDescent="0.35">
      <c r="A219" s="5" t="s">
        <v>456</v>
      </c>
      <c r="B219" s="5" t="s">
        <v>457</v>
      </c>
      <c r="C219" s="5"/>
      <c r="D219" s="6">
        <v>2243.672</v>
      </c>
      <c r="E219" s="5" t="s">
        <v>27</v>
      </c>
    </row>
    <row r="220" spans="1:5" x14ac:dyDescent="0.35">
      <c r="A220" s="5" t="s">
        <v>458</v>
      </c>
      <c r="B220" s="5" t="s">
        <v>459</v>
      </c>
      <c r="C220" s="5"/>
      <c r="D220" s="6">
        <v>445.50040000000001</v>
      </c>
      <c r="E220" s="5" t="s">
        <v>27</v>
      </c>
    </row>
    <row r="221" spans="1:5" x14ac:dyDescent="0.35">
      <c r="A221" s="5" t="s">
        <v>460</v>
      </c>
      <c r="B221" s="5" t="s">
        <v>461</v>
      </c>
      <c r="C221" s="5"/>
      <c r="D221" s="6">
        <v>911.2364</v>
      </c>
      <c r="E221" s="5" t="s">
        <v>27</v>
      </c>
    </row>
    <row r="222" spans="1:5" x14ac:dyDescent="0.35">
      <c r="A222" s="5" t="s">
        <v>462</v>
      </c>
      <c r="B222" s="5" t="s">
        <v>463</v>
      </c>
      <c r="C222" s="5"/>
      <c r="D222" s="6">
        <v>8108346.1239</v>
      </c>
      <c r="E222" s="5" t="s">
        <v>27</v>
      </c>
    </row>
    <row r="223" spans="1:5" x14ac:dyDescent="0.35">
      <c r="A223" s="5" t="s">
        <v>464</v>
      </c>
      <c r="B223" s="5" t="s">
        <v>465</v>
      </c>
      <c r="C223" s="5"/>
      <c r="D223" s="6">
        <v>5535035.5999999996</v>
      </c>
      <c r="E223" s="5" t="s">
        <v>27</v>
      </c>
    </row>
    <row r="224" spans="1:5" x14ac:dyDescent="0.35">
      <c r="A224" s="5" t="s">
        <v>466</v>
      </c>
      <c r="B224" s="5" t="s">
        <v>467</v>
      </c>
      <c r="C224" s="5"/>
      <c r="D224" s="6">
        <v>75150</v>
      </c>
      <c r="E224" s="5" t="s">
        <v>27</v>
      </c>
    </row>
    <row r="225" spans="1:5" x14ac:dyDescent="0.35">
      <c r="A225" s="5" t="s">
        <v>468</v>
      </c>
      <c r="B225" s="5" t="s">
        <v>469</v>
      </c>
      <c r="C225" s="5" t="s">
        <v>470</v>
      </c>
      <c r="D225" s="6">
        <v>1</v>
      </c>
      <c r="E225" s="5" t="s">
        <v>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14" customWidth="1"/>
    <col min="4" max="4" width="12" customWidth="1"/>
    <col min="5" max="5" width="14" customWidth="1"/>
  </cols>
  <sheetData>
    <row r="1" spans="1:5" x14ac:dyDescent="0.35">
      <c r="A1" s="4" t="s">
        <v>20</v>
      </c>
      <c r="B1" s="4" t="s">
        <v>21</v>
      </c>
      <c r="C1" s="4" t="s">
        <v>472</v>
      </c>
      <c r="D1" s="4" t="s">
        <v>473</v>
      </c>
      <c r="E1" s="4" t="s">
        <v>474</v>
      </c>
    </row>
    <row r="2" spans="1:5" x14ac:dyDescent="0.35">
      <c r="A2" s="5" t="s">
        <v>475</v>
      </c>
      <c r="B2" s="5" t="s">
        <v>476</v>
      </c>
      <c r="C2" s="6">
        <v>49934.239999999998</v>
      </c>
      <c r="D2" s="7">
        <f>CONFIG!$B$10</f>
        <v>1</v>
      </c>
      <c r="E2" s="8">
        <f>C2*D2</f>
        <v>49934.239999999998</v>
      </c>
    </row>
    <row r="3" spans="1:5" x14ac:dyDescent="0.35">
      <c r="A3" s="5" t="s">
        <v>477</v>
      </c>
      <c r="B3" s="5" t="s">
        <v>478</v>
      </c>
      <c r="C3" s="6">
        <v>75113.05</v>
      </c>
      <c r="D3" s="7">
        <f>CONFIG!$B$10</f>
        <v>1</v>
      </c>
      <c r="E3" s="8">
        <f>C3*D3</f>
        <v>75113.05</v>
      </c>
    </row>
    <row r="4" spans="1:5" x14ac:dyDescent="0.35">
      <c r="A4" s="5" t="s">
        <v>479</v>
      </c>
      <c r="B4" s="5" t="s">
        <v>480</v>
      </c>
      <c r="C4" s="6">
        <v>54784.07</v>
      </c>
      <c r="D4" s="7">
        <f>CONFIG!$B$10</f>
        <v>1</v>
      </c>
      <c r="E4" s="8">
        <f>C4*D4</f>
        <v>54784.07</v>
      </c>
    </row>
    <row r="5" spans="1:5" x14ac:dyDescent="0.35">
      <c r="A5" s="5" t="s">
        <v>481</v>
      </c>
      <c r="B5" s="5" t="s">
        <v>482</v>
      </c>
      <c r="C5" s="6">
        <v>65360.25</v>
      </c>
      <c r="D5" s="7">
        <f>CONFIG!$B$10</f>
        <v>1</v>
      </c>
      <c r="E5" s="8">
        <f>C5*D5</f>
        <v>65360.25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0" customWidth="1"/>
    <col min="3" max="4" width="14" customWidth="1"/>
  </cols>
  <sheetData>
    <row r="1" spans="1:4" x14ac:dyDescent="0.35">
      <c r="A1" s="4" t="s">
        <v>20</v>
      </c>
      <c r="B1" s="4" t="s">
        <v>21</v>
      </c>
      <c r="C1" s="4" t="s">
        <v>483</v>
      </c>
      <c r="D1" s="4" t="s">
        <v>24</v>
      </c>
    </row>
    <row r="2" spans="1:4" x14ac:dyDescent="0.35">
      <c r="A2" s="5" t="s">
        <v>484</v>
      </c>
      <c r="B2" s="5" t="s">
        <v>485</v>
      </c>
      <c r="C2" s="6">
        <v>4463.1540999999997</v>
      </c>
      <c r="D2" s="5" t="s">
        <v>486</v>
      </c>
    </row>
    <row r="3" spans="1:4" x14ac:dyDescent="0.35">
      <c r="A3" s="5" t="s">
        <v>487</v>
      </c>
      <c r="B3" s="5" t="s">
        <v>488</v>
      </c>
      <c r="C3" s="6">
        <v>1660.4484</v>
      </c>
      <c r="D3" s="5" t="s">
        <v>486</v>
      </c>
    </row>
    <row r="4" spans="1:4" x14ac:dyDescent="0.35">
      <c r="A4" s="5" t="s">
        <v>489</v>
      </c>
      <c r="B4" s="5" t="s">
        <v>490</v>
      </c>
      <c r="C4" s="6">
        <v>88757.838000000003</v>
      </c>
      <c r="D4" s="5" t="s">
        <v>486</v>
      </c>
    </row>
    <row r="5" spans="1:4" x14ac:dyDescent="0.35">
      <c r="A5" s="5" t="s">
        <v>491</v>
      </c>
      <c r="B5" s="5" t="s">
        <v>492</v>
      </c>
      <c r="C5" s="6">
        <v>20356.7111</v>
      </c>
      <c r="D5" s="5" t="s">
        <v>486</v>
      </c>
    </row>
    <row r="6" spans="1:4" x14ac:dyDescent="0.35">
      <c r="A6" s="5" t="s">
        <v>493</v>
      </c>
      <c r="B6" s="5" t="s">
        <v>494</v>
      </c>
      <c r="C6" s="6">
        <v>16527.298299999999</v>
      </c>
      <c r="D6" s="5" t="s">
        <v>486</v>
      </c>
    </row>
    <row r="7" spans="1:4" x14ac:dyDescent="0.35">
      <c r="A7" s="5" t="s">
        <v>495</v>
      </c>
      <c r="B7" s="5" t="s">
        <v>496</v>
      </c>
      <c r="C7" s="6">
        <v>117.1443</v>
      </c>
      <c r="D7" s="5" t="s">
        <v>486</v>
      </c>
    </row>
    <row r="8" spans="1:4" x14ac:dyDescent="0.35">
      <c r="A8" s="5" t="s">
        <v>497</v>
      </c>
      <c r="B8" s="5" t="s">
        <v>498</v>
      </c>
      <c r="C8" s="6">
        <v>3697.6064000000001</v>
      </c>
      <c r="D8" s="5" t="s">
        <v>486</v>
      </c>
    </row>
    <row r="9" spans="1:4" x14ac:dyDescent="0.35">
      <c r="A9" s="5" t="s">
        <v>499</v>
      </c>
      <c r="B9" s="5" t="s">
        <v>500</v>
      </c>
      <c r="C9" s="6">
        <v>5678.0046000000002</v>
      </c>
      <c r="D9" s="5" t="s">
        <v>486</v>
      </c>
    </row>
    <row r="10" spans="1:4" x14ac:dyDescent="0.35">
      <c r="A10" s="5" t="s">
        <v>501</v>
      </c>
      <c r="B10" s="5" t="s">
        <v>502</v>
      </c>
      <c r="C10" s="6">
        <v>4635.9444999999996</v>
      </c>
      <c r="D10" s="5" t="s">
        <v>486</v>
      </c>
    </row>
    <row r="11" spans="1:4" x14ac:dyDescent="0.35">
      <c r="A11" s="5" t="s">
        <v>503</v>
      </c>
      <c r="B11" s="5" t="s">
        <v>504</v>
      </c>
      <c r="C11" s="6">
        <v>2271.5846000000001</v>
      </c>
      <c r="D11" s="5" t="s">
        <v>486</v>
      </c>
    </row>
    <row r="12" spans="1:4" x14ac:dyDescent="0.35">
      <c r="A12" s="5" t="s">
        <v>505</v>
      </c>
      <c r="B12" s="5" t="s">
        <v>506</v>
      </c>
      <c r="C12" s="6">
        <v>4901.2865000000002</v>
      </c>
      <c r="D12" s="5" t="s">
        <v>486</v>
      </c>
    </row>
    <row r="13" spans="1:4" x14ac:dyDescent="0.35">
      <c r="A13" s="5" t="s">
        <v>507</v>
      </c>
      <c r="B13" s="5" t="s">
        <v>508</v>
      </c>
      <c r="C13" s="6">
        <v>3360.6568000000002</v>
      </c>
      <c r="D13" s="5" t="s">
        <v>486</v>
      </c>
    </row>
    <row r="14" spans="1:4" x14ac:dyDescent="0.35">
      <c r="A14" s="5" t="s">
        <v>509</v>
      </c>
      <c r="B14" s="5" t="s">
        <v>510</v>
      </c>
      <c r="C14" s="6">
        <v>8357.6736999999994</v>
      </c>
      <c r="D14" s="5" t="s">
        <v>486</v>
      </c>
    </row>
    <row r="15" spans="1:4" x14ac:dyDescent="0.35">
      <c r="A15" s="5" t="s">
        <v>511</v>
      </c>
      <c r="B15" s="5" t="s">
        <v>512</v>
      </c>
      <c r="C15" s="6">
        <v>9714.1720000000005</v>
      </c>
      <c r="D15" s="5" t="s">
        <v>486</v>
      </c>
    </row>
    <row r="16" spans="1:4" x14ac:dyDescent="0.35">
      <c r="A16" s="5" t="s">
        <v>513</v>
      </c>
      <c r="B16" s="5" t="s">
        <v>514</v>
      </c>
      <c r="C16" s="6">
        <v>5678.0046000000002</v>
      </c>
      <c r="D16" s="5" t="s">
        <v>486</v>
      </c>
    </row>
    <row r="17" spans="1:4" x14ac:dyDescent="0.35">
      <c r="A17" s="5" t="s">
        <v>515</v>
      </c>
      <c r="B17" s="5" t="s">
        <v>516</v>
      </c>
      <c r="C17" s="6">
        <v>5019.1473999999998</v>
      </c>
      <c r="D17" s="5" t="s">
        <v>486</v>
      </c>
    </row>
    <row r="18" spans="1:4" x14ac:dyDescent="0.35">
      <c r="A18" s="5" t="s">
        <v>517</v>
      </c>
      <c r="B18" s="5" t="s">
        <v>518</v>
      </c>
      <c r="C18" s="6">
        <v>5270.4803000000002</v>
      </c>
      <c r="D18" s="5" t="s">
        <v>486</v>
      </c>
    </row>
    <row r="19" spans="1:4" x14ac:dyDescent="0.35">
      <c r="A19" s="5" t="s">
        <v>519</v>
      </c>
      <c r="B19" s="5" t="s">
        <v>520</v>
      </c>
      <c r="C19" s="6">
        <v>5678.0046000000002</v>
      </c>
      <c r="D19" s="5" t="s">
        <v>486</v>
      </c>
    </row>
    <row r="20" spans="1:4" x14ac:dyDescent="0.35">
      <c r="A20" s="5" t="s">
        <v>521</v>
      </c>
      <c r="B20" s="5" t="s">
        <v>522</v>
      </c>
      <c r="C20" s="6">
        <v>8822750</v>
      </c>
      <c r="D20" s="5" t="s">
        <v>486</v>
      </c>
    </row>
    <row r="21" spans="1:4" x14ac:dyDescent="0.35">
      <c r="A21" s="5" t="s">
        <v>523</v>
      </c>
      <c r="B21" s="5" t="s">
        <v>524</v>
      </c>
      <c r="C21" s="6">
        <v>289.00479999999999</v>
      </c>
      <c r="D21" s="5" t="s">
        <v>486</v>
      </c>
    </row>
    <row r="22" spans="1:4" x14ac:dyDescent="0.35">
      <c r="A22" s="5" t="s">
        <v>525</v>
      </c>
      <c r="B22" s="5" t="s">
        <v>526</v>
      </c>
      <c r="C22" s="6">
        <v>2227.2298000000001</v>
      </c>
      <c r="D22" s="5" t="s">
        <v>486</v>
      </c>
    </row>
    <row r="23" spans="1:4" x14ac:dyDescent="0.35">
      <c r="A23" s="5" t="s">
        <v>527</v>
      </c>
      <c r="B23" s="5" t="s">
        <v>528</v>
      </c>
      <c r="C23" s="6">
        <v>556.21879999999999</v>
      </c>
      <c r="D23" s="5" t="s">
        <v>486</v>
      </c>
    </row>
    <row r="24" spans="1:4" x14ac:dyDescent="0.35">
      <c r="A24" s="5" t="s">
        <v>529</v>
      </c>
      <c r="B24" s="5" t="s">
        <v>530</v>
      </c>
      <c r="C24" s="6">
        <v>932.18029999999999</v>
      </c>
      <c r="D24" s="5" t="s">
        <v>486</v>
      </c>
    </row>
    <row r="25" spans="1:4" x14ac:dyDescent="0.35">
      <c r="A25" s="5" t="s">
        <v>531</v>
      </c>
      <c r="B25" s="5" t="s">
        <v>532</v>
      </c>
      <c r="C25" s="6">
        <v>364.35939999999999</v>
      </c>
      <c r="D25" s="5" t="s">
        <v>486</v>
      </c>
    </row>
    <row r="26" spans="1:4" x14ac:dyDescent="0.35">
      <c r="A26" s="5" t="s">
        <v>533</v>
      </c>
      <c r="B26" s="5" t="s">
        <v>534</v>
      </c>
      <c r="C26" s="6">
        <v>13168.315000000001</v>
      </c>
      <c r="D26" s="5" t="s">
        <v>486</v>
      </c>
    </row>
    <row r="27" spans="1:4" x14ac:dyDescent="0.35">
      <c r="A27" s="5" t="s">
        <v>535</v>
      </c>
      <c r="B27" s="5" t="s">
        <v>536</v>
      </c>
      <c r="C27" s="6">
        <v>783.43359999999996</v>
      </c>
      <c r="D27" s="5" t="s">
        <v>486</v>
      </c>
    </row>
    <row r="28" spans="1:4" x14ac:dyDescent="0.35">
      <c r="A28" s="5" t="s">
        <v>537</v>
      </c>
      <c r="B28" s="5" t="s">
        <v>538</v>
      </c>
      <c r="C28" s="6">
        <v>14004.342500000001</v>
      </c>
      <c r="D28" s="5" t="s">
        <v>486</v>
      </c>
    </row>
    <row r="29" spans="1:4" x14ac:dyDescent="0.35">
      <c r="A29" s="5" t="s">
        <v>539</v>
      </c>
      <c r="B29" s="5" t="s">
        <v>540</v>
      </c>
      <c r="C29" s="6">
        <v>2971.8723</v>
      </c>
      <c r="D29" s="5" t="s">
        <v>486</v>
      </c>
    </row>
    <row r="30" spans="1:4" x14ac:dyDescent="0.35">
      <c r="A30" s="5" t="s">
        <v>541</v>
      </c>
      <c r="B30" s="5" t="s">
        <v>542</v>
      </c>
      <c r="C30" s="6">
        <v>28535.569100000001</v>
      </c>
      <c r="D30" s="5" t="s">
        <v>486</v>
      </c>
    </row>
    <row r="31" spans="1:4" x14ac:dyDescent="0.35">
      <c r="A31" s="5" t="s">
        <v>543</v>
      </c>
      <c r="B31" s="5" t="s">
        <v>544</v>
      </c>
      <c r="C31" s="6">
        <v>5704.2632999999996</v>
      </c>
      <c r="D31" s="5" t="s">
        <v>486</v>
      </c>
    </row>
    <row r="32" spans="1:4" x14ac:dyDescent="0.35">
      <c r="A32" s="5" t="s">
        <v>545</v>
      </c>
      <c r="B32" s="5" t="s">
        <v>546</v>
      </c>
      <c r="C32" s="6">
        <v>23805.589</v>
      </c>
      <c r="D32" s="5" t="s">
        <v>486</v>
      </c>
    </row>
    <row r="33" spans="1:4" x14ac:dyDescent="0.35">
      <c r="A33" s="5" t="s">
        <v>547</v>
      </c>
      <c r="B33" s="5" t="s">
        <v>548</v>
      </c>
      <c r="C33" s="6">
        <v>221.20249999999999</v>
      </c>
      <c r="D33" s="5" t="s">
        <v>486</v>
      </c>
    </row>
    <row r="34" spans="1:4" x14ac:dyDescent="0.35">
      <c r="A34" s="5" t="s">
        <v>549</v>
      </c>
      <c r="B34" s="5" t="s">
        <v>550</v>
      </c>
      <c r="C34" s="6">
        <v>265.1669</v>
      </c>
      <c r="D34" s="5" t="s">
        <v>486</v>
      </c>
    </row>
    <row r="35" spans="1:4" x14ac:dyDescent="0.35">
      <c r="A35" s="5" t="s">
        <v>551</v>
      </c>
      <c r="B35" s="5" t="s">
        <v>552</v>
      </c>
      <c r="C35" s="6">
        <v>2568.0682999999999</v>
      </c>
      <c r="D35" s="5" t="s">
        <v>486</v>
      </c>
    </row>
    <row r="36" spans="1:4" x14ac:dyDescent="0.35">
      <c r="A36" s="5" t="s">
        <v>553</v>
      </c>
      <c r="B36" s="5" t="s">
        <v>554</v>
      </c>
      <c r="C36" s="6">
        <v>290.60739999999998</v>
      </c>
      <c r="D36" s="5" t="s">
        <v>486</v>
      </c>
    </row>
    <row r="37" spans="1:4" x14ac:dyDescent="0.35">
      <c r="A37" s="5" t="s">
        <v>555</v>
      </c>
      <c r="B37" s="5" t="s">
        <v>556</v>
      </c>
      <c r="C37" s="6">
        <v>868.69799999999998</v>
      </c>
      <c r="D37" s="5" t="s">
        <v>486</v>
      </c>
    </row>
    <row r="38" spans="1:4" x14ac:dyDescent="0.35">
      <c r="A38" s="5" t="s">
        <v>557</v>
      </c>
      <c r="B38" s="5" t="s">
        <v>558</v>
      </c>
      <c r="C38" s="6">
        <v>87.256799999999998</v>
      </c>
      <c r="D38" s="5" t="s">
        <v>486</v>
      </c>
    </row>
    <row r="39" spans="1:4" x14ac:dyDescent="0.35">
      <c r="A39" s="5" t="s">
        <v>559</v>
      </c>
      <c r="B39" s="5" t="s">
        <v>560</v>
      </c>
      <c r="C39" s="6">
        <v>136.52590000000001</v>
      </c>
      <c r="D39" s="5" t="s">
        <v>486</v>
      </c>
    </row>
    <row r="40" spans="1:4" x14ac:dyDescent="0.35">
      <c r="A40" s="5" t="s">
        <v>561</v>
      </c>
      <c r="B40" s="5" t="s">
        <v>562</v>
      </c>
      <c r="C40" s="6">
        <v>2303.2865000000002</v>
      </c>
      <c r="D40" s="5" t="s">
        <v>486</v>
      </c>
    </row>
    <row r="41" spans="1:4" x14ac:dyDescent="0.35">
      <c r="A41" s="5" t="s">
        <v>563</v>
      </c>
      <c r="B41" s="5" t="s">
        <v>564</v>
      </c>
      <c r="C41" s="6">
        <v>54.202500000000001</v>
      </c>
      <c r="D41" s="5" t="s">
        <v>486</v>
      </c>
    </row>
    <row r="42" spans="1:4" x14ac:dyDescent="0.35">
      <c r="A42" s="5" t="s">
        <v>565</v>
      </c>
      <c r="B42" s="5" t="s">
        <v>566</v>
      </c>
      <c r="C42" s="6">
        <v>394.92630000000003</v>
      </c>
      <c r="D42" s="5" t="s">
        <v>486</v>
      </c>
    </row>
    <row r="43" spans="1:4" x14ac:dyDescent="0.35">
      <c r="A43" s="5" t="s">
        <v>567</v>
      </c>
      <c r="B43" s="5" t="s">
        <v>568</v>
      </c>
      <c r="C43" s="6">
        <v>4930.4793</v>
      </c>
      <c r="D43" s="5" t="s">
        <v>486</v>
      </c>
    </row>
    <row r="44" spans="1:4" x14ac:dyDescent="0.35">
      <c r="A44" s="5" t="s">
        <v>569</v>
      </c>
      <c r="B44" s="5" t="s">
        <v>570</v>
      </c>
      <c r="C44" s="6">
        <v>27808.654900000001</v>
      </c>
      <c r="D44" s="5" t="s">
        <v>486</v>
      </c>
    </row>
    <row r="45" spans="1:4" x14ac:dyDescent="0.35">
      <c r="A45" s="5" t="s">
        <v>571</v>
      </c>
      <c r="B45" s="5" t="s">
        <v>572</v>
      </c>
      <c r="C45" s="6">
        <v>13076.448700000001</v>
      </c>
      <c r="D45" s="5" t="s">
        <v>486</v>
      </c>
    </row>
    <row r="46" spans="1:4" x14ac:dyDescent="0.35">
      <c r="A46" s="5" t="s">
        <v>573</v>
      </c>
      <c r="B46" s="5" t="s">
        <v>574</v>
      </c>
      <c r="C46" s="6">
        <v>7866.0902999999998</v>
      </c>
      <c r="D46" s="5" t="s">
        <v>486</v>
      </c>
    </row>
    <row r="47" spans="1:4" x14ac:dyDescent="0.35">
      <c r="A47" s="5" t="s">
        <v>575</v>
      </c>
      <c r="B47" s="5" t="s">
        <v>576</v>
      </c>
      <c r="C47" s="6">
        <v>11408.224700000001</v>
      </c>
      <c r="D47" s="5" t="s">
        <v>486</v>
      </c>
    </row>
    <row r="48" spans="1:4" x14ac:dyDescent="0.35">
      <c r="A48" s="5" t="s">
        <v>577</v>
      </c>
      <c r="B48" s="5" t="s">
        <v>578</v>
      </c>
      <c r="C48" s="6">
        <v>5971.8202000000001</v>
      </c>
      <c r="D48" s="5" t="s">
        <v>486</v>
      </c>
    </row>
    <row r="49" spans="1:4" x14ac:dyDescent="0.35">
      <c r="A49" s="5" t="s">
        <v>579</v>
      </c>
      <c r="B49" s="5" t="s">
        <v>580</v>
      </c>
      <c r="C49" s="6">
        <v>5971.8202000000001</v>
      </c>
      <c r="D49" s="5" t="s">
        <v>486</v>
      </c>
    </row>
    <row r="50" spans="1:4" x14ac:dyDescent="0.35">
      <c r="A50" s="5" t="s">
        <v>581</v>
      </c>
      <c r="B50" s="5" t="s">
        <v>582</v>
      </c>
      <c r="C50" s="6">
        <v>7001.8104000000003</v>
      </c>
      <c r="D50" s="5" t="s">
        <v>486</v>
      </c>
    </row>
    <row r="51" spans="1:4" x14ac:dyDescent="0.35">
      <c r="A51" s="5" t="s">
        <v>583</v>
      </c>
      <c r="B51" s="5" t="s">
        <v>584</v>
      </c>
      <c r="C51" s="6">
        <v>111726.852</v>
      </c>
      <c r="D51" s="5" t="s">
        <v>486</v>
      </c>
    </row>
    <row r="52" spans="1:4" x14ac:dyDescent="0.35">
      <c r="A52" s="5" t="s">
        <v>585</v>
      </c>
      <c r="B52" s="5" t="s">
        <v>586</v>
      </c>
      <c r="C52" s="6">
        <v>22087.642800000001</v>
      </c>
      <c r="D52" s="5" t="s">
        <v>486</v>
      </c>
    </row>
    <row r="53" spans="1:4" x14ac:dyDescent="0.35">
      <c r="A53" s="5" t="s">
        <v>587</v>
      </c>
      <c r="B53" s="5" t="s">
        <v>588</v>
      </c>
      <c r="C53" s="6">
        <v>22087.642800000001</v>
      </c>
      <c r="D53" s="5" t="s">
        <v>486</v>
      </c>
    </row>
    <row r="54" spans="1:4" x14ac:dyDescent="0.35">
      <c r="A54" s="5" t="s">
        <v>589</v>
      </c>
      <c r="B54" s="5" t="s">
        <v>590</v>
      </c>
      <c r="C54" s="6">
        <v>167.37</v>
      </c>
      <c r="D54" s="5" t="s">
        <v>486</v>
      </c>
    </row>
    <row r="55" spans="1:4" x14ac:dyDescent="0.35">
      <c r="A55" s="5" t="s">
        <v>591</v>
      </c>
      <c r="B55" s="5" t="s">
        <v>592</v>
      </c>
      <c r="C55" s="6">
        <v>109.0635</v>
      </c>
      <c r="D55" s="5" t="s">
        <v>486</v>
      </c>
    </row>
    <row r="56" spans="1:4" x14ac:dyDescent="0.35">
      <c r="A56" s="5" t="s">
        <v>593</v>
      </c>
      <c r="B56" s="5" t="s">
        <v>594</v>
      </c>
      <c r="C56" s="6">
        <v>109.0635</v>
      </c>
      <c r="D56" s="5" t="s">
        <v>486</v>
      </c>
    </row>
    <row r="57" spans="1:4" x14ac:dyDescent="0.35">
      <c r="A57" s="5" t="s">
        <v>595</v>
      </c>
      <c r="B57" s="5" t="s">
        <v>596</v>
      </c>
      <c r="C57" s="6">
        <v>109.0635</v>
      </c>
      <c r="D57" s="5" t="s">
        <v>486</v>
      </c>
    </row>
    <row r="58" spans="1:4" x14ac:dyDescent="0.35">
      <c r="A58" s="5" t="s">
        <v>597</v>
      </c>
      <c r="B58" s="5" t="s">
        <v>598</v>
      </c>
      <c r="C58" s="6">
        <v>262.5</v>
      </c>
      <c r="D58" s="5" t="s">
        <v>486</v>
      </c>
    </row>
    <row r="59" spans="1:4" x14ac:dyDescent="0.35">
      <c r="A59" s="5" t="s">
        <v>599</v>
      </c>
      <c r="B59" s="5" t="s">
        <v>600</v>
      </c>
      <c r="C59" s="6">
        <v>167.37</v>
      </c>
      <c r="D59" s="5" t="s">
        <v>486</v>
      </c>
    </row>
    <row r="60" spans="1:4" x14ac:dyDescent="0.35">
      <c r="A60" s="5" t="s">
        <v>601</v>
      </c>
      <c r="B60" s="5" t="s">
        <v>602</v>
      </c>
      <c r="C60" s="6">
        <v>167.37</v>
      </c>
      <c r="D60" s="5" t="s">
        <v>486</v>
      </c>
    </row>
    <row r="61" spans="1:4" x14ac:dyDescent="0.35">
      <c r="A61" s="5" t="s">
        <v>603</v>
      </c>
      <c r="B61" s="5" t="s">
        <v>604</v>
      </c>
      <c r="C61" s="6">
        <v>167.37</v>
      </c>
      <c r="D61" s="5" t="s">
        <v>486</v>
      </c>
    </row>
    <row r="62" spans="1:4" x14ac:dyDescent="0.35">
      <c r="A62" s="5" t="s">
        <v>605</v>
      </c>
      <c r="B62" s="5" t="s">
        <v>606</v>
      </c>
      <c r="C62" s="6">
        <v>109736.4574</v>
      </c>
      <c r="D62" s="5" t="s">
        <v>486</v>
      </c>
    </row>
    <row r="63" spans="1:4" x14ac:dyDescent="0.35">
      <c r="A63" s="5" t="s">
        <v>607</v>
      </c>
      <c r="B63" s="5" t="s">
        <v>608</v>
      </c>
      <c r="C63" s="6">
        <v>23501.469799999999</v>
      </c>
      <c r="D63" s="5" t="s">
        <v>486</v>
      </c>
    </row>
    <row r="64" spans="1:4" x14ac:dyDescent="0.35">
      <c r="A64" s="5" t="s">
        <v>609</v>
      </c>
      <c r="B64" s="5" t="s">
        <v>610</v>
      </c>
      <c r="C64" s="6">
        <v>85089.214200000002</v>
      </c>
      <c r="D64" s="5" t="s">
        <v>486</v>
      </c>
    </row>
    <row r="65" spans="1:4" x14ac:dyDescent="0.35">
      <c r="A65" s="5" t="s">
        <v>611</v>
      </c>
      <c r="B65" s="5" t="s">
        <v>612</v>
      </c>
      <c r="C65" s="6">
        <v>11775.7395</v>
      </c>
      <c r="D65" s="5" t="s">
        <v>486</v>
      </c>
    </row>
    <row r="66" spans="1:4" x14ac:dyDescent="0.35">
      <c r="A66" s="5" t="s">
        <v>613</v>
      </c>
      <c r="B66" s="5" t="s">
        <v>614</v>
      </c>
      <c r="C66" s="6">
        <v>103322.61719999999</v>
      </c>
      <c r="D66" s="5" t="s">
        <v>486</v>
      </c>
    </row>
    <row r="67" spans="1:4" x14ac:dyDescent="0.35">
      <c r="A67" s="5" t="s">
        <v>615</v>
      </c>
      <c r="B67" s="5" t="s">
        <v>616</v>
      </c>
      <c r="C67" s="6">
        <v>48622.408100000001</v>
      </c>
      <c r="D67" s="5" t="s">
        <v>486</v>
      </c>
    </row>
    <row r="68" spans="1:4" x14ac:dyDescent="0.35">
      <c r="A68" s="5" t="s">
        <v>617</v>
      </c>
      <c r="B68" s="5" t="s">
        <v>618</v>
      </c>
      <c r="C68" s="6">
        <v>31456.894899999999</v>
      </c>
      <c r="D68" s="5" t="s">
        <v>486</v>
      </c>
    </row>
    <row r="69" spans="1:4" x14ac:dyDescent="0.35">
      <c r="A69" s="5" t="s">
        <v>619</v>
      </c>
      <c r="B69" s="5" t="s">
        <v>620</v>
      </c>
      <c r="C69" s="6">
        <v>35950.737000000001</v>
      </c>
      <c r="D69" s="5" t="s">
        <v>486</v>
      </c>
    </row>
    <row r="70" spans="1:4" x14ac:dyDescent="0.35">
      <c r="A70" s="5" t="s">
        <v>621</v>
      </c>
      <c r="B70" s="5" t="s">
        <v>622</v>
      </c>
      <c r="C70" s="6">
        <v>9629.6617000000006</v>
      </c>
      <c r="D70" s="5" t="s">
        <v>486</v>
      </c>
    </row>
    <row r="71" spans="1:4" x14ac:dyDescent="0.35">
      <c r="A71" s="5" t="s">
        <v>623</v>
      </c>
      <c r="B71" s="5" t="s">
        <v>624</v>
      </c>
      <c r="C71" s="6">
        <v>44097.088900000002</v>
      </c>
      <c r="D71" s="5" t="s">
        <v>486</v>
      </c>
    </row>
    <row r="72" spans="1:4" x14ac:dyDescent="0.35">
      <c r="A72" s="5" t="s">
        <v>625</v>
      </c>
      <c r="B72" s="5" t="s">
        <v>626</v>
      </c>
      <c r="C72" s="6">
        <v>88194.1777</v>
      </c>
      <c r="D72" s="5" t="s">
        <v>486</v>
      </c>
    </row>
    <row r="73" spans="1:4" x14ac:dyDescent="0.35">
      <c r="A73" s="5" t="s">
        <v>627</v>
      </c>
      <c r="B73" s="5" t="s">
        <v>628</v>
      </c>
      <c r="C73" s="6">
        <v>20578.641500000002</v>
      </c>
      <c r="D73" s="5" t="s">
        <v>486</v>
      </c>
    </row>
    <row r="74" spans="1:4" x14ac:dyDescent="0.35">
      <c r="A74" s="5" t="s">
        <v>629</v>
      </c>
      <c r="B74" s="5" t="s">
        <v>630</v>
      </c>
      <c r="C74" s="6">
        <v>164629.1318</v>
      </c>
      <c r="D74" s="5" t="s">
        <v>486</v>
      </c>
    </row>
    <row r="75" spans="1:4" x14ac:dyDescent="0.35">
      <c r="A75" s="5" t="s">
        <v>631</v>
      </c>
      <c r="B75" s="5" t="s">
        <v>632</v>
      </c>
      <c r="C75" s="6">
        <v>117592.23699999999</v>
      </c>
      <c r="D75" s="5" t="s">
        <v>486</v>
      </c>
    </row>
    <row r="76" spans="1:4" x14ac:dyDescent="0.35">
      <c r="A76" s="5" t="s">
        <v>633</v>
      </c>
      <c r="B76" s="5" t="s">
        <v>634</v>
      </c>
      <c r="C76" s="6">
        <v>24074.154299999998</v>
      </c>
      <c r="D76" s="5" t="s">
        <v>486</v>
      </c>
    </row>
    <row r="77" spans="1:4" x14ac:dyDescent="0.35">
      <c r="A77" s="5" t="s">
        <v>635</v>
      </c>
      <c r="B77" s="5" t="s">
        <v>636</v>
      </c>
      <c r="C77" s="6">
        <v>186817.28260000001</v>
      </c>
      <c r="D77" s="5" t="s">
        <v>486</v>
      </c>
    </row>
    <row r="78" spans="1:4" x14ac:dyDescent="0.35">
      <c r="A78" s="5" t="s">
        <v>637</v>
      </c>
      <c r="B78" s="5" t="s">
        <v>638</v>
      </c>
      <c r="C78" s="6">
        <v>72785.954299999998</v>
      </c>
      <c r="D78" s="5" t="s">
        <v>486</v>
      </c>
    </row>
    <row r="79" spans="1:4" x14ac:dyDescent="0.35">
      <c r="A79" s="5" t="s">
        <v>639</v>
      </c>
      <c r="B79" s="5" t="s">
        <v>640</v>
      </c>
      <c r="C79" s="6">
        <v>58228.763400000003</v>
      </c>
      <c r="D79" s="5" t="s">
        <v>486</v>
      </c>
    </row>
    <row r="80" spans="1:4" x14ac:dyDescent="0.35">
      <c r="A80" s="5" t="s">
        <v>641</v>
      </c>
      <c r="B80" s="5" t="s">
        <v>642</v>
      </c>
      <c r="C80" s="6">
        <v>61219.967299999997</v>
      </c>
      <c r="D80" s="5" t="s">
        <v>486</v>
      </c>
    </row>
    <row r="81" spans="1:4" x14ac:dyDescent="0.35">
      <c r="A81" s="5" t="s">
        <v>643</v>
      </c>
      <c r="B81" s="5" t="s">
        <v>644</v>
      </c>
      <c r="C81" s="6">
        <v>195000</v>
      </c>
      <c r="D81" s="5" t="s">
        <v>486</v>
      </c>
    </row>
    <row r="82" spans="1:4" x14ac:dyDescent="0.35">
      <c r="A82" s="5" t="s">
        <v>645</v>
      </c>
      <c r="B82" s="5" t="s">
        <v>646</v>
      </c>
      <c r="C82" s="6">
        <v>5248.7557999999999</v>
      </c>
      <c r="D82" s="5" t="s">
        <v>486</v>
      </c>
    </row>
    <row r="83" spans="1:4" x14ac:dyDescent="0.35">
      <c r="A83" s="5" t="s">
        <v>647</v>
      </c>
      <c r="B83" s="5" t="s">
        <v>648</v>
      </c>
      <c r="C83" s="6">
        <v>7902.0186000000003</v>
      </c>
      <c r="D83" s="5" t="s">
        <v>486</v>
      </c>
    </row>
    <row r="84" spans="1:4" x14ac:dyDescent="0.35">
      <c r="A84" s="5" t="s">
        <v>649</v>
      </c>
      <c r="B84" s="5" t="s">
        <v>650</v>
      </c>
      <c r="C84" s="6">
        <v>54163.580199999997</v>
      </c>
      <c r="D84" s="5" t="s">
        <v>486</v>
      </c>
    </row>
    <row r="85" spans="1:4" x14ac:dyDescent="0.35">
      <c r="A85" s="5" t="s">
        <v>651</v>
      </c>
      <c r="B85" s="5" t="s">
        <v>652</v>
      </c>
      <c r="C85" s="6">
        <v>8185.2924999999996</v>
      </c>
      <c r="D85" s="5" t="s">
        <v>486</v>
      </c>
    </row>
    <row r="86" spans="1:4" x14ac:dyDescent="0.35">
      <c r="A86" s="5" t="s">
        <v>653</v>
      </c>
      <c r="B86" s="5" t="s">
        <v>654</v>
      </c>
      <c r="C86" s="6">
        <v>5318.4894999999997</v>
      </c>
      <c r="D86" s="5" t="s">
        <v>486</v>
      </c>
    </row>
    <row r="87" spans="1:4" x14ac:dyDescent="0.35">
      <c r="A87" s="5" t="s">
        <v>655</v>
      </c>
      <c r="B87" s="5" t="s">
        <v>656</v>
      </c>
      <c r="C87" s="6">
        <v>364245.03940000001</v>
      </c>
      <c r="D87" s="5" t="s">
        <v>486</v>
      </c>
    </row>
    <row r="88" spans="1:4" x14ac:dyDescent="0.35">
      <c r="A88" s="5" t="s">
        <v>657</v>
      </c>
      <c r="B88" s="5" t="s">
        <v>658</v>
      </c>
      <c r="C88" s="6">
        <v>83025.534</v>
      </c>
      <c r="D88" s="5" t="s">
        <v>486</v>
      </c>
    </row>
    <row r="89" spans="1:4" x14ac:dyDescent="0.35">
      <c r="A89" s="5" t="s">
        <v>659</v>
      </c>
      <c r="B89" s="5" t="s">
        <v>660</v>
      </c>
      <c r="C89" s="6">
        <v>1127.25</v>
      </c>
      <c r="D89" s="5" t="s">
        <v>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4" customWidth="1"/>
    <col min="3" max="3" width="8" customWidth="1"/>
    <col min="4" max="4" width="16" customWidth="1"/>
    <col min="5" max="5" width="14" customWidth="1"/>
  </cols>
  <sheetData>
    <row r="1" spans="1:5" x14ac:dyDescent="0.35">
      <c r="A1" s="4" t="s">
        <v>20</v>
      </c>
      <c r="B1" s="4" t="s">
        <v>21</v>
      </c>
      <c r="C1" s="4" t="s">
        <v>661</v>
      </c>
      <c r="D1" s="4" t="s">
        <v>662</v>
      </c>
      <c r="E1" s="4" t="s">
        <v>24</v>
      </c>
    </row>
    <row r="2" spans="1:5" x14ac:dyDescent="0.35">
      <c r="A2" s="5" t="s">
        <v>663</v>
      </c>
      <c r="B2" s="5" t="s">
        <v>664</v>
      </c>
      <c r="C2" s="5"/>
      <c r="D2" s="6">
        <v>172653.2083</v>
      </c>
      <c r="E2" s="5" t="s">
        <v>665</v>
      </c>
    </row>
    <row r="3" spans="1:5" x14ac:dyDescent="0.35">
      <c r="A3" s="5" t="s">
        <v>666</v>
      </c>
      <c r="B3" s="5" t="s">
        <v>667</v>
      </c>
      <c r="C3" s="5"/>
      <c r="D3" s="6">
        <v>250000</v>
      </c>
      <c r="E3" s="5" t="s">
        <v>665</v>
      </c>
    </row>
    <row r="4" spans="1:5" x14ac:dyDescent="0.35">
      <c r="A4" s="5" t="s">
        <v>668</v>
      </c>
      <c r="B4" s="5" t="s">
        <v>669</v>
      </c>
      <c r="C4" s="5"/>
      <c r="D4" s="6">
        <v>295488.55940000003</v>
      </c>
      <c r="E4" s="5" t="s">
        <v>665</v>
      </c>
    </row>
    <row r="5" spans="1:5" x14ac:dyDescent="0.35">
      <c r="A5" s="5" t="s">
        <v>670</v>
      </c>
      <c r="B5" s="5" t="s">
        <v>671</v>
      </c>
      <c r="C5" s="5"/>
      <c r="D5" s="6">
        <v>16416.0311</v>
      </c>
      <c r="E5" s="5" t="s">
        <v>665</v>
      </c>
    </row>
    <row r="6" spans="1:5" x14ac:dyDescent="0.35">
      <c r="A6" s="5" t="s">
        <v>672</v>
      </c>
      <c r="B6" s="5" t="s">
        <v>673</v>
      </c>
      <c r="C6" s="5"/>
      <c r="D6" s="6">
        <v>139065.91810000001</v>
      </c>
      <c r="E6" s="5" t="s">
        <v>665</v>
      </c>
    </row>
    <row r="7" spans="1:5" x14ac:dyDescent="0.35">
      <c r="A7" s="5" t="s">
        <v>674</v>
      </c>
      <c r="B7" s="5" t="s">
        <v>675</v>
      </c>
      <c r="C7" s="5"/>
      <c r="D7" s="6">
        <v>100127.461</v>
      </c>
      <c r="E7" s="5" t="s">
        <v>665</v>
      </c>
    </row>
    <row r="8" spans="1:5" x14ac:dyDescent="0.35">
      <c r="A8" s="5" t="s">
        <v>676</v>
      </c>
      <c r="B8" s="5" t="s">
        <v>677</v>
      </c>
      <c r="C8" s="5"/>
      <c r="D8" s="6">
        <v>87611.528399999996</v>
      </c>
      <c r="E8" s="5" t="s">
        <v>665</v>
      </c>
    </row>
    <row r="9" spans="1:5" x14ac:dyDescent="0.35">
      <c r="A9" s="5" t="s">
        <v>678</v>
      </c>
      <c r="B9" s="5" t="s">
        <v>679</v>
      </c>
      <c r="C9" s="5"/>
      <c r="D9" s="6">
        <v>7800000</v>
      </c>
      <c r="E9" s="5" t="s">
        <v>665</v>
      </c>
    </row>
    <row r="10" spans="1:5" x14ac:dyDescent="0.35">
      <c r="A10" s="5" t="s">
        <v>680</v>
      </c>
      <c r="B10" s="5" t="s">
        <v>681</v>
      </c>
      <c r="C10" s="5"/>
      <c r="D10" s="6">
        <v>16000</v>
      </c>
      <c r="E10" s="5" t="s">
        <v>665</v>
      </c>
    </row>
    <row r="11" spans="1:5" x14ac:dyDescent="0.35">
      <c r="A11" s="5" t="s">
        <v>682</v>
      </c>
      <c r="B11" s="5" t="s">
        <v>683</v>
      </c>
      <c r="C11" s="5"/>
      <c r="D11" s="6">
        <v>253994.1428</v>
      </c>
      <c r="E11" s="5" t="s">
        <v>665</v>
      </c>
    </row>
    <row r="12" spans="1:5" x14ac:dyDescent="0.35">
      <c r="A12" s="5" t="s">
        <v>684</v>
      </c>
      <c r="B12" s="5" t="s">
        <v>685</v>
      </c>
      <c r="C12" s="5"/>
      <c r="D12" s="6">
        <v>148967.56479999999</v>
      </c>
      <c r="E12" s="5" t="s">
        <v>665</v>
      </c>
    </row>
    <row r="13" spans="1:5" x14ac:dyDescent="0.35">
      <c r="A13" s="5" t="s">
        <v>686</v>
      </c>
      <c r="B13" s="5" t="s">
        <v>687</v>
      </c>
      <c r="C13" s="5"/>
      <c r="D13" s="6">
        <v>75113.048200000005</v>
      </c>
      <c r="E13" s="5" t="s">
        <v>665</v>
      </c>
    </row>
    <row r="14" spans="1:5" x14ac:dyDescent="0.35">
      <c r="A14" s="5" t="s">
        <v>688</v>
      </c>
      <c r="B14" s="5" t="s">
        <v>689</v>
      </c>
      <c r="C14" s="5"/>
      <c r="D14" s="6">
        <v>49934.237200000003</v>
      </c>
      <c r="E14" s="5" t="s">
        <v>665</v>
      </c>
    </row>
    <row r="15" spans="1:5" x14ac:dyDescent="0.35">
      <c r="A15" s="5" t="s">
        <v>690</v>
      </c>
      <c r="B15" s="5" t="s">
        <v>691</v>
      </c>
      <c r="C15" s="5"/>
      <c r="D15" s="6">
        <v>13500000</v>
      </c>
      <c r="E15" s="5" t="s">
        <v>665</v>
      </c>
    </row>
    <row r="16" spans="1:5" x14ac:dyDescent="0.35">
      <c r="A16" s="5" t="s">
        <v>692</v>
      </c>
      <c r="B16" s="5" t="s">
        <v>693</v>
      </c>
      <c r="C16" s="5"/>
      <c r="D16" s="6">
        <v>8597.4064999999991</v>
      </c>
      <c r="E16" s="5" t="s">
        <v>665</v>
      </c>
    </row>
    <row r="17" spans="1:5" x14ac:dyDescent="0.35">
      <c r="A17" s="5" t="s">
        <v>694</v>
      </c>
      <c r="B17" s="5" t="s">
        <v>695</v>
      </c>
      <c r="C17" s="5"/>
      <c r="D17" s="6">
        <v>12817.951499999999</v>
      </c>
      <c r="E17" s="5" t="s">
        <v>665</v>
      </c>
    </row>
    <row r="18" spans="1:5" x14ac:dyDescent="0.35">
      <c r="A18" s="5" t="s">
        <v>696</v>
      </c>
      <c r="B18" s="5" t="s">
        <v>697</v>
      </c>
      <c r="C18" s="5"/>
      <c r="D18" s="6">
        <v>10160.5713</v>
      </c>
      <c r="E18" s="5" t="s">
        <v>665</v>
      </c>
    </row>
    <row r="19" spans="1:5" x14ac:dyDescent="0.35">
      <c r="A19" s="5" t="s">
        <v>698</v>
      </c>
      <c r="B19" s="5" t="s">
        <v>699</v>
      </c>
      <c r="C19" s="5"/>
      <c r="D19" s="6">
        <v>10160.5713</v>
      </c>
      <c r="E19" s="5" t="s">
        <v>665</v>
      </c>
    </row>
    <row r="20" spans="1:5" x14ac:dyDescent="0.35">
      <c r="A20" s="5" t="s">
        <v>700</v>
      </c>
      <c r="B20" s="5" t="s">
        <v>196</v>
      </c>
      <c r="C20" s="5"/>
      <c r="D20" s="6">
        <v>500</v>
      </c>
      <c r="E20" s="5" t="s">
        <v>665</v>
      </c>
    </row>
    <row r="21" spans="1:5" x14ac:dyDescent="0.35">
      <c r="A21" s="5" t="s">
        <v>701</v>
      </c>
      <c r="B21" s="5" t="s">
        <v>212</v>
      </c>
      <c r="C21" s="5"/>
      <c r="D21" s="6">
        <v>1050000</v>
      </c>
      <c r="E21" s="5" t="s">
        <v>665</v>
      </c>
    </row>
    <row r="22" spans="1:5" x14ac:dyDescent="0.35">
      <c r="A22" s="5" t="s">
        <v>702</v>
      </c>
      <c r="B22" s="5" t="s">
        <v>214</v>
      </c>
      <c r="C22" s="5"/>
      <c r="D22" s="6">
        <v>55670.194300000003</v>
      </c>
      <c r="E22" s="5" t="s">
        <v>665</v>
      </c>
    </row>
    <row r="23" spans="1:5" x14ac:dyDescent="0.35">
      <c r="A23" s="5" t="s">
        <v>703</v>
      </c>
      <c r="B23" s="5" t="s">
        <v>704</v>
      </c>
      <c r="C23" s="5"/>
      <c r="D23" s="6">
        <v>240000</v>
      </c>
      <c r="E23" s="5" t="s">
        <v>665</v>
      </c>
    </row>
    <row r="24" spans="1:5" x14ac:dyDescent="0.35">
      <c r="A24" s="5" t="s">
        <v>705</v>
      </c>
      <c r="B24" s="5" t="s">
        <v>706</v>
      </c>
      <c r="C24" s="5"/>
      <c r="D24" s="6">
        <v>135000</v>
      </c>
      <c r="E24" s="5" t="s">
        <v>665</v>
      </c>
    </row>
    <row r="25" spans="1:5" x14ac:dyDescent="0.35">
      <c r="A25" s="5" t="s">
        <v>707</v>
      </c>
      <c r="B25" s="5" t="s">
        <v>708</v>
      </c>
      <c r="C25" s="5"/>
      <c r="D25" s="6">
        <v>54784.071799999998</v>
      </c>
      <c r="E25" s="5" t="s">
        <v>665</v>
      </c>
    </row>
    <row r="26" spans="1:5" x14ac:dyDescent="0.35">
      <c r="A26" s="5" t="s">
        <v>709</v>
      </c>
      <c r="B26" s="5" t="s">
        <v>710</v>
      </c>
      <c r="C26" s="5"/>
      <c r="D26" s="6">
        <v>75113.048200000005</v>
      </c>
      <c r="E26" s="5" t="s">
        <v>665</v>
      </c>
    </row>
    <row r="27" spans="1:5" x14ac:dyDescent="0.35">
      <c r="A27" s="5" t="s">
        <v>711</v>
      </c>
      <c r="B27" s="5" t="s">
        <v>712</v>
      </c>
      <c r="C27" s="5"/>
      <c r="D27" s="6">
        <v>75113.048200000005</v>
      </c>
      <c r="E27" s="5" t="s">
        <v>665</v>
      </c>
    </row>
    <row r="28" spans="1:5" x14ac:dyDescent="0.35">
      <c r="A28" s="5" t="s">
        <v>713</v>
      </c>
      <c r="B28" s="5" t="s">
        <v>714</v>
      </c>
      <c r="C28" s="5"/>
      <c r="D28" s="6">
        <v>54784.071799999998</v>
      </c>
      <c r="E28" s="5" t="s">
        <v>665</v>
      </c>
    </row>
    <row r="29" spans="1:5" x14ac:dyDescent="0.35">
      <c r="A29" s="5" t="s">
        <v>715</v>
      </c>
      <c r="B29" s="5" t="s">
        <v>716</v>
      </c>
      <c r="C29" s="5"/>
      <c r="D29" s="6">
        <v>32886.699999999997</v>
      </c>
      <c r="E29" s="5" t="s">
        <v>665</v>
      </c>
    </row>
    <row r="30" spans="1:5" x14ac:dyDescent="0.35">
      <c r="A30" s="5" t="s">
        <v>717</v>
      </c>
      <c r="B30" s="5" t="s">
        <v>718</v>
      </c>
      <c r="C30" s="5"/>
      <c r="D30" s="6">
        <v>22868.3</v>
      </c>
      <c r="E30" s="5" t="s">
        <v>665</v>
      </c>
    </row>
    <row r="31" spans="1:5" x14ac:dyDescent="0.35">
      <c r="A31" s="5" t="s">
        <v>719</v>
      </c>
      <c r="B31" s="5" t="s">
        <v>720</v>
      </c>
      <c r="C31" s="5"/>
      <c r="D31" s="6">
        <v>329747.40000000002</v>
      </c>
      <c r="E31" s="5" t="s">
        <v>665</v>
      </c>
    </row>
    <row r="32" spans="1:5" x14ac:dyDescent="0.35">
      <c r="A32" s="5" t="s">
        <v>721</v>
      </c>
      <c r="B32" s="5" t="s">
        <v>722</v>
      </c>
      <c r="C32" s="5"/>
      <c r="D32" s="6">
        <v>219841.65</v>
      </c>
      <c r="E32" s="5" t="s">
        <v>665</v>
      </c>
    </row>
    <row r="33" spans="1:5" x14ac:dyDescent="0.35">
      <c r="A33" s="5" t="s">
        <v>723</v>
      </c>
      <c r="B33" s="5" t="s">
        <v>478</v>
      </c>
      <c r="C33" s="5"/>
      <c r="D33" s="6">
        <v>75113.048200000005</v>
      </c>
      <c r="E33" s="5" t="s">
        <v>665</v>
      </c>
    </row>
    <row r="34" spans="1:5" x14ac:dyDescent="0.35">
      <c r="A34" s="5" t="s">
        <v>724</v>
      </c>
      <c r="B34" s="5" t="s">
        <v>480</v>
      </c>
      <c r="C34" s="5"/>
      <c r="D34" s="6">
        <v>54784.071799999998</v>
      </c>
      <c r="E34" s="5" t="s">
        <v>665</v>
      </c>
    </row>
    <row r="35" spans="1:5" x14ac:dyDescent="0.35">
      <c r="A35" s="5" t="s">
        <v>725</v>
      </c>
      <c r="B35" s="5" t="s">
        <v>482</v>
      </c>
      <c r="C35" s="5"/>
      <c r="D35" s="6">
        <v>65360.248299999999</v>
      </c>
      <c r="E35" s="5" t="s">
        <v>665</v>
      </c>
    </row>
    <row r="36" spans="1:5" x14ac:dyDescent="0.35">
      <c r="A36" s="5" t="s">
        <v>726</v>
      </c>
      <c r="B36" s="5" t="s">
        <v>476</v>
      </c>
      <c r="C36" s="5"/>
      <c r="D36" s="6">
        <v>49934.237200000003</v>
      </c>
      <c r="E36" s="5" t="s">
        <v>665</v>
      </c>
    </row>
    <row r="37" spans="1:5" x14ac:dyDescent="0.35">
      <c r="A37" s="5" t="s">
        <v>727</v>
      </c>
      <c r="B37" s="5" t="s">
        <v>728</v>
      </c>
      <c r="C37" s="5"/>
      <c r="D37" s="6">
        <v>11158</v>
      </c>
      <c r="E37" s="5" t="s">
        <v>665</v>
      </c>
    </row>
    <row r="38" spans="1:5" x14ac:dyDescent="0.35">
      <c r="A38" s="5" t="s">
        <v>729</v>
      </c>
      <c r="B38" s="5" t="s">
        <v>730</v>
      </c>
      <c r="C38" s="5"/>
      <c r="D38" s="6">
        <v>7270.9</v>
      </c>
      <c r="E38" s="5" t="s">
        <v>665</v>
      </c>
    </row>
    <row r="39" spans="1:5" x14ac:dyDescent="0.35">
      <c r="A39" s="5" t="s">
        <v>731</v>
      </c>
      <c r="B39" s="5" t="s">
        <v>732</v>
      </c>
      <c r="C39" s="5"/>
      <c r="D39" s="6">
        <v>17500</v>
      </c>
      <c r="E39" s="5" t="s">
        <v>665</v>
      </c>
    </row>
    <row r="40" spans="1:5" x14ac:dyDescent="0.35">
      <c r="A40" s="5" t="s">
        <v>733</v>
      </c>
      <c r="B40" s="5" t="s">
        <v>734</v>
      </c>
      <c r="C40" s="5"/>
      <c r="D40" s="6">
        <v>1170570.8</v>
      </c>
      <c r="E40" s="5" t="s">
        <v>665</v>
      </c>
    </row>
    <row r="41" spans="1:5" x14ac:dyDescent="0.35">
      <c r="A41" s="5" t="s">
        <v>735</v>
      </c>
      <c r="B41" s="5" t="s">
        <v>736</v>
      </c>
      <c r="C41" s="5"/>
      <c r="D41" s="6">
        <v>92822.1</v>
      </c>
      <c r="E41" s="5" t="s">
        <v>665</v>
      </c>
    </row>
    <row r="42" spans="1:5" x14ac:dyDescent="0.35">
      <c r="A42" s="5" t="s">
        <v>737</v>
      </c>
      <c r="B42" s="5" t="s">
        <v>738</v>
      </c>
      <c r="C42" s="5"/>
      <c r="D42" s="6">
        <v>85483.3</v>
      </c>
      <c r="E42" s="5" t="s">
        <v>665</v>
      </c>
    </row>
    <row r="43" spans="1:5" x14ac:dyDescent="0.35">
      <c r="A43" s="5" t="s">
        <v>739</v>
      </c>
      <c r="B43" s="5" t="s">
        <v>740</v>
      </c>
      <c r="C43" s="5"/>
      <c r="D43" s="6">
        <v>122165.4</v>
      </c>
      <c r="E43" s="5" t="s">
        <v>665</v>
      </c>
    </row>
    <row r="44" spans="1:5" x14ac:dyDescent="0.35">
      <c r="A44" s="5" t="s">
        <v>741</v>
      </c>
      <c r="B44" s="5" t="s">
        <v>742</v>
      </c>
      <c r="C44" s="5"/>
      <c r="D44" s="6">
        <v>305252.5</v>
      </c>
      <c r="E44" s="5" t="s">
        <v>665</v>
      </c>
    </row>
    <row r="45" spans="1:5" x14ac:dyDescent="0.35">
      <c r="A45" s="5" t="s">
        <v>743</v>
      </c>
      <c r="B45" s="5" t="s">
        <v>744</v>
      </c>
      <c r="C45" s="5"/>
      <c r="D45" s="6">
        <v>100127.461</v>
      </c>
      <c r="E45" s="5" t="s">
        <v>665</v>
      </c>
    </row>
    <row r="46" spans="1:5" x14ac:dyDescent="0.35">
      <c r="A46" s="5" t="s">
        <v>745</v>
      </c>
      <c r="B46" s="5" t="s">
        <v>376</v>
      </c>
      <c r="C46" s="5"/>
      <c r="D46" s="6">
        <v>3545383.9243999999</v>
      </c>
      <c r="E46" s="5" t="s">
        <v>665</v>
      </c>
    </row>
    <row r="47" spans="1:5" x14ac:dyDescent="0.35">
      <c r="A47" s="5" t="s">
        <v>746</v>
      </c>
      <c r="B47" s="5" t="s">
        <v>378</v>
      </c>
      <c r="C47" s="5"/>
      <c r="D47" s="6">
        <v>506483.4178</v>
      </c>
      <c r="E47" s="5" t="s">
        <v>665</v>
      </c>
    </row>
    <row r="48" spans="1:5" x14ac:dyDescent="0.35">
      <c r="A48" s="5" t="s">
        <v>747</v>
      </c>
      <c r="B48" s="5" t="s">
        <v>380</v>
      </c>
      <c r="C48" s="5"/>
      <c r="D48" s="6">
        <v>4051867.3421</v>
      </c>
      <c r="E48" s="5" t="s">
        <v>665</v>
      </c>
    </row>
    <row r="49" spans="1:5" x14ac:dyDescent="0.35">
      <c r="A49" s="5" t="s">
        <v>748</v>
      </c>
      <c r="B49" s="5" t="s">
        <v>382</v>
      </c>
      <c r="C49" s="5"/>
      <c r="D49" s="6">
        <v>2025933.6710999999</v>
      </c>
      <c r="E49" s="5" t="s">
        <v>665</v>
      </c>
    </row>
    <row r="50" spans="1:5" x14ac:dyDescent="0.35">
      <c r="A50" s="5" t="s">
        <v>749</v>
      </c>
      <c r="B50" s="5" t="s">
        <v>384</v>
      </c>
      <c r="C50" s="5"/>
      <c r="D50" s="6">
        <v>1497947.3766999999</v>
      </c>
      <c r="E50" s="5" t="s">
        <v>665</v>
      </c>
    </row>
    <row r="51" spans="1:5" x14ac:dyDescent="0.35">
      <c r="A51" s="5" t="s">
        <v>750</v>
      </c>
      <c r="B51" s="5" t="s">
        <v>386</v>
      </c>
      <c r="C51" s="5"/>
      <c r="D51" s="6">
        <v>1497947.3766999999</v>
      </c>
      <c r="E51" s="5" t="s">
        <v>665</v>
      </c>
    </row>
    <row r="52" spans="1:5" x14ac:dyDescent="0.35">
      <c r="A52" s="5" t="s">
        <v>751</v>
      </c>
      <c r="B52" s="5" t="s">
        <v>388</v>
      </c>
      <c r="C52" s="5"/>
      <c r="D52" s="6">
        <v>427984.96480000002</v>
      </c>
      <c r="E52" s="5" t="s">
        <v>665</v>
      </c>
    </row>
    <row r="53" spans="1:5" x14ac:dyDescent="0.35">
      <c r="A53" s="5" t="s">
        <v>752</v>
      </c>
      <c r="B53" s="5" t="s">
        <v>390</v>
      </c>
      <c r="C53" s="5"/>
      <c r="D53" s="6">
        <v>1959870.6166000001</v>
      </c>
      <c r="E53" s="5" t="s">
        <v>665</v>
      </c>
    </row>
    <row r="54" spans="1:5" x14ac:dyDescent="0.35">
      <c r="A54" s="5" t="s">
        <v>753</v>
      </c>
      <c r="B54" s="5" t="s">
        <v>392</v>
      </c>
      <c r="C54" s="5"/>
      <c r="D54" s="6">
        <v>3919741.2332000001</v>
      </c>
      <c r="E54" s="5" t="s">
        <v>665</v>
      </c>
    </row>
    <row r="55" spans="1:5" x14ac:dyDescent="0.35">
      <c r="A55" s="5" t="s">
        <v>754</v>
      </c>
      <c r="B55" s="5" t="s">
        <v>394</v>
      </c>
      <c r="C55" s="5"/>
      <c r="D55" s="6">
        <v>979935.30830000003</v>
      </c>
      <c r="E55" s="5" t="s">
        <v>665</v>
      </c>
    </row>
    <row r="56" spans="1:5" x14ac:dyDescent="0.35">
      <c r="A56" s="5" t="s">
        <v>755</v>
      </c>
      <c r="B56" s="5" t="s">
        <v>396</v>
      </c>
      <c r="C56" s="5"/>
      <c r="D56" s="6">
        <v>7839482.4663000004</v>
      </c>
      <c r="E56" s="5" t="s">
        <v>665</v>
      </c>
    </row>
    <row r="57" spans="1:5" x14ac:dyDescent="0.35">
      <c r="A57" s="5" t="s">
        <v>756</v>
      </c>
      <c r="B57" s="5" t="s">
        <v>398</v>
      </c>
      <c r="C57" s="5"/>
      <c r="D57" s="6">
        <v>4899676.5415000003</v>
      </c>
      <c r="E57" s="5" t="s">
        <v>665</v>
      </c>
    </row>
    <row r="58" spans="1:5" x14ac:dyDescent="0.35">
      <c r="A58" s="5" t="s">
        <v>757</v>
      </c>
      <c r="B58" s="5" t="s">
        <v>400</v>
      </c>
      <c r="C58" s="5"/>
      <c r="D58" s="6">
        <v>1069962.412</v>
      </c>
      <c r="E58" s="5" t="s">
        <v>665</v>
      </c>
    </row>
    <row r="59" spans="1:5" x14ac:dyDescent="0.35">
      <c r="A59" s="5" t="s">
        <v>758</v>
      </c>
      <c r="B59" s="5" t="s">
        <v>759</v>
      </c>
      <c r="C59" s="5"/>
      <c r="D59" s="6">
        <v>8896061.0752000008</v>
      </c>
      <c r="E59" s="5" t="s">
        <v>665</v>
      </c>
    </row>
    <row r="60" spans="1:5" x14ac:dyDescent="0.35">
      <c r="A60" s="5" t="s">
        <v>760</v>
      </c>
      <c r="B60" s="5" t="s">
        <v>761</v>
      </c>
      <c r="C60" s="5"/>
      <c r="D60" s="6">
        <v>4852396.9501</v>
      </c>
      <c r="E60" s="5" t="s">
        <v>665</v>
      </c>
    </row>
    <row r="61" spans="1:5" x14ac:dyDescent="0.35">
      <c r="A61" s="5" t="s">
        <v>762</v>
      </c>
      <c r="B61" s="5" t="s">
        <v>763</v>
      </c>
      <c r="C61" s="5"/>
      <c r="D61" s="6">
        <v>2426198.4750000001</v>
      </c>
      <c r="E61" s="5" t="s">
        <v>665</v>
      </c>
    </row>
    <row r="62" spans="1:5" x14ac:dyDescent="0.35">
      <c r="A62" s="5" t="s">
        <v>764</v>
      </c>
      <c r="B62" s="5" t="s">
        <v>406</v>
      </c>
      <c r="C62" s="5"/>
      <c r="D62" s="6">
        <v>1987743.777</v>
      </c>
      <c r="E62" s="5" t="s">
        <v>665</v>
      </c>
    </row>
    <row r="63" spans="1:5" x14ac:dyDescent="0.35">
      <c r="A63" s="5" t="s">
        <v>765</v>
      </c>
      <c r="B63" s="5" t="s">
        <v>408</v>
      </c>
      <c r="C63" s="5"/>
      <c r="D63" s="6">
        <v>6500000</v>
      </c>
      <c r="E63" s="5" t="s">
        <v>665</v>
      </c>
    </row>
    <row r="64" spans="1:5" x14ac:dyDescent="0.35">
      <c r="A64" s="5" t="s">
        <v>766</v>
      </c>
      <c r="B64" s="5" t="s">
        <v>767</v>
      </c>
      <c r="C64" s="5"/>
      <c r="D64" s="6">
        <v>2925000</v>
      </c>
      <c r="E64" s="5" t="s">
        <v>665</v>
      </c>
    </row>
    <row r="65" spans="1:5" x14ac:dyDescent="0.35">
      <c r="A65" s="5" t="s">
        <v>768</v>
      </c>
      <c r="B65" s="5" t="s">
        <v>769</v>
      </c>
      <c r="C65" s="5"/>
      <c r="D65" s="6">
        <v>213888.88889999999</v>
      </c>
      <c r="E65" s="5" t="s">
        <v>665</v>
      </c>
    </row>
    <row r="66" spans="1:5" x14ac:dyDescent="0.35">
      <c r="A66" s="5" t="s">
        <v>770</v>
      </c>
      <c r="B66" s="5" t="s">
        <v>771</v>
      </c>
      <c r="C66" s="5"/>
      <c r="D66" s="6">
        <v>189000</v>
      </c>
      <c r="E66" s="5" t="s">
        <v>665</v>
      </c>
    </row>
    <row r="67" spans="1:5" x14ac:dyDescent="0.35">
      <c r="A67" s="5" t="s">
        <v>772</v>
      </c>
      <c r="B67" s="5" t="s">
        <v>773</v>
      </c>
      <c r="C67" s="5"/>
      <c r="D67" s="6">
        <v>64400</v>
      </c>
      <c r="E67" s="5" t="s">
        <v>665</v>
      </c>
    </row>
    <row r="68" spans="1:5" x14ac:dyDescent="0.35">
      <c r="A68" s="5" t="s">
        <v>774</v>
      </c>
      <c r="B68" s="5" t="s">
        <v>422</v>
      </c>
      <c r="C68" s="5"/>
      <c r="D68" s="6">
        <v>439307.50329999998</v>
      </c>
      <c r="E68" s="5" t="s">
        <v>665</v>
      </c>
    </row>
    <row r="69" spans="1:5" x14ac:dyDescent="0.35">
      <c r="A69" s="5" t="s">
        <v>775</v>
      </c>
      <c r="B69" s="5" t="s">
        <v>776</v>
      </c>
      <c r="C69" s="5"/>
      <c r="D69" s="6">
        <v>599210.84669999999</v>
      </c>
      <c r="E69" s="5" t="s">
        <v>665</v>
      </c>
    </row>
    <row r="70" spans="1:5" x14ac:dyDescent="0.35">
      <c r="A70" s="5" t="s">
        <v>777</v>
      </c>
      <c r="B70" s="5" t="s">
        <v>778</v>
      </c>
      <c r="C70" s="5"/>
      <c r="D70" s="6">
        <v>1547376.3492000001</v>
      </c>
      <c r="E70" s="5" t="s">
        <v>665</v>
      </c>
    </row>
    <row r="71" spans="1:5" x14ac:dyDescent="0.35">
      <c r="A71" s="5" t="s">
        <v>779</v>
      </c>
      <c r="B71" s="5" t="s">
        <v>780</v>
      </c>
      <c r="C71" s="5"/>
      <c r="D71" s="6">
        <v>150000</v>
      </c>
      <c r="E71" s="5" t="s">
        <v>665</v>
      </c>
    </row>
    <row r="72" spans="1:5" x14ac:dyDescent="0.35">
      <c r="A72" s="5" t="s">
        <v>781</v>
      </c>
      <c r="B72" s="5" t="s">
        <v>782</v>
      </c>
      <c r="C72" s="5"/>
      <c r="D72" s="6">
        <v>250000</v>
      </c>
      <c r="E72" s="5" t="s">
        <v>665</v>
      </c>
    </row>
    <row r="73" spans="1:5" x14ac:dyDescent="0.35">
      <c r="A73" s="5" t="s">
        <v>783</v>
      </c>
      <c r="B73" s="5" t="s">
        <v>784</v>
      </c>
      <c r="C73" s="5"/>
      <c r="D73" s="6">
        <v>3798370.5819999999</v>
      </c>
      <c r="E73" s="5" t="s">
        <v>665</v>
      </c>
    </row>
    <row r="74" spans="1:5" x14ac:dyDescent="0.35">
      <c r="A74" s="5" t="s">
        <v>785</v>
      </c>
      <c r="B74" s="5" t="s">
        <v>786</v>
      </c>
      <c r="C74" s="5"/>
      <c r="D74" s="6">
        <v>500000</v>
      </c>
      <c r="E74" s="5" t="s">
        <v>665</v>
      </c>
    </row>
    <row r="75" spans="1:5" x14ac:dyDescent="0.35">
      <c r="A75" s="5" t="s">
        <v>787</v>
      </c>
      <c r="B75" s="5" t="s">
        <v>788</v>
      </c>
      <c r="C75" s="5"/>
      <c r="D75" s="6">
        <v>1363919.7598999999</v>
      </c>
      <c r="E75" s="5" t="s">
        <v>665</v>
      </c>
    </row>
    <row r="76" spans="1:5" x14ac:dyDescent="0.35">
      <c r="A76" s="5" t="s">
        <v>789</v>
      </c>
      <c r="B76" s="5" t="s">
        <v>790</v>
      </c>
      <c r="C76" s="5"/>
      <c r="D76" s="6">
        <v>16174656.500299999</v>
      </c>
      <c r="E76" s="5" t="s">
        <v>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26" customWidth="1"/>
    <col min="3" max="3" width="40" customWidth="1"/>
    <col min="4" max="4" width="6" customWidth="1"/>
    <col min="5" max="5" width="10" customWidth="1"/>
    <col min="6" max="7" width="13" customWidth="1"/>
    <col min="8" max="8" width="12" customWidth="1"/>
    <col min="9" max="9" width="13" customWidth="1"/>
    <col min="10" max="11" width="15" customWidth="1"/>
    <col min="12" max="12" width="14" customWidth="1"/>
    <col min="13" max="13" width="15" customWidth="1"/>
    <col min="17" max="17" width="12" customWidth="1"/>
  </cols>
  <sheetData>
    <row r="1" spans="1:17" x14ac:dyDescent="0.35">
      <c r="A1" s="4" t="s">
        <v>791</v>
      </c>
      <c r="B1" s="4" t="s">
        <v>792</v>
      </c>
      <c r="C1" s="4" t="s">
        <v>21</v>
      </c>
      <c r="D1" s="4" t="s">
        <v>793</v>
      </c>
      <c r="E1" s="4" t="s">
        <v>794</v>
      </c>
      <c r="F1" s="4" t="s">
        <v>795</v>
      </c>
      <c r="G1" s="4" t="s">
        <v>796</v>
      </c>
      <c r="H1" s="4" t="s">
        <v>797</v>
      </c>
      <c r="I1" s="4" t="s">
        <v>798</v>
      </c>
      <c r="J1" s="4" t="s">
        <v>799</v>
      </c>
      <c r="K1" s="4" t="s">
        <v>800</v>
      </c>
      <c r="L1" s="4" t="s">
        <v>801</v>
      </c>
      <c r="M1" s="4" t="s">
        <v>802</v>
      </c>
      <c r="N1" s="4"/>
      <c r="O1" s="4"/>
      <c r="P1" s="4"/>
      <c r="Q1" s="4" t="s">
        <v>20</v>
      </c>
    </row>
    <row r="2" spans="1:17" x14ac:dyDescent="0.35">
      <c r="A2" s="5">
        <v>1.01</v>
      </c>
      <c r="B2" s="5" t="s">
        <v>803</v>
      </c>
      <c r="C2" s="5" t="s">
        <v>804</v>
      </c>
      <c r="D2" s="5" t="s">
        <v>470</v>
      </c>
      <c r="E2" s="6">
        <v>0</v>
      </c>
      <c r="F2" s="8">
        <f>IFERROR(VLOOKUP(Q2,PARTIDAS!$A:$P,13,FALSE),0)</f>
        <v>0</v>
      </c>
      <c r="G2" s="8">
        <f>IFERROR(VLOOKUP(Q2,PARTIDAS!$A:$P,14,FALSE),0)</f>
        <v>0</v>
      </c>
      <c r="H2" s="8">
        <f>IFERROR(VLOOKUP(Q2,PARTIDAS!$A:$P,15,FALSE),0)</f>
        <v>0</v>
      </c>
      <c r="I2" s="8">
        <f>IFERROR(VLOOKUP(Q2,PARTIDAS!$A:$P,16,FALSE),0)</f>
        <v>0</v>
      </c>
      <c r="J2" s="8">
        <f t="shared" ref="J2:J33" si="0">F2*$E2</f>
        <v>0</v>
      </c>
      <c r="K2" s="8">
        <f t="shared" ref="K2:K33" si="1">G2*$E2</f>
        <v>0</v>
      </c>
      <c r="L2" s="8">
        <f t="shared" ref="L2:L33" si="2">H2*$E2</f>
        <v>0</v>
      </c>
      <c r="M2" s="8">
        <f t="shared" ref="M2:M33" si="3">J2+K2+L2</f>
        <v>0</v>
      </c>
      <c r="Q2" s="5" t="s">
        <v>805</v>
      </c>
    </row>
    <row r="3" spans="1:17" x14ac:dyDescent="0.35">
      <c r="A3" s="5">
        <v>1.02</v>
      </c>
      <c r="B3" s="5" t="s">
        <v>803</v>
      </c>
      <c r="C3" s="5" t="s">
        <v>806</v>
      </c>
      <c r="D3" s="5" t="s">
        <v>807</v>
      </c>
      <c r="E3" s="6">
        <v>3</v>
      </c>
      <c r="F3" s="8">
        <f>IFERROR(VLOOKUP(Q3,PARTIDAS!$A:$P,13,FALSE),0)</f>
        <v>41666.666700000002</v>
      </c>
      <c r="G3" s="8">
        <f>IFERROR(VLOOKUP(Q3,PARTIDAS!$A:$P,14,FALSE),0)</f>
        <v>255876.94179978079</v>
      </c>
      <c r="H3" s="8">
        <f>IFERROR(VLOOKUP(Q3,PARTIDAS!$A:$P,15,FALSE),0)</f>
        <v>4463.1540999999997</v>
      </c>
      <c r="I3" s="8">
        <f>IFERROR(VLOOKUP(Q3,PARTIDAS!$A:$P,16,FALSE),0)</f>
        <v>302006.76259978075</v>
      </c>
      <c r="J3" s="8">
        <f t="shared" si="0"/>
        <v>125000.0001</v>
      </c>
      <c r="K3" s="8">
        <f t="shared" si="1"/>
        <v>767630.82539934234</v>
      </c>
      <c r="L3" s="8">
        <f t="shared" si="2"/>
        <v>13389.462299999999</v>
      </c>
      <c r="M3" s="8">
        <f t="shared" si="3"/>
        <v>906020.2877993423</v>
      </c>
      <c r="Q3" s="5" t="s">
        <v>808</v>
      </c>
    </row>
    <row r="4" spans="1:17" x14ac:dyDescent="0.35">
      <c r="A4" s="5">
        <v>1.03</v>
      </c>
      <c r="B4" s="5" t="s">
        <v>803</v>
      </c>
      <c r="C4" s="5" t="s">
        <v>809</v>
      </c>
      <c r="D4" s="5" t="s">
        <v>470</v>
      </c>
      <c r="E4" s="6">
        <v>0</v>
      </c>
      <c r="F4" s="8">
        <f>IFERROR(VLOOKUP(Q4,PARTIDAS!$A:$P,13,FALSE),0)</f>
        <v>0</v>
      </c>
      <c r="G4" s="8">
        <f>IFERROR(VLOOKUP(Q4,PARTIDAS!$A:$P,14,FALSE),0)</f>
        <v>0</v>
      </c>
      <c r="H4" s="8">
        <f>IFERROR(VLOOKUP(Q4,PARTIDAS!$A:$P,15,FALSE),0)</f>
        <v>0</v>
      </c>
      <c r="I4" s="8">
        <f>IFERROR(VLOOKUP(Q4,PARTIDAS!$A:$P,16,FALSE),0)</f>
        <v>0</v>
      </c>
      <c r="J4" s="8">
        <f t="shared" si="0"/>
        <v>0</v>
      </c>
      <c r="K4" s="8">
        <f t="shared" si="1"/>
        <v>0</v>
      </c>
      <c r="L4" s="8">
        <f t="shared" si="2"/>
        <v>0</v>
      </c>
      <c r="M4" s="8">
        <f t="shared" si="3"/>
        <v>0</v>
      </c>
      <c r="Q4" s="5" t="s">
        <v>810</v>
      </c>
    </row>
    <row r="5" spans="1:17" x14ac:dyDescent="0.35">
      <c r="A5" s="5">
        <v>1.04</v>
      </c>
      <c r="B5" s="5" t="s">
        <v>803</v>
      </c>
      <c r="C5" s="5" t="s">
        <v>811</v>
      </c>
      <c r="D5" s="5" t="s">
        <v>356</v>
      </c>
      <c r="E5" s="6">
        <v>11</v>
      </c>
      <c r="F5" s="8">
        <f>IFERROR(VLOOKUP(Q5,PARTIDAS!$A:$P,13,FALSE),0)</f>
        <v>79773.179625728837</v>
      </c>
      <c r="G5" s="8">
        <f>IFERROR(VLOOKUP(Q5,PARTIDAS!$A:$P,14,FALSE),0)</f>
        <v>30923.3742362208</v>
      </c>
      <c r="H5" s="8">
        <f>IFERROR(VLOOKUP(Q5,PARTIDAS!$A:$P,15,FALSE),0)</f>
        <v>1660.4484</v>
      </c>
      <c r="I5" s="8">
        <f>IFERROR(VLOOKUP(Q5,PARTIDAS!$A:$P,16,FALSE),0)</f>
        <v>112357.00226194963</v>
      </c>
      <c r="J5" s="8">
        <f t="shared" si="0"/>
        <v>877504.97588301718</v>
      </c>
      <c r="K5" s="8">
        <f t="shared" si="1"/>
        <v>340157.11659842881</v>
      </c>
      <c r="L5" s="8">
        <f t="shared" si="2"/>
        <v>18264.932400000002</v>
      </c>
      <c r="M5" s="8">
        <f t="shared" si="3"/>
        <v>1235927.024881446</v>
      </c>
      <c r="Q5" s="5" t="s">
        <v>812</v>
      </c>
    </row>
    <row r="6" spans="1:17" x14ac:dyDescent="0.35">
      <c r="A6" s="5">
        <v>1.05</v>
      </c>
      <c r="B6" s="5" t="s">
        <v>803</v>
      </c>
      <c r="C6" s="5" t="s">
        <v>813</v>
      </c>
      <c r="D6" s="5" t="s">
        <v>470</v>
      </c>
      <c r="E6" s="6">
        <v>1</v>
      </c>
      <c r="F6" s="8">
        <f>IFERROR(VLOOKUP(Q6,PARTIDAS!$A:$P,13,FALSE),0)</f>
        <v>2400856.6963500008</v>
      </c>
      <c r="G6" s="8">
        <f>IFERROR(VLOOKUP(Q6,PARTIDAS!$A:$P,14,FALSE),0)</f>
        <v>3516332.58</v>
      </c>
      <c r="H6" s="8">
        <f>IFERROR(VLOOKUP(Q6,PARTIDAS!$A:$P,15,FALSE),0)</f>
        <v>88757.838000000003</v>
      </c>
      <c r="I6" s="8">
        <f>IFERROR(VLOOKUP(Q6,PARTIDAS!$A:$P,16,FALSE),0)</f>
        <v>6005947.1143500013</v>
      </c>
      <c r="J6" s="8">
        <f t="shared" si="0"/>
        <v>2400856.6963500008</v>
      </c>
      <c r="K6" s="8">
        <f t="shared" si="1"/>
        <v>3516332.58</v>
      </c>
      <c r="L6" s="8">
        <f t="shared" si="2"/>
        <v>88757.838000000003</v>
      </c>
      <c r="M6" s="8">
        <f t="shared" si="3"/>
        <v>6005947.1143500013</v>
      </c>
      <c r="Q6" s="5" t="s">
        <v>814</v>
      </c>
    </row>
    <row r="7" spans="1:17" x14ac:dyDescent="0.35">
      <c r="A7" s="5">
        <v>1.06</v>
      </c>
      <c r="B7" s="5" t="s">
        <v>803</v>
      </c>
      <c r="C7" s="5" t="s">
        <v>815</v>
      </c>
      <c r="D7" s="5" t="s">
        <v>816</v>
      </c>
      <c r="E7" s="6">
        <v>3</v>
      </c>
      <c r="F7" s="8">
        <f>IFERROR(VLOOKUP(Q7,PARTIDAS!$A:$P,13,FALSE),0)</f>
        <v>0</v>
      </c>
      <c r="G7" s="8">
        <f>IFERROR(VLOOKUP(Q7,PARTIDAS!$A:$P,14,FALSE),0)</f>
        <v>311904.59050000005</v>
      </c>
      <c r="H7" s="8">
        <f>IFERROR(VLOOKUP(Q7,PARTIDAS!$A:$P,15,FALSE),0)</f>
        <v>0</v>
      </c>
      <c r="I7" s="8">
        <f>IFERROR(VLOOKUP(Q7,PARTIDAS!$A:$P,16,FALSE),0)</f>
        <v>311904.59050000005</v>
      </c>
      <c r="J7" s="8">
        <f t="shared" si="0"/>
        <v>0</v>
      </c>
      <c r="K7" s="8">
        <f t="shared" si="1"/>
        <v>935713.77150000015</v>
      </c>
      <c r="L7" s="8">
        <f t="shared" si="2"/>
        <v>0</v>
      </c>
      <c r="M7" s="8">
        <f t="shared" si="3"/>
        <v>935713.77150000015</v>
      </c>
      <c r="Q7" s="5" t="s">
        <v>817</v>
      </c>
    </row>
    <row r="8" spans="1:17" x14ac:dyDescent="0.35">
      <c r="A8" s="5">
        <v>1.07</v>
      </c>
      <c r="B8" s="5" t="s">
        <v>803</v>
      </c>
      <c r="C8" s="5" t="s">
        <v>818</v>
      </c>
      <c r="D8" s="5" t="s">
        <v>470</v>
      </c>
      <c r="E8" s="6">
        <v>1</v>
      </c>
      <c r="F8" s="8">
        <f>IFERROR(VLOOKUP(Q8,PARTIDAS!$A:$P,13,FALSE),0)</f>
        <v>845578.51199999999</v>
      </c>
      <c r="G8" s="8">
        <f>IFERROR(VLOOKUP(Q8,PARTIDAS!$A:$P,14,FALSE),0)</f>
        <v>511535.57999999996</v>
      </c>
      <c r="H8" s="8">
        <f>IFERROR(VLOOKUP(Q8,PARTIDAS!$A:$P,15,FALSE),0)</f>
        <v>20356.7111</v>
      </c>
      <c r="I8" s="8">
        <f>IFERROR(VLOOKUP(Q8,PARTIDAS!$A:$P,16,FALSE),0)</f>
        <v>1377470.8030999999</v>
      </c>
      <c r="J8" s="8">
        <f t="shared" si="0"/>
        <v>845578.51199999999</v>
      </c>
      <c r="K8" s="8">
        <f t="shared" si="1"/>
        <v>511535.57999999996</v>
      </c>
      <c r="L8" s="8">
        <f t="shared" si="2"/>
        <v>20356.7111</v>
      </c>
      <c r="M8" s="8">
        <f t="shared" si="3"/>
        <v>1377470.8030999999</v>
      </c>
      <c r="Q8" s="5" t="s">
        <v>819</v>
      </c>
    </row>
    <row r="9" spans="1:17" x14ac:dyDescent="0.35">
      <c r="A9" s="5">
        <v>1.08</v>
      </c>
      <c r="B9" s="5" t="s">
        <v>803</v>
      </c>
      <c r="C9" s="5" t="s">
        <v>820</v>
      </c>
      <c r="D9" s="5" t="s">
        <v>470</v>
      </c>
      <c r="E9" s="6">
        <v>1</v>
      </c>
      <c r="F9" s="8">
        <f>IFERROR(VLOOKUP(Q9,PARTIDAS!$A:$P,13,FALSE),0)</f>
        <v>680400</v>
      </c>
      <c r="G9" s="8">
        <f>IFERROR(VLOOKUP(Q9,PARTIDAS!$A:$P,14,FALSE),0)</f>
        <v>421419.9</v>
      </c>
      <c r="H9" s="8">
        <f>IFERROR(VLOOKUP(Q9,PARTIDAS!$A:$P,15,FALSE),0)</f>
        <v>16527.298299999999</v>
      </c>
      <c r="I9" s="8">
        <f>IFERROR(VLOOKUP(Q9,PARTIDAS!$A:$P,16,FALSE),0)</f>
        <v>1118347.1982999998</v>
      </c>
      <c r="J9" s="8">
        <f t="shared" si="0"/>
        <v>680400</v>
      </c>
      <c r="K9" s="8">
        <f t="shared" si="1"/>
        <v>421419.9</v>
      </c>
      <c r="L9" s="8">
        <f t="shared" si="2"/>
        <v>16527.298299999999</v>
      </c>
      <c r="M9" s="8">
        <f t="shared" si="3"/>
        <v>1118347.1982999998</v>
      </c>
      <c r="Q9" s="5" t="s">
        <v>821</v>
      </c>
    </row>
    <row r="10" spans="1:17" x14ac:dyDescent="0.35">
      <c r="A10" s="5">
        <v>1.0900000000000001</v>
      </c>
      <c r="B10" s="5" t="s">
        <v>803</v>
      </c>
      <c r="C10" s="5" t="s">
        <v>822</v>
      </c>
      <c r="D10" s="5" t="s">
        <v>470</v>
      </c>
      <c r="E10" s="6">
        <v>1</v>
      </c>
      <c r="F10" s="8">
        <f>IFERROR(VLOOKUP(Q10,PARTIDAS!$A:$P,13,FALSE),0)</f>
        <v>0</v>
      </c>
      <c r="G10" s="8">
        <f>IFERROR(VLOOKUP(Q10,PARTIDAS!$A:$P,14,FALSE),0)</f>
        <v>339320.83956839214</v>
      </c>
      <c r="H10" s="8">
        <f>IFERROR(VLOOKUP(Q10,PARTIDAS!$A:$P,15,FALSE),0)</f>
        <v>0</v>
      </c>
      <c r="I10" s="8">
        <f>IFERROR(VLOOKUP(Q10,PARTIDAS!$A:$P,16,FALSE),0)</f>
        <v>339320.83956839214</v>
      </c>
      <c r="J10" s="8">
        <f t="shared" si="0"/>
        <v>0</v>
      </c>
      <c r="K10" s="8">
        <f t="shared" si="1"/>
        <v>339320.83956839214</v>
      </c>
      <c r="L10" s="8">
        <f t="shared" si="2"/>
        <v>0</v>
      </c>
      <c r="M10" s="8">
        <f t="shared" si="3"/>
        <v>339320.83956839214</v>
      </c>
      <c r="Q10" s="5" t="s">
        <v>823</v>
      </c>
    </row>
    <row r="11" spans="1:17" x14ac:dyDescent="0.35">
      <c r="A11" s="5">
        <v>1.1000000000000001</v>
      </c>
      <c r="B11" s="5" t="s">
        <v>803</v>
      </c>
      <c r="C11" s="5" t="s">
        <v>824</v>
      </c>
      <c r="D11" s="5" t="s">
        <v>470</v>
      </c>
      <c r="E11" s="6">
        <v>1</v>
      </c>
      <c r="F11" s="8">
        <f>IFERROR(VLOOKUP(Q11,PARTIDAS!$A:$P,13,FALSE),0)</f>
        <v>0</v>
      </c>
      <c r="G11" s="8">
        <f>IFERROR(VLOOKUP(Q11,PARTIDAS!$A:$P,14,FALSE),0)</f>
        <v>7800000</v>
      </c>
      <c r="H11" s="8">
        <f>IFERROR(VLOOKUP(Q11,PARTIDAS!$A:$P,15,FALSE),0)</f>
        <v>0</v>
      </c>
      <c r="I11" s="8">
        <f>IFERROR(VLOOKUP(Q11,PARTIDAS!$A:$P,16,FALSE),0)</f>
        <v>7800000</v>
      </c>
      <c r="J11" s="8">
        <f t="shared" si="0"/>
        <v>0</v>
      </c>
      <c r="K11" s="8">
        <f t="shared" si="1"/>
        <v>7800000</v>
      </c>
      <c r="L11" s="8">
        <f t="shared" si="2"/>
        <v>0</v>
      </c>
      <c r="M11" s="8">
        <f t="shared" si="3"/>
        <v>7800000</v>
      </c>
      <c r="Q11" s="5" t="s">
        <v>825</v>
      </c>
    </row>
    <row r="12" spans="1:17" x14ac:dyDescent="0.35">
      <c r="A12" s="5">
        <v>2.0099999999999998</v>
      </c>
      <c r="B12" s="5" t="s">
        <v>826</v>
      </c>
      <c r="C12" s="5" t="s">
        <v>827</v>
      </c>
      <c r="D12" s="5" t="s">
        <v>828</v>
      </c>
      <c r="E12" s="6">
        <v>1266</v>
      </c>
      <c r="F12" s="8">
        <f>IFERROR(VLOOKUP(Q12,PARTIDAS!$A:$P,13,FALSE),0)</f>
        <v>0</v>
      </c>
      <c r="G12" s="8">
        <f>IFERROR(VLOOKUP(Q12,PARTIDAS!$A:$P,14,FALSE),0)</f>
        <v>26209.620260944001</v>
      </c>
      <c r="H12" s="8">
        <f>IFERROR(VLOOKUP(Q12,PARTIDAS!$A:$P,15,FALSE),0)</f>
        <v>117.1443</v>
      </c>
      <c r="I12" s="8">
        <f>IFERROR(VLOOKUP(Q12,PARTIDAS!$A:$P,16,FALSE),0)</f>
        <v>26326.764560944001</v>
      </c>
      <c r="J12" s="8">
        <f t="shared" si="0"/>
        <v>0</v>
      </c>
      <c r="K12" s="8">
        <f t="shared" si="1"/>
        <v>33181379.250355106</v>
      </c>
      <c r="L12" s="8">
        <f t="shared" si="2"/>
        <v>148304.6838</v>
      </c>
      <c r="M12" s="8">
        <f t="shared" si="3"/>
        <v>33329683.934155107</v>
      </c>
      <c r="Q12" s="5" t="s">
        <v>829</v>
      </c>
    </row>
    <row r="13" spans="1:17" x14ac:dyDescent="0.35">
      <c r="A13" s="5">
        <v>2.02</v>
      </c>
      <c r="B13" s="5" t="s">
        <v>826</v>
      </c>
      <c r="C13" s="5" t="s">
        <v>830</v>
      </c>
      <c r="D13" s="5" t="s">
        <v>470</v>
      </c>
      <c r="E13" s="6">
        <v>0</v>
      </c>
      <c r="F13" s="8">
        <f>IFERROR(VLOOKUP(Q13,PARTIDAS!$A:$P,13,FALSE),0)</f>
        <v>0</v>
      </c>
      <c r="G13" s="8">
        <f>IFERROR(VLOOKUP(Q13,PARTIDAS!$A:$P,14,FALSE),0)</f>
        <v>0</v>
      </c>
      <c r="H13" s="8">
        <f>IFERROR(VLOOKUP(Q13,PARTIDAS!$A:$P,15,FALSE),0)</f>
        <v>0</v>
      </c>
      <c r="I13" s="8">
        <f>IFERROR(VLOOKUP(Q13,PARTIDAS!$A:$P,16,FALSE),0)</f>
        <v>0</v>
      </c>
      <c r="J13" s="8">
        <f t="shared" si="0"/>
        <v>0</v>
      </c>
      <c r="K13" s="8">
        <f t="shared" si="1"/>
        <v>0</v>
      </c>
      <c r="L13" s="8">
        <f t="shared" si="2"/>
        <v>0</v>
      </c>
      <c r="M13" s="8">
        <f t="shared" si="3"/>
        <v>0</v>
      </c>
      <c r="Q13" s="5" t="s">
        <v>831</v>
      </c>
    </row>
    <row r="14" spans="1:17" x14ac:dyDescent="0.35">
      <c r="A14" s="5">
        <v>2.0299999999999998</v>
      </c>
      <c r="B14" s="5" t="s">
        <v>826</v>
      </c>
      <c r="C14" s="5" t="s">
        <v>832</v>
      </c>
      <c r="D14" s="5" t="s">
        <v>828</v>
      </c>
      <c r="E14" s="6">
        <v>2</v>
      </c>
      <c r="F14" s="8">
        <f>IFERROR(VLOOKUP(Q14,PARTIDAS!$A:$P,13,FALSE),0)</f>
        <v>0</v>
      </c>
      <c r="G14" s="8">
        <f>IFERROR(VLOOKUP(Q14,PARTIDAS!$A:$P,14,FALSE),0)</f>
        <v>49934.239999999998</v>
      </c>
      <c r="H14" s="8">
        <f>IFERROR(VLOOKUP(Q14,PARTIDAS!$A:$P,15,FALSE),0)</f>
        <v>0</v>
      </c>
      <c r="I14" s="8">
        <f>IFERROR(VLOOKUP(Q14,PARTIDAS!$A:$P,16,FALSE),0)</f>
        <v>49934.239999999998</v>
      </c>
      <c r="J14" s="8">
        <f t="shared" si="0"/>
        <v>0</v>
      </c>
      <c r="K14" s="8">
        <f t="shared" si="1"/>
        <v>99868.479999999996</v>
      </c>
      <c r="L14" s="8">
        <f t="shared" si="2"/>
        <v>0</v>
      </c>
      <c r="M14" s="8">
        <f t="shared" si="3"/>
        <v>99868.479999999996</v>
      </c>
      <c r="Q14" s="5" t="s">
        <v>833</v>
      </c>
    </row>
    <row r="15" spans="1:17" x14ac:dyDescent="0.35">
      <c r="A15" s="5">
        <v>3.01</v>
      </c>
      <c r="B15" s="5" t="s">
        <v>834</v>
      </c>
      <c r="C15" s="5" t="s">
        <v>835</v>
      </c>
      <c r="D15" s="5" t="s">
        <v>828</v>
      </c>
      <c r="E15" s="6">
        <v>35</v>
      </c>
      <c r="F15" s="8">
        <f>IFERROR(VLOOKUP(Q15,PARTIDAS!$A:$P,13,FALSE),0)</f>
        <v>196572.85709999999</v>
      </c>
      <c r="G15" s="8">
        <f>IFERROR(VLOOKUP(Q15,PARTIDAS!$A:$P,14,FALSE),0)</f>
        <v>49934.239999999998</v>
      </c>
      <c r="H15" s="8">
        <f>IFERROR(VLOOKUP(Q15,PARTIDAS!$A:$P,15,FALSE),0)</f>
        <v>3697.6064000000001</v>
      </c>
      <c r="I15" s="8">
        <f>IFERROR(VLOOKUP(Q15,PARTIDAS!$A:$P,16,FALSE),0)</f>
        <v>250204.70349999997</v>
      </c>
      <c r="J15" s="8">
        <f t="shared" si="0"/>
        <v>6880049.9984999998</v>
      </c>
      <c r="K15" s="8">
        <f t="shared" si="1"/>
        <v>1747698.4</v>
      </c>
      <c r="L15" s="8">
        <f t="shared" si="2"/>
        <v>129416.224</v>
      </c>
      <c r="M15" s="8">
        <f t="shared" si="3"/>
        <v>8757164.6224999987</v>
      </c>
      <c r="Q15" s="5" t="s">
        <v>836</v>
      </c>
    </row>
    <row r="16" spans="1:17" x14ac:dyDescent="0.35">
      <c r="A16" s="5">
        <v>3.02</v>
      </c>
      <c r="B16" s="5" t="s">
        <v>834</v>
      </c>
      <c r="C16" s="5" t="s">
        <v>837</v>
      </c>
      <c r="D16" s="5" t="s">
        <v>828</v>
      </c>
      <c r="E16" s="6">
        <v>40</v>
      </c>
      <c r="F16" s="8">
        <f>IFERROR(VLOOKUP(Q16,PARTIDAS!$A:$P,13,FALSE),0)</f>
        <v>70843.445699999997</v>
      </c>
      <c r="G16" s="8">
        <f>IFERROR(VLOOKUP(Q16,PARTIDAS!$A:$P,14,FALSE),0)</f>
        <v>307690.19973421155</v>
      </c>
      <c r="H16" s="8">
        <f>IFERROR(VLOOKUP(Q16,PARTIDAS!$A:$P,15,FALSE),0)</f>
        <v>5678.0046000000002</v>
      </c>
      <c r="I16" s="8">
        <f>IFERROR(VLOOKUP(Q16,PARTIDAS!$A:$P,16,FALSE),0)</f>
        <v>384211.65003421152</v>
      </c>
      <c r="J16" s="8">
        <f t="shared" si="0"/>
        <v>2833737.8279999997</v>
      </c>
      <c r="K16" s="8">
        <f t="shared" si="1"/>
        <v>12307607.989368461</v>
      </c>
      <c r="L16" s="8">
        <f t="shared" si="2"/>
        <v>227120.18400000001</v>
      </c>
      <c r="M16" s="8">
        <f t="shared" si="3"/>
        <v>15368466.001368461</v>
      </c>
      <c r="Q16" s="5" t="s">
        <v>838</v>
      </c>
    </row>
    <row r="17" spans="1:17" x14ac:dyDescent="0.35">
      <c r="A17" s="5">
        <v>3.03</v>
      </c>
      <c r="B17" s="5" t="s">
        <v>834</v>
      </c>
      <c r="C17" s="5" t="s">
        <v>839</v>
      </c>
      <c r="D17" s="5" t="s">
        <v>828</v>
      </c>
      <c r="E17" s="6">
        <v>28</v>
      </c>
      <c r="F17" s="8">
        <f>IFERROR(VLOOKUP(Q17,PARTIDAS!$A:$P,13,FALSE),0)</f>
        <v>55068.8217</v>
      </c>
      <c r="G17" s="8">
        <f>IFERROR(VLOOKUP(Q17,PARTIDAS!$A:$P,14,FALSE),0)</f>
        <v>253994.1428</v>
      </c>
      <c r="H17" s="8">
        <f>IFERROR(VLOOKUP(Q17,PARTIDAS!$A:$P,15,FALSE),0)</f>
        <v>4635.9444999999996</v>
      </c>
      <c r="I17" s="8">
        <f>IFERROR(VLOOKUP(Q17,PARTIDAS!$A:$P,16,FALSE),0)</f>
        <v>313698.90899999999</v>
      </c>
      <c r="J17" s="8">
        <f t="shared" si="0"/>
        <v>1541927.0076000001</v>
      </c>
      <c r="K17" s="8">
        <f t="shared" si="1"/>
        <v>7111835.9983999999</v>
      </c>
      <c r="L17" s="8">
        <f t="shared" si="2"/>
        <v>129806.446</v>
      </c>
      <c r="M17" s="8">
        <f t="shared" si="3"/>
        <v>8783569.4520000014</v>
      </c>
      <c r="Q17" s="5" t="s">
        <v>840</v>
      </c>
    </row>
    <row r="18" spans="1:17" x14ac:dyDescent="0.35">
      <c r="A18" s="5">
        <v>3.04</v>
      </c>
      <c r="B18" s="5" t="s">
        <v>834</v>
      </c>
      <c r="C18" s="5" t="s">
        <v>841</v>
      </c>
      <c r="D18" s="5" t="s">
        <v>828</v>
      </c>
      <c r="E18" s="6">
        <v>179</v>
      </c>
      <c r="F18" s="8">
        <f>IFERROR(VLOOKUP(Q18,PARTIDAS!$A:$P,13,FALSE),0)</f>
        <v>2471.4097999999999</v>
      </c>
      <c r="G18" s="8">
        <f>IFERROR(VLOOKUP(Q18,PARTIDAS!$A:$P,14,FALSE),0)</f>
        <v>148967.56479999999</v>
      </c>
      <c r="H18" s="8">
        <f>IFERROR(VLOOKUP(Q18,PARTIDAS!$A:$P,15,FALSE),0)</f>
        <v>2271.5846000000001</v>
      </c>
      <c r="I18" s="8">
        <f>IFERROR(VLOOKUP(Q18,PARTIDAS!$A:$P,16,FALSE),0)</f>
        <v>153710.55919999999</v>
      </c>
      <c r="J18" s="8">
        <f t="shared" si="0"/>
        <v>442382.3542</v>
      </c>
      <c r="K18" s="8">
        <f t="shared" si="1"/>
        <v>26665194.099199999</v>
      </c>
      <c r="L18" s="8">
        <f t="shared" si="2"/>
        <v>406613.6434</v>
      </c>
      <c r="M18" s="8">
        <f t="shared" si="3"/>
        <v>27514190.096799999</v>
      </c>
      <c r="Q18" s="5" t="s">
        <v>842</v>
      </c>
    </row>
    <row r="19" spans="1:17" x14ac:dyDescent="0.35">
      <c r="A19" s="5">
        <v>3.05</v>
      </c>
      <c r="B19" s="5" t="s">
        <v>834</v>
      </c>
      <c r="C19" s="5" t="s">
        <v>843</v>
      </c>
      <c r="D19" s="5" t="s">
        <v>828</v>
      </c>
      <c r="E19" s="6">
        <v>10</v>
      </c>
      <c r="F19" s="8">
        <f>IFERROR(VLOOKUP(Q19,PARTIDAS!$A:$P,13,FALSE),0)</f>
        <v>40150.005400000002</v>
      </c>
      <c r="G19" s="8">
        <f>IFERROR(VLOOKUP(Q19,PARTIDAS!$A:$P,14,FALSE),0)</f>
        <v>286602.4334004728</v>
      </c>
      <c r="H19" s="8">
        <f>IFERROR(VLOOKUP(Q19,PARTIDAS!$A:$P,15,FALSE),0)</f>
        <v>4901.2865000000002</v>
      </c>
      <c r="I19" s="8">
        <f>IFERROR(VLOOKUP(Q19,PARTIDAS!$A:$P,16,FALSE),0)</f>
        <v>331653.72530047281</v>
      </c>
      <c r="J19" s="8">
        <f t="shared" si="0"/>
        <v>401500.054</v>
      </c>
      <c r="K19" s="8">
        <f t="shared" si="1"/>
        <v>2866024.3340047281</v>
      </c>
      <c r="L19" s="8">
        <f t="shared" si="2"/>
        <v>49012.865000000005</v>
      </c>
      <c r="M19" s="8">
        <f t="shared" si="3"/>
        <v>3316537.2530047284</v>
      </c>
      <c r="Q19" s="5" t="s">
        <v>844</v>
      </c>
    </row>
    <row r="20" spans="1:17" x14ac:dyDescent="0.35">
      <c r="A20" s="5">
        <v>3.06</v>
      </c>
      <c r="B20" s="5" t="s">
        <v>834</v>
      </c>
      <c r="C20" s="5" t="s">
        <v>845</v>
      </c>
      <c r="D20" s="5" t="s">
        <v>828</v>
      </c>
      <c r="E20" s="6">
        <v>177</v>
      </c>
      <c r="F20" s="8">
        <f>IFERROR(VLOOKUP(Q20,PARTIDAS!$A:$P,13,FALSE),0)</f>
        <v>32975.501400000001</v>
      </c>
      <c r="G20" s="8">
        <f>IFERROR(VLOOKUP(Q20,PARTIDAS!$A:$P,14,FALSE),0)</f>
        <v>191068.28923544541</v>
      </c>
      <c r="H20" s="8">
        <f>IFERROR(VLOOKUP(Q20,PARTIDAS!$A:$P,15,FALSE),0)</f>
        <v>3360.6568000000002</v>
      </c>
      <c r="I20" s="8">
        <f>IFERROR(VLOOKUP(Q20,PARTIDAS!$A:$P,16,FALSE),0)</f>
        <v>227404.44743544541</v>
      </c>
      <c r="J20" s="8">
        <f t="shared" si="0"/>
        <v>5836663.7478</v>
      </c>
      <c r="K20" s="8">
        <f t="shared" si="1"/>
        <v>33819087.194673836</v>
      </c>
      <c r="L20" s="8">
        <f t="shared" si="2"/>
        <v>594836.25360000005</v>
      </c>
      <c r="M20" s="8">
        <f t="shared" si="3"/>
        <v>40250587.196073838</v>
      </c>
      <c r="Q20" s="5" t="s">
        <v>846</v>
      </c>
    </row>
    <row r="21" spans="1:17" x14ac:dyDescent="0.35">
      <c r="A21" s="5">
        <v>3.07</v>
      </c>
      <c r="B21" s="5" t="s">
        <v>834</v>
      </c>
      <c r="C21" s="5" t="s">
        <v>847</v>
      </c>
      <c r="D21" s="5" t="s">
        <v>828</v>
      </c>
      <c r="E21" s="6">
        <v>65</v>
      </c>
      <c r="F21" s="8">
        <f>IFERROR(VLOOKUP(Q21,PARTIDAS!$A:$P,13,FALSE),0)</f>
        <v>94228.958100000003</v>
      </c>
      <c r="G21" s="8">
        <f>IFERROR(VLOOKUP(Q21,PARTIDAS!$A:$P,14,FALSE),0)</f>
        <v>462949.3020290744</v>
      </c>
      <c r="H21" s="8">
        <f>IFERROR(VLOOKUP(Q21,PARTIDAS!$A:$P,15,FALSE),0)</f>
        <v>8357.6736999999994</v>
      </c>
      <c r="I21" s="8">
        <f>IFERROR(VLOOKUP(Q21,PARTIDAS!$A:$P,16,FALSE),0)</f>
        <v>565535.93382907449</v>
      </c>
      <c r="J21" s="8">
        <f t="shared" si="0"/>
        <v>6124882.2765000006</v>
      </c>
      <c r="K21" s="8">
        <f t="shared" si="1"/>
        <v>30091704.631889835</v>
      </c>
      <c r="L21" s="8">
        <f t="shared" si="2"/>
        <v>543248.7905</v>
      </c>
      <c r="M21" s="8">
        <f t="shared" si="3"/>
        <v>36759835.698889837</v>
      </c>
      <c r="Q21" s="5" t="s">
        <v>848</v>
      </c>
    </row>
    <row r="22" spans="1:17" x14ac:dyDescent="0.35">
      <c r="A22" s="5">
        <v>3.08</v>
      </c>
      <c r="B22" s="5" t="s">
        <v>834</v>
      </c>
      <c r="C22" s="5" t="s">
        <v>849</v>
      </c>
      <c r="D22" s="5" t="s">
        <v>828</v>
      </c>
      <c r="E22" s="6">
        <v>12</v>
      </c>
      <c r="F22" s="8">
        <f>IFERROR(VLOOKUP(Q22,PARTIDAS!$A:$P,13,FALSE),0)</f>
        <v>92072.316600000006</v>
      </c>
      <c r="G22" s="8">
        <f>IFERROR(VLOOKUP(Q22,PARTIDAS!$A:$P,14,FALSE),0)</f>
        <v>555539.16261596745</v>
      </c>
      <c r="H22" s="8">
        <f>IFERROR(VLOOKUP(Q22,PARTIDAS!$A:$P,15,FALSE),0)</f>
        <v>9714.1720000000005</v>
      </c>
      <c r="I22" s="8">
        <f>IFERROR(VLOOKUP(Q22,PARTIDAS!$A:$P,16,FALSE),0)</f>
        <v>657325.65121596749</v>
      </c>
      <c r="J22" s="8">
        <f t="shared" si="0"/>
        <v>1104867.7992</v>
      </c>
      <c r="K22" s="8">
        <f t="shared" si="1"/>
        <v>6666469.9513916094</v>
      </c>
      <c r="L22" s="8">
        <f t="shared" si="2"/>
        <v>116570.06400000001</v>
      </c>
      <c r="M22" s="8">
        <f t="shared" si="3"/>
        <v>7887907.8145916099</v>
      </c>
      <c r="Q22" s="5" t="s">
        <v>850</v>
      </c>
    </row>
    <row r="23" spans="1:17" x14ac:dyDescent="0.35">
      <c r="A23" s="5">
        <v>3.09</v>
      </c>
      <c r="B23" s="5" t="s">
        <v>834</v>
      </c>
      <c r="C23" s="5" t="s">
        <v>851</v>
      </c>
      <c r="D23" s="5" t="s">
        <v>828</v>
      </c>
      <c r="E23" s="6">
        <v>28</v>
      </c>
      <c r="F23" s="8">
        <f>IFERROR(VLOOKUP(Q23,PARTIDAS!$A:$P,13,FALSE),0)</f>
        <v>70843.445699999997</v>
      </c>
      <c r="G23" s="8">
        <f>IFERROR(VLOOKUP(Q23,PARTIDAS!$A:$P,14,FALSE),0)</f>
        <v>307690.19973421155</v>
      </c>
      <c r="H23" s="8">
        <f>IFERROR(VLOOKUP(Q23,PARTIDAS!$A:$P,15,FALSE),0)</f>
        <v>5678.0046000000002</v>
      </c>
      <c r="I23" s="8">
        <f>IFERROR(VLOOKUP(Q23,PARTIDAS!$A:$P,16,FALSE),0)</f>
        <v>384211.65003421152</v>
      </c>
      <c r="J23" s="8">
        <f t="shared" si="0"/>
        <v>1983616.4796</v>
      </c>
      <c r="K23" s="8">
        <f t="shared" si="1"/>
        <v>8615325.5925579239</v>
      </c>
      <c r="L23" s="8">
        <f t="shared" si="2"/>
        <v>158984.12880000001</v>
      </c>
      <c r="M23" s="8">
        <f t="shared" si="3"/>
        <v>10757926.200957922</v>
      </c>
      <c r="Q23" s="5" t="s">
        <v>852</v>
      </c>
    </row>
    <row r="24" spans="1:17" x14ac:dyDescent="0.35">
      <c r="A24" s="5">
        <v>3.1</v>
      </c>
      <c r="B24" s="5" t="s">
        <v>834</v>
      </c>
      <c r="C24" s="5" t="s">
        <v>853</v>
      </c>
      <c r="D24" s="5" t="s">
        <v>828</v>
      </c>
      <c r="E24" s="6">
        <v>54</v>
      </c>
      <c r="F24" s="8">
        <f>IFERROR(VLOOKUP(Q24,PARTIDAS!$A:$P,13,FALSE),0)</f>
        <v>60951.378700000001</v>
      </c>
      <c r="G24" s="8">
        <f>IFERROR(VLOOKUP(Q24,PARTIDAS!$A:$P,14,FALSE),0)</f>
        <v>273658.45642395515</v>
      </c>
      <c r="H24" s="8">
        <f>IFERROR(VLOOKUP(Q24,PARTIDAS!$A:$P,15,FALSE),0)</f>
        <v>5019.1473999999998</v>
      </c>
      <c r="I24" s="8">
        <f>IFERROR(VLOOKUP(Q24,PARTIDAS!$A:$P,16,FALSE),0)</f>
        <v>339628.98252395517</v>
      </c>
      <c r="J24" s="8">
        <f t="shared" si="0"/>
        <v>3291374.4498000001</v>
      </c>
      <c r="K24" s="8">
        <f t="shared" si="1"/>
        <v>14777556.646893578</v>
      </c>
      <c r="L24" s="8">
        <f t="shared" si="2"/>
        <v>271033.9596</v>
      </c>
      <c r="M24" s="8">
        <f t="shared" si="3"/>
        <v>18339965.056293581</v>
      </c>
      <c r="Q24" s="5" t="s">
        <v>854</v>
      </c>
    </row>
    <row r="25" spans="1:17" x14ac:dyDescent="0.35">
      <c r="A25" s="5">
        <v>3.11</v>
      </c>
      <c r="B25" s="5" t="s">
        <v>834</v>
      </c>
      <c r="C25" s="5" t="s">
        <v>855</v>
      </c>
      <c r="D25" s="5" t="s">
        <v>828</v>
      </c>
      <c r="E25" s="6">
        <v>11</v>
      </c>
      <c r="F25" s="8">
        <f>IFERROR(VLOOKUP(Q25,PARTIDAS!$A:$P,13,FALSE),0)</f>
        <v>68185.040999999997</v>
      </c>
      <c r="G25" s="8">
        <f>IFERROR(VLOOKUP(Q25,PARTIDAS!$A:$P,14,FALSE),0)</f>
        <v>283180.32257422054</v>
      </c>
      <c r="H25" s="8">
        <f>IFERROR(VLOOKUP(Q25,PARTIDAS!$A:$P,15,FALSE),0)</f>
        <v>5270.4803000000002</v>
      </c>
      <c r="I25" s="8">
        <f>IFERROR(VLOOKUP(Q25,PARTIDAS!$A:$P,16,FALSE),0)</f>
        <v>356635.84387422056</v>
      </c>
      <c r="J25" s="8">
        <f t="shared" si="0"/>
        <v>750035.451</v>
      </c>
      <c r="K25" s="8">
        <f t="shared" si="1"/>
        <v>3114983.5483164261</v>
      </c>
      <c r="L25" s="8">
        <f t="shared" si="2"/>
        <v>57975.283300000003</v>
      </c>
      <c r="M25" s="8">
        <f t="shared" si="3"/>
        <v>3922994.2826164258</v>
      </c>
      <c r="Q25" s="5" t="s">
        <v>856</v>
      </c>
    </row>
    <row r="26" spans="1:17" x14ac:dyDescent="0.35">
      <c r="A26" s="5">
        <v>3.12</v>
      </c>
      <c r="B26" s="5" t="s">
        <v>834</v>
      </c>
      <c r="C26" s="5" t="s">
        <v>857</v>
      </c>
      <c r="D26" s="5" t="s">
        <v>828</v>
      </c>
      <c r="E26" s="6">
        <v>3</v>
      </c>
      <c r="F26" s="8">
        <f>IFERROR(VLOOKUP(Q26,PARTIDAS!$A:$P,13,FALSE),0)</f>
        <v>70843.445699999997</v>
      </c>
      <c r="G26" s="8">
        <f>IFERROR(VLOOKUP(Q26,PARTIDAS!$A:$P,14,FALSE),0)</f>
        <v>307690.19973421155</v>
      </c>
      <c r="H26" s="8">
        <f>IFERROR(VLOOKUP(Q26,PARTIDAS!$A:$P,15,FALSE),0)</f>
        <v>5678.0046000000002</v>
      </c>
      <c r="I26" s="8">
        <f>IFERROR(VLOOKUP(Q26,PARTIDAS!$A:$P,16,FALSE),0)</f>
        <v>384211.65003421152</v>
      </c>
      <c r="J26" s="8">
        <f t="shared" si="0"/>
        <v>212530.3371</v>
      </c>
      <c r="K26" s="8">
        <f t="shared" si="1"/>
        <v>923070.59920263465</v>
      </c>
      <c r="L26" s="8">
        <f t="shared" si="2"/>
        <v>17034.013800000001</v>
      </c>
      <c r="M26" s="8">
        <f t="shared" si="3"/>
        <v>1152634.9501026347</v>
      </c>
      <c r="Q26" s="5" t="s">
        <v>858</v>
      </c>
    </row>
    <row r="27" spans="1:17" x14ac:dyDescent="0.35">
      <c r="A27" s="5">
        <v>3.13</v>
      </c>
      <c r="B27" s="5" t="s">
        <v>834</v>
      </c>
      <c r="C27" s="5" t="s">
        <v>859</v>
      </c>
      <c r="D27" s="5" t="s">
        <v>356</v>
      </c>
      <c r="E27" s="6">
        <v>240</v>
      </c>
      <c r="F27" s="8">
        <f>IFERROR(VLOOKUP(Q27,PARTIDAS!$A:$P,13,FALSE),0)</f>
        <v>24772.727299999999</v>
      </c>
      <c r="G27" s="8">
        <f>IFERROR(VLOOKUP(Q27,PARTIDAS!$A:$P,14,FALSE),0)</f>
        <v>0</v>
      </c>
      <c r="H27" s="8">
        <f>IFERROR(VLOOKUP(Q27,PARTIDAS!$A:$P,15,FALSE),0)</f>
        <v>0</v>
      </c>
      <c r="I27" s="8">
        <f>IFERROR(VLOOKUP(Q27,PARTIDAS!$A:$P,16,FALSE),0)</f>
        <v>24772.727299999999</v>
      </c>
      <c r="J27" s="8">
        <f t="shared" si="0"/>
        <v>5945454.5519999992</v>
      </c>
      <c r="K27" s="8">
        <f t="shared" si="1"/>
        <v>0</v>
      </c>
      <c r="L27" s="8">
        <f t="shared" si="2"/>
        <v>0</v>
      </c>
      <c r="M27" s="8">
        <f t="shared" si="3"/>
        <v>5945454.5519999992</v>
      </c>
      <c r="Q27" s="5" t="s">
        <v>860</v>
      </c>
    </row>
    <row r="28" spans="1:17" x14ac:dyDescent="0.35">
      <c r="A28" s="5">
        <v>3.14</v>
      </c>
      <c r="B28" s="5" t="s">
        <v>834</v>
      </c>
      <c r="C28" s="5" t="s">
        <v>861</v>
      </c>
      <c r="D28" s="5" t="s">
        <v>470</v>
      </c>
      <c r="E28" s="6">
        <v>1</v>
      </c>
      <c r="F28" s="8">
        <f>IFERROR(VLOOKUP(Q28,PARTIDAS!$A:$P,13,FALSE),0)</f>
        <v>0</v>
      </c>
      <c r="G28" s="8">
        <f>IFERROR(VLOOKUP(Q28,PARTIDAS!$A:$P,14,FALSE),0)</f>
        <v>0</v>
      </c>
      <c r="H28" s="8">
        <f>IFERROR(VLOOKUP(Q28,PARTIDAS!$A:$P,15,FALSE),0)</f>
        <v>8822750</v>
      </c>
      <c r="I28" s="8">
        <f>IFERROR(VLOOKUP(Q28,PARTIDAS!$A:$P,16,FALSE),0)</f>
        <v>8822750</v>
      </c>
      <c r="J28" s="8">
        <f t="shared" si="0"/>
        <v>0</v>
      </c>
      <c r="K28" s="8">
        <f t="shared" si="1"/>
        <v>0</v>
      </c>
      <c r="L28" s="8">
        <f t="shared" si="2"/>
        <v>8822750</v>
      </c>
      <c r="M28" s="8">
        <f t="shared" si="3"/>
        <v>8822750</v>
      </c>
      <c r="Q28" s="5" t="s">
        <v>862</v>
      </c>
    </row>
    <row r="29" spans="1:17" x14ac:dyDescent="0.35">
      <c r="A29" s="5">
        <v>3.15</v>
      </c>
      <c r="B29" s="5" t="s">
        <v>834</v>
      </c>
      <c r="C29" s="5" t="s">
        <v>127</v>
      </c>
      <c r="D29" s="5" t="s">
        <v>284</v>
      </c>
      <c r="E29" s="6">
        <v>14</v>
      </c>
      <c r="F29" s="8">
        <f>IFERROR(VLOOKUP(Q29,PARTIDAS!$A:$P,13,FALSE),0)</f>
        <v>123492.85709999999</v>
      </c>
      <c r="G29" s="8">
        <f>IFERROR(VLOOKUP(Q29,PARTIDAS!$A:$P,14,FALSE),0)</f>
        <v>0</v>
      </c>
      <c r="H29" s="8">
        <f>IFERROR(VLOOKUP(Q29,PARTIDAS!$A:$P,15,FALSE),0)</f>
        <v>0</v>
      </c>
      <c r="I29" s="8">
        <f>IFERROR(VLOOKUP(Q29,PARTIDAS!$A:$P,16,FALSE),0)</f>
        <v>123492.85709999999</v>
      </c>
      <c r="J29" s="8">
        <f t="shared" si="0"/>
        <v>1728899.9993999999</v>
      </c>
      <c r="K29" s="8">
        <f t="shared" si="1"/>
        <v>0</v>
      </c>
      <c r="L29" s="8">
        <f t="shared" si="2"/>
        <v>0</v>
      </c>
      <c r="M29" s="8">
        <f t="shared" si="3"/>
        <v>1728899.9993999999</v>
      </c>
      <c r="Q29" s="5" t="s">
        <v>863</v>
      </c>
    </row>
    <row r="30" spans="1:17" x14ac:dyDescent="0.35">
      <c r="A30" s="5">
        <v>3.16</v>
      </c>
      <c r="B30" s="5" t="s">
        <v>834</v>
      </c>
      <c r="C30" s="5" t="s">
        <v>129</v>
      </c>
      <c r="D30" s="5" t="s">
        <v>470</v>
      </c>
      <c r="E30" s="6">
        <v>4</v>
      </c>
      <c r="F30" s="8">
        <f>IFERROR(VLOOKUP(Q30,PARTIDAS!$A:$P,13,FALSE),0)</f>
        <v>55000</v>
      </c>
      <c r="G30" s="8">
        <f>IFERROR(VLOOKUP(Q30,PARTIDAS!$A:$P,14,FALSE),0)</f>
        <v>0</v>
      </c>
      <c r="H30" s="8">
        <f>IFERROR(VLOOKUP(Q30,PARTIDAS!$A:$P,15,FALSE),0)</f>
        <v>0</v>
      </c>
      <c r="I30" s="8">
        <f>IFERROR(VLOOKUP(Q30,PARTIDAS!$A:$P,16,FALSE),0)</f>
        <v>55000</v>
      </c>
      <c r="J30" s="8">
        <f t="shared" si="0"/>
        <v>220000</v>
      </c>
      <c r="K30" s="8">
        <f t="shared" si="1"/>
        <v>0</v>
      </c>
      <c r="L30" s="8">
        <f t="shared" si="2"/>
        <v>0</v>
      </c>
      <c r="M30" s="8">
        <f t="shared" si="3"/>
        <v>220000</v>
      </c>
      <c r="Q30" s="5" t="s">
        <v>864</v>
      </c>
    </row>
    <row r="31" spans="1:17" x14ac:dyDescent="0.35">
      <c r="A31" s="5">
        <v>3.17</v>
      </c>
      <c r="B31" s="5" t="s">
        <v>834</v>
      </c>
      <c r="C31" s="5" t="s">
        <v>865</v>
      </c>
      <c r="D31" s="5" t="s">
        <v>866</v>
      </c>
      <c r="E31" s="6">
        <v>93</v>
      </c>
      <c r="F31" s="8">
        <f>IFERROR(VLOOKUP(Q31,PARTIDAS!$A:$P,13,FALSE),0)</f>
        <v>5053.7635</v>
      </c>
      <c r="G31" s="8">
        <f>IFERROR(VLOOKUP(Q31,PARTIDAS!$A:$P,14,FALSE),0)</f>
        <v>14213.224350639899</v>
      </c>
      <c r="H31" s="8">
        <f>IFERROR(VLOOKUP(Q31,PARTIDAS!$A:$P,15,FALSE),0)</f>
        <v>289.00479999999999</v>
      </c>
      <c r="I31" s="8">
        <f>IFERROR(VLOOKUP(Q31,PARTIDAS!$A:$P,16,FALSE),0)</f>
        <v>19555.992650639899</v>
      </c>
      <c r="J31" s="8">
        <f t="shared" si="0"/>
        <v>470000.00550000003</v>
      </c>
      <c r="K31" s="8">
        <f t="shared" si="1"/>
        <v>1321829.8646095106</v>
      </c>
      <c r="L31" s="8">
        <f t="shared" si="2"/>
        <v>26877.446400000001</v>
      </c>
      <c r="M31" s="8">
        <f t="shared" si="3"/>
        <v>1818707.3165095106</v>
      </c>
      <c r="Q31" s="5" t="s">
        <v>867</v>
      </c>
    </row>
    <row r="32" spans="1:17" x14ac:dyDescent="0.35">
      <c r="A32" s="5">
        <v>4.01</v>
      </c>
      <c r="B32" s="5" t="s">
        <v>868</v>
      </c>
      <c r="C32" s="5" t="s">
        <v>869</v>
      </c>
      <c r="D32" s="5" t="s">
        <v>866</v>
      </c>
      <c r="E32" s="6">
        <v>819</v>
      </c>
      <c r="F32" s="8">
        <f>IFERROR(VLOOKUP(Q32,PARTIDAS!$A:$P,13,FALSE),0)</f>
        <v>6545.2009423757609</v>
      </c>
      <c r="G32" s="8">
        <f>IFERROR(VLOOKUP(Q32,PARTIDAS!$A:$P,14,FALSE),0)</f>
        <v>8336.4864168243002</v>
      </c>
      <c r="H32" s="8">
        <f>IFERROR(VLOOKUP(Q32,PARTIDAS!$A:$P,15,FALSE),0)</f>
        <v>229.16797534397099</v>
      </c>
      <c r="I32" s="8">
        <f>IFERROR(VLOOKUP(Q32,PARTIDAS!$A:$P,16,FALSE),0)</f>
        <v>15110.855334544032</v>
      </c>
      <c r="J32" s="8">
        <f t="shared" si="0"/>
        <v>5360519.5718057482</v>
      </c>
      <c r="K32" s="8">
        <f t="shared" si="1"/>
        <v>6827582.3753791023</v>
      </c>
      <c r="L32" s="8">
        <f t="shared" si="2"/>
        <v>187688.57180671225</v>
      </c>
      <c r="M32" s="8">
        <f t="shared" si="3"/>
        <v>12375790.518991562</v>
      </c>
      <c r="Q32" s="5" t="s">
        <v>870</v>
      </c>
    </row>
    <row r="33" spans="1:17" x14ac:dyDescent="0.35">
      <c r="A33" s="5">
        <v>4.0199999999999996</v>
      </c>
      <c r="B33" s="5" t="s">
        <v>868</v>
      </c>
      <c r="C33" s="5" t="s">
        <v>871</v>
      </c>
      <c r="D33" s="5" t="s">
        <v>866</v>
      </c>
      <c r="E33" s="6">
        <v>612</v>
      </c>
      <c r="F33" s="8">
        <f>IFERROR(VLOOKUP(Q33,PARTIDAS!$A:$P,13,FALSE),0)</f>
        <v>11461.565499517143</v>
      </c>
      <c r="G33" s="8">
        <f>IFERROR(VLOOKUP(Q33,PARTIDAS!$A:$P,14,FALSE),0)</f>
        <v>8336.4864168243002</v>
      </c>
      <c r="H33" s="8">
        <f>IFERROR(VLOOKUP(Q33,PARTIDAS!$A:$P,15,FALSE),0)</f>
        <v>229.16797534397099</v>
      </c>
      <c r="I33" s="8">
        <f>IFERROR(VLOOKUP(Q33,PARTIDAS!$A:$P,16,FALSE),0)</f>
        <v>20027.219891685414</v>
      </c>
      <c r="J33" s="8">
        <f t="shared" si="0"/>
        <v>7014478.0857044915</v>
      </c>
      <c r="K33" s="8">
        <f t="shared" si="1"/>
        <v>5101929.6870964719</v>
      </c>
      <c r="L33" s="8">
        <f t="shared" si="2"/>
        <v>140250.80091051024</v>
      </c>
      <c r="M33" s="8">
        <f t="shared" si="3"/>
        <v>12256658.573711473</v>
      </c>
      <c r="Q33" s="5" t="s">
        <v>872</v>
      </c>
    </row>
    <row r="34" spans="1:17" x14ac:dyDescent="0.35">
      <c r="A34" s="5">
        <v>4.03</v>
      </c>
      <c r="B34" s="5" t="s">
        <v>868</v>
      </c>
      <c r="C34" s="5" t="s">
        <v>873</v>
      </c>
      <c r="D34" s="5" t="s">
        <v>866</v>
      </c>
      <c r="E34" s="6">
        <v>636</v>
      </c>
      <c r="F34" s="8">
        <f>IFERROR(VLOOKUP(Q34,PARTIDAS!$A:$P,13,FALSE),0)</f>
        <v>8229.0499567371608</v>
      </c>
      <c r="G34" s="8">
        <f>IFERROR(VLOOKUP(Q34,PARTIDAS!$A:$P,14,FALSE),0)</f>
        <v>8336.4864168243002</v>
      </c>
      <c r="H34" s="8">
        <f>IFERROR(VLOOKUP(Q34,PARTIDAS!$A:$P,15,FALSE),0)</f>
        <v>229.16797534397099</v>
      </c>
      <c r="I34" s="8">
        <f>IFERROR(VLOOKUP(Q34,PARTIDAS!$A:$P,16,FALSE),0)</f>
        <v>16794.70434890543</v>
      </c>
      <c r="J34" s="8">
        <f t="shared" ref="J34:J65" si="4">F34*$E34</f>
        <v>5233675.7724848343</v>
      </c>
      <c r="K34" s="8">
        <f t="shared" ref="K34:K65" si="5">G34*$E34</f>
        <v>5302005.3611002546</v>
      </c>
      <c r="L34" s="8">
        <f t="shared" ref="L34:L65" si="6">H34*$E34</f>
        <v>145750.83231876555</v>
      </c>
      <c r="M34" s="8">
        <f t="shared" ref="M34:M65" si="7">J34+K34+L34</f>
        <v>10681431.965903854</v>
      </c>
      <c r="Q34" s="5" t="s">
        <v>874</v>
      </c>
    </row>
    <row r="35" spans="1:17" x14ac:dyDescent="0.35">
      <c r="A35" s="5">
        <v>4.04</v>
      </c>
      <c r="B35" s="5" t="s">
        <v>868</v>
      </c>
      <c r="C35" s="5" t="s">
        <v>875</v>
      </c>
      <c r="D35" s="5" t="s">
        <v>866</v>
      </c>
      <c r="E35" s="6">
        <v>195</v>
      </c>
      <c r="F35" s="8">
        <f>IFERROR(VLOOKUP(Q35,PARTIDAS!$A:$P,13,FALSE),0)</f>
        <v>5807.1589216136008</v>
      </c>
      <c r="G35" s="8">
        <f>IFERROR(VLOOKUP(Q35,PARTIDAS!$A:$P,14,FALSE),0)</f>
        <v>5954.6331548745002</v>
      </c>
      <c r="H35" s="8">
        <f>IFERROR(VLOOKUP(Q35,PARTIDAS!$A:$P,15,FALSE),0)</f>
        <v>245.53710501320899</v>
      </c>
      <c r="I35" s="8">
        <f>IFERROR(VLOOKUP(Q35,PARTIDAS!$A:$P,16,FALSE),0)</f>
        <v>12007.329181501311</v>
      </c>
      <c r="J35" s="8">
        <f t="shared" si="4"/>
        <v>1132395.9897146521</v>
      </c>
      <c r="K35" s="8">
        <f t="shared" si="5"/>
        <v>1161153.4652005276</v>
      </c>
      <c r="L35" s="8">
        <f t="shared" si="6"/>
        <v>47879.735477575756</v>
      </c>
      <c r="M35" s="8">
        <f t="shared" si="7"/>
        <v>2341429.1903927554</v>
      </c>
      <c r="Q35" s="5" t="s">
        <v>876</v>
      </c>
    </row>
    <row r="36" spans="1:17" x14ac:dyDescent="0.35">
      <c r="A36" s="5">
        <v>4.05</v>
      </c>
      <c r="B36" s="5" t="s">
        <v>868</v>
      </c>
      <c r="C36" s="5" t="s">
        <v>877</v>
      </c>
      <c r="D36" s="5" t="s">
        <v>866</v>
      </c>
      <c r="E36" s="6">
        <v>30.053999999999998</v>
      </c>
      <c r="F36" s="8">
        <f>IFERROR(VLOOKUP(Q36,PARTIDAS!$A:$P,13,FALSE),0)</f>
        <v>17421.476862421601</v>
      </c>
      <c r="G36" s="8">
        <f>IFERROR(VLOOKUP(Q36,PARTIDAS!$A:$P,14,FALSE),0)</f>
        <v>35727.795771158359</v>
      </c>
      <c r="H36" s="8">
        <f>IFERROR(VLOOKUP(Q36,PARTIDAS!$A:$P,15,FALSE),0)</f>
        <v>491.07420446422998</v>
      </c>
      <c r="I36" s="8">
        <f>IFERROR(VLOOKUP(Q36,PARTIDAS!$A:$P,16,FALSE),0)</f>
        <v>53640.346838044192</v>
      </c>
      <c r="J36" s="8">
        <f t="shared" si="4"/>
        <v>523585.06562321878</v>
      </c>
      <c r="K36" s="8">
        <f t="shared" si="5"/>
        <v>1073763.1741063932</v>
      </c>
      <c r="L36" s="8">
        <f t="shared" si="6"/>
        <v>14758.744140967967</v>
      </c>
      <c r="M36" s="8">
        <f t="shared" si="7"/>
        <v>1612106.9838705801</v>
      </c>
      <c r="Q36" s="5" t="s">
        <v>878</v>
      </c>
    </row>
    <row r="37" spans="1:17" x14ac:dyDescent="0.35">
      <c r="A37" s="5">
        <v>4.0599999999999996</v>
      </c>
      <c r="B37" s="5" t="s">
        <v>868</v>
      </c>
      <c r="C37" s="5" t="s">
        <v>879</v>
      </c>
      <c r="D37" s="5" t="s">
        <v>866</v>
      </c>
      <c r="E37" s="6">
        <v>24</v>
      </c>
      <c r="F37" s="8">
        <f>IFERROR(VLOOKUP(Q37,PARTIDAS!$A:$P,13,FALSE),0)</f>
        <v>28704.0999315474</v>
      </c>
      <c r="G37" s="8">
        <f>IFERROR(VLOOKUP(Q37,PARTIDAS!$A:$P,14,FALSE),0)</f>
        <v>14682.225438635374</v>
      </c>
      <c r="H37" s="8">
        <f>IFERROR(VLOOKUP(Q37,PARTIDAS!$A:$P,15,FALSE),0)</f>
        <v>298.91473315214</v>
      </c>
      <c r="I37" s="8">
        <f>IFERROR(VLOOKUP(Q37,PARTIDAS!$A:$P,16,FALSE),0)</f>
        <v>43685.240103334916</v>
      </c>
      <c r="J37" s="8">
        <f t="shared" si="4"/>
        <v>688898.39835713757</v>
      </c>
      <c r="K37" s="8">
        <f t="shared" si="5"/>
        <v>352373.41052724898</v>
      </c>
      <c r="L37" s="8">
        <f t="shared" si="6"/>
        <v>7173.95359565136</v>
      </c>
      <c r="M37" s="8">
        <f t="shared" si="7"/>
        <v>1048445.7624800379</v>
      </c>
      <c r="Q37" s="5" t="s">
        <v>880</v>
      </c>
    </row>
    <row r="38" spans="1:17" x14ac:dyDescent="0.35">
      <c r="A38" s="5">
        <v>4.07</v>
      </c>
      <c r="B38" s="5" t="s">
        <v>868</v>
      </c>
      <c r="C38" s="5" t="s">
        <v>881</v>
      </c>
      <c r="D38" s="5" t="s">
        <v>356</v>
      </c>
      <c r="E38" s="6">
        <v>81</v>
      </c>
      <c r="F38" s="8">
        <f>IFERROR(VLOOKUP(Q38,PARTIDAS!$A:$P,13,FALSE),0)</f>
        <v>17364.130552804298</v>
      </c>
      <c r="G38" s="8">
        <f>IFERROR(VLOOKUP(Q38,PARTIDAS!$A:$P,14,FALSE),0)</f>
        <v>6926.4993140368006</v>
      </c>
      <c r="H38" s="8">
        <f>IFERROR(VLOOKUP(Q38,PARTIDAS!$A:$P,15,FALSE),0)</f>
        <v>364.35939999999999</v>
      </c>
      <c r="I38" s="8">
        <f>IFERROR(VLOOKUP(Q38,PARTIDAS!$A:$P,16,FALSE),0)</f>
        <v>24654.989266841098</v>
      </c>
      <c r="J38" s="8">
        <f t="shared" si="4"/>
        <v>1406494.5747771482</v>
      </c>
      <c r="K38" s="8">
        <f t="shared" si="5"/>
        <v>561046.44443698088</v>
      </c>
      <c r="L38" s="8">
        <f t="shared" si="6"/>
        <v>29513.111399999998</v>
      </c>
      <c r="M38" s="8">
        <f t="shared" si="7"/>
        <v>1997054.1306141291</v>
      </c>
      <c r="Q38" s="5" t="s">
        <v>882</v>
      </c>
    </row>
    <row r="39" spans="1:17" x14ac:dyDescent="0.35">
      <c r="A39" s="5">
        <v>4.08</v>
      </c>
      <c r="B39" s="5" t="s">
        <v>868</v>
      </c>
      <c r="C39" s="5" t="s">
        <v>883</v>
      </c>
      <c r="D39" s="5" t="s">
        <v>470</v>
      </c>
      <c r="E39" s="6">
        <v>1</v>
      </c>
      <c r="F39" s="8">
        <f>IFERROR(VLOOKUP(Q39,PARTIDAS!$A:$P,13,FALSE),0)</f>
        <v>451217.94807569397</v>
      </c>
      <c r="G39" s="8">
        <f>IFERROR(VLOOKUP(Q39,PARTIDAS!$A:$P,14,FALSE),0)</f>
        <v>426669.73</v>
      </c>
      <c r="H39" s="8">
        <f>IFERROR(VLOOKUP(Q39,PARTIDAS!$A:$P,15,FALSE),0)</f>
        <v>13168.315000000001</v>
      </c>
      <c r="I39" s="8">
        <f>IFERROR(VLOOKUP(Q39,PARTIDAS!$A:$P,16,FALSE),0)</f>
        <v>891055.99307569396</v>
      </c>
      <c r="J39" s="8">
        <f t="shared" si="4"/>
        <v>451217.94807569397</v>
      </c>
      <c r="K39" s="8">
        <f t="shared" si="5"/>
        <v>426669.73</v>
      </c>
      <c r="L39" s="8">
        <f t="shared" si="6"/>
        <v>13168.315000000001</v>
      </c>
      <c r="M39" s="8">
        <f t="shared" si="7"/>
        <v>891055.99307569396</v>
      </c>
      <c r="Q39" s="5" t="s">
        <v>884</v>
      </c>
    </row>
    <row r="40" spans="1:17" x14ac:dyDescent="0.35">
      <c r="A40" s="5">
        <v>5.01</v>
      </c>
      <c r="B40" s="5" t="s">
        <v>885</v>
      </c>
      <c r="C40" s="5" t="s">
        <v>886</v>
      </c>
      <c r="D40" s="5" t="s">
        <v>866</v>
      </c>
      <c r="E40" s="6">
        <v>139.05000000000001</v>
      </c>
      <c r="F40" s="8">
        <f>IFERROR(VLOOKUP(Q40,PARTIDAS!$A:$P,13,FALSE),0)</f>
        <v>9809.5604840452434</v>
      </c>
      <c r="G40" s="8">
        <f>IFERROR(VLOOKUP(Q40,PARTIDAS!$A:$P,14,FALSE),0)</f>
        <v>7502.8373080000001</v>
      </c>
      <c r="H40" s="8">
        <f>IFERROR(VLOOKUP(Q40,PARTIDAS!$A:$P,15,FALSE),0)</f>
        <v>31.337343999999998</v>
      </c>
      <c r="I40" s="8">
        <f>IFERROR(VLOOKUP(Q40,PARTIDAS!$A:$P,16,FALSE),0)</f>
        <v>17343.735136045245</v>
      </c>
      <c r="J40" s="8">
        <f t="shared" si="4"/>
        <v>1364019.3853064913</v>
      </c>
      <c r="K40" s="8">
        <f t="shared" si="5"/>
        <v>1043269.5276774002</v>
      </c>
      <c r="L40" s="8">
        <f t="shared" si="6"/>
        <v>4357.4576832000002</v>
      </c>
      <c r="M40" s="8">
        <f t="shared" si="7"/>
        <v>2411646.3706670916</v>
      </c>
      <c r="Q40" s="5" t="s">
        <v>887</v>
      </c>
    </row>
    <row r="41" spans="1:17" x14ac:dyDescent="0.35">
      <c r="A41" s="5">
        <v>5.0199999999999996</v>
      </c>
      <c r="B41" s="5" t="s">
        <v>885</v>
      </c>
      <c r="C41" s="5" t="s">
        <v>888</v>
      </c>
      <c r="D41" s="5" t="s">
        <v>866</v>
      </c>
      <c r="E41" s="6">
        <v>300</v>
      </c>
      <c r="F41" s="8">
        <f>IFERROR(VLOOKUP(Q41,PARTIDAS!$A:$P,13,FALSE),0)</f>
        <v>758.10738300000003</v>
      </c>
      <c r="G41" s="8">
        <f>IFERROR(VLOOKUP(Q41,PARTIDAS!$A:$P,14,FALSE),0)</f>
        <v>3395.9553221949</v>
      </c>
      <c r="H41" s="8">
        <f>IFERROR(VLOOKUP(Q41,PARTIDAS!$A:$P,15,FALSE),0)</f>
        <v>122.768565522561</v>
      </c>
      <c r="I41" s="8">
        <f>IFERROR(VLOOKUP(Q41,PARTIDAS!$A:$P,16,FALSE),0)</f>
        <v>4276.8312707174609</v>
      </c>
      <c r="J41" s="8">
        <f t="shared" si="4"/>
        <v>227432.21490000002</v>
      </c>
      <c r="K41" s="8">
        <f t="shared" si="5"/>
        <v>1018786.59665847</v>
      </c>
      <c r="L41" s="8">
        <f t="shared" si="6"/>
        <v>36830.569656768304</v>
      </c>
      <c r="M41" s="8">
        <f t="shared" si="7"/>
        <v>1283049.3812152385</v>
      </c>
      <c r="Q41" s="5" t="s">
        <v>889</v>
      </c>
    </row>
    <row r="42" spans="1:17" x14ac:dyDescent="0.35">
      <c r="A42" s="5">
        <v>5.03</v>
      </c>
      <c r="B42" s="5" t="s">
        <v>885</v>
      </c>
      <c r="C42" s="5" t="s">
        <v>890</v>
      </c>
      <c r="D42" s="5" t="s">
        <v>866</v>
      </c>
      <c r="E42" s="6">
        <v>48</v>
      </c>
      <c r="F42" s="8">
        <f>IFERROR(VLOOKUP(Q42,PARTIDAS!$A:$P,13,FALSE),0)</f>
        <v>758.10738300000003</v>
      </c>
      <c r="G42" s="8">
        <f>IFERROR(VLOOKUP(Q42,PARTIDAS!$A:$P,14,FALSE),0)</f>
        <v>3395.9553221949</v>
      </c>
      <c r="H42" s="8">
        <f>IFERROR(VLOOKUP(Q42,PARTIDAS!$A:$P,15,FALSE),0)</f>
        <v>122.768565522561</v>
      </c>
      <c r="I42" s="8">
        <f>IFERROR(VLOOKUP(Q42,PARTIDAS!$A:$P,16,FALSE),0)</f>
        <v>4276.8312707174609</v>
      </c>
      <c r="J42" s="8">
        <f t="shared" si="4"/>
        <v>36389.154384000001</v>
      </c>
      <c r="K42" s="8">
        <f t="shared" si="5"/>
        <v>163005.85546535521</v>
      </c>
      <c r="L42" s="8">
        <f t="shared" si="6"/>
        <v>5892.8911450829282</v>
      </c>
      <c r="M42" s="8">
        <f t="shared" si="7"/>
        <v>205287.90099443813</v>
      </c>
      <c r="Q42" s="5" t="s">
        <v>891</v>
      </c>
    </row>
    <row r="43" spans="1:17" x14ac:dyDescent="0.35">
      <c r="A43" s="5">
        <v>5.04</v>
      </c>
      <c r="B43" s="5" t="s">
        <v>885</v>
      </c>
      <c r="C43" s="5" t="s">
        <v>892</v>
      </c>
      <c r="D43" s="5" t="s">
        <v>866</v>
      </c>
      <c r="E43" s="6">
        <v>262</v>
      </c>
      <c r="F43" s="8">
        <f>IFERROR(VLOOKUP(Q43,PARTIDAS!$A:$P,13,FALSE),0)</f>
        <v>3502.8</v>
      </c>
      <c r="G43" s="8">
        <f>IFERROR(VLOOKUP(Q43,PARTIDAS!$A:$P,14,FALSE),0)</f>
        <v>0</v>
      </c>
      <c r="H43" s="8">
        <f>IFERROR(VLOOKUP(Q43,PARTIDAS!$A:$P,15,FALSE),0)</f>
        <v>0</v>
      </c>
      <c r="I43" s="8">
        <f>IFERROR(VLOOKUP(Q43,PARTIDAS!$A:$P,16,FALSE),0)</f>
        <v>3502.8</v>
      </c>
      <c r="J43" s="8">
        <f t="shared" si="4"/>
        <v>917733.60000000009</v>
      </c>
      <c r="K43" s="8">
        <f t="shared" si="5"/>
        <v>0</v>
      </c>
      <c r="L43" s="8">
        <f t="shared" si="6"/>
        <v>0</v>
      </c>
      <c r="M43" s="8">
        <f t="shared" si="7"/>
        <v>917733.60000000009</v>
      </c>
      <c r="Q43" s="5" t="s">
        <v>893</v>
      </c>
    </row>
    <row r="44" spans="1:17" x14ac:dyDescent="0.35">
      <c r="A44" s="5">
        <v>5.05</v>
      </c>
      <c r="B44" s="5" t="s">
        <v>885</v>
      </c>
      <c r="C44" s="5" t="s">
        <v>894</v>
      </c>
      <c r="D44" s="5" t="s">
        <v>866</v>
      </c>
      <c r="E44" s="6">
        <v>510</v>
      </c>
      <c r="F44" s="8">
        <f>IFERROR(VLOOKUP(Q44,PARTIDAS!$A:$P,13,FALSE),0)</f>
        <v>1273.3408098452398</v>
      </c>
      <c r="G44" s="8">
        <f>IFERROR(VLOOKUP(Q44,PARTIDAS!$A:$P,14,FALSE),0)</f>
        <v>1563.0911249999999</v>
      </c>
      <c r="H44" s="8">
        <f>IFERROR(VLOOKUP(Q44,PARTIDAS!$A:$P,15,FALSE),0)</f>
        <v>9.7929200000000005</v>
      </c>
      <c r="I44" s="8">
        <f>IFERROR(VLOOKUP(Q44,PARTIDAS!$A:$P,16,FALSE),0)</f>
        <v>2846.2248548452399</v>
      </c>
      <c r="J44" s="8">
        <f t="shared" si="4"/>
        <v>649403.8130210723</v>
      </c>
      <c r="K44" s="8">
        <f t="shared" si="5"/>
        <v>797176.47375</v>
      </c>
      <c r="L44" s="8">
        <f t="shared" si="6"/>
        <v>4994.3892000000005</v>
      </c>
      <c r="M44" s="8">
        <f t="shared" si="7"/>
        <v>1451574.6759710724</v>
      </c>
      <c r="Q44" s="5" t="s">
        <v>895</v>
      </c>
    </row>
    <row r="45" spans="1:17" x14ac:dyDescent="0.35">
      <c r="A45" s="5">
        <v>5.0599999999999996</v>
      </c>
      <c r="B45" s="5" t="s">
        <v>885</v>
      </c>
      <c r="C45" s="5" t="s">
        <v>896</v>
      </c>
      <c r="D45" s="5" t="s">
        <v>866</v>
      </c>
      <c r="E45" s="6">
        <v>510</v>
      </c>
      <c r="F45" s="8">
        <f>IFERROR(VLOOKUP(Q45,PARTIDAS!$A:$P,13,FALSE),0)</f>
        <v>9809.5604840452434</v>
      </c>
      <c r="G45" s="8">
        <f>IFERROR(VLOOKUP(Q45,PARTIDAS!$A:$P,14,FALSE),0)</f>
        <v>7502.8373080000001</v>
      </c>
      <c r="H45" s="8">
        <f>IFERROR(VLOOKUP(Q45,PARTIDAS!$A:$P,15,FALSE),0)</f>
        <v>31.337343999999998</v>
      </c>
      <c r="I45" s="8">
        <f>IFERROR(VLOOKUP(Q45,PARTIDAS!$A:$P,16,FALSE),0)</f>
        <v>17343.735136045245</v>
      </c>
      <c r="J45" s="8">
        <f t="shared" si="4"/>
        <v>5002875.8468630742</v>
      </c>
      <c r="K45" s="8">
        <f t="shared" si="5"/>
        <v>3826447.0270799999</v>
      </c>
      <c r="L45" s="8">
        <f t="shared" si="6"/>
        <v>15982.04544</v>
      </c>
      <c r="M45" s="8">
        <f t="shared" si="7"/>
        <v>8845304.9193830732</v>
      </c>
      <c r="Q45" s="5" t="s">
        <v>897</v>
      </c>
    </row>
    <row r="46" spans="1:17" x14ac:dyDescent="0.35">
      <c r="A46" s="5">
        <v>5.07</v>
      </c>
      <c r="B46" s="5" t="s">
        <v>885</v>
      </c>
      <c r="C46" s="5" t="s">
        <v>691</v>
      </c>
      <c r="D46" s="5" t="s">
        <v>470</v>
      </c>
      <c r="E46" s="6">
        <v>1</v>
      </c>
      <c r="F46" s="8">
        <f>IFERROR(VLOOKUP(Q46,PARTIDAS!$A:$P,13,FALSE),0)</f>
        <v>0</v>
      </c>
      <c r="G46" s="8">
        <f>IFERROR(VLOOKUP(Q46,PARTIDAS!$A:$P,14,FALSE),0)</f>
        <v>13500000</v>
      </c>
      <c r="H46" s="8">
        <f>IFERROR(VLOOKUP(Q46,PARTIDAS!$A:$P,15,FALSE),0)</f>
        <v>0</v>
      </c>
      <c r="I46" s="8">
        <f>IFERROR(VLOOKUP(Q46,PARTIDAS!$A:$P,16,FALSE),0)</f>
        <v>13500000</v>
      </c>
      <c r="J46" s="8">
        <f t="shared" si="4"/>
        <v>0</v>
      </c>
      <c r="K46" s="8">
        <f t="shared" si="5"/>
        <v>13500000</v>
      </c>
      <c r="L46" s="8">
        <f t="shared" si="6"/>
        <v>0</v>
      </c>
      <c r="M46" s="8">
        <f t="shared" si="7"/>
        <v>13500000</v>
      </c>
      <c r="Q46" s="5" t="s">
        <v>898</v>
      </c>
    </row>
    <row r="47" spans="1:17" x14ac:dyDescent="0.35">
      <c r="A47" s="5">
        <v>6.02</v>
      </c>
      <c r="B47" s="5" t="s">
        <v>899</v>
      </c>
      <c r="C47" s="5" t="s">
        <v>900</v>
      </c>
      <c r="D47" s="5" t="s">
        <v>356</v>
      </c>
      <c r="E47" s="6">
        <v>60</v>
      </c>
      <c r="F47" s="8">
        <f>IFERROR(VLOOKUP(Q47,PARTIDAS!$A:$P,13,FALSE),0)</f>
        <v>13939.396548429751</v>
      </c>
      <c r="G47" s="8">
        <f>IFERROR(VLOOKUP(Q47,PARTIDAS!$A:$P,14,FALSE),0)</f>
        <v>4329.9035670096</v>
      </c>
      <c r="H47" s="8">
        <f>IFERROR(VLOOKUP(Q47,PARTIDAS!$A:$P,15,FALSE),0)</f>
        <v>14004.342500000001</v>
      </c>
      <c r="I47" s="8">
        <f>IFERROR(VLOOKUP(Q47,PARTIDAS!$A:$P,16,FALSE),0)</f>
        <v>32273.642615439348</v>
      </c>
      <c r="J47" s="8">
        <f t="shared" si="4"/>
        <v>836363.79290578514</v>
      </c>
      <c r="K47" s="8">
        <f t="shared" si="5"/>
        <v>259794.21402057601</v>
      </c>
      <c r="L47" s="8">
        <f t="shared" si="6"/>
        <v>840260.55</v>
      </c>
      <c r="M47" s="8">
        <f t="shared" si="7"/>
        <v>1936418.5569263613</v>
      </c>
      <c r="Q47" s="5" t="s">
        <v>901</v>
      </c>
    </row>
    <row r="48" spans="1:17" x14ac:dyDescent="0.35">
      <c r="A48" s="5">
        <v>7.01</v>
      </c>
      <c r="B48" s="5" t="s">
        <v>902</v>
      </c>
      <c r="C48" s="5" t="s">
        <v>903</v>
      </c>
      <c r="D48" s="5" t="s">
        <v>866</v>
      </c>
      <c r="E48" s="6">
        <v>678.25199999999995</v>
      </c>
      <c r="F48" s="8">
        <f>IFERROR(VLOOKUP(Q48,PARTIDAS!$A:$P,13,FALSE),0)</f>
        <v>3747.8693230000003</v>
      </c>
      <c r="G48" s="8">
        <f>IFERROR(VLOOKUP(Q48,PARTIDAS!$A:$P,14,FALSE),0)</f>
        <v>9136.8339782643998</v>
      </c>
      <c r="H48" s="8">
        <f>IFERROR(VLOOKUP(Q48,PARTIDAS!$A:$P,15,FALSE),0)</f>
        <v>298.91473315214</v>
      </c>
      <c r="I48" s="8">
        <f>IFERROR(VLOOKUP(Q48,PARTIDAS!$A:$P,16,FALSE),0)</f>
        <v>13183.61803441654</v>
      </c>
      <c r="J48" s="8">
        <f t="shared" si="4"/>
        <v>2541999.8640633961</v>
      </c>
      <c r="K48" s="8">
        <f t="shared" si="5"/>
        <v>6197075.9194257855</v>
      </c>
      <c r="L48" s="8">
        <f t="shared" si="6"/>
        <v>202739.51558990523</v>
      </c>
      <c r="M48" s="8">
        <f t="shared" si="7"/>
        <v>8941815.2990790885</v>
      </c>
      <c r="Q48" s="5" t="s">
        <v>904</v>
      </c>
    </row>
    <row r="49" spans="1:17" x14ac:dyDescent="0.35">
      <c r="A49" s="5">
        <v>7.02</v>
      </c>
      <c r="B49" s="5" t="s">
        <v>902</v>
      </c>
      <c r="C49" s="5" t="s">
        <v>905</v>
      </c>
      <c r="D49" s="5" t="s">
        <v>866</v>
      </c>
      <c r="E49" s="6">
        <v>876.08119999999985</v>
      </c>
      <c r="F49" s="8">
        <f>IFERROR(VLOOKUP(Q49,PARTIDAS!$A:$P,13,FALSE),0)</f>
        <v>3747.8693230000003</v>
      </c>
      <c r="G49" s="8">
        <f>IFERROR(VLOOKUP(Q49,PARTIDAS!$A:$P,14,FALSE),0)</f>
        <v>13134.19925</v>
      </c>
      <c r="H49" s="8">
        <f>IFERROR(VLOOKUP(Q49,PARTIDAS!$A:$P,15,FALSE),0)</f>
        <v>766.41030000000001</v>
      </c>
      <c r="I49" s="8">
        <f>IFERROR(VLOOKUP(Q49,PARTIDAS!$A:$P,16,FALSE),0)</f>
        <v>17648.478873</v>
      </c>
      <c r="J49" s="8">
        <f t="shared" si="4"/>
        <v>3283437.8539370275</v>
      </c>
      <c r="K49" s="8">
        <f t="shared" si="5"/>
        <v>11506625.039979098</v>
      </c>
      <c r="L49" s="8">
        <f t="shared" si="6"/>
        <v>671437.65531635995</v>
      </c>
      <c r="M49" s="8">
        <f t="shared" si="7"/>
        <v>15461500.549232487</v>
      </c>
      <c r="Q49" s="5" t="s">
        <v>906</v>
      </c>
    </row>
    <row r="50" spans="1:17" x14ac:dyDescent="0.35">
      <c r="A50" s="5">
        <v>7.03</v>
      </c>
      <c r="B50" s="5" t="s">
        <v>902</v>
      </c>
      <c r="C50" s="5" t="s">
        <v>693</v>
      </c>
      <c r="D50" s="5" t="s">
        <v>356</v>
      </c>
      <c r="E50" s="6">
        <v>182</v>
      </c>
      <c r="F50" s="8">
        <f>IFERROR(VLOOKUP(Q50,PARTIDAS!$A:$P,13,FALSE),0)</f>
        <v>0</v>
      </c>
      <c r="G50" s="8">
        <f>IFERROR(VLOOKUP(Q50,PARTIDAS!$A:$P,14,FALSE),0)</f>
        <v>8597.4064999999991</v>
      </c>
      <c r="H50" s="8">
        <f>IFERROR(VLOOKUP(Q50,PARTIDAS!$A:$P,15,FALSE),0)</f>
        <v>0</v>
      </c>
      <c r="I50" s="8">
        <f>IFERROR(VLOOKUP(Q50,PARTIDAS!$A:$P,16,FALSE),0)</f>
        <v>8597.4064999999991</v>
      </c>
      <c r="J50" s="8">
        <f t="shared" si="4"/>
        <v>0</v>
      </c>
      <c r="K50" s="8">
        <f t="shared" si="5"/>
        <v>1564727.9829999998</v>
      </c>
      <c r="L50" s="8">
        <f t="shared" si="6"/>
        <v>0</v>
      </c>
      <c r="M50" s="8">
        <f t="shared" si="7"/>
        <v>1564727.9829999998</v>
      </c>
      <c r="Q50" s="5" t="s">
        <v>907</v>
      </c>
    </row>
    <row r="51" spans="1:17" x14ac:dyDescent="0.35">
      <c r="A51" s="5">
        <v>7.04</v>
      </c>
      <c r="B51" s="5" t="s">
        <v>902</v>
      </c>
      <c r="C51" s="5" t="s">
        <v>908</v>
      </c>
      <c r="D51" s="5" t="s">
        <v>866</v>
      </c>
      <c r="E51" s="6">
        <v>995.85109999999997</v>
      </c>
      <c r="F51" s="8">
        <f>IFERROR(VLOOKUP(Q51,PARTIDAS!$A:$P,13,FALSE),0)</f>
        <v>2606.075593</v>
      </c>
      <c r="G51" s="8">
        <f>IFERROR(VLOOKUP(Q51,PARTIDAS!$A:$P,14,FALSE),0)</f>
        <v>17928.3844172627</v>
      </c>
      <c r="H51" s="8">
        <f>IFERROR(VLOOKUP(Q51,PARTIDAS!$A:$P,15,FALSE),0)</f>
        <v>572.91992534397093</v>
      </c>
      <c r="I51" s="8">
        <f>IFERROR(VLOOKUP(Q51,PARTIDAS!$A:$P,16,FALSE),0)</f>
        <v>21107.37993560667</v>
      </c>
      <c r="J51" s="8">
        <f t="shared" si="4"/>
        <v>2595263.2459722022</v>
      </c>
      <c r="K51" s="8">
        <f t="shared" si="5"/>
        <v>17854001.343153916</v>
      </c>
      <c r="L51" s="8">
        <f t="shared" si="6"/>
        <v>570542.93786571128</v>
      </c>
      <c r="M51" s="8">
        <f t="shared" si="7"/>
        <v>21019807.526991829</v>
      </c>
      <c r="Q51" s="5" t="s">
        <v>909</v>
      </c>
    </row>
    <row r="52" spans="1:17" x14ac:dyDescent="0.35">
      <c r="A52" s="5">
        <v>7.05</v>
      </c>
      <c r="B52" s="5" t="s">
        <v>902</v>
      </c>
      <c r="C52" s="5" t="s">
        <v>910</v>
      </c>
      <c r="D52" s="5" t="s">
        <v>866</v>
      </c>
      <c r="E52" s="6">
        <v>2514.8970000000008</v>
      </c>
      <c r="F52" s="8">
        <f>IFERROR(VLOOKUP(Q52,PARTIDAS!$A:$P,13,FALSE),0)</f>
        <v>5135.3397424288005</v>
      </c>
      <c r="G52" s="8">
        <f>IFERROR(VLOOKUP(Q52,PARTIDAS!$A:$P,14,FALSE),0)</f>
        <v>12817.951499999999</v>
      </c>
      <c r="H52" s="8">
        <f>IFERROR(VLOOKUP(Q52,PARTIDAS!$A:$P,15,FALSE),0)</f>
        <v>0</v>
      </c>
      <c r="I52" s="8">
        <f>IFERROR(VLOOKUP(Q52,PARTIDAS!$A:$P,16,FALSE),0)</f>
        <v>17953.291242428801</v>
      </c>
      <c r="J52" s="8">
        <f t="shared" si="4"/>
        <v>12914850.512214968</v>
      </c>
      <c r="K52" s="8">
        <f t="shared" si="5"/>
        <v>32235827.77349551</v>
      </c>
      <c r="L52" s="8">
        <f t="shared" si="6"/>
        <v>0</v>
      </c>
      <c r="M52" s="8">
        <f t="shared" si="7"/>
        <v>45150678.285710476</v>
      </c>
      <c r="Q52" s="5" t="s">
        <v>911</v>
      </c>
    </row>
    <row r="53" spans="1:17" x14ac:dyDescent="0.35">
      <c r="A53" s="5">
        <v>7.06</v>
      </c>
      <c r="B53" s="5" t="s">
        <v>902</v>
      </c>
      <c r="C53" s="5" t="s">
        <v>912</v>
      </c>
      <c r="D53" s="5" t="s">
        <v>356</v>
      </c>
      <c r="E53" s="6">
        <v>509.9</v>
      </c>
      <c r="F53" s="8">
        <f>IFERROR(VLOOKUP(Q53,PARTIDAS!$A:$P,13,FALSE),0)</f>
        <v>0</v>
      </c>
      <c r="G53" s="8">
        <f>IFERROR(VLOOKUP(Q53,PARTIDAS!$A:$P,14,FALSE),0)</f>
        <v>10160.5713</v>
      </c>
      <c r="H53" s="8">
        <f>IFERROR(VLOOKUP(Q53,PARTIDAS!$A:$P,15,FALSE),0)</f>
        <v>0</v>
      </c>
      <c r="I53" s="8">
        <f>IFERROR(VLOOKUP(Q53,PARTIDAS!$A:$P,16,FALSE),0)</f>
        <v>10160.5713</v>
      </c>
      <c r="J53" s="8">
        <f t="shared" si="4"/>
        <v>0</v>
      </c>
      <c r="K53" s="8">
        <f t="shared" si="5"/>
        <v>5180875.3058699993</v>
      </c>
      <c r="L53" s="8">
        <f t="shared" si="6"/>
        <v>0</v>
      </c>
      <c r="M53" s="8">
        <f t="shared" si="7"/>
        <v>5180875.3058699993</v>
      </c>
      <c r="Q53" s="5" t="s">
        <v>913</v>
      </c>
    </row>
    <row r="54" spans="1:17" x14ac:dyDescent="0.35">
      <c r="A54" s="5">
        <v>7.07</v>
      </c>
      <c r="B54" s="5" t="s">
        <v>902</v>
      </c>
      <c r="C54" s="5" t="s">
        <v>914</v>
      </c>
      <c r="D54" s="5" t="s">
        <v>284</v>
      </c>
      <c r="E54" s="6">
        <v>198</v>
      </c>
      <c r="F54" s="8">
        <f>IFERROR(VLOOKUP(Q54,PARTIDAS!$A:$P,13,FALSE),0)</f>
        <v>1217.7454539600001</v>
      </c>
      <c r="G54" s="8">
        <f>IFERROR(VLOOKUP(Q54,PARTIDAS!$A:$P,14,FALSE),0)</f>
        <v>10673.731461535064</v>
      </c>
      <c r="H54" s="8">
        <f>IFERROR(VLOOKUP(Q54,PARTIDAS!$A:$P,15,FALSE),0)</f>
        <v>0</v>
      </c>
      <c r="I54" s="8">
        <f>IFERROR(VLOOKUP(Q54,PARTIDAS!$A:$P,16,FALSE),0)</f>
        <v>11891.476915495065</v>
      </c>
      <c r="J54" s="8">
        <f t="shared" si="4"/>
        <v>241113.59988408</v>
      </c>
      <c r="K54" s="8">
        <f t="shared" si="5"/>
        <v>2113398.8293839428</v>
      </c>
      <c r="L54" s="8">
        <f t="shared" si="6"/>
        <v>0</v>
      </c>
      <c r="M54" s="8">
        <f t="shared" si="7"/>
        <v>2354512.429268023</v>
      </c>
      <c r="Q54" s="5" t="s">
        <v>915</v>
      </c>
    </row>
    <row r="55" spans="1:17" x14ac:dyDescent="0.35">
      <c r="A55" s="5">
        <v>7.08</v>
      </c>
      <c r="B55" s="5" t="s">
        <v>902</v>
      </c>
      <c r="C55" s="5" t="s">
        <v>916</v>
      </c>
      <c r="D55" s="5" t="s">
        <v>866</v>
      </c>
      <c r="E55" s="6">
        <v>670.322</v>
      </c>
      <c r="F55" s="8">
        <f>IFERROR(VLOOKUP(Q55,PARTIDAS!$A:$P,13,FALSE),0)</f>
        <v>3747.8693230000003</v>
      </c>
      <c r="G55" s="8">
        <f>IFERROR(VLOOKUP(Q55,PARTIDAS!$A:$P,14,FALSE),0)</f>
        <v>9136.8339782643998</v>
      </c>
      <c r="H55" s="8">
        <f>IFERROR(VLOOKUP(Q55,PARTIDAS!$A:$P,15,FALSE),0)</f>
        <v>298.91473315214</v>
      </c>
      <c r="I55" s="8">
        <f>IFERROR(VLOOKUP(Q55,PARTIDAS!$A:$P,16,FALSE),0)</f>
        <v>13183.61803441654</v>
      </c>
      <c r="J55" s="8">
        <f t="shared" si="4"/>
        <v>2512279.260332006</v>
      </c>
      <c r="K55" s="8">
        <f t="shared" si="5"/>
        <v>6124620.8259781487</v>
      </c>
      <c r="L55" s="8">
        <f t="shared" si="6"/>
        <v>200369.1217560088</v>
      </c>
      <c r="M55" s="8">
        <f t="shared" si="7"/>
        <v>8837269.2080661636</v>
      </c>
      <c r="Q55" s="5" t="s">
        <v>917</v>
      </c>
    </row>
    <row r="56" spans="1:17" x14ac:dyDescent="0.35">
      <c r="A56" s="5">
        <v>8.01</v>
      </c>
      <c r="B56" s="5" t="s">
        <v>918</v>
      </c>
      <c r="C56" s="5" t="s">
        <v>919</v>
      </c>
      <c r="D56" s="5" t="s">
        <v>866</v>
      </c>
      <c r="E56" s="6">
        <v>104</v>
      </c>
      <c r="F56" s="8">
        <f>IFERROR(VLOOKUP(Q56,PARTIDAS!$A:$P,13,FALSE),0)</f>
        <v>9763.5190306500008</v>
      </c>
      <c r="G56" s="8">
        <f>IFERROR(VLOOKUP(Q56,PARTIDAS!$A:$P,14,FALSE),0)</f>
        <v>15181.2897147966</v>
      </c>
      <c r="H56" s="8">
        <f>IFERROR(VLOOKUP(Q56,PARTIDAS!$A:$P,15,FALSE),0)</f>
        <v>451.34429097311397</v>
      </c>
      <c r="I56" s="8">
        <f>IFERROR(VLOOKUP(Q56,PARTIDAS!$A:$P,16,FALSE),0)</f>
        <v>25396.153036419713</v>
      </c>
      <c r="J56" s="8">
        <f t="shared" si="4"/>
        <v>1015405.9791876001</v>
      </c>
      <c r="K56" s="8">
        <f t="shared" si="5"/>
        <v>1578854.1303388462</v>
      </c>
      <c r="L56" s="8">
        <f t="shared" si="6"/>
        <v>46939.806261203856</v>
      </c>
      <c r="M56" s="8">
        <f t="shared" si="7"/>
        <v>2641199.9157876498</v>
      </c>
      <c r="Q56" s="5" t="s">
        <v>920</v>
      </c>
    </row>
    <row r="57" spans="1:17" x14ac:dyDescent="0.35">
      <c r="A57" s="5">
        <v>8.02</v>
      </c>
      <c r="B57" s="5" t="s">
        <v>918</v>
      </c>
      <c r="C57" s="5" t="s">
        <v>196</v>
      </c>
      <c r="D57" s="5" t="s">
        <v>866</v>
      </c>
      <c r="E57" s="6">
        <v>48</v>
      </c>
      <c r="F57" s="8">
        <f>IFERROR(VLOOKUP(Q57,PARTIDAS!$A:$P,13,FALSE),0)</f>
        <v>13518.025374200002</v>
      </c>
      <c r="G57" s="8">
        <f>IFERROR(VLOOKUP(Q57,PARTIDAS!$A:$P,14,FALSE),0)</f>
        <v>15681.2897147966</v>
      </c>
      <c r="H57" s="8">
        <f>IFERROR(VLOOKUP(Q57,PARTIDAS!$A:$P,15,FALSE),0)</f>
        <v>451.34429097311397</v>
      </c>
      <c r="I57" s="8">
        <f>IFERROR(VLOOKUP(Q57,PARTIDAS!$A:$P,16,FALSE),0)</f>
        <v>29650.659379969715</v>
      </c>
      <c r="J57" s="8">
        <f t="shared" si="4"/>
        <v>648865.21796160005</v>
      </c>
      <c r="K57" s="8">
        <f t="shared" si="5"/>
        <v>752701.90631023678</v>
      </c>
      <c r="L57" s="8">
        <f t="shared" si="6"/>
        <v>21664.525966709472</v>
      </c>
      <c r="M57" s="8">
        <f t="shared" si="7"/>
        <v>1423231.6502385463</v>
      </c>
      <c r="Q57" s="5" t="s">
        <v>921</v>
      </c>
    </row>
    <row r="58" spans="1:17" x14ac:dyDescent="0.35">
      <c r="A58" s="5">
        <v>8.0299999999999994</v>
      </c>
      <c r="B58" s="5" t="s">
        <v>918</v>
      </c>
      <c r="C58" s="5" t="s">
        <v>922</v>
      </c>
      <c r="D58" s="5" t="s">
        <v>866</v>
      </c>
      <c r="E58" s="6">
        <v>235</v>
      </c>
      <c r="F58" s="8">
        <f>IFERROR(VLOOKUP(Q58,PARTIDAS!$A:$P,13,FALSE),0)</f>
        <v>11716.222836780002</v>
      </c>
      <c r="G58" s="8">
        <f>IFERROR(VLOOKUP(Q58,PARTIDAS!$A:$P,14,FALSE),0)</f>
        <v>13663.160642601699</v>
      </c>
      <c r="H58" s="8">
        <f>IFERROR(VLOOKUP(Q58,PARTIDAS!$A:$P,15,FALSE),0)</f>
        <v>406.20987451344297</v>
      </c>
      <c r="I58" s="8">
        <f>IFERROR(VLOOKUP(Q58,PARTIDAS!$A:$P,16,FALSE),0)</f>
        <v>25785.593353895143</v>
      </c>
      <c r="J58" s="8">
        <f t="shared" si="4"/>
        <v>2753312.3666433003</v>
      </c>
      <c r="K58" s="8">
        <f t="shared" si="5"/>
        <v>3210842.7510113991</v>
      </c>
      <c r="L58" s="8">
        <f t="shared" si="6"/>
        <v>95459.320510659105</v>
      </c>
      <c r="M58" s="8">
        <f t="shared" si="7"/>
        <v>6059614.4381653592</v>
      </c>
      <c r="Q58" s="5" t="s">
        <v>923</v>
      </c>
    </row>
    <row r="59" spans="1:17" x14ac:dyDescent="0.35">
      <c r="A59" s="5">
        <v>8.0399999999999991</v>
      </c>
      <c r="B59" s="5" t="s">
        <v>918</v>
      </c>
      <c r="C59" s="5" t="s">
        <v>924</v>
      </c>
      <c r="D59" s="5" t="s">
        <v>866</v>
      </c>
      <c r="E59" s="6">
        <v>878</v>
      </c>
      <c r="F59" s="8">
        <f>IFERROR(VLOOKUP(Q59,PARTIDAS!$A:$P,13,FALSE),0)</f>
        <v>6431.8161560100007</v>
      </c>
      <c r="G59" s="8">
        <f>IFERROR(VLOOKUP(Q59,PARTIDAS!$A:$P,14,FALSE),0)</f>
        <v>8572.252428612599</v>
      </c>
      <c r="H59" s="8">
        <f>IFERROR(VLOOKUP(Q59,PARTIDAS!$A:$P,15,FALSE),0)</f>
        <v>116.902588702272</v>
      </c>
      <c r="I59" s="8">
        <f>IFERROR(VLOOKUP(Q59,PARTIDAS!$A:$P,16,FALSE),0)</f>
        <v>15120.971173324873</v>
      </c>
      <c r="J59" s="8">
        <f t="shared" si="4"/>
        <v>5647134.5849767802</v>
      </c>
      <c r="K59" s="8">
        <f t="shared" si="5"/>
        <v>7526437.6323218616</v>
      </c>
      <c r="L59" s="8">
        <f t="shared" si="6"/>
        <v>102640.47288059481</v>
      </c>
      <c r="M59" s="8">
        <f t="shared" si="7"/>
        <v>13276212.690179236</v>
      </c>
      <c r="Q59" s="5" t="s">
        <v>925</v>
      </c>
    </row>
    <row r="60" spans="1:17" x14ac:dyDescent="0.35">
      <c r="A60" s="5">
        <v>8.0500000000000007</v>
      </c>
      <c r="B60" s="5" t="s">
        <v>918</v>
      </c>
      <c r="C60" s="5" t="s">
        <v>926</v>
      </c>
      <c r="D60" s="5" t="s">
        <v>866</v>
      </c>
      <c r="E60" s="6">
        <v>564</v>
      </c>
      <c r="F60" s="8">
        <f>IFERROR(VLOOKUP(Q60,PARTIDAS!$A:$P,13,FALSE),0)</f>
        <v>3180.0905400000011</v>
      </c>
      <c r="G60" s="8">
        <f>IFERROR(VLOOKUP(Q60,PARTIDAS!$A:$P,14,FALSE),0)</f>
        <v>6505.5641170434992</v>
      </c>
      <c r="H60" s="8">
        <f>IFERROR(VLOOKUP(Q60,PARTIDAS!$A:$P,15,FALSE),0)</f>
        <v>210.627350531367</v>
      </c>
      <c r="I60" s="8">
        <f>IFERROR(VLOOKUP(Q60,PARTIDAS!$A:$P,16,FALSE),0)</f>
        <v>9896.2820075748677</v>
      </c>
      <c r="J60" s="8">
        <f t="shared" si="4"/>
        <v>1793571.0645600006</v>
      </c>
      <c r="K60" s="8">
        <f t="shared" si="5"/>
        <v>3669138.1620125338</v>
      </c>
      <c r="L60" s="8">
        <f t="shared" si="6"/>
        <v>118793.82569969099</v>
      </c>
      <c r="M60" s="8">
        <f t="shared" si="7"/>
        <v>5581503.0522722248</v>
      </c>
      <c r="Q60" s="5" t="s">
        <v>927</v>
      </c>
    </row>
    <row r="61" spans="1:17" x14ac:dyDescent="0.35">
      <c r="A61" s="5">
        <v>8.06</v>
      </c>
      <c r="B61" s="5" t="s">
        <v>918</v>
      </c>
      <c r="C61" s="5" t="s">
        <v>928</v>
      </c>
      <c r="D61" s="5" t="s">
        <v>866</v>
      </c>
      <c r="E61" s="6">
        <v>438</v>
      </c>
      <c r="F61" s="8">
        <f>IFERROR(VLOOKUP(Q61,PARTIDAS!$A:$P,13,FALSE),0)</f>
        <v>3180.0905400000011</v>
      </c>
      <c r="G61" s="8">
        <f>IFERROR(VLOOKUP(Q61,PARTIDAS!$A:$P,14,FALSE),0)</f>
        <v>6505.5641170434992</v>
      </c>
      <c r="H61" s="8">
        <f>IFERROR(VLOOKUP(Q61,PARTIDAS!$A:$P,15,FALSE),0)</f>
        <v>210.627350531367</v>
      </c>
      <c r="I61" s="8">
        <f>IFERROR(VLOOKUP(Q61,PARTIDAS!$A:$P,16,FALSE),0)</f>
        <v>9896.2820075748677</v>
      </c>
      <c r="J61" s="8">
        <f t="shared" si="4"/>
        <v>1392879.6565200004</v>
      </c>
      <c r="K61" s="8">
        <f t="shared" si="5"/>
        <v>2849437.0832650526</v>
      </c>
      <c r="L61" s="8">
        <f t="shared" si="6"/>
        <v>92254.779532738743</v>
      </c>
      <c r="M61" s="8">
        <f t="shared" si="7"/>
        <v>4334571.5193177918</v>
      </c>
      <c r="Q61" s="5" t="s">
        <v>929</v>
      </c>
    </row>
    <row r="62" spans="1:17" x14ac:dyDescent="0.35">
      <c r="A62" s="5">
        <v>8.07</v>
      </c>
      <c r="B62" s="5" t="s">
        <v>918</v>
      </c>
      <c r="C62" s="5" t="s">
        <v>930</v>
      </c>
      <c r="D62" s="5" t="s">
        <v>470</v>
      </c>
      <c r="E62" s="6">
        <v>1</v>
      </c>
      <c r="F62" s="8">
        <f>IFERROR(VLOOKUP(Q62,PARTIDAS!$A:$P,13,FALSE),0)</f>
        <v>1076227.6575</v>
      </c>
      <c r="G62" s="8">
        <f>IFERROR(VLOOKUP(Q62,PARTIDAS!$A:$P,14,FALSE),0)</f>
        <v>826143.64999999991</v>
      </c>
      <c r="H62" s="8">
        <f>IFERROR(VLOOKUP(Q62,PARTIDAS!$A:$P,15,FALSE),0)</f>
        <v>28535.569100000001</v>
      </c>
      <c r="I62" s="8">
        <f>IFERROR(VLOOKUP(Q62,PARTIDAS!$A:$P,16,FALSE),0)</f>
        <v>1930906.8765999998</v>
      </c>
      <c r="J62" s="8">
        <f t="shared" si="4"/>
        <v>1076227.6575</v>
      </c>
      <c r="K62" s="8">
        <f t="shared" si="5"/>
        <v>826143.64999999991</v>
      </c>
      <c r="L62" s="8">
        <f t="shared" si="6"/>
        <v>28535.569100000001</v>
      </c>
      <c r="M62" s="8">
        <f t="shared" si="7"/>
        <v>1930906.8765999998</v>
      </c>
      <c r="Q62" s="5" t="s">
        <v>931</v>
      </c>
    </row>
    <row r="63" spans="1:17" x14ac:dyDescent="0.35">
      <c r="A63" s="5">
        <v>8.08</v>
      </c>
      <c r="B63" s="5" t="s">
        <v>918</v>
      </c>
      <c r="C63" s="5" t="s">
        <v>932</v>
      </c>
      <c r="D63" s="5" t="s">
        <v>470</v>
      </c>
      <c r="E63" s="6">
        <v>1</v>
      </c>
      <c r="F63" s="8">
        <f>IFERROR(VLOOKUP(Q63,PARTIDAS!$A:$P,13,FALSE),0)</f>
        <v>215055.49451999998</v>
      </c>
      <c r="G63" s="8">
        <f>IFERROR(VLOOKUP(Q63,PARTIDAS!$A:$P,14,FALSE),0)</f>
        <v>165228.72999999998</v>
      </c>
      <c r="H63" s="8">
        <f>IFERROR(VLOOKUP(Q63,PARTIDAS!$A:$P,15,FALSE),0)</f>
        <v>5704.2632999999996</v>
      </c>
      <c r="I63" s="8">
        <f>IFERROR(VLOOKUP(Q63,PARTIDAS!$A:$P,16,FALSE),0)</f>
        <v>385988.48781999992</v>
      </c>
      <c r="J63" s="8">
        <f t="shared" si="4"/>
        <v>215055.49451999998</v>
      </c>
      <c r="K63" s="8">
        <f t="shared" si="5"/>
        <v>165228.72999999998</v>
      </c>
      <c r="L63" s="8">
        <f t="shared" si="6"/>
        <v>5704.2632999999996</v>
      </c>
      <c r="M63" s="8">
        <f t="shared" si="7"/>
        <v>385988.48781999992</v>
      </c>
      <c r="Q63" s="5" t="s">
        <v>933</v>
      </c>
    </row>
    <row r="64" spans="1:17" x14ac:dyDescent="0.35">
      <c r="A64" s="5">
        <v>9.01</v>
      </c>
      <c r="B64" s="5" t="s">
        <v>934</v>
      </c>
      <c r="C64" s="5" t="s">
        <v>935</v>
      </c>
      <c r="D64" s="5" t="s">
        <v>470</v>
      </c>
      <c r="E64" s="6">
        <v>1</v>
      </c>
      <c r="F64" s="8">
        <f>IFERROR(VLOOKUP(Q64,PARTIDAS!$A:$P,13,FALSE),0)</f>
        <v>203505.43942080002</v>
      </c>
      <c r="G64" s="8">
        <f>IFERROR(VLOOKUP(Q64,PARTIDAS!$A:$P,14,FALSE),0)</f>
        <v>1383533.88</v>
      </c>
      <c r="H64" s="8">
        <f>IFERROR(VLOOKUP(Q64,PARTIDAS!$A:$P,15,FALSE),0)</f>
        <v>23805.589</v>
      </c>
      <c r="I64" s="8">
        <f>IFERROR(VLOOKUP(Q64,PARTIDAS!$A:$P,16,FALSE),0)</f>
        <v>1610844.9084207998</v>
      </c>
      <c r="J64" s="8">
        <f t="shared" si="4"/>
        <v>203505.43942080002</v>
      </c>
      <c r="K64" s="8">
        <f t="shared" si="5"/>
        <v>1383533.88</v>
      </c>
      <c r="L64" s="8">
        <f t="shared" si="6"/>
        <v>23805.589</v>
      </c>
      <c r="M64" s="8">
        <f t="shared" si="7"/>
        <v>1610844.9084207998</v>
      </c>
      <c r="Q64" s="5" t="s">
        <v>936</v>
      </c>
    </row>
    <row r="65" spans="1:17" x14ac:dyDescent="0.35">
      <c r="A65" s="5">
        <v>9.02</v>
      </c>
      <c r="B65" s="5" t="s">
        <v>934</v>
      </c>
      <c r="C65" s="5" t="s">
        <v>937</v>
      </c>
      <c r="D65" s="5" t="s">
        <v>356</v>
      </c>
      <c r="E65" s="6">
        <v>122</v>
      </c>
      <c r="F65" s="8">
        <f>IFERROR(VLOOKUP(Q65,PARTIDAS!$A:$P,13,FALSE),0)</f>
        <v>2447.097200824735</v>
      </c>
      <c r="G65" s="8">
        <f>IFERROR(VLOOKUP(Q65,PARTIDAS!$A:$P,14,FALSE),0)</f>
        <v>12299.7339756114</v>
      </c>
      <c r="H65" s="8">
        <f>IFERROR(VLOOKUP(Q65,PARTIDAS!$A:$P,15,FALSE),0)</f>
        <v>221.20249999999999</v>
      </c>
      <c r="I65" s="8">
        <f>IFERROR(VLOOKUP(Q65,PARTIDAS!$A:$P,16,FALSE),0)</f>
        <v>14968.033676436135</v>
      </c>
      <c r="J65" s="8">
        <f t="shared" si="4"/>
        <v>298545.85850061767</v>
      </c>
      <c r="K65" s="8">
        <f t="shared" si="5"/>
        <v>1500567.5450245908</v>
      </c>
      <c r="L65" s="8">
        <f t="shared" si="6"/>
        <v>26986.704999999998</v>
      </c>
      <c r="M65" s="8">
        <f t="shared" si="7"/>
        <v>1826100.1085252087</v>
      </c>
      <c r="Q65" s="5" t="s">
        <v>938</v>
      </c>
    </row>
    <row r="66" spans="1:17" x14ac:dyDescent="0.35">
      <c r="A66" s="5">
        <v>9.0299999999999994</v>
      </c>
      <c r="B66" s="5" t="s">
        <v>934</v>
      </c>
      <c r="C66" s="5" t="s">
        <v>939</v>
      </c>
      <c r="D66" s="5" t="s">
        <v>356</v>
      </c>
      <c r="E66" s="6">
        <v>155</v>
      </c>
      <c r="F66" s="8">
        <f>IFERROR(VLOOKUP(Q66,PARTIDAS!$A:$P,13,FALSE),0)</f>
        <v>758.10738300000003</v>
      </c>
      <c r="G66" s="8">
        <f>IFERROR(VLOOKUP(Q66,PARTIDAS!$A:$P,14,FALSE),0)</f>
        <v>3395.9553221949</v>
      </c>
      <c r="H66" s="8">
        <f>IFERROR(VLOOKUP(Q66,PARTIDAS!$A:$P,15,FALSE),0)</f>
        <v>122.768565522561</v>
      </c>
      <c r="I66" s="8">
        <f>IFERROR(VLOOKUP(Q66,PARTIDAS!$A:$P,16,FALSE),0)</f>
        <v>4276.8312707174609</v>
      </c>
      <c r="J66" s="8">
        <f t="shared" ref="J66:J97" si="8">F66*$E66</f>
        <v>117506.644365</v>
      </c>
      <c r="K66" s="8">
        <f t="shared" ref="K66:K97" si="9">G66*$E66</f>
        <v>526373.07494020951</v>
      </c>
      <c r="L66" s="8">
        <f t="shared" ref="L66:L97" si="10">H66*$E66</f>
        <v>19029.127655996956</v>
      </c>
      <c r="M66" s="8">
        <f t="shared" ref="M66:M97" si="11">J66+K66+L66</f>
        <v>662908.84696120641</v>
      </c>
      <c r="Q66" s="5" t="s">
        <v>940</v>
      </c>
    </row>
    <row r="67" spans="1:17" x14ac:dyDescent="0.35">
      <c r="A67" s="5">
        <v>9.0399999999999991</v>
      </c>
      <c r="B67" s="5" t="s">
        <v>934</v>
      </c>
      <c r="C67" s="5" t="s">
        <v>941</v>
      </c>
      <c r="D67" s="5" t="s">
        <v>356</v>
      </c>
      <c r="E67" s="6">
        <v>31.2</v>
      </c>
      <c r="F67" s="8">
        <f>IFERROR(VLOOKUP(Q67,PARTIDAS!$A:$P,13,FALSE),0)</f>
        <v>7086.2117672878467</v>
      </c>
      <c r="G67" s="8">
        <f>IFERROR(VLOOKUP(Q67,PARTIDAS!$A:$P,14,FALSE),0)</f>
        <v>10591.585077891199</v>
      </c>
      <c r="H67" s="8">
        <f>IFERROR(VLOOKUP(Q67,PARTIDAS!$A:$P,15,FALSE),0)</f>
        <v>265.1669</v>
      </c>
      <c r="I67" s="8">
        <f>IFERROR(VLOOKUP(Q67,PARTIDAS!$A:$P,16,FALSE),0)</f>
        <v>17942.963745179044</v>
      </c>
      <c r="J67" s="8">
        <f t="shared" si="8"/>
        <v>221089.80713938081</v>
      </c>
      <c r="K67" s="8">
        <f t="shared" si="9"/>
        <v>330457.4544302054</v>
      </c>
      <c r="L67" s="8">
        <f t="shared" si="10"/>
        <v>8273.2072800000005</v>
      </c>
      <c r="M67" s="8">
        <f t="shared" si="11"/>
        <v>559820.46884958621</v>
      </c>
      <c r="Q67" s="5" t="s">
        <v>942</v>
      </c>
    </row>
    <row r="68" spans="1:17" x14ac:dyDescent="0.35">
      <c r="A68" s="5">
        <v>10.01</v>
      </c>
      <c r="B68" s="5" t="s">
        <v>943</v>
      </c>
      <c r="C68" s="5" t="s">
        <v>944</v>
      </c>
      <c r="D68" s="5" t="s">
        <v>470</v>
      </c>
      <c r="E68" s="6">
        <v>0</v>
      </c>
      <c r="F68" s="8">
        <f>IFERROR(VLOOKUP(Q68,PARTIDAS!$A:$P,13,FALSE),0)</f>
        <v>0</v>
      </c>
      <c r="G68" s="8">
        <f>IFERROR(VLOOKUP(Q68,PARTIDAS!$A:$P,14,FALSE),0)</f>
        <v>0</v>
      </c>
      <c r="H68" s="8">
        <f>IFERROR(VLOOKUP(Q68,PARTIDAS!$A:$P,15,FALSE),0)</f>
        <v>0</v>
      </c>
      <c r="I68" s="8">
        <f>IFERROR(VLOOKUP(Q68,PARTIDAS!$A:$P,16,FALSE),0)</f>
        <v>0</v>
      </c>
      <c r="J68" s="8">
        <f t="shared" si="8"/>
        <v>0</v>
      </c>
      <c r="K68" s="8">
        <f t="shared" si="9"/>
        <v>0</v>
      </c>
      <c r="L68" s="8">
        <f t="shared" si="10"/>
        <v>0</v>
      </c>
      <c r="M68" s="8">
        <f t="shared" si="11"/>
        <v>0</v>
      </c>
      <c r="Q68" s="5" t="s">
        <v>945</v>
      </c>
    </row>
    <row r="69" spans="1:17" x14ac:dyDescent="0.35">
      <c r="A69" s="5">
        <v>10.02</v>
      </c>
      <c r="B69" s="5" t="s">
        <v>943</v>
      </c>
      <c r="C69" s="5" t="s">
        <v>212</v>
      </c>
      <c r="D69" s="5" t="s">
        <v>470</v>
      </c>
      <c r="E69" s="6">
        <v>1</v>
      </c>
      <c r="F69" s="8">
        <f>IFERROR(VLOOKUP(Q69,PARTIDAS!$A:$P,13,FALSE),0)</f>
        <v>700000</v>
      </c>
      <c r="G69" s="8">
        <f>IFERROR(VLOOKUP(Q69,PARTIDAS!$A:$P,14,FALSE),0)</f>
        <v>1050000</v>
      </c>
      <c r="H69" s="8">
        <f>IFERROR(VLOOKUP(Q69,PARTIDAS!$A:$P,15,FALSE),0)</f>
        <v>0</v>
      </c>
      <c r="I69" s="8">
        <f>IFERROR(VLOOKUP(Q69,PARTIDAS!$A:$P,16,FALSE),0)</f>
        <v>1750000</v>
      </c>
      <c r="J69" s="8">
        <f t="shared" si="8"/>
        <v>700000</v>
      </c>
      <c r="K69" s="8">
        <f t="shared" si="9"/>
        <v>1050000</v>
      </c>
      <c r="L69" s="8">
        <f t="shared" si="10"/>
        <v>0</v>
      </c>
      <c r="M69" s="8">
        <f t="shared" si="11"/>
        <v>1750000</v>
      </c>
      <c r="Q69" s="5" t="s">
        <v>946</v>
      </c>
    </row>
    <row r="70" spans="1:17" x14ac:dyDescent="0.35">
      <c r="A70" s="5">
        <v>10.029999999999999</v>
      </c>
      <c r="B70" s="5" t="s">
        <v>943</v>
      </c>
      <c r="C70" s="5" t="s">
        <v>947</v>
      </c>
      <c r="D70" s="5" t="s">
        <v>807</v>
      </c>
      <c r="E70" s="6">
        <v>0</v>
      </c>
      <c r="F70" s="8">
        <f>IFERROR(VLOOKUP(Q70,PARTIDAS!$A:$P,13,FALSE),0)</f>
        <v>0</v>
      </c>
      <c r="G70" s="8">
        <f>IFERROR(VLOOKUP(Q70,PARTIDAS!$A:$P,14,FALSE),0)</f>
        <v>0</v>
      </c>
      <c r="H70" s="8">
        <f>IFERROR(VLOOKUP(Q70,PARTIDAS!$A:$P,15,FALSE),0)</f>
        <v>0</v>
      </c>
      <c r="I70" s="8">
        <f>IFERROR(VLOOKUP(Q70,PARTIDAS!$A:$P,16,FALSE),0)</f>
        <v>0</v>
      </c>
      <c r="J70" s="8">
        <f t="shared" si="8"/>
        <v>0</v>
      </c>
      <c r="K70" s="8">
        <f t="shared" si="9"/>
        <v>0</v>
      </c>
      <c r="L70" s="8">
        <f t="shared" si="10"/>
        <v>0</v>
      </c>
      <c r="M70" s="8">
        <f t="shared" si="11"/>
        <v>0</v>
      </c>
      <c r="Q70" s="5" t="s">
        <v>948</v>
      </c>
    </row>
    <row r="71" spans="1:17" x14ac:dyDescent="0.35">
      <c r="A71" s="5">
        <v>10.039999999999999</v>
      </c>
      <c r="B71" s="5" t="s">
        <v>943</v>
      </c>
      <c r="C71" s="5" t="s">
        <v>949</v>
      </c>
      <c r="D71" s="5" t="s">
        <v>284</v>
      </c>
      <c r="E71" s="6">
        <v>7</v>
      </c>
      <c r="F71" s="8">
        <f>IFERROR(VLOOKUP(Q71,PARTIDAS!$A:$P,13,FALSE),0)</f>
        <v>225038.87599999999</v>
      </c>
      <c r="G71" s="8">
        <f>IFERROR(VLOOKUP(Q71,PARTIDAS!$A:$P,14,FALSE),0)</f>
        <v>55670.194300000003</v>
      </c>
      <c r="H71" s="8">
        <f>IFERROR(VLOOKUP(Q71,PARTIDAS!$A:$P,15,FALSE),0)</f>
        <v>0</v>
      </c>
      <c r="I71" s="8">
        <f>IFERROR(VLOOKUP(Q71,PARTIDAS!$A:$P,16,FALSE),0)</f>
        <v>280709.07030000002</v>
      </c>
      <c r="J71" s="8">
        <f t="shared" si="8"/>
        <v>1575272.132</v>
      </c>
      <c r="K71" s="8">
        <f t="shared" si="9"/>
        <v>389691.36010000005</v>
      </c>
      <c r="L71" s="8">
        <f t="shared" si="10"/>
        <v>0</v>
      </c>
      <c r="M71" s="8">
        <f t="shared" si="11"/>
        <v>1964963.4920999999</v>
      </c>
      <c r="Q71" s="5" t="s">
        <v>950</v>
      </c>
    </row>
    <row r="72" spans="1:17" x14ac:dyDescent="0.35">
      <c r="A72" s="5">
        <v>11.01</v>
      </c>
      <c r="B72" s="5" t="s">
        <v>951</v>
      </c>
      <c r="C72" s="5" t="s">
        <v>952</v>
      </c>
      <c r="D72" s="5" t="s">
        <v>866</v>
      </c>
      <c r="E72" s="6">
        <v>30</v>
      </c>
      <c r="F72" s="8">
        <f>IFERROR(VLOOKUP(Q72,PARTIDAS!$A:$P,13,FALSE),0)</f>
        <v>7250.1086545000007</v>
      </c>
      <c r="G72" s="8">
        <f>IFERROR(VLOOKUP(Q72,PARTIDAS!$A:$P,14,FALSE),0)</f>
        <v>9992.0865535295998</v>
      </c>
      <c r="H72" s="8">
        <f>IFERROR(VLOOKUP(Q72,PARTIDAS!$A:$P,15,FALSE),0)</f>
        <v>219.89813956515601</v>
      </c>
      <c r="I72" s="8">
        <f>IFERROR(VLOOKUP(Q72,PARTIDAS!$A:$P,16,FALSE),0)</f>
        <v>17462.093347594757</v>
      </c>
      <c r="J72" s="8">
        <f t="shared" si="8"/>
        <v>217503.25963500002</v>
      </c>
      <c r="K72" s="8">
        <f t="shared" si="9"/>
        <v>299762.59660588799</v>
      </c>
      <c r="L72" s="8">
        <f t="shared" si="10"/>
        <v>6596.9441869546808</v>
      </c>
      <c r="M72" s="8">
        <f t="shared" si="11"/>
        <v>523862.80042784271</v>
      </c>
      <c r="Q72" s="5" t="s">
        <v>953</v>
      </c>
    </row>
    <row r="73" spans="1:17" x14ac:dyDescent="0.35">
      <c r="A73" s="5">
        <v>11.02</v>
      </c>
      <c r="B73" s="5" t="s">
        <v>951</v>
      </c>
      <c r="C73" s="5" t="s">
        <v>954</v>
      </c>
      <c r="D73" s="5" t="s">
        <v>866</v>
      </c>
      <c r="E73" s="6">
        <v>185</v>
      </c>
      <c r="F73" s="8">
        <f>IFERROR(VLOOKUP(Q73,PARTIDAS!$A:$P,13,FALSE),0)</f>
        <v>7250.1086545000007</v>
      </c>
      <c r="G73" s="8">
        <f>IFERROR(VLOOKUP(Q73,PARTIDAS!$A:$P,14,FALSE),0)</f>
        <v>9992.0865535295998</v>
      </c>
      <c r="H73" s="8">
        <f>IFERROR(VLOOKUP(Q73,PARTIDAS!$A:$P,15,FALSE),0)</f>
        <v>219.89813956515601</v>
      </c>
      <c r="I73" s="8">
        <f>IFERROR(VLOOKUP(Q73,PARTIDAS!$A:$P,16,FALSE),0)</f>
        <v>17462.093347594757</v>
      </c>
      <c r="J73" s="8">
        <f t="shared" si="8"/>
        <v>1341270.1010825001</v>
      </c>
      <c r="K73" s="8">
        <f t="shared" si="9"/>
        <v>1848536.0124029759</v>
      </c>
      <c r="L73" s="8">
        <f t="shared" si="10"/>
        <v>40681.15581955386</v>
      </c>
      <c r="M73" s="8">
        <f t="shared" si="11"/>
        <v>3230487.2693050299</v>
      </c>
      <c r="Q73" s="5" t="s">
        <v>955</v>
      </c>
    </row>
    <row r="74" spans="1:17" x14ac:dyDescent="0.35">
      <c r="A74" s="5">
        <v>11.03</v>
      </c>
      <c r="B74" s="5" t="s">
        <v>951</v>
      </c>
      <c r="C74" s="5" t="s">
        <v>956</v>
      </c>
      <c r="D74" s="5" t="s">
        <v>866</v>
      </c>
      <c r="E74" s="6">
        <v>942</v>
      </c>
      <c r="F74" s="8">
        <f>IFERROR(VLOOKUP(Q74,PARTIDAS!$A:$P,13,FALSE),0)</f>
        <v>7250.1086545000007</v>
      </c>
      <c r="G74" s="8">
        <f>IFERROR(VLOOKUP(Q74,PARTIDAS!$A:$P,14,FALSE),0)</f>
        <v>9992.0865535295998</v>
      </c>
      <c r="H74" s="8">
        <f>IFERROR(VLOOKUP(Q74,PARTIDAS!$A:$P,15,FALSE),0)</f>
        <v>219.89813956515601</v>
      </c>
      <c r="I74" s="8">
        <f>IFERROR(VLOOKUP(Q74,PARTIDAS!$A:$P,16,FALSE),0)</f>
        <v>17462.093347594757</v>
      </c>
      <c r="J74" s="8">
        <f t="shared" si="8"/>
        <v>6829602.352539001</v>
      </c>
      <c r="K74" s="8">
        <f t="shared" si="9"/>
        <v>9412545.5334248822</v>
      </c>
      <c r="L74" s="8">
        <f t="shared" si="10"/>
        <v>207144.04747037697</v>
      </c>
      <c r="M74" s="8">
        <f t="shared" si="11"/>
        <v>16449291.933434261</v>
      </c>
      <c r="Q74" s="5" t="s">
        <v>957</v>
      </c>
    </row>
    <row r="75" spans="1:17" x14ac:dyDescent="0.35">
      <c r="A75" s="5">
        <v>11.04</v>
      </c>
      <c r="B75" s="5" t="s">
        <v>951</v>
      </c>
      <c r="C75" s="5" t="s">
        <v>958</v>
      </c>
      <c r="D75" s="5" t="s">
        <v>866</v>
      </c>
      <c r="E75" s="6">
        <v>110</v>
      </c>
      <c r="F75" s="8">
        <f>IFERROR(VLOOKUP(Q75,PARTIDAS!$A:$P,13,FALSE),0)</f>
        <v>7250.1086545000007</v>
      </c>
      <c r="G75" s="8">
        <f>IFERROR(VLOOKUP(Q75,PARTIDAS!$A:$P,14,FALSE),0)</f>
        <v>12989.712</v>
      </c>
      <c r="H75" s="8">
        <f>IFERROR(VLOOKUP(Q75,PARTIDAS!$A:$P,15,FALSE),0)</f>
        <v>285.86757</v>
      </c>
      <c r="I75" s="8">
        <f>IFERROR(VLOOKUP(Q75,PARTIDAS!$A:$P,16,FALSE),0)</f>
        <v>20525.688224499998</v>
      </c>
      <c r="J75" s="8">
        <f t="shared" si="8"/>
        <v>797511.95199500013</v>
      </c>
      <c r="K75" s="8">
        <f t="shared" si="9"/>
        <v>1428868.3199999998</v>
      </c>
      <c r="L75" s="8">
        <f t="shared" si="10"/>
        <v>31445.432700000001</v>
      </c>
      <c r="M75" s="8">
        <f t="shared" si="11"/>
        <v>2257825.7046949998</v>
      </c>
      <c r="Q75" s="5" t="s">
        <v>959</v>
      </c>
    </row>
    <row r="76" spans="1:17" x14ac:dyDescent="0.35">
      <c r="A76" s="5">
        <v>11.05</v>
      </c>
      <c r="B76" s="5" t="s">
        <v>951</v>
      </c>
      <c r="C76" s="5" t="s">
        <v>960</v>
      </c>
      <c r="D76" s="5" t="s">
        <v>866</v>
      </c>
      <c r="E76" s="6">
        <v>128</v>
      </c>
      <c r="F76" s="8">
        <f>IFERROR(VLOOKUP(Q76,PARTIDAS!$A:$P,13,FALSE),0)</f>
        <v>3816.1086480000004</v>
      </c>
      <c r="G76" s="8">
        <f>IFERROR(VLOOKUP(Q76,PARTIDAS!$A:$P,14,FALSE),0)</f>
        <v>8702.6233042084004</v>
      </c>
      <c r="H76" s="8">
        <f>IFERROR(VLOOKUP(Q76,PARTIDAS!$A:$P,15,FALSE),0)</f>
        <v>274.73130754885199</v>
      </c>
      <c r="I76" s="8">
        <f>IFERROR(VLOOKUP(Q76,PARTIDAS!$A:$P,16,FALSE),0)</f>
        <v>12793.463259757253</v>
      </c>
      <c r="J76" s="8">
        <f t="shared" si="8"/>
        <v>488461.90694400005</v>
      </c>
      <c r="K76" s="8">
        <f t="shared" si="9"/>
        <v>1113935.7829386753</v>
      </c>
      <c r="L76" s="8">
        <f t="shared" si="10"/>
        <v>35165.607366253054</v>
      </c>
      <c r="M76" s="8">
        <f t="shared" si="11"/>
        <v>1637563.2972489283</v>
      </c>
      <c r="Q76" s="5" t="s">
        <v>961</v>
      </c>
    </row>
    <row r="77" spans="1:17" x14ac:dyDescent="0.35">
      <c r="A77" s="5">
        <v>11.06</v>
      </c>
      <c r="B77" s="5" t="s">
        <v>951</v>
      </c>
      <c r="C77" s="5" t="s">
        <v>962</v>
      </c>
      <c r="D77" s="5" t="s">
        <v>866</v>
      </c>
      <c r="E77" s="6">
        <v>48</v>
      </c>
      <c r="F77" s="8">
        <f>IFERROR(VLOOKUP(Q77,PARTIDAS!$A:$P,13,FALSE),0)</f>
        <v>7250.1086545000007</v>
      </c>
      <c r="G77" s="8">
        <f>IFERROR(VLOOKUP(Q77,PARTIDAS!$A:$P,14,FALSE),0)</f>
        <v>9992.0865535295998</v>
      </c>
      <c r="H77" s="8">
        <f>IFERROR(VLOOKUP(Q77,PARTIDAS!$A:$P,15,FALSE),0)</f>
        <v>219.89813956515601</v>
      </c>
      <c r="I77" s="8">
        <f>IFERROR(VLOOKUP(Q77,PARTIDAS!$A:$P,16,FALSE),0)</f>
        <v>17462.093347594757</v>
      </c>
      <c r="J77" s="8">
        <f t="shared" si="8"/>
        <v>348005.21541600005</v>
      </c>
      <c r="K77" s="8">
        <f t="shared" si="9"/>
        <v>479620.15456942079</v>
      </c>
      <c r="L77" s="8">
        <f t="shared" si="10"/>
        <v>10555.110699127488</v>
      </c>
      <c r="M77" s="8">
        <f t="shared" si="11"/>
        <v>838180.48068454838</v>
      </c>
      <c r="Q77" s="5" t="s">
        <v>963</v>
      </c>
    </row>
    <row r="78" spans="1:17" x14ac:dyDescent="0.35">
      <c r="A78" s="5">
        <v>11.07</v>
      </c>
      <c r="B78" s="5" t="s">
        <v>951</v>
      </c>
      <c r="C78" s="5" t="s">
        <v>964</v>
      </c>
      <c r="D78" s="5" t="s">
        <v>866</v>
      </c>
      <c r="E78" s="6">
        <v>226</v>
      </c>
      <c r="F78" s="8">
        <f>IFERROR(VLOOKUP(Q78,PARTIDAS!$A:$P,13,FALSE),0)</f>
        <v>44376.439616007985</v>
      </c>
      <c r="G78" s="8">
        <f>IFERROR(VLOOKUP(Q78,PARTIDAS!$A:$P,14,FALSE),0)</f>
        <v>13536.777372947399</v>
      </c>
      <c r="H78" s="8">
        <f>IFERROR(VLOOKUP(Q78,PARTIDAS!$A:$P,15,FALSE),0)</f>
        <v>868.69799999999998</v>
      </c>
      <c r="I78" s="8">
        <f>IFERROR(VLOOKUP(Q78,PARTIDAS!$A:$P,16,FALSE),0)</f>
        <v>58781.914988955381</v>
      </c>
      <c r="J78" s="8">
        <f t="shared" si="8"/>
        <v>10029075.353217805</v>
      </c>
      <c r="K78" s="8">
        <f t="shared" si="9"/>
        <v>3059311.6862861123</v>
      </c>
      <c r="L78" s="8">
        <f t="shared" si="10"/>
        <v>196325.74799999999</v>
      </c>
      <c r="M78" s="8">
        <f t="shared" si="11"/>
        <v>13284712.787503917</v>
      </c>
      <c r="Q78" s="5" t="s">
        <v>965</v>
      </c>
    </row>
    <row r="79" spans="1:17" x14ac:dyDescent="0.35">
      <c r="A79" s="5">
        <v>12.01</v>
      </c>
      <c r="B79" s="5" t="s">
        <v>966</v>
      </c>
      <c r="C79" s="5" t="s">
        <v>967</v>
      </c>
      <c r="D79" s="5" t="s">
        <v>356</v>
      </c>
      <c r="E79" s="6">
        <v>779</v>
      </c>
      <c r="F79" s="8">
        <f>IFERROR(VLOOKUP(Q79,PARTIDAS!$A:$P,13,FALSE),0)</f>
        <v>3132.23144</v>
      </c>
      <c r="G79" s="8">
        <f>IFERROR(VLOOKUP(Q79,PARTIDAS!$A:$P,14,FALSE),0)</f>
        <v>2684.8886111775</v>
      </c>
      <c r="H79" s="8">
        <f>IFERROR(VLOOKUP(Q79,PARTIDAS!$A:$P,15,FALSE),0)</f>
        <v>87.256799999999998</v>
      </c>
      <c r="I79" s="8">
        <f>IFERROR(VLOOKUP(Q79,PARTIDAS!$A:$P,16,FALSE),0)</f>
        <v>5904.3768511775006</v>
      </c>
      <c r="J79" s="8">
        <f t="shared" si="8"/>
        <v>2440008.2917599999</v>
      </c>
      <c r="K79" s="8">
        <f t="shared" si="9"/>
        <v>2091528.2281072724</v>
      </c>
      <c r="L79" s="8">
        <f t="shared" si="10"/>
        <v>67973.047200000001</v>
      </c>
      <c r="M79" s="8">
        <f t="shared" si="11"/>
        <v>4599509.567067272</v>
      </c>
      <c r="Q79" s="5" t="s">
        <v>968</v>
      </c>
    </row>
    <row r="80" spans="1:17" x14ac:dyDescent="0.35">
      <c r="A80" s="5">
        <v>12.02</v>
      </c>
      <c r="B80" s="5" t="s">
        <v>966</v>
      </c>
      <c r="C80" s="5" t="s">
        <v>939</v>
      </c>
      <c r="D80" s="5" t="s">
        <v>356</v>
      </c>
      <c r="E80" s="6">
        <v>155</v>
      </c>
      <c r="F80" s="8">
        <f>IFERROR(VLOOKUP(Q80,PARTIDAS!$A:$P,13,FALSE),0)</f>
        <v>758.10738300000003</v>
      </c>
      <c r="G80" s="8">
        <f>IFERROR(VLOOKUP(Q80,PARTIDAS!$A:$P,14,FALSE),0)</f>
        <v>3395.9553221949</v>
      </c>
      <c r="H80" s="8">
        <f>IFERROR(VLOOKUP(Q80,PARTIDAS!$A:$P,15,FALSE),0)</f>
        <v>122.768565522561</v>
      </c>
      <c r="I80" s="8">
        <f>IFERROR(VLOOKUP(Q80,PARTIDAS!$A:$P,16,FALSE),0)</f>
        <v>4276.8312707174609</v>
      </c>
      <c r="J80" s="8">
        <f t="shared" si="8"/>
        <v>117506.644365</v>
      </c>
      <c r="K80" s="8">
        <f t="shared" si="9"/>
        <v>526373.07494020951</v>
      </c>
      <c r="L80" s="8">
        <f t="shared" si="10"/>
        <v>19029.127655996956</v>
      </c>
      <c r="M80" s="8">
        <f t="shared" si="11"/>
        <v>662908.84696120641</v>
      </c>
      <c r="Q80" s="5" t="s">
        <v>969</v>
      </c>
    </row>
    <row r="81" spans="1:17" x14ac:dyDescent="0.35">
      <c r="A81" s="5">
        <v>12.03</v>
      </c>
      <c r="B81" s="5" t="s">
        <v>966</v>
      </c>
      <c r="C81" s="5" t="s">
        <v>970</v>
      </c>
      <c r="D81" s="5" t="s">
        <v>356</v>
      </c>
      <c r="E81" s="6">
        <v>37</v>
      </c>
      <c r="F81" s="8">
        <f>IFERROR(VLOOKUP(Q81,PARTIDAS!$A:$P,13,FALSE),0)</f>
        <v>1185.4173163749999</v>
      </c>
      <c r="G81" s="8">
        <f>IFERROR(VLOOKUP(Q81,PARTIDAS!$A:$P,14,FALSE),0)</f>
        <v>4329.9035670096</v>
      </c>
      <c r="H81" s="8">
        <f>IFERROR(VLOOKUP(Q81,PARTIDAS!$A:$P,15,FALSE),0)</f>
        <v>95.289180471080996</v>
      </c>
      <c r="I81" s="8">
        <f>IFERROR(VLOOKUP(Q81,PARTIDAS!$A:$P,16,FALSE),0)</f>
        <v>5610.6100638556809</v>
      </c>
      <c r="J81" s="8">
        <f t="shared" si="8"/>
        <v>43860.440705875</v>
      </c>
      <c r="K81" s="8">
        <f t="shared" si="9"/>
        <v>160206.4319793552</v>
      </c>
      <c r="L81" s="8">
        <f t="shared" si="10"/>
        <v>3525.6996774299969</v>
      </c>
      <c r="M81" s="8">
        <f t="shared" si="11"/>
        <v>207592.5723626602</v>
      </c>
      <c r="Q81" s="5" t="s">
        <v>971</v>
      </c>
    </row>
    <row r="82" spans="1:17" x14ac:dyDescent="0.35">
      <c r="A82" s="5">
        <v>12.04</v>
      </c>
      <c r="B82" s="5" t="s">
        <v>966</v>
      </c>
      <c r="C82" s="5" t="s">
        <v>972</v>
      </c>
      <c r="D82" s="5" t="s">
        <v>356</v>
      </c>
      <c r="E82" s="6">
        <v>433</v>
      </c>
      <c r="F82" s="8">
        <f>IFERROR(VLOOKUP(Q82,PARTIDAS!$A:$P,13,FALSE),0)</f>
        <v>1185.4173163749999</v>
      </c>
      <c r="G82" s="8">
        <f>IFERROR(VLOOKUP(Q82,PARTIDAS!$A:$P,14,FALSE),0)</f>
        <v>4329.9035670096</v>
      </c>
      <c r="H82" s="8">
        <f>IFERROR(VLOOKUP(Q82,PARTIDAS!$A:$P,15,FALSE),0)</f>
        <v>95.289180471080996</v>
      </c>
      <c r="I82" s="8">
        <f>IFERROR(VLOOKUP(Q82,PARTIDAS!$A:$P,16,FALSE),0)</f>
        <v>5610.6100638556809</v>
      </c>
      <c r="J82" s="8">
        <f t="shared" si="8"/>
        <v>513285.69799037499</v>
      </c>
      <c r="K82" s="8">
        <f t="shared" si="9"/>
        <v>1874848.2445151568</v>
      </c>
      <c r="L82" s="8">
        <f t="shared" si="10"/>
        <v>41260.215143978072</v>
      </c>
      <c r="M82" s="8">
        <f t="shared" si="11"/>
        <v>2429394.1576495101</v>
      </c>
      <c r="Q82" s="5" t="s">
        <v>973</v>
      </c>
    </row>
    <row r="83" spans="1:17" x14ac:dyDescent="0.35">
      <c r="A83" s="5">
        <v>12.05</v>
      </c>
      <c r="B83" s="5" t="s">
        <v>966</v>
      </c>
      <c r="C83" s="5" t="s">
        <v>974</v>
      </c>
      <c r="D83" s="5" t="s">
        <v>356</v>
      </c>
      <c r="E83" s="6">
        <v>155</v>
      </c>
      <c r="F83" s="8">
        <f>IFERROR(VLOOKUP(Q83,PARTIDAS!$A:$P,13,FALSE),0)</f>
        <v>1185.4173163749999</v>
      </c>
      <c r="G83" s="8">
        <f>IFERROR(VLOOKUP(Q83,PARTIDAS!$A:$P,14,FALSE),0)</f>
        <v>4329.9035670096</v>
      </c>
      <c r="H83" s="8">
        <f>IFERROR(VLOOKUP(Q83,PARTIDAS!$A:$P,15,FALSE),0)</f>
        <v>95.289180471080996</v>
      </c>
      <c r="I83" s="8">
        <f>IFERROR(VLOOKUP(Q83,PARTIDAS!$A:$P,16,FALSE),0)</f>
        <v>5610.6100638556809</v>
      </c>
      <c r="J83" s="8">
        <f t="shared" si="8"/>
        <v>183739.68403812498</v>
      </c>
      <c r="K83" s="8">
        <f t="shared" si="9"/>
        <v>671135.05288648803</v>
      </c>
      <c r="L83" s="8">
        <f t="shared" si="10"/>
        <v>14769.822973017555</v>
      </c>
      <c r="M83" s="8">
        <f t="shared" si="11"/>
        <v>869644.55989763059</v>
      </c>
      <c r="Q83" s="5" t="s">
        <v>975</v>
      </c>
    </row>
    <row r="84" spans="1:17" x14ac:dyDescent="0.35">
      <c r="A84" s="5">
        <v>13.01</v>
      </c>
      <c r="B84" s="5" t="s">
        <v>976</v>
      </c>
      <c r="C84" s="5" t="s">
        <v>977</v>
      </c>
      <c r="D84" s="5" t="s">
        <v>866</v>
      </c>
      <c r="E84" s="6">
        <v>511</v>
      </c>
      <c r="F84" s="8">
        <f>IFERROR(VLOOKUP(Q84,PARTIDAS!$A:$P,13,FALSE),0)</f>
        <v>7250.1086545000007</v>
      </c>
      <c r="G84" s="8">
        <f>IFERROR(VLOOKUP(Q84,PARTIDAS!$A:$P,14,FALSE),0)</f>
        <v>12989.712</v>
      </c>
      <c r="H84" s="8">
        <f>IFERROR(VLOOKUP(Q84,PARTIDAS!$A:$P,15,FALSE),0)</f>
        <v>285.86757</v>
      </c>
      <c r="I84" s="8">
        <f>IFERROR(VLOOKUP(Q84,PARTIDAS!$A:$P,16,FALSE),0)</f>
        <v>20525.688224499998</v>
      </c>
      <c r="J84" s="8">
        <f t="shared" si="8"/>
        <v>3704805.5224495004</v>
      </c>
      <c r="K84" s="8">
        <f t="shared" si="9"/>
        <v>6637742.8319999995</v>
      </c>
      <c r="L84" s="8">
        <f t="shared" si="10"/>
        <v>146078.32827</v>
      </c>
      <c r="M84" s="8">
        <f t="shared" si="11"/>
        <v>10488626.682719499</v>
      </c>
      <c r="Q84" s="5" t="s">
        <v>978</v>
      </c>
    </row>
    <row r="85" spans="1:17" x14ac:dyDescent="0.35">
      <c r="A85" s="5">
        <v>13.02</v>
      </c>
      <c r="B85" s="5" t="s">
        <v>976</v>
      </c>
      <c r="C85" s="5" t="s">
        <v>979</v>
      </c>
      <c r="D85" s="5" t="s">
        <v>866</v>
      </c>
      <c r="E85" s="6">
        <v>40</v>
      </c>
      <c r="F85" s="8">
        <f>IFERROR(VLOOKUP(Q85,PARTIDAS!$A:$P,13,FALSE),0)</f>
        <v>7250.1086545000007</v>
      </c>
      <c r="G85" s="8">
        <f>IFERROR(VLOOKUP(Q85,PARTIDAS!$A:$P,14,FALSE),0)</f>
        <v>12989.712</v>
      </c>
      <c r="H85" s="8">
        <f>IFERROR(VLOOKUP(Q85,PARTIDAS!$A:$P,15,FALSE),0)</f>
        <v>285.86757</v>
      </c>
      <c r="I85" s="8">
        <f>IFERROR(VLOOKUP(Q85,PARTIDAS!$A:$P,16,FALSE),0)</f>
        <v>20525.688224499998</v>
      </c>
      <c r="J85" s="8">
        <f t="shared" si="8"/>
        <v>290004.34618000005</v>
      </c>
      <c r="K85" s="8">
        <f t="shared" si="9"/>
        <v>519588.48</v>
      </c>
      <c r="L85" s="8">
        <f t="shared" si="10"/>
        <v>11434.702799999999</v>
      </c>
      <c r="M85" s="8">
        <f t="shared" si="11"/>
        <v>821027.52898000006</v>
      </c>
      <c r="Q85" s="5" t="s">
        <v>980</v>
      </c>
    </row>
    <row r="86" spans="1:17" x14ac:dyDescent="0.35">
      <c r="A86" s="5">
        <v>13.03</v>
      </c>
      <c r="B86" s="5" t="s">
        <v>976</v>
      </c>
      <c r="C86" s="5" t="s">
        <v>981</v>
      </c>
      <c r="D86" s="5" t="s">
        <v>866</v>
      </c>
      <c r="E86" s="6">
        <v>147.601</v>
      </c>
      <c r="F86" s="8">
        <f>IFERROR(VLOOKUP(Q86,PARTIDAS!$A:$P,13,FALSE),0)</f>
        <v>7250.1086545000007</v>
      </c>
      <c r="G86" s="8">
        <f>IFERROR(VLOOKUP(Q86,PARTIDAS!$A:$P,14,FALSE),0)</f>
        <v>16237.140000000001</v>
      </c>
      <c r="H86" s="8">
        <f>IFERROR(VLOOKUP(Q86,PARTIDAS!$A:$P,15,FALSE),0)</f>
        <v>285.86757</v>
      </c>
      <c r="I86" s="8">
        <f>IFERROR(VLOOKUP(Q86,PARTIDAS!$A:$P,16,FALSE),0)</f>
        <v>23773.116224500001</v>
      </c>
      <c r="J86" s="8">
        <f t="shared" si="8"/>
        <v>1070123.2875128547</v>
      </c>
      <c r="K86" s="8">
        <f t="shared" si="9"/>
        <v>2396618.1011400004</v>
      </c>
      <c r="L86" s="8">
        <f t="shared" si="10"/>
        <v>42194.33919957</v>
      </c>
      <c r="M86" s="8">
        <f t="shared" si="11"/>
        <v>3508935.7278524251</v>
      </c>
      <c r="Q86" s="5" t="s">
        <v>982</v>
      </c>
    </row>
    <row r="87" spans="1:17" x14ac:dyDescent="0.35">
      <c r="A87" s="5">
        <v>13.04</v>
      </c>
      <c r="B87" s="5" t="s">
        <v>976</v>
      </c>
      <c r="C87" s="5" t="s">
        <v>983</v>
      </c>
      <c r="D87" s="5" t="s">
        <v>284</v>
      </c>
      <c r="E87" s="6">
        <v>41</v>
      </c>
      <c r="F87" s="8">
        <f>IFERROR(VLOOKUP(Q87,PARTIDAS!$A:$P,13,FALSE),0)</f>
        <v>15666.9421</v>
      </c>
      <c r="G87" s="8">
        <f>IFERROR(VLOOKUP(Q87,PARTIDAS!$A:$P,14,FALSE),0)</f>
        <v>0</v>
      </c>
      <c r="H87" s="8">
        <f>IFERROR(VLOOKUP(Q87,PARTIDAS!$A:$P,15,FALSE),0)</f>
        <v>0</v>
      </c>
      <c r="I87" s="8">
        <f>IFERROR(VLOOKUP(Q87,PARTIDAS!$A:$P,16,FALSE),0)</f>
        <v>15666.9421</v>
      </c>
      <c r="J87" s="8">
        <f t="shared" si="8"/>
        <v>642344.62609999999</v>
      </c>
      <c r="K87" s="8">
        <f t="shared" si="9"/>
        <v>0</v>
      </c>
      <c r="L87" s="8">
        <f t="shared" si="10"/>
        <v>0</v>
      </c>
      <c r="M87" s="8">
        <f t="shared" si="11"/>
        <v>642344.62609999999</v>
      </c>
      <c r="Q87" s="5" t="s">
        <v>984</v>
      </c>
    </row>
    <row r="88" spans="1:17" x14ac:dyDescent="0.35">
      <c r="A88" s="5">
        <v>14.01</v>
      </c>
      <c r="B88" s="5" t="s">
        <v>985</v>
      </c>
      <c r="C88" s="5" t="s">
        <v>986</v>
      </c>
      <c r="D88" s="5" t="s">
        <v>866</v>
      </c>
      <c r="E88" s="6">
        <v>334.91520000000003</v>
      </c>
      <c r="F88" s="8">
        <f>IFERROR(VLOOKUP(Q88,PARTIDAS!$A:$P,13,FALSE),0)</f>
        <v>9357.5318055232565</v>
      </c>
      <c r="G88" s="8">
        <f>IFERROR(VLOOKUP(Q88,PARTIDAS!$A:$P,14,FALSE),0)</f>
        <v>13673.381326099199</v>
      </c>
      <c r="H88" s="8">
        <f>IFERROR(VLOOKUP(Q88,PARTIDAS!$A:$P,15,FALSE),0)</f>
        <v>256.82236303118401</v>
      </c>
      <c r="I88" s="8">
        <f>IFERROR(VLOOKUP(Q88,PARTIDAS!$A:$P,16,FALSE),0)</f>
        <v>23287.73549465364</v>
      </c>
      <c r="J88" s="8">
        <f t="shared" si="8"/>
        <v>3133979.6361531829</v>
      </c>
      <c r="K88" s="8">
        <f t="shared" si="9"/>
        <v>4579423.2415067786</v>
      </c>
      <c r="L88" s="8">
        <f t="shared" si="10"/>
        <v>86013.713079061607</v>
      </c>
      <c r="M88" s="8">
        <f t="shared" si="11"/>
        <v>7799416.5907390229</v>
      </c>
      <c r="Q88" s="5" t="s">
        <v>987</v>
      </c>
    </row>
    <row r="89" spans="1:17" x14ac:dyDescent="0.35">
      <c r="A89" s="5">
        <v>14.02</v>
      </c>
      <c r="B89" s="5" t="s">
        <v>985</v>
      </c>
      <c r="C89" s="5" t="s">
        <v>988</v>
      </c>
      <c r="D89" s="5" t="s">
        <v>866</v>
      </c>
      <c r="E89" s="6">
        <v>280.3913</v>
      </c>
      <c r="F89" s="8">
        <f>IFERROR(VLOOKUP(Q89,PARTIDAS!$A:$P,13,FALSE),0)</f>
        <v>13094.309757060983</v>
      </c>
      <c r="G89" s="8">
        <f>IFERROR(VLOOKUP(Q89,PARTIDAS!$A:$P,14,FALSE),0)</f>
        <v>13673.381326099199</v>
      </c>
      <c r="H89" s="8">
        <f>IFERROR(VLOOKUP(Q89,PARTIDAS!$A:$P,15,FALSE),0)</f>
        <v>256.82236303118401</v>
      </c>
      <c r="I89" s="8">
        <f>IFERROR(VLOOKUP(Q89,PARTIDAS!$A:$P,16,FALSE),0)</f>
        <v>27024.513446191366</v>
      </c>
      <c r="J89" s="8">
        <f t="shared" si="8"/>
        <v>3671530.5353850131</v>
      </c>
      <c r="K89" s="8">
        <f t="shared" si="9"/>
        <v>3833897.1654206784</v>
      </c>
      <c r="L89" s="8">
        <f t="shared" si="10"/>
        <v>72010.756239385621</v>
      </c>
      <c r="M89" s="8">
        <f t="shared" si="11"/>
        <v>7577438.4570450773</v>
      </c>
      <c r="Q89" s="5" t="s">
        <v>989</v>
      </c>
    </row>
    <row r="90" spans="1:17" x14ac:dyDescent="0.35">
      <c r="A90" s="5">
        <v>14.03</v>
      </c>
      <c r="B90" s="5" t="s">
        <v>985</v>
      </c>
      <c r="C90" s="5" t="s">
        <v>990</v>
      </c>
      <c r="D90" s="5" t="s">
        <v>356</v>
      </c>
      <c r="E90" s="6">
        <v>60.8</v>
      </c>
      <c r="F90" s="8">
        <f>IFERROR(VLOOKUP(Q90,PARTIDAS!$A:$P,13,FALSE),0)</f>
        <v>9357.5318055232565</v>
      </c>
      <c r="G90" s="8">
        <f>IFERROR(VLOOKUP(Q90,PARTIDAS!$A:$P,14,FALSE),0)</f>
        <v>13673.381326099199</v>
      </c>
      <c r="H90" s="8">
        <f>IFERROR(VLOOKUP(Q90,PARTIDAS!$A:$P,15,FALSE),0)</f>
        <v>256.82236303118401</v>
      </c>
      <c r="I90" s="8">
        <f>IFERROR(VLOOKUP(Q90,PARTIDAS!$A:$P,16,FALSE),0)</f>
        <v>23287.73549465364</v>
      </c>
      <c r="J90" s="8">
        <f t="shared" si="8"/>
        <v>568937.93377581402</v>
      </c>
      <c r="K90" s="8">
        <f t="shared" si="9"/>
        <v>831341.58462683123</v>
      </c>
      <c r="L90" s="8">
        <f t="shared" si="10"/>
        <v>15614.799672295987</v>
      </c>
      <c r="M90" s="8">
        <f t="shared" si="11"/>
        <v>1415894.3180749414</v>
      </c>
      <c r="Q90" s="5" t="s">
        <v>991</v>
      </c>
    </row>
    <row r="91" spans="1:17" x14ac:dyDescent="0.35">
      <c r="A91" s="5">
        <v>14.04</v>
      </c>
      <c r="B91" s="5" t="s">
        <v>985</v>
      </c>
      <c r="C91" s="5" t="s">
        <v>992</v>
      </c>
      <c r="D91" s="5" t="s">
        <v>356</v>
      </c>
      <c r="E91" s="6">
        <v>1058.3800000000001</v>
      </c>
      <c r="F91" s="8">
        <f>IFERROR(VLOOKUP(Q91,PARTIDAS!$A:$P,13,FALSE),0)</f>
        <v>1093.3011411096729</v>
      </c>
      <c r="G91" s="8">
        <f>IFERROR(VLOOKUP(Q91,PARTIDAS!$A:$P,14,FALSE),0)</f>
        <v>5007.5367970434945</v>
      </c>
      <c r="H91" s="8">
        <f>IFERROR(VLOOKUP(Q91,PARTIDAS!$A:$P,15,FALSE),0)</f>
        <v>162.65416813270798</v>
      </c>
      <c r="I91" s="8">
        <f>IFERROR(VLOOKUP(Q91,PARTIDAS!$A:$P,16,FALSE),0)</f>
        <v>6263.4921062858757</v>
      </c>
      <c r="J91" s="8">
        <f t="shared" si="8"/>
        <v>1157128.0617276558</v>
      </c>
      <c r="K91" s="8">
        <f t="shared" si="9"/>
        <v>5299876.7952548945</v>
      </c>
      <c r="L91" s="8">
        <f t="shared" si="10"/>
        <v>172149.91846829548</v>
      </c>
      <c r="M91" s="8">
        <f t="shared" si="11"/>
        <v>6629154.7754508462</v>
      </c>
      <c r="Q91" s="5" t="s">
        <v>993</v>
      </c>
    </row>
    <row r="92" spans="1:17" x14ac:dyDescent="0.35">
      <c r="A92" s="5">
        <v>14.05</v>
      </c>
      <c r="B92" s="5" t="s">
        <v>985</v>
      </c>
      <c r="C92" s="5" t="s">
        <v>994</v>
      </c>
      <c r="D92" s="5" t="s">
        <v>866</v>
      </c>
      <c r="E92" s="6">
        <v>504.12220000000002</v>
      </c>
      <c r="F92" s="8">
        <f>IFERROR(VLOOKUP(Q92,PARTIDAS!$A:$P,13,FALSE),0)</f>
        <v>5770.2845463965996</v>
      </c>
      <c r="G92" s="8">
        <f>IFERROR(VLOOKUP(Q92,PARTIDAS!$A:$P,14,FALSE),0)</f>
        <v>12817.951499999999</v>
      </c>
      <c r="H92" s="8">
        <f>IFERROR(VLOOKUP(Q92,PARTIDAS!$A:$P,15,FALSE),0)</f>
        <v>0</v>
      </c>
      <c r="I92" s="8">
        <f>IFERROR(VLOOKUP(Q92,PARTIDAS!$A:$P,16,FALSE),0)</f>
        <v>18588.2360463966</v>
      </c>
      <c r="J92" s="8">
        <f t="shared" si="8"/>
        <v>2908928.5401554559</v>
      </c>
      <c r="K92" s="8">
        <f t="shared" si="9"/>
        <v>6461813.9096732996</v>
      </c>
      <c r="L92" s="8">
        <f t="shared" si="10"/>
        <v>0</v>
      </c>
      <c r="M92" s="8">
        <f t="shared" si="11"/>
        <v>9370742.4498287551</v>
      </c>
      <c r="Q92" s="5" t="s">
        <v>995</v>
      </c>
    </row>
    <row r="93" spans="1:17" x14ac:dyDescent="0.35">
      <c r="A93" s="5">
        <v>14.06</v>
      </c>
      <c r="B93" s="5" t="s">
        <v>985</v>
      </c>
      <c r="C93" s="5" t="s">
        <v>996</v>
      </c>
      <c r="D93" s="5" t="s">
        <v>356</v>
      </c>
      <c r="E93" s="6">
        <v>555.99</v>
      </c>
      <c r="F93" s="8">
        <f>IFERROR(VLOOKUP(Q93,PARTIDAS!$A:$P,13,FALSE),0)</f>
        <v>0</v>
      </c>
      <c r="G93" s="8">
        <f>IFERROR(VLOOKUP(Q93,PARTIDAS!$A:$P,14,FALSE),0)</f>
        <v>10160.5713</v>
      </c>
      <c r="H93" s="8">
        <f>IFERROR(VLOOKUP(Q93,PARTIDAS!$A:$P,15,FALSE),0)</f>
        <v>0</v>
      </c>
      <c r="I93" s="8">
        <f>IFERROR(VLOOKUP(Q93,PARTIDAS!$A:$P,16,FALSE),0)</f>
        <v>10160.5713</v>
      </c>
      <c r="J93" s="8">
        <f t="shared" si="8"/>
        <v>0</v>
      </c>
      <c r="K93" s="8">
        <f t="shared" si="9"/>
        <v>5649176.037087</v>
      </c>
      <c r="L93" s="8">
        <f t="shared" si="10"/>
        <v>0</v>
      </c>
      <c r="M93" s="8">
        <f t="shared" si="11"/>
        <v>5649176.037087</v>
      </c>
      <c r="Q93" s="5" t="s">
        <v>997</v>
      </c>
    </row>
    <row r="94" spans="1:17" x14ac:dyDescent="0.35">
      <c r="A94" s="5">
        <v>14.07</v>
      </c>
      <c r="B94" s="5" t="s">
        <v>985</v>
      </c>
      <c r="C94" s="5" t="s">
        <v>998</v>
      </c>
      <c r="D94" s="5" t="s">
        <v>866</v>
      </c>
      <c r="E94" s="6">
        <v>429.07780000000002</v>
      </c>
      <c r="F94" s="8">
        <f>IFERROR(VLOOKUP(Q94,PARTIDAS!$A:$P,13,FALSE),0)</f>
        <v>699.17399999999998</v>
      </c>
      <c r="G94" s="8">
        <f>IFERROR(VLOOKUP(Q94,PARTIDAS!$A:$P,14,FALSE),0)</f>
        <v>2914.3271312820002</v>
      </c>
      <c r="H94" s="8">
        <f>IFERROR(VLOOKUP(Q94,PARTIDAS!$A:$P,15,FALSE),0)</f>
        <v>54.202500000000001</v>
      </c>
      <c r="I94" s="8">
        <f>IFERROR(VLOOKUP(Q94,PARTIDAS!$A:$P,16,FALSE),0)</f>
        <v>3667.7036312820001</v>
      </c>
      <c r="J94" s="8">
        <f t="shared" si="8"/>
        <v>300000.04173719999</v>
      </c>
      <c r="K94" s="8">
        <f t="shared" si="9"/>
        <v>1250473.0739707919</v>
      </c>
      <c r="L94" s="8">
        <f t="shared" si="10"/>
        <v>23257.089454500001</v>
      </c>
      <c r="M94" s="8">
        <f t="shared" si="11"/>
        <v>1573730.2051624919</v>
      </c>
      <c r="Q94" s="5" t="s">
        <v>999</v>
      </c>
    </row>
    <row r="95" spans="1:17" x14ac:dyDescent="0.35">
      <c r="A95" s="5">
        <v>15.01</v>
      </c>
      <c r="B95" s="5" t="s">
        <v>1000</v>
      </c>
      <c r="C95" s="5" t="s">
        <v>1001</v>
      </c>
      <c r="D95" s="5" t="s">
        <v>866</v>
      </c>
      <c r="E95" s="6">
        <v>2670</v>
      </c>
      <c r="F95" s="8">
        <f>IFERROR(VLOOKUP(Q95,PARTIDAS!$A:$P,13,FALSE),0)</f>
        <v>0</v>
      </c>
      <c r="G95" s="8">
        <f>IFERROR(VLOOKUP(Q95,PARTIDAS!$A:$P,14,FALSE),0)</f>
        <v>0</v>
      </c>
      <c r="H95" s="8">
        <f>IFERROR(VLOOKUP(Q95,PARTIDAS!$A:$P,15,FALSE),0)</f>
        <v>0</v>
      </c>
      <c r="I95" s="8">
        <f>IFERROR(VLOOKUP(Q95,PARTIDAS!$A:$P,16,FALSE),0)</f>
        <v>0</v>
      </c>
      <c r="J95" s="8">
        <f t="shared" si="8"/>
        <v>0</v>
      </c>
      <c r="K95" s="8">
        <f t="shared" si="9"/>
        <v>0</v>
      </c>
      <c r="L95" s="8">
        <f t="shared" si="10"/>
        <v>0</v>
      </c>
      <c r="M95" s="8">
        <f t="shared" si="11"/>
        <v>0</v>
      </c>
      <c r="Q95" s="5" t="s">
        <v>1002</v>
      </c>
    </row>
    <row r="96" spans="1:17" x14ac:dyDescent="0.35">
      <c r="A96" s="5">
        <v>15.02</v>
      </c>
      <c r="B96" s="5" t="s">
        <v>1000</v>
      </c>
      <c r="C96" s="5" t="s">
        <v>1003</v>
      </c>
      <c r="D96" s="5" t="s">
        <v>866</v>
      </c>
      <c r="E96" s="6">
        <v>961</v>
      </c>
      <c r="F96" s="8">
        <f>IFERROR(VLOOKUP(Q96,PARTIDAS!$A:$P,13,FALSE),0)</f>
        <v>0</v>
      </c>
      <c r="G96" s="8">
        <f>IFERROR(VLOOKUP(Q96,PARTIDAS!$A:$P,14,FALSE),0)</f>
        <v>0</v>
      </c>
      <c r="H96" s="8">
        <f>IFERROR(VLOOKUP(Q96,PARTIDAS!$A:$P,15,FALSE),0)</f>
        <v>0</v>
      </c>
      <c r="I96" s="8">
        <f>IFERROR(VLOOKUP(Q96,PARTIDAS!$A:$P,16,FALSE),0)</f>
        <v>0</v>
      </c>
      <c r="J96" s="8">
        <f t="shared" si="8"/>
        <v>0</v>
      </c>
      <c r="K96" s="8">
        <f t="shared" si="9"/>
        <v>0</v>
      </c>
      <c r="L96" s="8">
        <f t="shared" si="10"/>
        <v>0</v>
      </c>
      <c r="M96" s="8">
        <f t="shared" si="11"/>
        <v>0</v>
      </c>
      <c r="Q96" s="5" t="s">
        <v>1004</v>
      </c>
    </row>
    <row r="97" spans="1:17" x14ac:dyDescent="0.35">
      <c r="A97" s="5">
        <v>15.03</v>
      </c>
      <c r="B97" s="5" t="s">
        <v>1000</v>
      </c>
      <c r="C97" s="5" t="s">
        <v>1005</v>
      </c>
      <c r="D97" s="5" t="s">
        <v>866</v>
      </c>
      <c r="E97" s="6">
        <v>518</v>
      </c>
      <c r="F97" s="8">
        <f>IFERROR(VLOOKUP(Q97,PARTIDAS!$A:$P,13,FALSE),0)</f>
        <v>0</v>
      </c>
      <c r="G97" s="8">
        <f>IFERROR(VLOOKUP(Q97,PARTIDAS!$A:$P,14,FALSE),0)</f>
        <v>0</v>
      </c>
      <c r="H97" s="8">
        <f>IFERROR(VLOOKUP(Q97,PARTIDAS!$A:$P,15,FALSE),0)</f>
        <v>0</v>
      </c>
      <c r="I97" s="8">
        <f>IFERROR(VLOOKUP(Q97,PARTIDAS!$A:$P,16,FALSE),0)</f>
        <v>0</v>
      </c>
      <c r="J97" s="8">
        <f t="shared" si="8"/>
        <v>0</v>
      </c>
      <c r="K97" s="8">
        <f t="shared" si="9"/>
        <v>0</v>
      </c>
      <c r="L97" s="8">
        <f t="shared" si="10"/>
        <v>0</v>
      </c>
      <c r="M97" s="8">
        <f t="shared" si="11"/>
        <v>0</v>
      </c>
      <c r="Q97" s="5" t="s">
        <v>1006</v>
      </c>
    </row>
    <row r="98" spans="1:17" x14ac:dyDescent="0.35">
      <c r="A98" s="5">
        <v>15.04</v>
      </c>
      <c r="B98" s="5" t="s">
        <v>1000</v>
      </c>
      <c r="C98" s="5" t="s">
        <v>1007</v>
      </c>
      <c r="D98" s="5" t="s">
        <v>866</v>
      </c>
      <c r="E98" s="6">
        <v>612</v>
      </c>
      <c r="F98" s="8">
        <f>IFERROR(VLOOKUP(Q98,PARTIDAS!$A:$P,13,FALSE),0)</f>
        <v>0</v>
      </c>
      <c r="G98" s="8">
        <f>IFERROR(VLOOKUP(Q98,PARTIDAS!$A:$P,14,FALSE),0)</f>
        <v>0</v>
      </c>
      <c r="H98" s="8">
        <f>IFERROR(VLOOKUP(Q98,PARTIDAS!$A:$P,15,FALSE),0)</f>
        <v>0</v>
      </c>
      <c r="I98" s="8">
        <f>IFERROR(VLOOKUP(Q98,PARTIDAS!$A:$P,16,FALSE),0)</f>
        <v>0</v>
      </c>
      <c r="J98" s="8">
        <f t="shared" ref="J98:J129" si="12">F98*$E98</f>
        <v>0</v>
      </c>
      <c r="K98" s="8">
        <f t="shared" ref="K98:K129" si="13">G98*$E98</f>
        <v>0</v>
      </c>
      <c r="L98" s="8">
        <f t="shared" ref="L98:L129" si="14">H98*$E98</f>
        <v>0</v>
      </c>
      <c r="M98" s="8">
        <f t="shared" ref="M98:M129" si="15">J98+K98+L98</f>
        <v>0</v>
      </c>
      <c r="Q98" s="5" t="s">
        <v>1008</v>
      </c>
    </row>
    <row r="99" spans="1:17" x14ac:dyDescent="0.35">
      <c r="A99" s="5">
        <v>15.05</v>
      </c>
      <c r="B99" s="5" t="s">
        <v>1000</v>
      </c>
      <c r="C99" s="5" t="s">
        <v>1009</v>
      </c>
      <c r="D99" s="5" t="s">
        <v>866</v>
      </c>
      <c r="E99" s="6">
        <v>422</v>
      </c>
      <c r="F99" s="8">
        <f>IFERROR(VLOOKUP(Q99,PARTIDAS!$A:$P,13,FALSE),0)</f>
        <v>0</v>
      </c>
      <c r="G99" s="8">
        <f>IFERROR(VLOOKUP(Q99,PARTIDAS!$A:$P,14,FALSE),0)</f>
        <v>0</v>
      </c>
      <c r="H99" s="8">
        <f>IFERROR(VLOOKUP(Q99,PARTIDAS!$A:$P,15,FALSE),0)</f>
        <v>0</v>
      </c>
      <c r="I99" s="8">
        <f>IFERROR(VLOOKUP(Q99,PARTIDAS!$A:$P,16,FALSE),0)</f>
        <v>0</v>
      </c>
      <c r="J99" s="8">
        <f t="shared" si="12"/>
        <v>0</v>
      </c>
      <c r="K99" s="8">
        <f t="shared" si="13"/>
        <v>0</v>
      </c>
      <c r="L99" s="8">
        <f t="shared" si="14"/>
        <v>0</v>
      </c>
      <c r="M99" s="8">
        <f t="shared" si="15"/>
        <v>0</v>
      </c>
      <c r="Q99" s="5" t="s">
        <v>1010</v>
      </c>
    </row>
    <row r="100" spans="1:17" x14ac:dyDescent="0.35">
      <c r="A100" s="5">
        <v>15.07</v>
      </c>
      <c r="B100" s="5" t="s">
        <v>1000</v>
      </c>
      <c r="C100" s="5" t="s">
        <v>1011</v>
      </c>
      <c r="D100" s="5" t="s">
        <v>866</v>
      </c>
      <c r="E100" s="6">
        <v>678.25199999999995</v>
      </c>
      <c r="F100" s="8">
        <f>IFERROR(VLOOKUP(Q100,PARTIDAS!$A:$P,13,FALSE),0)</f>
        <v>0</v>
      </c>
      <c r="G100" s="8">
        <f>IFERROR(VLOOKUP(Q100,PARTIDAS!$A:$P,14,FALSE),0)</f>
        <v>0</v>
      </c>
      <c r="H100" s="8">
        <f>IFERROR(VLOOKUP(Q100,PARTIDAS!$A:$P,15,FALSE),0)</f>
        <v>0</v>
      </c>
      <c r="I100" s="8">
        <f>IFERROR(VLOOKUP(Q100,PARTIDAS!$A:$P,16,FALSE),0)</f>
        <v>0</v>
      </c>
      <c r="J100" s="8">
        <f t="shared" si="12"/>
        <v>0</v>
      </c>
      <c r="K100" s="8">
        <f t="shared" si="13"/>
        <v>0</v>
      </c>
      <c r="L100" s="8">
        <f t="shared" si="14"/>
        <v>0</v>
      </c>
      <c r="M100" s="8">
        <f t="shared" si="15"/>
        <v>0</v>
      </c>
      <c r="Q100" s="5" t="s">
        <v>1012</v>
      </c>
    </row>
    <row r="101" spans="1:17" x14ac:dyDescent="0.35">
      <c r="A101" s="5">
        <v>15.08</v>
      </c>
      <c r="B101" s="5" t="s">
        <v>1000</v>
      </c>
      <c r="C101" s="5" t="s">
        <v>1013</v>
      </c>
      <c r="D101" s="5" t="s">
        <v>866</v>
      </c>
      <c r="E101" s="6">
        <v>728.48019999999985</v>
      </c>
      <c r="F101" s="8">
        <f>IFERROR(VLOOKUP(Q101,PARTIDAS!$A:$P,13,FALSE),0)</f>
        <v>0</v>
      </c>
      <c r="G101" s="8">
        <f>IFERROR(VLOOKUP(Q101,PARTIDAS!$A:$P,14,FALSE),0)</f>
        <v>0</v>
      </c>
      <c r="H101" s="8">
        <f>IFERROR(VLOOKUP(Q101,PARTIDAS!$A:$P,15,FALSE),0)</f>
        <v>0</v>
      </c>
      <c r="I101" s="8">
        <f>IFERROR(VLOOKUP(Q101,PARTIDAS!$A:$P,16,FALSE),0)</f>
        <v>0</v>
      </c>
      <c r="J101" s="8">
        <f t="shared" si="12"/>
        <v>0</v>
      </c>
      <c r="K101" s="8">
        <f t="shared" si="13"/>
        <v>0</v>
      </c>
      <c r="L101" s="8">
        <f t="shared" si="14"/>
        <v>0</v>
      </c>
      <c r="M101" s="8">
        <f t="shared" si="15"/>
        <v>0</v>
      </c>
      <c r="Q101" s="5" t="s">
        <v>1014</v>
      </c>
    </row>
    <row r="102" spans="1:17" x14ac:dyDescent="0.35">
      <c r="A102" s="5">
        <v>15.09</v>
      </c>
      <c r="B102" s="5" t="s">
        <v>1000</v>
      </c>
      <c r="C102" s="5" t="s">
        <v>1015</v>
      </c>
      <c r="D102" s="5" t="s">
        <v>807</v>
      </c>
      <c r="E102" s="6">
        <v>76</v>
      </c>
      <c r="F102" s="8">
        <f>IFERROR(VLOOKUP(Q102,PARTIDAS!$A:$P,13,FALSE),0)</f>
        <v>0</v>
      </c>
      <c r="G102" s="8">
        <f>IFERROR(VLOOKUP(Q102,PARTIDAS!$A:$P,14,FALSE),0)</f>
        <v>0</v>
      </c>
      <c r="H102" s="8">
        <f>IFERROR(VLOOKUP(Q102,PARTIDAS!$A:$P,15,FALSE),0)</f>
        <v>0</v>
      </c>
      <c r="I102" s="8">
        <f>IFERROR(VLOOKUP(Q102,PARTIDAS!$A:$P,16,FALSE),0)</f>
        <v>0</v>
      </c>
      <c r="J102" s="8">
        <f t="shared" si="12"/>
        <v>0</v>
      </c>
      <c r="K102" s="8">
        <f t="shared" si="13"/>
        <v>0</v>
      </c>
      <c r="L102" s="8">
        <f t="shared" si="14"/>
        <v>0</v>
      </c>
      <c r="M102" s="8">
        <f t="shared" si="15"/>
        <v>0</v>
      </c>
      <c r="Q102" s="5" t="s">
        <v>1016</v>
      </c>
    </row>
    <row r="103" spans="1:17" x14ac:dyDescent="0.35">
      <c r="A103" s="5">
        <v>15.1</v>
      </c>
      <c r="B103" s="5" t="s">
        <v>1000</v>
      </c>
      <c r="C103" s="5" t="s">
        <v>1017</v>
      </c>
      <c r="D103" s="5" t="s">
        <v>470</v>
      </c>
      <c r="E103" s="6">
        <v>1</v>
      </c>
      <c r="F103" s="8">
        <f>IFERROR(VLOOKUP(Q103,PARTIDAS!$A:$P,13,FALSE),0)</f>
        <v>0</v>
      </c>
      <c r="G103" s="8">
        <f>IFERROR(VLOOKUP(Q103,PARTIDAS!$A:$P,14,FALSE),0)</f>
        <v>0</v>
      </c>
      <c r="H103" s="8">
        <f>IFERROR(VLOOKUP(Q103,PARTIDAS!$A:$P,15,FALSE),0)</f>
        <v>0</v>
      </c>
      <c r="I103" s="8">
        <f>IFERROR(VLOOKUP(Q103,PARTIDAS!$A:$P,16,FALSE),0)</f>
        <v>0</v>
      </c>
      <c r="J103" s="8">
        <f t="shared" si="12"/>
        <v>0</v>
      </c>
      <c r="K103" s="8">
        <f t="shared" si="13"/>
        <v>0</v>
      </c>
      <c r="L103" s="8">
        <f t="shared" si="14"/>
        <v>0</v>
      </c>
      <c r="M103" s="8">
        <f t="shared" si="15"/>
        <v>0</v>
      </c>
      <c r="Q103" s="5" t="s">
        <v>1018</v>
      </c>
    </row>
    <row r="104" spans="1:17" x14ac:dyDescent="0.35">
      <c r="A104" s="5">
        <v>17.010000000000002</v>
      </c>
      <c r="B104" s="5" t="s">
        <v>1019</v>
      </c>
      <c r="C104" s="5" t="s">
        <v>1020</v>
      </c>
      <c r="D104" s="5" t="s">
        <v>284</v>
      </c>
      <c r="E104" s="6">
        <v>47</v>
      </c>
      <c r="F104" s="8">
        <f>IFERROR(VLOOKUP(Q104,PARTIDAS!$A:$P,13,FALSE),0)</f>
        <v>3816.1086480000004</v>
      </c>
      <c r="G104" s="8">
        <f>IFERROR(VLOOKUP(Q104,PARTIDAS!$A:$P,14,FALSE),0)</f>
        <v>46892.733749999999</v>
      </c>
      <c r="H104" s="8">
        <f>IFERROR(VLOOKUP(Q104,PARTIDAS!$A:$P,15,FALSE),0)</f>
        <v>394.92626250000001</v>
      </c>
      <c r="I104" s="8">
        <f>IFERROR(VLOOKUP(Q104,PARTIDAS!$A:$P,16,FALSE),0)</f>
        <v>51103.768660499998</v>
      </c>
      <c r="J104" s="8">
        <f t="shared" si="12"/>
        <v>179357.10645600001</v>
      </c>
      <c r="K104" s="8">
        <f t="shared" si="13"/>
        <v>2203958.4862500001</v>
      </c>
      <c r="L104" s="8">
        <f t="shared" si="14"/>
        <v>18561.534337500001</v>
      </c>
      <c r="M104" s="8">
        <f t="shared" si="15"/>
        <v>2401877.1270435001</v>
      </c>
      <c r="Q104" s="5" t="s">
        <v>1021</v>
      </c>
    </row>
    <row r="105" spans="1:17" x14ac:dyDescent="0.35">
      <c r="A105" s="5">
        <v>17.02</v>
      </c>
      <c r="B105" s="5" t="s">
        <v>1019</v>
      </c>
      <c r="C105" s="5" t="s">
        <v>1022</v>
      </c>
      <c r="D105" s="5" t="s">
        <v>284</v>
      </c>
      <c r="E105" s="6">
        <v>23</v>
      </c>
      <c r="F105" s="8">
        <f>IFERROR(VLOOKUP(Q105,PARTIDAS!$A:$P,13,FALSE),0)</f>
        <v>3816.1086480000004</v>
      </c>
      <c r="G105" s="8">
        <f>IFERROR(VLOOKUP(Q105,PARTIDAS!$A:$P,14,FALSE),0)</f>
        <v>46892.733749999999</v>
      </c>
      <c r="H105" s="8">
        <f>IFERROR(VLOOKUP(Q105,PARTIDAS!$A:$P,15,FALSE),0)</f>
        <v>394.92626250000001</v>
      </c>
      <c r="I105" s="8">
        <f>IFERROR(VLOOKUP(Q105,PARTIDAS!$A:$P,16,FALSE),0)</f>
        <v>51103.768660499998</v>
      </c>
      <c r="J105" s="8">
        <f t="shared" si="12"/>
        <v>87770.498904000007</v>
      </c>
      <c r="K105" s="8">
        <f t="shared" si="13"/>
        <v>1078532.87625</v>
      </c>
      <c r="L105" s="8">
        <f t="shared" si="14"/>
        <v>9083.3040375</v>
      </c>
      <c r="M105" s="8">
        <f t="shared" si="15"/>
        <v>1175386.6791914999</v>
      </c>
      <c r="Q105" s="5" t="s">
        <v>1023</v>
      </c>
    </row>
    <row r="106" spans="1:17" x14ac:dyDescent="0.35">
      <c r="A106" s="5">
        <v>17.03</v>
      </c>
      <c r="B106" s="5" t="s">
        <v>1019</v>
      </c>
      <c r="C106" s="5" t="s">
        <v>1024</v>
      </c>
      <c r="D106" s="5" t="s">
        <v>284</v>
      </c>
      <c r="E106" s="6">
        <v>51</v>
      </c>
      <c r="F106" s="8">
        <f>IFERROR(VLOOKUP(Q106,PARTIDAS!$A:$P,13,FALSE),0)</f>
        <v>1396.3488462000003</v>
      </c>
      <c r="G106" s="8">
        <f>IFERROR(VLOOKUP(Q106,PARTIDAS!$A:$P,14,FALSE),0)</f>
        <v>31261.822500000002</v>
      </c>
      <c r="H106" s="8">
        <f>IFERROR(VLOOKUP(Q106,PARTIDAS!$A:$P,15,FALSE),0)</f>
        <v>197.46313125</v>
      </c>
      <c r="I106" s="8">
        <f>IFERROR(VLOOKUP(Q106,PARTIDAS!$A:$P,16,FALSE),0)</f>
        <v>32855.634477450003</v>
      </c>
      <c r="J106" s="8">
        <f t="shared" si="12"/>
        <v>71213.791156200008</v>
      </c>
      <c r="K106" s="8">
        <f t="shared" si="13"/>
        <v>1594352.9475</v>
      </c>
      <c r="L106" s="8">
        <f t="shared" si="14"/>
        <v>10070.619693750001</v>
      </c>
      <c r="M106" s="8">
        <f t="shared" si="15"/>
        <v>1675637.3583499501</v>
      </c>
      <c r="Q106" s="5" t="s">
        <v>1025</v>
      </c>
    </row>
    <row r="107" spans="1:17" x14ac:dyDescent="0.35">
      <c r="A107" s="5">
        <v>17.04</v>
      </c>
      <c r="B107" s="5" t="s">
        <v>1019</v>
      </c>
      <c r="C107" s="5" t="s">
        <v>1026</v>
      </c>
      <c r="D107" s="5" t="s">
        <v>284</v>
      </c>
      <c r="E107" s="6">
        <v>7</v>
      </c>
      <c r="F107" s="8">
        <f>IFERROR(VLOOKUP(Q107,PARTIDAS!$A:$P,13,FALSE),0)</f>
        <v>3816.1086480000004</v>
      </c>
      <c r="G107" s="8">
        <f>IFERROR(VLOOKUP(Q107,PARTIDAS!$A:$P,14,FALSE),0)</f>
        <v>70339.099762500002</v>
      </c>
      <c r="H107" s="8">
        <f>IFERROR(VLOOKUP(Q107,PARTIDAS!$A:$P,15,FALSE),0)</f>
        <v>394.92630000000003</v>
      </c>
      <c r="I107" s="8">
        <f>IFERROR(VLOOKUP(Q107,PARTIDAS!$A:$P,16,FALSE),0)</f>
        <v>74550.134710500002</v>
      </c>
      <c r="J107" s="8">
        <f t="shared" si="12"/>
        <v>26712.760536000002</v>
      </c>
      <c r="K107" s="8">
        <f t="shared" si="13"/>
        <v>492373.69833749998</v>
      </c>
      <c r="L107" s="8">
        <f t="shared" si="14"/>
        <v>2764.4841000000001</v>
      </c>
      <c r="M107" s="8">
        <f t="shared" si="15"/>
        <v>521850.9429735</v>
      </c>
      <c r="Q107" s="5" t="s">
        <v>1027</v>
      </c>
    </row>
    <row r="108" spans="1:17" x14ac:dyDescent="0.35">
      <c r="A108" s="5">
        <v>18.010000000000002</v>
      </c>
      <c r="B108" s="5" t="s">
        <v>1028</v>
      </c>
      <c r="C108" s="5" t="s">
        <v>1029</v>
      </c>
      <c r="D108" s="5" t="s">
        <v>284</v>
      </c>
      <c r="E108" s="6">
        <v>392</v>
      </c>
      <c r="F108" s="8">
        <f>IFERROR(VLOOKUP(Q108,PARTIDAS!$A:$P,13,FALSE),0)</f>
        <v>13184.711837886724</v>
      </c>
      <c r="G108" s="8">
        <f>IFERROR(VLOOKUP(Q108,PARTIDAS!$A:$P,14,FALSE),0)</f>
        <v>32886.699999999997</v>
      </c>
      <c r="H108" s="8">
        <f>IFERROR(VLOOKUP(Q108,PARTIDAS!$A:$P,15,FALSE),0)</f>
        <v>1623.6466702520881</v>
      </c>
      <c r="I108" s="8">
        <f>IFERROR(VLOOKUP(Q108,PARTIDAS!$A:$P,16,FALSE),0)</f>
        <v>47695.058508138805</v>
      </c>
      <c r="J108" s="8">
        <f t="shared" si="12"/>
        <v>5168407.0404515956</v>
      </c>
      <c r="K108" s="8">
        <f t="shared" si="13"/>
        <v>12891586.399999999</v>
      </c>
      <c r="L108" s="8">
        <f t="shared" si="14"/>
        <v>636469.4947388185</v>
      </c>
      <c r="M108" s="8">
        <f t="shared" si="15"/>
        <v>18696462.935190409</v>
      </c>
      <c r="Q108" s="5" t="s">
        <v>1030</v>
      </c>
    </row>
    <row r="109" spans="1:17" x14ac:dyDescent="0.35">
      <c r="A109" s="5">
        <v>18.02</v>
      </c>
      <c r="B109" s="5" t="s">
        <v>1028</v>
      </c>
      <c r="C109" s="5" t="s">
        <v>1031</v>
      </c>
      <c r="D109" s="5" t="s">
        <v>284</v>
      </c>
      <c r="E109" s="6">
        <v>19</v>
      </c>
      <c r="F109" s="8">
        <f>IFERROR(VLOOKUP(Q109,PARTIDAS!$A:$P,13,FALSE),0)</f>
        <v>13184.711837886724</v>
      </c>
      <c r="G109" s="8">
        <f>IFERROR(VLOOKUP(Q109,PARTIDAS!$A:$P,14,FALSE),0)</f>
        <v>32886.699999999997</v>
      </c>
      <c r="H109" s="8">
        <f>IFERROR(VLOOKUP(Q109,PARTIDAS!$A:$P,15,FALSE),0)</f>
        <v>1623.6466702520881</v>
      </c>
      <c r="I109" s="8">
        <f>IFERROR(VLOOKUP(Q109,PARTIDAS!$A:$P,16,FALSE),0)</f>
        <v>47695.058508138805</v>
      </c>
      <c r="J109" s="8">
        <f t="shared" si="12"/>
        <v>250509.52491984775</v>
      </c>
      <c r="K109" s="8">
        <f t="shared" si="13"/>
        <v>624847.29999999993</v>
      </c>
      <c r="L109" s="8">
        <f t="shared" si="14"/>
        <v>30849.286734789675</v>
      </c>
      <c r="M109" s="8">
        <f t="shared" si="15"/>
        <v>906206.11165463738</v>
      </c>
      <c r="Q109" s="5" t="s">
        <v>1032</v>
      </c>
    </row>
    <row r="110" spans="1:17" x14ac:dyDescent="0.35">
      <c r="A110" s="5">
        <v>18.03</v>
      </c>
      <c r="B110" s="5" t="s">
        <v>1028</v>
      </c>
      <c r="C110" s="5" t="s">
        <v>1033</v>
      </c>
      <c r="D110" s="5" t="s">
        <v>284</v>
      </c>
      <c r="E110" s="6">
        <v>349</v>
      </c>
      <c r="F110" s="8">
        <f>IFERROR(VLOOKUP(Q110,PARTIDAS!$A:$P,13,FALSE),0)</f>
        <v>11193.920474030796</v>
      </c>
      <c r="G110" s="8">
        <f>IFERROR(VLOOKUP(Q110,PARTIDAS!$A:$P,14,FALSE),0)</f>
        <v>32886.699999999997</v>
      </c>
      <c r="H110" s="8">
        <f>IFERROR(VLOOKUP(Q110,PARTIDAS!$A:$P,15,FALSE),0)</f>
        <v>1623.6466702520881</v>
      </c>
      <c r="I110" s="8">
        <f>IFERROR(VLOOKUP(Q110,PARTIDAS!$A:$P,16,FALSE),0)</f>
        <v>45704.26714428288</v>
      </c>
      <c r="J110" s="8">
        <f t="shared" si="12"/>
        <v>3906678.2454367476</v>
      </c>
      <c r="K110" s="8">
        <f t="shared" si="13"/>
        <v>11477458.299999999</v>
      </c>
      <c r="L110" s="8">
        <f t="shared" si="14"/>
        <v>566652.68791797874</v>
      </c>
      <c r="M110" s="8">
        <f t="shared" si="15"/>
        <v>15950789.233354727</v>
      </c>
      <c r="Q110" s="5" t="s">
        <v>1034</v>
      </c>
    </row>
    <row r="111" spans="1:17" x14ac:dyDescent="0.35">
      <c r="A111" s="5">
        <v>18.04</v>
      </c>
      <c r="B111" s="5" t="s">
        <v>1028</v>
      </c>
      <c r="C111" s="5" t="s">
        <v>1035</v>
      </c>
      <c r="D111" s="5" t="s">
        <v>284</v>
      </c>
      <c r="E111" s="6">
        <v>35</v>
      </c>
      <c r="F111" s="8">
        <f>IFERROR(VLOOKUP(Q111,PARTIDAS!$A:$P,13,FALSE),0)</f>
        <v>16790.880760089767</v>
      </c>
      <c r="G111" s="8">
        <f>IFERROR(VLOOKUP(Q111,PARTIDAS!$A:$P,14,FALSE),0)</f>
        <v>32886.699999999997</v>
      </c>
      <c r="H111" s="8">
        <f>IFERROR(VLOOKUP(Q111,PARTIDAS!$A:$P,15,FALSE),0)</f>
        <v>1623.6466702520881</v>
      </c>
      <c r="I111" s="8">
        <f>IFERROR(VLOOKUP(Q111,PARTIDAS!$A:$P,16,FALSE),0)</f>
        <v>51301.227430341853</v>
      </c>
      <c r="J111" s="8">
        <f t="shared" si="12"/>
        <v>587680.82660314185</v>
      </c>
      <c r="K111" s="8">
        <f t="shared" si="13"/>
        <v>1151034.5</v>
      </c>
      <c r="L111" s="8">
        <f t="shared" si="14"/>
        <v>56827.633458823082</v>
      </c>
      <c r="M111" s="8">
        <f t="shared" si="15"/>
        <v>1795542.960061965</v>
      </c>
      <c r="Q111" s="5" t="s">
        <v>1036</v>
      </c>
    </row>
    <row r="112" spans="1:17" x14ac:dyDescent="0.35">
      <c r="A112" s="5">
        <v>18.05</v>
      </c>
      <c r="B112" s="5" t="s">
        <v>1028</v>
      </c>
      <c r="C112" s="5" t="s">
        <v>1037</v>
      </c>
      <c r="D112" s="5" t="s">
        <v>284</v>
      </c>
      <c r="E112" s="6">
        <v>16</v>
      </c>
      <c r="F112" s="8">
        <f>IFERROR(VLOOKUP(Q112,PARTIDAS!$A:$P,13,FALSE),0)</f>
        <v>11193.920474030796</v>
      </c>
      <c r="G112" s="8">
        <f>IFERROR(VLOOKUP(Q112,PARTIDAS!$A:$P,14,FALSE),0)</f>
        <v>32886.699999999997</v>
      </c>
      <c r="H112" s="8">
        <f>IFERROR(VLOOKUP(Q112,PARTIDAS!$A:$P,15,FALSE),0)</f>
        <v>1623.6466702520881</v>
      </c>
      <c r="I112" s="8">
        <f>IFERROR(VLOOKUP(Q112,PARTIDAS!$A:$P,16,FALSE),0)</f>
        <v>45704.26714428288</v>
      </c>
      <c r="J112" s="8">
        <f t="shared" si="12"/>
        <v>179102.72758449274</v>
      </c>
      <c r="K112" s="8">
        <f t="shared" si="13"/>
        <v>526187.19999999995</v>
      </c>
      <c r="L112" s="8">
        <f t="shared" si="14"/>
        <v>25978.34672403341</v>
      </c>
      <c r="M112" s="8">
        <f t="shared" si="15"/>
        <v>731268.27430852607</v>
      </c>
      <c r="Q112" s="5" t="s">
        <v>1038</v>
      </c>
    </row>
    <row r="113" spans="1:17" x14ac:dyDescent="0.35">
      <c r="A113" s="5">
        <v>18.059999999999999</v>
      </c>
      <c r="B113" s="5" t="s">
        <v>1028</v>
      </c>
      <c r="C113" s="5" t="s">
        <v>1039</v>
      </c>
      <c r="D113" s="5" t="s">
        <v>284</v>
      </c>
      <c r="E113" s="6">
        <v>16</v>
      </c>
      <c r="F113" s="8">
        <f>IFERROR(VLOOKUP(Q113,PARTIDAS!$A:$P,13,FALSE),0)</f>
        <v>11193.920474030796</v>
      </c>
      <c r="G113" s="8">
        <f>IFERROR(VLOOKUP(Q113,PARTIDAS!$A:$P,14,FALSE),0)</f>
        <v>32886.699999999997</v>
      </c>
      <c r="H113" s="8">
        <f>IFERROR(VLOOKUP(Q113,PARTIDAS!$A:$P,15,FALSE),0)</f>
        <v>1623.6466702520881</v>
      </c>
      <c r="I113" s="8">
        <f>IFERROR(VLOOKUP(Q113,PARTIDAS!$A:$P,16,FALSE),0)</f>
        <v>45704.26714428288</v>
      </c>
      <c r="J113" s="8">
        <f t="shared" si="12"/>
        <v>179102.72758449274</v>
      </c>
      <c r="K113" s="8">
        <f t="shared" si="13"/>
        <v>526187.19999999995</v>
      </c>
      <c r="L113" s="8">
        <f t="shared" si="14"/>
        <v>25978.34672403341</v>
      </c>
      <c r="M113" s="8">
        <f t="shared" si="15"/>
        <v>731268.27430852607</v>
      </c>
      <c r="Q113" s="5" t="s">
        <v>1040</v>
      </c>
    </row>
    <row r="114" spans="1:17" x14ac:dyDescent="0.35">
      <c r="A114" s="5">
        <v>18.07</v>
      </c>
      <c r="B114" s="5" t="s">
        <v>1028</v>
      </c>
      <c r="C114" s="5" t="s">
        <v>1041</v>
      </c>
      <c r="D114" s="5" t="s">
        <v>284</v>
      </c>
      <c r="E114" s="6">
        <v>46</v>
      </c>
      <c r="F114" s="8">
        <f>IFERROR(VLOOKUP(Q114,PARTIDAS!$A:$P,13,FALSE),0)</f>
        <v>9888.5338554291138</v>
      </c>
      <c r="G114" s="8">
        <f>IFERROR(VLOOKUP(Q114,PARTIDAS!$A:$P,14,FALSE),0)</f>
        <v>22868.3</v>
      </c>
      <c r="H114" s="8">
        <f>IFERROR(VLOOKUP(Q114,PARTIDAS!$A:$P,15,FALSE),0)</f>
        <v>1623.6466702520881</v>
      </c>
      <c r="I114" s="8">
        <f>IFERROR(VLOOKUP(Q114,PARTIDAS!$A:$P,16,FALSE),0)</f>
        <v>34380.480525681196</v>
      </c>
      <c r="J114" s="8">
        <f t="shared" si="12"/>
        <v>454872.55734973925</v>
      </c>
      <c r="K114" s="8">
        <f t="shared" si="13"/>
        <v>1051941.8</v>
      </c>
      <c r="L114" s="8">
        <f t="shared" si="14"/>
        <v>74687.746831596058</v>
      </c>
      <c r="M114" s="8">
        <f t="shared" si="15"/>
        <v>1581502.1041813355</v>
      </c>
      <c r="Q114" s="5" t="s">
        <v>1042</v>
      </c>
    </row>
    <row r="115" spans="1:17" x14ac:dyDescent="0.35">
      <c r="A115" s="5">
        <v>18.079999999999998</v>
      </c>
      <c r="B115" s="5" t="s">
        <v>1028</v>
      </c>
      <c r="C115" s="5" t="s">
        <v>1043</v>
      </c>
      <c r="D115" s="5" t="s">
        <v>284</v>
      </c>
      <c r="E115" s="6">
        <v>17</v>
      </c>
      <c r="F115" s="8">
        <f>IFERROR(VLOOKUP(Q115,PARTIDAS!$A:$P,13,FALSE),0)</f>
        <v>9888.5338554291138</v>
      </c>
      <c r="G115" s="8">
        <f>IFERROR(VLOOKUP(Q115,PARTIDAS!$A:$P,14,FALSE),0)</f>
        <v>22868.3</v>
      </c>
      <c r="H115" s="8">
        <f>IFERROR(VLOOKUP(Q115,PARTIDAS!$A:$P,15,FALSE),0)</f>
        <v>1623.6466702520881</v>
      </c>
      <c r="I115" s="8">
        <f>IFERROR(VLOOKUP(Q115,PARTIDAS!$A:$P,16,FALSE),0)</f>
        <v>34380.480525681196</v>
      </c>
      <c r="J115" s="8">
        <f t="shared" si="12"/>
        <v>168105.07554229494</v>
      </c>
      <c r="K115" s="8">
        <f t="shared" si="13"/>
        <v>388761.1</v>
      </c>
      <c r="L115" s="8">
        <f t="shared" si="14"/>
        <v>27601.993394285499</v>
      </c>
      <c r="M115" s="8">
        <f t="shared" si="15"/>
        <v>584468.16893658042</v>
      </c>
      <c r="Q115" s="5" t="s">
        <v>1044</v>
      </c>
    </row>
    <row r="116" spans="1:17" x14ac:dyDescent="0.35">
      <c r="A116" s="5">
        <v>18.09</v>
      </c>
      <c r="B116" s="5" t="s">
        <v>1028</v>
      </c>
      <c r="C116" s="5" t="s">
        <v>1045</v>
      </c>
      <c r="D116" s="5" t="s">
        <v>284</v>
      </c>
      <c r="E116" s="6">
        <v>11</v>
      </c>
      <c r="F116" s="8">
        <f>IFERROR(VLOOKUP(Q116,PARTIDAS!$A:$P,13,FALSE),0)</f>
        <v>9888.5338554291138</v>
      </c>
      <c r="G116" s="8">
        <f>IFERROR(VLOOKUP(Q116,PARTIDAS!$A:$P,14,FALSE),0)</f>
        <v>22868.3</v>
      </c>
      <c r="H116" s="8">
        <f>IFERROR(VLOOKUP(Q116,PARTIDAS!$A:$P,15,FALSE),0)</f>
        <v>1623.6466702520881</v>
      </c>
      <c r="I116" s="8">
        <f>IFERROR(VLOOKUP(Q116,PARTIDAS!$A:$P,16,FALSE),0)</f>
        <v>34380.480525681196</v>
      </c>
      <c r="J116" s="8">
        <f t="shared" si="12"/>
        <v>108773.87240972025</v>
      </c>
      <c r="K116" s="8">
        <f t="shared" si="13"/>
        <v>251551.3</v>
      </c>
      <c r="L116" s="8">
        <f t="shared" si="14"/>
        <v>17860.113372772968</v>
      </c>
      <c r="M116" s="8">
        <f t="shared" si="15"/>
        <v>378185.28578249324</v>
      </c>
      <c r="Q116" s="5" t="s">
        <v>1046</v>
      </c>
    </row>
    <row r="117" spans="1:17" x14ac:dyDescent="0.35">
      <c r="A117" s="5">
        <v>18.100000000000001</v>
      </c>
      <c r="B117" s="5" t="s">
        <v>1028</v>
      </c>
      <c r="C117" s="5" t="s">
        <v>1047</v>
      </c>
      <c r="D117" s="5" t="s">
        <v>284</v>
      </c>
      <c r="E117" s="6">
        <v>1</v>
      </c>
      <c r="F117" s="8">
        <f>IFERROR(VLOOKUP(Q117,PARTIDAS!$A:$P,13,FALSE),0)</f>
        <v>1524162.9246999999</v>
      </c>
      <c r="G117" s="8">
        <f>IFERROR(VLOOKUP(Q117,PARTIDAS!$A:$P,14,FALSE),0)</f>
        <v>329747.40000000002</v>
      </c>
      <c r="H117" s="8">
        <f>IFERROR(VLOOKUP(Q117,PARTIDAS!$A:$P,15,FALSE),0)</f>
        <v>27808.654900000001</v>
      </c>
      <c r="I117" s="8">
        <f>IFERROR(VLOOKUP(Q117,PARTIDAS!$A:$P,16,FALSE),0)</f>
        <v>1881718.9795999997</v>
      </c>
      <c r="J117" s="8">
        <f t="shared" si="12"/>
        <v>1524162.9246999999</v>
      </c>
      <c r="K117" s="8">
        <f t="shared" si="13"/>
        <v>329747.40000000002</v>
      </c>
      <c r="L117" s="8">
        <f t="shared" si="14"/>
        <v>27808.654900000001</v>
      </c>
      <c r="M117" s="8">
        <f t="shared" si="15"/>
        <v>1881718.9795999997</v>
      </c>
      <c r="Q117" s="5" t="s">
        <v>1048</v>
      </c>
    </row>
    <row r="118" spans="1:17" x14ac:dyDescent="0.35">
      <c r="A118" s="5">
        <v>18.11</v>
      </c>
      <c r="B118" s="5" t="s">
        <v>1028</v>
      </c>
      <c r="C118" s="5" t="s">
        <v>1049</v>
      </c>
      <c r="D118" s="5" t="s">
        <v>284</v>
      </c>
      <c r="E118" s="6">
        <v>1</v>
      </c>
      <c r="F118" s="8">
        <f>IFERROR(VLOOKUP(Q118,PARTIDAS!$A:$P,13,FALSE),0)</f>
        <v>651921.59560000012</v>
      </c>
      <c r="G118" s="8">
        <f>IFERROR(VLOOKUP(Q118,PARTIDAS!$A:$P,14,FALSE),0)</f>
        <v>219841.65</v>
      </c>
      <c r="H118" s="8">
        <f>IFERROR(VLOOKUP(Q118,PARTIDAS!$A:$P,15,FALSE),0)</f>
        <v>13076.448700000001</v>
      </c>
      <c r="I118" s="8">
        <f>IFERROR(VLOOKUP(Q118,PARTIDAS!$A:$P,16,FALSE),0)</f>
        <v>884839.69430000009</v>
      </c>
      <c r="J118" s="8">
        <f t="shared" si="12"/>
        <v>651921.59560000012</v>
      </c>
      <c r="K118" s="8">
        <f t="shared" si="13"/>
        <v>219841.65</v>
      </c>
      <c r="L118" s="8">
        <f t="shared" si="14"/>
        <v>13076.448700000001</v>
      </c>
      <c r="M118" s="8">
        <f t="shared" si="15"/>
        <v>884839.69430000009</v>
      </c>
      <c r="Q118" s="5" t="s">
        <v>1050</v>
      </c>
    </row>
    <row r="119" spans="1:17" x14ac:dyDescent="0.35">
      <c r="A119" s="5">
        <v>18.12</v>
      </c>
      <c r="B119" s="5" t="s">
        <v>1028</v>
      </c>
      <c r="C119" s="5" t="s">
        <v>1051</v>
      </c>
      <c r="D119" s="5" t="s">
        <v>284</v>
      </c>
      <c r="E119" s="6">
        <v>1</v>
      </c>
      <c r="F119" s="8">
        <f>IFERROR(VLOOKUP(Q119,PARTIDAS!$A:$P,13,FALSE),0)</f>
        <v>304564.37300000002</v>
      </c>
      <c r="G119" s="8">
        <f>IFERROR(VLOOKUP(Q119,PARTIDAS!$A:$P,14,FALSE),0)</f>
        <v>219841.65</v>
      </c>
      <c r="H119" s="8">
        <f>IFERROR(VLOOKUP(Q119,PARTIDAS!$A:$P,15,FALSE),0)</f>
        <v>7866.0902999999998</v>
      </c>
      <c r="I119" s="8">
        <f>IFERROR(VLOOKUP(Q119,PARTIDAS!$A:$P,16,FALSE),0)</f>
        <v>532272.11330000008</v>
      </c>
      <c r="J119" s="8">
        <f t="shared" si="12"/>
        <v>304564.37300000002</v>
      </c>
      <c r="K119" s="8">
        <f t="shared" si="13"/>
        <v>219841.65</v>
      </c>
      <c r="L119" s="8">
        <f t="shared" si="14"/>
        <v>7866.0902999999998</v>
      </c>
      <c r="M119" s="8">
        <f t="shared" si="15"/>
        <v>532272.11330000008</v>
      </c>
      <c r="Q119" s="5" t="s">
        <v>1052</v>
      </c>
    </row>
    <row r="120" spans="1:17" x14ac:dyDescent="0.35">
      <c r="A120" s="5">
        <v>18.13</v>
      </c>
      <c r="B120" s="5" t="s">
        <v>1028</v>
      </c>
      <c r="C120" s="5" t="s">
        <v>1053</v>
      </c>
      <c r="D120" s="5" t="s">
        <v>284</v>
      </c>
      <c r="E120" s="6">
        <v>1</v>
      </c>
      <c r="F120" s="8">
        <f>IFERROR(VLOOKUP(Q120,PARTIDAS!$A:$P,13,FALSE),0)</f>
        <v>540706.66409999994</v>
      </c>
      <c r="G120" s="8">
        <f>IFERROR(VLOOKUP(Q120,PARTIDAS!$A:$P,14,FALSE),0)</f>
        <v>219841.65</v>
      </c>
      <c r="H120" s="8">
        <f>IFERROR(VLOOKUP(Q120,PARTIDAS!$A:$P,15,FALSE),0)</f>
        <v>11408.224700000001</v>
      </c>
      <c r="I120" s="8">
        <f>IFERROR(VLOOKUP(Q120,PARTIDAS!$A:$P,16,FALSE),0)</f>
        <v>771956.53879999998</v>
      </c>
      <c r="J120" s="8">
        <f t="shared" si="12"/>
        <v>540706.66409999994</v>
      </c>
      <c r="K120" s="8">
        <f t="shared" si="13"/>
        <v>219841.65</v>
      </c>
      <c r="L120" s="8">
        <f t="shared" si="14"/>
        <v>11408.224700000001</v>
      </c>
      <c r="M120" s="8">
        <f t="shared" si="15"/>
        <v>771956.53879999998</v>
      </c>
      <c r="Q120" s="5" t="s">
        <v>1054</v>
      </c>
    </row>
    <row r="121" spans="1:17" x14ac:dyDescent="0.35">
      <c r="A121" s="5">
        <v>18.14</v>
      </c>
      <c r="B121" s="5" t="s">
        <v>1028</v>
      </c>
      <c r="C121" s="5" t="s">
        <v>1055</v>
      </c>
      <c r="D121" s="5" t="s">
        <v>284</v>
      </c>
      <c r="E121" s="6">
        <v>1</v>
      </c>
      <c r="F121" s="8">
        <f>IFERROR(VLOOKUP(Q121,PARTIDAS!$A:$P,13,FALSE),0)</f>
        <v>178279.6979</v>
      </c>
      <c r="G121" s="8">
        <f>IFERROR(VLOOKUP(Q121,PARTIDAS!$A:$P,14,FALSE),0)</f>
        <v>219841.65</v>
      </c>
      <c r="H121" s="8">
        <f>IFERROR(VLOOKUP(Q121,PARTIDAS!$A:$P,15,FALSE),0)</f>
        <v>5971.8202000000001</v>
      </c>
      <c r="I121" s="8">
        <f>IFERROR(VLOOKUP(Q121,PARTIDAS!$A:$P,16,FALSE),0)</f>
        <v>404093.16810000001</v>
      </c>
      <c r="J121" s="8">
        <f t="shared" si="12"/>
        <v>178279.6979</v>
      </c>
      <c r="K121" s="8">
        <f t="shared" si="13"/>
        <v>219841.65</v>
      </c>
      <c r="L121" s="8">
        <f t="shared" si="14"/>
        <v>5971.8202000000001</v>
      </c>
      <c r="M121" s="8">
        <f t="shared" si="15"/>
        <v>404093.16810000001</v>
      </c>
      <c r="Q121" s="5" t="s">
        <v>1056</v>
      </c>
    </row>
    <row r="122" spans="1:17" x14ac:dyDescent="0.35">
      <c r="A122" s="5">
        <v>18.149999999999999</v>
      </c>
      <c r="B122" s="5" t="s">
        <v>1028</v>
      </c>
      <c r="C122" s="5" t="s">
        <v>1057</v>
      </c>
      <c r="D122" s="5" t="s">
        <v>284</v>
      </c>
      <c r="E122" s="6">
        <v>7</v>
      </c>
      <c r="F122" s="8">
        <f>IFERROR(VLOOKUP(Q122,PARTIDAS!$A:$P,13,FALSE),0)</f>
        <v>178279.6979</v>
      </c>
      <c r="G122" s="8">
        <f>IFERROR(VLOOKUP(Q122,PARTIDAS!$A:$P,14,FALSE),0)</f>
        <v>219841.65</v>
      </c>
      <c r="H122" s="8">
        <f>IFERROR(VLOOKUP(Q122,PARTIDAS!$A:$P,15,FALSE),0)</f>
        <v>5971.8202000000001</v>
      </c>
      <c r="I122" s="8">
        <f>IFERROR(VLOOKUP(Q122,PARTIDAS!$A:$P,16,FALSE),0)</f>
        <v>404093.16810000001</v>
      </c>
      <c r="J122" s="8">
        <f t="shared" si="12"/>
        <v>1247957.8853</v>
      </c>
      <c r="K122" s="8">
        <f t="shared" si="13"/>
        <v>1538891.55</v>
      </c>
      <c r="L122" s="8">
        <f t="shared" si="14"/>
        <v>41802.741399999999</v>
      </c>
      <c r="M122" s="8">
        <f t="shared" si="15"/>
        <v>2828652.1767000002</v>
      </c>
      <c r="Q122" s="5" t="s">
        <v>1058</v>
      </c>
    </row>
    <row r="123" spans="1:17" x14ac:dyDescent="0.35">
      <c r="A123" s="5">
        <v>18.16</v>
      </c>
      <c r="B123" s="5" t="s">
        <v>1028</v>
      </c>
      <c r="C123" s="5" t="s">
        <v>1059</v>
      </c>
      <c r="D123" s="5" t="s">
        <v>284</v>
      </c>
      <c r="E123" s="6">
        <v>9</v>
      </c>
      <c r="F123" s="8">
        <f>IFERROR(VLOOKUP(Q123,PARTIDAS!$A:$P,13,FALSE),0)</f>
        <v>246945.70800000001</v>
      </c>
      <c r="G123" s="8">
        <f>IFERROR(VLOOKUP(Q123,PARTIDAS!$A:$P,14,FALSE),0)</f>
        <v>219841.65</v>
      </c>
      <c r="H123" s="8">
        <f>IFERROR(VLOOKUP(Q123,PARTIDAS!$A:$P,15,FALSE),0)</f>
        <v>7001.8104000000003</v>
      </c>
      <c r="I123" s="8">
        <f>IFERROR(VLOOKUP(Q123,PARTIDAS!$A:$P,16,FALSE),0)</f>
        <v>473789.16840000002</v>
      </c>
      <c r="J123" s="8">
        <f t="shared" si="12"/>
        <v>2222511.372</v>
      </c>
      <c r="K123" s="8">
        <f t="shared" si="13"/>
        <v>1978574.8499999999</v>
      </c>
      <c r="L123" s="8">
        <f t="shared" si="14"/>
        <v>63016.293600000005</v>
      </c>
      <c r="M123" s="8">
        <f t="shared" si="15"/>
        <v>4264102.5156000005</v>
      </c>
      <c r="Q123" s="5" t="s">
        <v>1060</v>
      </c>
    </row>
    <row r="124" spans="1:17" x14ac:dyDescent="0.35">
      <c r="A124" s="5">
        <v>18.170000000000002</v>
      </c>
      <c r="B124" s="5" t="s">
        <v>1028</v>
      </c>
      <c r="C124" s="5" t="s">
        <v>336</v>
      </c>
      <c r="D124" s="5" t="s">
        <v>470</v>
      </c>
      <c r="E124" s="6">
        <v>1</v>
      </c>
      <c r="F124" s="8">
        <f>IFERROR(VLOOKUP(Q124,PARTIDAS!$A:$P,13,FALSE),0)</f>
        <v>5500000</v>
      </c>
      <c r="G124" s="8">
        <f>IFERROR(VLOOKUP(Q124,PARTIDAS!$A:$P,14,FALSE),0)</f>
        <v>1948456.8000000003</v>
      </c>
      <c r="H124" s="8">
        <f>IFERROR(VLOOKUP(Q124,PARTIDAS!$A:$P,15,FALSE),0)</f>
        <v>111726.852</v>
      </c>
      <c r="I124" s="8">
        <f>IFERROR(VLOOKUP(Q124,PARTIDAS!$A:$P,16,FALSE),0)</f>
        <v>7560183.6520000007</v>
      </c>
      <c r="J124" s="8">
        <f t="shared" si="12"/>
        <v>5500000</v>
      </c>
      <c r="K124" s="8">
        <f t="shared" si="13"/>
        <v>1948456.8000000003</v>
      </c>
      <c r="L124" s="8">
        <f t="shared" si="14"/>
        <v>111726.852</v>
      </c>
      <c r="M124" s="8">
        <f t="shared" si="15"/>
        <v>7560183.6520000007</v>
      </c>
      <c r="Q124" s="5" t="s">
        <v>1061</v>
      </c>
    </row>
    <row r="125" spans="1:17" x14ac:dyDescent="0.35">
      <c r="A125" s="5">
        <v>18.18</v>
      </c>
      <c r="B125" s="5" t="s">
        <v>1028</v>
      </c>
      <c r="C125" s="5" t="s">
        <v>1062</v>
      </c>
      <c r="D125" s="5" t="s">
        <v>470</v>
      </c>
      <c r="E125" s="6">
        <v>1</v>
      </c>
      <c r="F125" s="8">
        <f>IFERROR(VLOOKUP(Q125,PARTIDAS!$A:$P,13,FALSE),0)</f>
        <v>607800.87082700001</v>
      </c>
      <c r="G125" s="8">
        <f>IFERROR(VLOOKUP(Q125,PARTIDAS!$A:$P,14,FALSE),0)</f>
        <v>864708.65249999997</v>
      </c>
      <c r="H125" s="8">
        <f>IFERROR(VLOOKUP(Q125,PARTIDAS!$A:$P,15,FALSE),0)</f>
        <v>22087.642800000001</v>
      </c>
      <c r="I125" s="8">
        <f>IFERROR(VLOOKUP(Q125,PARTIDAS!$A:$P,16,FALSE),0)</f>
        <v>1494597.166127</v>
      </c>
      <c r="J125" s="8">
        <f t="shared" si="12"/>
        <v>607800.87082700001</v>
      </c>
      <c r="K125" s="8">
        <f t="shared" si="13"/>
        <v>864708.65249999997</v>
      </c>
      <c r="L125" s="8">
        <f t="shared" si="14"/>
        <v>22087.642800000001</v>
      </c>
      <c r="M125" s="8">
        <f t="shared" si="15"/>
        <v>1494597.166127</v>
      </c>
      <c r="Q125" s="5" t="s">
        <v>1063</v>
      </c>
    </row>
    <row r="126" spans="1:17" x14ac:dyDescent="0.35">
      <c r="A126" s="5">
        <v>18.190000000000001</v>
      </c>
      <c r="B126" s="5" t="s">
        <v>1028</v>
      </c>
      <c r="C126" s="5" t="s">
        <v>1064</v>
      </c>
      <c r="D126" s="5" t="s">
        <v>470</v>
      </c>
      <c r="E126" s="6">
        <v>1</v>
      </c>
      <c r="F126" s="8">
        <f>IFERROR(VLOOKUP(Q126,PARTIDAS!$A:$P,13,FALSE),0)</f>
        <v>607800.87082700001</v>
      </c>
      <c r="G126" s="8">
        <f>IFERROR(VLOOKUP(Q126,PARTIDAS!$A:$P,14,FALSE),0)</f>
        <v>864708.65249999997</v>
      </c>
      <c r="H126" s="8">
        <f>IFERROR(VLOOKUP(Q126,PARTIDAS!$A:$P,15,FALSE),0)</f>
        <v>22087.642800000001</v>
      </c>
      <c r="I126" s="8">
        <f>IFERROR(VLOOKUP(Q126,PARTIDAS!$A:$P,16,FALSE),0)</f>
        <v>1494597.166127</v>
      </c>
      <c r="J126" s="8">
        <f t="shared" si="12"/>
        <v>607800.87082700001</v>
      </c>
      <c r="K126" s="8">
        <f t="shared" si="13"/>
        <v>864708.65249999997</v>
      </c>
      <c r="L126" s="8">
        <f t="shared" si="14"/>
        <v>22087.642800000001</v>
      </c>
      <c r="M126" s="8">
        <f t="shared" si="15"/>
        <v>1494597.166127</v>
      </c>
      <c r="Q126" s="5" t="s">
        <v>1065</v>
      </c>
    </row>
    <row r="127" spans="1:17" x14ac:dyDescent="0.35">
      <c r="A127" s="5">
        <v>18.2</v>
      </c>
      <c r="B127" s="5" t="s">
        <v>1028</v>
      </c>
      <c r="C127" s="5" t="s">
        <v>1066</v>
      </c>
      <c r="D127" s="5" t="s">
        <v>284</v>
      </c>
      <c r="E127" s="6">
        <v>33</v>
      </c>
      <c r="F127" s="8">
        <f>IFERROR(VLOOKUP(Q127,PARTIDAS!$A:$P,13,FALSE),0)</f>
        <v>0</v>
      </c>
      <c r="G127" s="8">
        <f>IFERROR(VLOOKUP(Q127,PARTIDAS!$A:$P,14,FALSE),0)</f>
        <v>11158</v>
      </c>
      <c r="H127" s="8">
        <f>IFERROR(VLOOKUP(Q127,PARTIDAS!$A:$P,15,FALSE),0)</f>
        <v>167.37</v>
      </c>
      <c r="I127" s="8">
        <f>IFERROR(VLOOKUP(Q127,PARTIDAS!$A:$P,16,FALSE),0)</f>
        <v>11325.37</v>
      </c>
      <c r="J127" s="8">
        <f t="shared" si="12"/>
        <v>0</v>
      </c>
      <c r="K127" s="8">
        <f t="shared" si="13"/>
        <v>368214</v>
      </c>
      <c r="L127" s="8">
        <f t="shared" si="14"/>
        <v>5523.21</v>
      </c>
      <c r="M127" s="8">
        <f t="shared" si="15"/>
        <v>373737.21</v>
      </c>
      <c r="Q127" s="5" t="s">
        <v>1067</v>
      </c>
    </row>
    <row r="128" spans="1:17" x14ac:dyDescent="0.35">
      <c r="A128" s="5">
        <v>18.21</v>
      </c>
      <c r="B128" s="5" t="s">
        <v>1028</v>
      </c>
      <c r="C128" s="5" t="s">
        <v>1068</v>
      </c>
      <c r="D128" s="5" t="s">
        <v>284</v>
      </c>
      <c r="E128" s="6">
        <v>150</v>
      </c>
      <c r="F128" s="8">
        <f>IFERROR(VLOOKUP(Q128,PARTIDAS!$A:$P,13,FALSE),0)</f>
        <v>0</v>
      </c>
      <c r="G128" s="8">
        <f>IFERROR(VLOOKUP(Q128,PARTIDAS!$A:$P,14,FALSE),0)</f>
        <v>7270.9</v>
      </c>
      <c r="H128" s="8">
        <f>IFERROR(VLOOKUP(Q128,PARTIDAS!$A:$P,15,FALSE),0)</f>
        <v>109.0635</v>
      </c>
      <c r="I128" s="8">
        <f>IFERROR(VLOOKUP(Q128,PARTIDAS!$A:$P,16,FALSE),0)</f>
        <v>7379.9634999999998</v>
      </c>
      <c r="J128" s="8">
        <f t="shared" si="12"/>
        <v>0</v>
      </c>
      <c r="K128" s="8">
        <f t="shared" si="13"/>
        <v>1090635</v>
      </c>
      <c r="L128" s="8">
        <f t="shared" si="14"/>
        <v>16359.525000000001</v>
      </c>
      <c r="M128" s="8">
        <f t="shared" si="15"/>
        <v>1106994.5249999999</v>
      </c>
      <c r="Q128" s="5" t="s">
        <v>1069</v>
      </c>
    </row>
    <row r="129" spans="1:17" x14ac:dyDescent="0.35">
      <c r="A129" s="5">
        <v>18.22</v>
      </c>
      <c r="B129" s="5" t="s">
        <v>1028</v>
      </c>
      <c r="C129" s="5" t="s">
        <v>1070</v>
      </c>
      <c r="D129" s="5" t="s">
        <v>284</v>
      </c>
      <c r="E129" s="6">
        <v>16</v>
      </c>
      <c r="F129" s="8">
        <f>IFERROR(VLOOKUP(Q129,PARTIDAS!$A:$P,13,FALSE),0)</f>
        <v>0</v>
      </c>
      <c r="G129" s="8">
        <f>IFERROR(VLOOKUP(Q129,PARTIDAS!$A:$P,14,FALSE),0)</f>
        <v>7270.9</v>
      </c>
      <c r="H129" s="8">
        <f>IFERROR(VLOOKUP(Q129,PARTIDAS!$A:$P,15,FALSE),0)</f>
        <v>109.0635</v>
      </c>
      <c r="I129" s="8">
        <f>IFERROR(VLOOKUP(Q129,PARTIDAS!$A:$P,16,FALSE),0)</f>
        <v>7379.9634999999998</v>
      </c>
      <c r="J129" s="8">
        <f t="shared" si="12"/>
        <v>0</v>
      </c>
      <c r="K129" s="8">
        <f t="shared" si="13"/>
        <v>116334.39999999999</v>
      </c>
      <c r="L129" s="8">
        <f t="shared" si="14"/>
        <v>1745.0160000000001</v>
      </c>
      <c r="M129" s="8">
        <f t="shared" si="15"/>
        <v>118079.416</v>
      </c>
      <c r="Q129" s="5" t="s">
        <v>1071</v>
      </c>
    </row>
    <row r="130" spans="1:17" x14ac:dyDescent="0.35">
      <c r="A130" s="5">
        <v>18.23</v>
      </c>
      <c r="B130" s="5" t="s">
        <v>1028</v>
      </c>
      <c r="C130" s="5" t="s">
        <v>1072</v>
      </c>
      <c r="D130" s="5" t="s">
        <v>284</v>
      </c>
      <c r="E130" s="6">
        <v>349</v>
      </c>
      <c r="F130" s="8">
        <f>IFERROR(VLOOKUP(Q130,PARTIDAS!$A:$P,13,FALSE),0)</f>
        <v>0</v>
      </c>
      <c r="G130" s="8">
        <f>IFERROR(VLOOKUP(Q130,PARTIDAS!$A:$P,14,FALSE),0)</f>
        <v>7270.9</v>
      </c>
      <c r="H130" s="8">
        <f>IFERROR(VLOOKUP(Q130,PARTIDAS!$A:$P,15,FALSE),0)</f>
        <v>109.0635</v>
      </c>
      <c r="I130" s="8">
        <f>IFERROR(VLOOKUP(Q130,PARTIDAS!$A:$P,16,FALSE),0)</f>
        <v>7379.9634999999998</v>
      </c>
      <c r="J130" s="8">
        <f t="shared" ref="J130:J161" si="16">F130*$E130</f>
        <v>0</v>
      </c>
      <c r="K130" s="8">
        <f t="shared" ref="K130:K161" si="17">G130*$E130</f>
        <v>2537544.1</v>
      </c>
      <c r="L130" s="8">
        <f t="shared" ref="L130:L161" si="18">H130*$E130</f>
        <v>38063.161500000002</v>
      </c>
      <c r="M130" s="8">
        <f t="shared" ref="M130:M161" si="19">J130+K130+L130</f>
        <v>2575607.2615</v>
      </c>
      <c r="Q130" s="5" t="s">
        <v>1073</v>
      </c>
    </row>
    <row r="131" spans="1:17" x14ac:dyDescent="0.35">
      <c r="A131" s="5">
        <v>18.239999999999998</v>
      </c>
      <c r="B131" s="5" t="s">
        <v>1028</v>
      </c>
      <c r="C131" s="5" t="s">
        <v>1074</v>
      </c>
      <c r="D131" s="5" t="s">
        <v>284</v>
      </c>
      <c r="E131" s="6">
        <v>27</v>
      </c>
      <c r="F131" s="8">
        <f>IFERROR(VLOOKUP(Q131,PARTIDAS!$A:$P,13,FALSE),0)</f>
        <v>0</v>
      </c>
      <c r="G131" s="8">
        <f>IFERROR(VLOOKUP(Q131,PARTIDAS!$A:$P,14,FALSE),0)</f>
        <v>17500</v>
      </c>
      <c r="H131" s="8">
        <f>IFERROR(VLOOKUP(Q131,PARTIDAS!$A:$P,15,FALSE),0)</f>
        <v>262.5</v>
      </c>
      <c r="I131" s="8">
        <f>IFERROR(VLOOKUP(Q131,PARTIDAS!$A:$P,16,FALSE),0)</f>
        <v>17762.5</v>
      </c>
      <c r="J131" s="8">
        <f t="shared" si="16"/>
        <v>0</v>
      </c>
      <c r="K131" s="8">
        <f t="shared" si="17"/>
        <v>472500</v>
      </c>
      <c r="L131" s="8">
        <f t="shared" si="18"/>
        <v>7087.5</v>
      </c>
      <c r="M131" s="8">
        <f t="shared" si="19"/>
        <v>479587.5</v>
      </c>
      <c r="Q131" s="5" t="s">
        <v>1075</v>
      </c>
    </row>
    <row r="132" spans="1:17" x14ac:dyDescent="0.35">
      <c r="A132" s="5">
        <v>18.25</v>
      </c>
      <c r="B132" s="5" t="s">
        <v>1028</v>
      </c>
      <c r="C132" s="5" t="s">
        <v>1076</v>
      </c>
      <c r="D132" s="5" t="s">
        <v>284</v>
      </c>
      <c r="E132" s="6">
        <v>16</v>
      </c>
      <c r="F132" s="8">
        <f>IFERROR(VLOOKUP(Q132,PARTIDAS!$A:$P,13,FALSE),0)</f>
        <v>0</v>
      </c>
      <c r="G132" s="8">
        <f>IFERROR(VLOOKUP(Q132,PARTIDAS!$A:$P,14,FALSE),0)</f>
        <v>11158</v>
      </c>
      <c r="H132" s="8">
        <f>IFERROR(VLOOKUP(Q132,PARTIDAS!$A:$P,15,FALSE),0)</f>
        <v>167.37</v>
      </c>
      <c r="I132" s="8">
        <f>IFERROR(VLOOKUP(Q132,PARTIDAS!$A:$P,16,FALSE),0)</f>
        <v>11325.37</v>
      </c>
      <c r="J132" s="8">
        <f t="shared" si="16"/>
        <v>0</v>
      </c>
      <c r="K132" s="8">
        <f t="shared" si="17"/>
        <v>178528</v>
      </c>
      <c r="L132" s="8">
        <f t="shared" si="18"/>
        <v>2677.92</v>
      </c>
      <c r="M132" s="8">
        <f t="shared" si="19"/>
        <v>181205.92</v>
      </c>
      <c r="Q132" s="5" t="s">
        <v>1077</v>
      </c>
    </row>
    <row r="133" spans="1:17" x14ac:dyDescent="0.35">
      <c r="A133" s="5">
        <v>18.260000000000002</v>
      </c>
      <c r="B133" s="5" t="s">
        <v>1028</v>
      </c>
      <c r="C133" s="5" t="s">
        <v>1078</v>
      </c>
      <c r="D133" s="5" t="s">
        <v>284</v>
      </c>
      <c r="E133" s="6">
        <v>137</v>
      </c>
      <c r="F133" s="8">
        <f>IFERROR(VLOOKUP(Q133,PARTIDAS!$A:$P,13,FALSE),0)</f>
        <v>0</v>
      </c>
      <c r="G133" s="8">
        <f>IFERROR(VLOOKUP(Q133,PARTIDAS!$A:$P,14,FALSE),0)</f>
        <v>11158</v>
      </c>
      <c r="H133" s="8">
        <f>IFERROR(VLOOKUP(Q133,PARTIDAS!$A:$P,15,FALSE),0)</f>
        <v>167.37</v>
      </c>
      <c r="I133" s="8">
        <f>IFERROR(VLOOKUP(Q133,PARTIDAS!$A:$P,16,FALSE),0)</f>
        <v>11325.37</v>
      </c>
      <c r="J133" s="8">
        <f t="shared" si="16"/>
        <v>0</v>
      </c>
      <c r="K133" s="8">
        <f t="shared" si="17"/>
        <v>1528646</v>
      </c>
      <c r="L133" s="8">
        <f t="shared" si="18"/>
        <v>22929.690000000002</v>
      </c>
      <c r="M133" s="8">
        <f t="shared" si="19"/>
        <v>1551575.69</v>
      </c>
      <c r="Q133" s="5" t="s">
        <v>1079</v>
      </c>
    </row>
    <row r="134" spans="1:17" x14ac:dyDescent="0.35">
      <c r="A134" s="5">
        <v>18.27</v>
      </c>
      <c r="B134" s="5" t="s">
        <v>1028</v>
      </c>
      <c r="C134" s="5" t="s">
        <v>1080</v>
      </c>
      <c r="D134" s="5" t="s">
        <v>284</v>
      </c>
      <c r="E134" s="6">
        <v>1</v>
      </c>
      <c r="F134" s="8">
        <f>IFERROR(VLOOKUP(Q134,PARTIDAS!$A:$P,13,FALSE),0)</f>
        <v>0</v>
      </c>
      <c r="G134" s="8">
        <f>IFERROR(VLOOKUP(Q134,PARTIDAS!$A:$P,14,FALSE),0)</f>
        <v>11158</v>
      </c>
      <c r="H134" s="8">
        <f>IFERROR(VLOOKUP(Q134,PARTIDAS!$A:$P,15,FALSE),0)</f>
        <v>167.37</v>
      </c>
      <c r="I134" s="8">
        <f>IFERROR(VLOOKUP(Q134,PARTIDAS!$A:$P,16,FALSE),0)</f>
        <v>11325.37</v>
      </c>
      <c r="J134" s="8">
        <f t="shared" si="16"/>
        <v>0</v>
      </c>
      <c r="K134" s="8">
        <f t="shared" si="17"/>
        <v>11158</v>
      </c>
      <c r="L134" s="8">
        <f t="shared" si="18"/>
        <v>167.37</v>
      </c>
      <c r="M134" s="8">
        <f t="shared" si="19"/>
        <v>11325.37</v>
      </c>
      <c r="Q134" s="5" t="s">
        <v>1081</v>
      </c>
    </row>
    <row r="135" spans="1:17" x14ac:dyDescent="0.35">
      <c r="A135" s="5">
        <v>18.28</v>
      </c>
      <c r="B135" s="5" t="s">
        <v>1028</v>
      </c>
      <c r="C135" s="5" t="s">
        <v>1082</v>
      </c>
      <c r="D135" s="5" t="s">
        <v>470</v>
      </c>
      <c r="E135" s="6">
        <v>1</v>
      </c>
      <c r="F135" s="8">
        <f>IFERROR(VLOOKUP(Q135,PARTIDAS!$A:$P,13,FALSE),0)</f>
        <v>5844722.2259</v>
      </c>
      <c r="G135" s="8">
        <f>IFERROR(VLOOKUP(Q135,PARTIDAS!$A:$P,14,FALSE),0)</f>
        <v>1471041.6</v>
      </c>
      <c r="H135" s="8">
        <f>IFERROR(VLOOKUP(Q135,PARTIDAS!$A:$P,15,FALSE),0)</f>
        <v>109736.4574</v>
      </c>
      <c r="I135" s="8">
        <f>IFERROR(VLOOKUP(Q135,PARTIDAS!$A:$P,16,FALSE),0)</f>
        <v>7425500.2832999993</v>
      </c>
      <c r="J135" s="8">
        <f t="shared" si="16"/>
        <v>5844722.2259</v>
      </c>
      <c r="K135" s="8">
        <f t="shared" si="17"/>
        <v>1471041.6</v>
      </c>
      <c r="L135" s="8">
        <f t="shared" si="18"/>
        <v>109736.4574</v>
      </c>
      <c r="M135" s="8">
        <f t="shared" si="19"/>
        <v>7425500.2832999993</v>
      </c>
      <c r="Q135" s="5" t="s">
        <v>1083</v>
      </c>
    </row>
    <row r="136" spans="1:17" x14ac:dyDescent="0.35">
      <c r="A136" s="5">
        <v>18.29</v>
      </c>
      <c r="B136" s="5" t="s">
        <v>1028</v>
      </c>
      <c r="C136" s="5" t="s">
        <v>1084</v>
      </c>
      <c r="D136" s="5" t="s">
        <v>470</v>
      </c>
      <c r="E136" s="6">
        <v>1</v>
      </c>
      <c r="F136" s="8">
        <f>IFERROR(VLOOKUP(Q136,PARTIDAS!$A:$P,13,FALSE),0)</f>
        <v>1261512.1495999999</v>
      </c>
      <c r="G136" s="8">
        <f>IFERROR(VLOOKUP(Q136,PARTIDAS!$A:$P,14,FALSE),0)</f>
        <v>305252.5</v>
      </c>
      <c r="H136" s="8">
        <f>IFERROR(VLOOKUP(Q136,PARTIDAS!$A:$P,15,FALSE),0)</f>
        <v>23501.469799999999</v>
      </c>
      <c r="I136" s="8">
        <f>IFERROR(VLOOKUP(Q136,PARTIDAS!$A:$P,16,FALSE),0)</f>
        <v>1590266.1194</v>
      </c>
      <c r="J136" s="8">
        <f t="shared" si="16"/>
        <v>1261512.1495999999</v>
      </c>
      <c r="K136" s="8">
        <f t="shared" si="17"/>
        <v>305252.5</v>
      </c>
      <c r="L136" s="8">
        <f t="shared" si="18"/>
        <v>23501.469799999999</v>
      </c>
      <c r="M136" s="8">
        <f t="shared" si="19"/>
        <v>1590266.1194</v>
      </c>
      <c r="Q136" s="5" t="s">
        <v>1085</v>
      </c>
    </row>
    <row r="137" spans="1:17" x14ac:dyDescent="0.35">
      <c r="A137" s="5">
        <v>18.3</v>
      </c>
      <c r="B137" s="5" t="s">
        <v>1028</v>
      </c>
      <c r="C137" s="5" t="s">
        <v>1086</v>
      </c>
      <c r="D137" s="5" t="s">
        <v>470</v>
      </c>
      <c r="E137" s="6">
        <v>1</v>
      </c>
      <c r="F137" s="8">
        <f>IFERROR(VLOOKUP(Q137,PARTIDAS!$A:$P,13,FALSE),0)</f>
        <v>0</v>
      </c>
      <c r="G137" s="8">
        <f>IFERROR(VLOOKUP(Q137,PARTIDAS!$A:$P,14,FALSE),0)</f>
        <v>100127.461</v>
      </c>
      <c r="H137" s="8">
        <f>IFERROR(VLOOKUP(Q137,PARTIDAS!$A:$P,15,FALSE),0)</f>
        <v>0</v>
      </c>
      <c r="I137" s="8">
        <f>IFERROR(VLOOKUP(Q137,PARTIDAS!$A:$P,16,FALSE),0)</f>
        <v>100127.461</v>
      </c>
      <c r="J137" s="8">
        <f t="shared" si="16"/>
        <v>0</v>
      </c>
      <c r="K137" s="8">
        <f t="shared" si="17"/>
        <v>100127.461</v>
      </c>
      <c r="L137" s="8">
        <f t="shared" si="18"/>
        <v>0</v>
      </c>
      <c r="M137" s="8">
        <f t="shared" si="19"/>
        <v>100127.461</v>
      </c>
      <c r="Q137" s="5" t="s">
        <v>1087</v>
      </c>
    </row>
    <row r="138" spans="1:17" x14ac:dyDescent="0.35">
      <c r="A138" s="5">
        <v>19.010000000000002</v>
      </c>
      <c r="B138" s="5" t="s">
        <v>1088</v>
      </c>
      <c r="C138" s="5" t="s">
        <v>376</v>
      </c>
      <c r="D138" s="5" t="s">
        <v>470</v>
      </c>
      <c r="E138" s="6">
        <v>1</v>
      </c>
      <c r="F138" s="8">
        <f>IFERROR(VLOOKUP(Q138,PARTIDAS!$A:$P,13,FALSE),0)</f>
        <v>2127230.3546000002</v>
      </c>
      <c r="G138" s="8">
        <f>IFERROR(VLOOKUP(Q138,PARTIDAS!$A:$P,14,FALSE),0)</f>
        <v>3545383.9243999999</v>
      </c>
      <c r="H138" s="8">
        <f>IFERROR(VLOOKUP(Q138,PARTIDAS!$A:$P,15,FALSE),0)</f>
        <v>85089.214200000002</v>
      </c>
      <c r="I138" s="8">
        <f>IFERROR(VLOOKUP(Q138,PARTIDAS!$A:$P,16,FALSE),0)</f>
        <v>5757703.4932000004</v>
      </c>
      <c r="J138" s="8">
        <f t="shared" si="16"/>
        <v>2127230.3546000002</v>
      </c>
      <c r="K138" s="8">
        <f t="shared" si="17"/>
        <v>3545383.9243999999</v>
      </c>
      <c r="L138" s="8">
        <f t="shared" si="18"/>
        <v>85089.214200000002</v>
      </c>
      <c r="M138" s="8">
        <f t="shared" si="19"/>
        <v>5757703.4932000004</v>
      </c>
      <c r="Q138" s="5" t="s">
        <v>1089</v>
      </c>
    </row>
    <row r="139" spans="1:17" x14ac:dyDescent="0.35">
      <c r="A139" s="5">
        <v>19.02</v>
      </c>
      <c r="B139" s="5" t="s">
        <v>1088</v>
      </c>
      <c r="C139" s="5" t="s">
        <v>378</v>
      </c>
      <c r="D139" s="5" t="s">
        <v>470</v>
      </c>
      <c r="E139" s="6">
        <v>1</v>
      </c>
      <c r="F139" s="8">
        <f>IFERROR(VLOOKUP(Q139,PARTIDAS!$A:$P,13,FALSE),0)</f>
        <v>278565.8798</v>
      </c>
      <c r="G139" s="8">
        <f>IFERROR(VLOOKUP(Q139,PARTIDAS!$A:$P,14,FALSE),0)</f>
        <v>506483.4178</v>
      </c>
      <c r="H139" s="8">
        <f>IFERROR(VLOOKUP(Q139,PARTIDAS!$A:$P,15,FALSE),0)</f>
        <v>11775.7395</v>
      </c>
      <c r="I139" s="8">
        <f>IFERROR(VLOOKUP(Q139,PARTIDAS!$A:$P,16,FALSE),0)</f>
        <v>796825.03709999996</v>
      </c>
      <c r="J139" s="8">
        <f t="shared" si="16"/>
        <v>278565.8798</v>
      </c>
      <c r="K139" s="8">
        <f t="shared" si="17"/>
        <v>506483.4178</v>
      </c>
      <c r="L139" s="8">
        <f t="shared" si="18"/>
        <v>11775.7395</v>
      </c>
      <c r="M139" s="8">
        <f t="shared" si="19"/>
        <v>796825.03709999996</v>
      </c>
      <c r="Q139" s="5" t="s">
        <v>1090</v>
      </c>
    </row>
    <row r="140" spans="1:17" x14ac:dyDescent="0.35">
      <c r="A140" s="5">
        <v>19.03</v>
      </c>
      <c r="B140" s="5" t="s">
        <v>1088</v>
      </c>
      <c r="C140" s="5" t="s">
        <v>380</v>
      </c>
      <c r="D140" s="5" t="s">
        <v>470</v>
      </c>
      <c r="E140" s="6">
        <v>1</v>
      </c>
      <c r="F140" s="8">
        <f>IFERROR(VLOOKUP(Q140,PARTIDAS!$A:$P,13,FALSE),0)</f>
        <v>2836307.1395</v>
      </c>
      <c r="G140" s="8">
        <f>IFERROR(VLOOKUP(Q140,PARTIDAS!$A:$P,14,FALSE),0)</f>
        <v>4051867.3421</v>
      </c>
      <c r="H140" s="8">
        <f>IFERROR(VLOOKUP(Q140,PARTIDAS!$A:$P,15,FALSE),0)</f>
        <v>103322.61719999999</v>
      </c>
      <c r="I140" s="8">
        <f>IFERROR(VLOOKUP(Q140,PARTIDAS!$A:$P,16,FALSE),0)</f>
        <v>6991497.0987999998</v>
      </c>
      <c r="J140" s="8">
        <f t="shared" si="16"/>
        <v>2836307.1395</v>
      </c>
      <c r="K140" s="8">
        <f t="shared" si="17"/>
        <v>4051867.3421</v>
      </c>
      <c r="L140" s="8">
        <f t="shared" si="18"/>
        <v>103322.61719999999</v>
      </c>
      <c r="M140" s="8">
        <f t="shared" si="19"/>
        <v>6991497.0987999998</v>
      </c>
      <c r="Q140" s="5" t="s">
        <v>1091</v>
      </c>
    </row>
    <row r="141" spans="1:17" x14ac:dyDescent="0.35">
      <c r="A141" s="5">
        <v>19.04</v>
      </c>
      <c r="B141" s="5" t="s">
        <v>1088</v>
      </c>
      <c r="C141" s="5" t="s">
        <v>382</v>
      </c>
      <c r="D141" s="5" t="s">
        <v>470</v>
      </c>
      <c r="E141" s="6">
        <v>1</v>
      </c>
      <c r="F141" s="8">
        <f>IFERROR(VLOOKUP(Q141,PARTIDAS!$A:$P,13,FALSE),0)</f>
        <v>1215560.2026</v>
      </c>
      <c r="G141" s="8">
        <f>IFERROR(VLOOKUP(Q141,PARTIDAS!$A:$P,14,FALSE),0)</f>
        <v>2025933.6710999999</v>
      </c>
      <c r="H141" s="8">
        <f>IFERROR(VLOOKUP(Q141,PARTIDAS!$A:$P,15,FALSE),0)</f>
        <v>48622.408100000001</v>
      </c>
      <c r="I141" s="8">
        <f>IFERROR(VLOOKUP(Q141,PARTIDAS!$A:$P,16,FALSE),0)</f>
        <v>3290116.2818</v>
      </c>
      <c r="J141" s="8">
        <f t="shared" si="16"/>
        <v>1215560.2026</v>
      </c>
      <c r="K141" s="8">
        <f t="shared" si="17"/>
        <v>2025933.6710999999</v>
      </c>
      <c r="L141" s="8">
        <f t="shared" si="18"/>
        <v>48622.408100000001</v>
      </c>
      <c r="M141" s="8">
        <f t="shared" si="19"/>
        <v>3290116.2818</v>
      </c>
      <c r="Q141" s="5" t="s">
        <v>1092</v>
      </c>
    </row>
    <row r="142" spans="1:17" x14ac:dyDescent="0.35">
      <c r="A142" s="5">
        <v>19.05</v>
      </c>
      <c r="B142" s="5" t="s">
        <v>1088</v>
      </c>
      <c r="C142" s="5" t="s">
        <v>384</v>
      </c>
      <c r="D142" s="5" t="s">
        <v>470</v>
      </c>
      <c r="E142" s="6">
        <v>1</v>
      </c>
      <c r="F142" s="8">
        <f>IFERROR(VLOOKUP(Q142,PARTIDAS!$A:$P,13,FALSE),0)</f>
        <v>599178.95070000004</v>
      </c>
      <c r="G142" s="8">
        <f>IFERROR(VLOOKUP(Q142,PARTIDAS!$A:$P,14,FALSE),0)</f>
        <v>1497947.3766999999</v>
      </c>
      <c r="H142" s="8">
        <f>IFERROR(VLOOKUP(Q142,PARTIDAS!$A:$P,15,FALSE),0)</f>
        <v>31456.894899999999</v>
      </c>
      <c r="I142" s="8">
        <f>IFERROR(VLOOKUP(Q142,PARTIDAS!$A:$P,16,FALSE),0)</f>
        <v>2128583.2223</v>
      </c>
      <c r="J142" s="8">
        <f t="shared" si="16"/>
        <v>599178.95070000004</v>
      </c>
      <c r="K142" s="8">
        <f t="shared" si="17"/>
        <v>1497947.3766999999</v>
      </c>
      <c r="L142" s="8">
        <f t="shared" si="18"/>
        <v>31456.894899999999</v>
      </c>
      <c r="M142" s="8">
        <f t="shared" si="19"/>
        <v>2128583.2223</v>
      </c>
      <c r="Q142" s="5" t="s">
        <v>1093</v>
      </c>
    </row>
    <row r="143" spans="1:17" x14ac:dyDescent="0.35">
      <c r="A143" s="5">
        <v>19.059999999999999</v>
      </c>
      <c r="B143" s="5" t="s">
        <v>1088</v>
      </c>
      <c r="C143" s="5" t="s">
        <v>386</v>
      </c>
      <c r="D143" s="5" t="s">
        <v>470</v>
      </c>
      <c r="E143" s="6">
        <v>1</v>
      </c>
      <c r="F143" s="8">
        <f>IFERROR(VLOOKUP(Q143,PARTIDAS!$A:$P,13,FALSE),0)</f>
        <v>898768.42599999998</v>
      </c>
      <c r="G143" s="8">
        <f>IFERROR(VLOOKUP(Q143,PARTIDAS!$A:$P,14,FALSE),0)</f>
        <v>1497947.3766999999</v>
      </c>
      <c r="H143" s="8">
        <f>IFERROR(VLOOKUP(Q143,PARTIDAS!$A:$P,15,FALSE),0)</f>
        <v>35950.737000000001</v>
      </c>
      <c r="I143" s="8">
        <f>IFERROR(VLOOKUP(Q143,PARTIDAS!$A:$P,16,FALSE),0)</f>
        <v>2432666.5397000001</v>
      </c>
      <c r="J143" s="8">
        <f t="shared" si="16"/>
        <v>898768.42599999998</v>
      </c>
      <c r="K143" s="8">
        <f t="shared" si="17"/>
        <v>1497947.3766999999</v>
      </c>
      <c r="L143" s="8">
        <f t="shared" si="18"/>
        <v>35950.737000000001</v>
      </c>
      <c r="M143" s="8">
        <f t="shared" si="19"/>
        <v>2432666.5397000001</v>
      </c>
      <c r="Q143" s="5" t="s">
        <v>1094</v>
      </c>
    </row>
    <row r="144" spans="1:17" x14ac:dyDescent="0.35">
      <c r="A144" s="5">
        <v>19.07</v>
      </c>
      <c r="B144" s="5" t="s">
        <v>1088</v>
      </c>
      <c r="C144" s="5" t="s">
        <v>388</v>
      </c>
      <c r="D144" s="5" t="s">
        <v>470</v>
      </c>
      <c r="E144" s="6">
        <v>1</v>
      </c>
      <c r="F144" s="8">
        <f>IFERROR(VLOOKUP(Q144,PARTIDAS!$A:$P,13,FALSE),0)</f>
        <v>213992.48240000001</v>
      </c>
      <c r="G144" s="8">
        <f>IFERROR(VLOOKUP(Q144,PARTIDAS!$A:$P,14,FALSE),0)</f>
        <v>427984.96480000002</v>
      </c>
      <c r="H144" s="8">
        <f>IFERROR(VLOOKUP(Q144,PARTIDAS!$A:$P,15,FALSE),0)</f>
        <v>9629.6617000000006</v>
      </c>
      <c r="I144" s="8">
        <f>IFERROR(VLOOKUP(Q144,PARTIDAS!$A:$P,16,FALSE),0)</f>
        <v>651607.10890000011</v>
      </c>
      <c r="J144" s="8">
        <f t="shared" si="16"/>
        <v>213992.48240000001</v>
      </c>
      <c r="K144" s="8">
        <f t="shared" si="17"/>
        <v>427984.96480000002</v>
      </c>
      <c r="L144" s="8">
        <f t="shared" si="18"/>
        <v>9629.6617000000006</v>
      </c>
      <c r="M144" s="8">
        <f t="shared" si="19"/>
        <v>651607.10890000011</v>
      </c>
      <c r="Q144" s="5" t="s">
        <v>1095</v>
      </c>
    </row>
    <row r="145" spans="1:17" x14ac:dyDescent="0.35">
      <c r="A145" s="5">
        <v>19.079999999999998</v>
      </c>
      <c r="B145" s="5" t="s">
        <v>1088</v>
      </c>
      <c r="C145" s="5" t="s">
        <v>390</v>
      </c>
      <c r="D145" s="5" t="s">
        <v>470</v>
      </c>
      <c r="E145" s="6">
        <v>1</v>
      </c>
      <c r="F145" s="8">
        <f>IFERROR(VLOOKUP(Q145,PARTIDAS!$A:$P,13,FALSE),0)</f>
        <v>979935.30830000003</v>
      </c>
      <c r="G145" s="8">
        <f>IFERROR(VLOOKUP(Q145,PARTIDAS!$A:$P,14,FALSE),0)</f>
        <v>1959870.6166000001</v>
      </c>
      <c r="H145" s="8">
        <f>IFERROR(VLOOKUP(Q145,PARTIDAS!$A:$P,15,FALSE),0)</f>
        <v>44097.088900000002</v>
      </c>
      <c r="I145" s="8">
        <f>IFERROR(VLOOKUP(Q145,PARTIDAS!$A:$P,16,FALSE),0)</f>
        <v>2983903.0137999998</v>
      </c>
      <c r="J145" s="8">
        <f t="shared" si="16"/>
        <v>979935.30830000003</v>
      </c>
      <c r="K145" s="8">
        <f t="shared" si="17"/>
        <v>1959870.6166000001</v>
      </c>
      <c r="L145" s="8">
        <f t="shared" si="18"/>
        <v>44097.088900000002</v>
      </c>
      <c r="M145" s="8">
        <f t="shared" si="19"/>
        <v>2983903.0137999998</v>
      </c>
      <c r="Q145" s="5" t="s">
        <v>1096</v>
      </c>
    </row>
    <row r="146" spans="1:17" x14ac:dyDescent="0.35">
      <c r="A146" s="5">
        <v>19.09</v>
      </c>
      <c r="B146" s="5" t="s">
        <v>1088</v>
      </c>
      <c r="C146" s="5" t="s">
        <v>392</v>
      </c>
      <c r="D146" s="5" t="s">
        <v>470</v>
      </c>
      <c r="E146" s="6">
        <v>1</v>
      </c>
      <c r="F146" s="8">
        <f>IFERROR(VLOOKUP(Q146,PARTIDAS!$A:$P,13,FALSE),0)</f>
        <v>1959870.6166000001</v>
      </c>
      <c r="G146" s="8">
        <f>IFERROR(VLOOKUP(Q146,PARTIDAS!$A:$P,14,FALSE),0)</f>
        <v>3919741.2332000001</v>
      </c>
      <c r="H146" s="8">
        <f>IFERROR(VLOOKUP(Q146,PARTIDAS!$A:$P,15,FALSE),0)</f>
        <v>88194.1777</v>
      </c>
      <c r="I146" s="8">
        <f>IFERROR(VLOOKUP(Q146,PARTIDAS!$A:$P,16,FALSE),0)</f>
        <v>5967806.0274999999</v>
      </c>
      <c r="J146" s="8">
        <f t="shared" si="16"/>
        <v>1959870.6166000001</v>
      </c>
      <c r="K146" s="8">
        <f t="shared" si="17"/>
        <v>3919741.2332000001</v>
      </c>
      <c r="L146" s="8">
        <f t="shared" si="18"/>
        <v>88194.1777</v>
      </c>
      <c r="M146" s="8">
        <f t="shared" si="19"/>
        <v>5967806.0274999999</v>
      </c>
      <c r="Q146" s="5" t="s">
        <v>1097</v>
      </c>
    </row>
    <row r="147" spans="1:17" x14ac:dyDescent="0.35">
      <c r="A147" s="5">
        <v>19.100000000000001</v>
      </c>
      <c r="B147" s="5" t="s">
        <v>1088</v>
      </c>
      <c r="C147" s="5" t="s">
        <v>394</v>
      </c>
      <c r="D147" s="5" t="s">
        <v>470</v>
      </c>
      <c r="E147" s="6">
        <v>1</v>
      </c>
      <c r="F147" s="8">
        <f>IFERROR(VLOOKUP(Q147,PARTIDAS!$A:$P,13,FALSE),0)</f>
        <v>391974.12329999998</v>
      </c>
      <c r="G147" s="8">
        <f>IFERROR(VLOOKUP(Q147,PARTIDAS!$A:$P,14,FALSE),0)</f>
        <v>979935.30830000003</v>
      </c>
      <c r="H147" s="8">
        <f>IFERROR(VLOOKUP(Q147,PARTIDAS!$A:$P,15,FALSE),0)</f>
        <v>20578.641500000002</v>
      </c>
      <c r="I147" s="8">
        <f>IFERROR(VLOOKUP(Q147,PARTIDAS!$A:$P,16,FALSE),0)</f>
        <v>1392488.0730999999</v>
      </c>
      <c r="J147" s="8">
        <f t="shared" si="16"/>
        <v>391974.12329999998</v>
      </c>
      <c r="K147" s="8">
        <f t="shared" si="17"/>
        <v>979935.30830000003</v>
      </c>
      <c r="L147" s="8">
        <f t="shared" si="18"/>
        <v>20578.641500000002</v>
      </c>
      <c r="M147" s="8">
        <f t="shared" si="19"/>
        <v>1392488.0730999999</v>
      </c>
      <c r="Q147" s="5" t="s">
        <v>1098</v>
      </c>
    </row>
    <row r="148" spans="1:17" x14ac:dyDescent="0.35">
      <c r="A148" s="5">
        <v>19.11</v>
      </c>
      <c r="B148" s="5" t="s">
        <v>1088</v>
      </c>
      <c r="C148" s="5" t="s">
        <v>396</v>
      </c>
      <c r="D148" s="5" t="s">
        <v>470</v>
      </c>
      <c r="E148" s="6">
        <v>1</v>
      </c>
      <c r="F148" s="8">
        <f>IFERROR(VLOOKUP(Q148,PARTIDAS!$A:$P,13,FALSE),0)</f>
        <v>3135792.9865000001</v>
      </c>
      <c r="G148" s="8">
        <f>IFERROR(VLOOKUP(Q148,PARTIDAS!$A:$P,14,FALSE),0)</f>
        <v>7839482.4663000004</v>
      </c>
      <c r="H148" s="8">
        <f>IFERROR(VLOOKUP(Q148,PARTIDAS!$A:$P,15,FALSE),0)</f>
        <v>164629.1318</v>
      </c>
      <c r="I148" s="8">
        <f>IFERROR(VLOOKUP(Q148,PARTIDAS!$A:$P,16,FALSE),0)</f>
        <v>11139904.5846</v>
      </c>
      <c r="J148" s="8">
        <f t="shared" si="16"/>
        <v>3135792.9865000001</v>
      </c>
      <c r="K148" s="8">
        <f t="shared" si="17"/>
        <v>7839482.4663000004</v>
      </c>
      <c r="L148" s="8">
        <f t="shared" si="18"/>
        <v>164629.1318</v>
      </c>
      <c r="M148" s="8">
        <f t="shared" si="19"/>
        <v>11139904.5846</v>
      </c>
      <c r="Q148" s="5" t="s">
        <v>1099</v>
      </c>
    </row>
    <row r="149" spans="1:17" x14ac:dyDescent="0.35">
      <c r="A149" s="5">
        <v>19.12</v>
      </c>
      <c r="B149" s="5" t="s">
        <v>1088</v>
      </c>
      <c r="C149" s="5" t="s">
        <v>398</v>
      </c>
      <c r="D149" s="5" t="s">
        <v>470</v>
      </c>
      <c r="E149" s="6">
        <v>1</v>
      </c>
      <c r="F149" s="8">
        <f>IFERROR(VLOOKUP(Q149,PARTIDAS!$A:$P,13,FALSE),0)</f>
        <v>2939805.9249</v>
      </c>
      <c r="G149" s="8">
        <f>IFERROR(VLOOKUP(Q149,PARTIDAS!$A:$P,14,FALSE),0)</f>
        <v>4899676.5415000003</v>
      </c>
      <c r="H149" s="8">
        <f>IFERROR(VLOOKUP(Q149,PARTIDAS!$A:$P,15,FALSE),0)</f>
        <v>117592.23699999999</v>
      </c>
      <c r="I149" s="8">
        <f>IFERROR(VLOOKUP(Q149,PARTIDAS!$A:$P,16,FALSE),0)</f>
        <v>7957074.7034</v>
      </c>
      <c r="J149" s="8">
        <f t="shared" si="16"/>
        <v>2939805.9249</v>
      </c>
      <c r="K149" s="8">
        <f t="shared" si="17"/>
        <v>4899676.5415000003</v>
      </c>
      <c r="L149" s="8">
        <f t="shared" si="18"/>
        <v>117592.23699999999</v>
      </c>
      <c r="M149" s="8">
        <f t="shared" si="19"/>
        <v>7957074.7034</v>
      </c>
      <c r="Q149" s="5" t="s">
        <v>1100</v>
      </c>
    </row>
    <row r="150" spans="1:17" x14ac:dyDescent="0.35">
      <c r="A150" s="5">
        <v>19.13</v>
      </c>
      <c r="B150" s="5" t="s">
        <v>1088</v>
      </c>
      <c r="C150" s="5" t="s">
        <v>400</v>
      </c>
      <c r="D150" s="5" t="s">
        <v>470</v>
      </c>
      <c r="E150" s="6">
        <v>1</v>
      </c>
      <c r="F150" s="8">
        <f>IFERROR(VLOOKUP(Q150,PARTIDAS!$A:$P,13,FALSE),0)</f>
        <v>534981.20600000001</v>
      </c>
      <c r="G150" s="8">
        <f>IFERROR(VLOOKUP(Q150,PARTIDAS!$A:$P,14,FALSE),0)</f>
        <v>1069962.412</v>
      </c>
      <c r="H150" s="8">
        <f>IFERROR(VLOOKUP(Q150,PARTIDAS!$A:$P,15,FALSE),0)</f>
        <v>24074.154299999998</v>
      </c>
      <c r="I150" s="8">
        <f>IFERROR(VLOOKUP(Q150,PARTIDAS!$A:$P,16,FALSE),0)</f>
        <v>1629017.7723000001</v>
      </c>
      <c r="J150" s="8">
        <f t="shared" si="16"/>
        <v>534981.20600000001</v>
      </c>
      <c r="K150" s="8">
        <f t="shared" si="17"/>
        <v>1069962.412</v>
      </c>
      <c r="L150" s="8">
        <f t="shared" si="18"/>
        <v>24074.154299999998</v>
      </c>
      <c r="M150" s="8">
        <f t="shared" si="19"/>
        <v>1629017.7723000001</v>
      </c>
      <c r="Q150" s="5" t="s">
        <v>1101</v>
      </c>
    </row>
    <row r="151" spans="1:17" x14ac:dyDescent="0.35">
      <c r="A151" s="5">
        <v>19.14</v>
      </c>
      <c r="B151" s="5" t="s">
        <v>1088</v>
      </c>
      <c r="C151" s="5" t="s">
        <v>402</v>
      </c>
      <c r="D151" s="5" t="s">
        <v>470</v>
      </c>
      <c r="E151" s="6">
        <v>1</v>
      </c>
      <c r="F151" s="8">
        <f>IFERROR(VLOOKUP(Q151,PARTIDAS!$A:$P,13,FALSE),0)</f>
        <v>3558424.4301</v>
      </c>
      <c r="G151" s="8">
        <f>IFERROR(VLOOKUP(Q151,PARTIDAS!$A:$P,14,FALSE),0)</f>
        <v>8896061.0752000008</v>
      </c>
      <c r="H151" s="8">
        <f>IFERROR(VLOOKUP(Q151,PARTIDAS!$A:$P,15,FALSE),0)</f>
        <v>186817.28260000001</v>
      </c>
      <c r="I151" s="8">
        <f>IFERROR(VLOOKUP(Q151,PARTIDAS!$A:$P,16,FALSE),0)</f>
        <v>12641302.787900001</v>
      </c>
      <c r="J151" s="8">
        <f t="shared" si="16"/>
        <v>3558424.4301</v>
      </c>
      <c r="K151" s="8">
        <f t="shared" si="17"/>
        <v>8896061.0752000008</v>
      </c>
      <c r="L151" s="8">
        <f t="shared" si="18"/>
        <v>186817.28260000001</v>
      </c>
      <c r="M151" s="8">
        <f t="shared" si="19"/>
        <v>12641302.787900001</v>
      </c>
      <c r="Q151" s="5" t="s">
        <v>1102</v>
      </c>
    </row>
    <row r="152" spans="1:17" x14ac:dyDescent="0.35">
      <c r="A152" s="5">
        <v>19.149999999999999</v>
      </c>
      <c r="B152" s="5" t="s">
        <v>1088</v>
      </c>
      <c r="C152" s="5" t="s">
        <v>1103</v>
      </c>
      <c r="D152" s="5" t="s">
        <v>470</v>
      </c>
      <c r="E152" s="6">
        <v>1</v>
      </c>
      <c r="F152" s="8">
        <f>IFERROR(VLOOKUP(Q152,PARTIDAS!$A:$P,13,FALSE),0)</f>
        <v>0</v>
      </c>
      <c r="G152" s="8">
        <f>IFERROR(VLOOKUP(Q152,PARTIDAS!$A:$P,14,FALSE),0)</f>
        <v>4852396.9501</v>
      </c>
      <c r="H152" s="8">
        <f>IFERROR(VLOOKUP(Q152,PARTIDAS!$A:$P,15,FALSE),0)</f>
        <v>72785.954299999998</v>
      </c>
      <c r="I152" s="8">
        <f>IFERROR(VLOOKUP(Q152,PARTIDAS!$A:$P,16,FALSE),0)</f>
        <v>4925182.9044000003</v>
      </c>
      <c r="J152" s="8">
        <f t="shared" si="16"/>
        <v>0</v>
      </c>
      <c r="K152" s="8">
        <f t="shared" si="17"/>
        <v>4852396.9501</v>
      </c>
      <c r="L152" s="8">
        <f t="shared" si="18"/>
        <v>72785.954299999998</v>
      </c>
      <c r="M152" s="8">
        <f t="shared" si="19"/>
        <v>4925182.9044000003</v>
      </c>
      <c r="Q152" s="5" t="s">
        <v>1104</v>
      </c>
    </row>
    <row r="153" spans="1:17" x14ac:dyDescent="0.35">
      <c r="A153" s="5">
        <v>19.16</v>
      </c>
      <c r="B153" s="5" t="s">
        <v>1088</v>
      </c>
      <c r="C153" s="5" t="s">
        <v>404</v>
      </c>
      <c r="D153" s="5" t="s">
        <v>470</v>
      </c>
      <c r="E153" s="6">
        <v>1</v>
      </c>
      <c r="F153" s="8">
        <f>IFERROR(VLOOKUP(Q153,PARTIDAS!$A:$P,13,FALSE),0)</f>
        <v>1455719.085</v>
      </c>
      <c r="G153" s="8">
        <f>IFERROR(VLOOKUP(Q153,PARTIDAS!$A:$P,14,FALSE),0)</f>
        <v>2426198.4750000001</v>
      </c>
      <c r="H153" s="8">
        <f>IFERROR(VLOOKUP(Q153,PARTIDAS!$A:$P,15,FALSE),0)</f>
        <v>58228.763400000003</v>
      </c>
      <c r="I153" s="8">
        <f>IFERROR(VLOOKUP(Q153,PARTIDAS!$A:$P,16,FALSE),0)</f>
        <v>3940146.3234000001</v>
      </c>
      <c r="J153" s="8">
        <f t="shared" si="16"/>
        <v>1455719.085</v>
      </c>
      <c r="K153" s="8">
        <f t="shared" si="17"/>
        <v>2426198.4750000001</v>
      </c>
      <c r="L153" s="8">
        <f t="shared" si="18"/>
        <v>58228.763400000003</v>
      </c>
      <c r="M153" s="8">
        <f t="shared" si="19"/>
        <v>3940146.3234000001</v>
      </c>
      <c r="Q153" s="5" t="s">
        <v>1105</v>
      </c>
    </row>
    <row r="154" spans="1:17" x14ac:dyDescent="0.35">
      <c r="A154" s="5">
        <v>19.170000000000002</v>
      </c>
      <c r="B154" s="5" t="s">
        <v>1088</v>
      </c>
      <c r="C154" s="5" t="s">
        <v>1106</v>
      </c>
      <c r="D154" s="5" t="s">
        <v>470</v>
      </c>
      <c r="E154" s="6">
        <v>1</v>
      </c>
      <c r="F154" s="8">
        <f>IFERROR(VLOOKUP(Q154,PARTIDAS!$A:$P,13,FALSE),0)</f>
        <v>2093587.3781999999</v>
      </c>
      <c r="G154" s="8">
        <f>IFERROR(VLOOKUP(Q154,PARTIDAS!$A:$P,14,FALSE),0)</f>
        <v>1987743.777</v>
      </c>
      <c r="H154" s="8">
        <f>IFERROR(VLOOKUP(Q154,PARTIDAS!$A:$P,15,FALSE),0)</f>
        <v>61219.967299999997</v>
      </c>
      <c r="I154" s="8">
        <f>IFERROR(VLOOKUP(Q154,PARTIDAS!$A:$P,16,FALSE),0)</f>
        <v>4142551.1225000001</v>
      </c>
      <c r="J154" s="8">
        <f t="shared" si="16"/>
        <v>2093587.3781999999</v>
      </c>
      <c r="K154" s="8">
        <f t="shared" si="17"/>
        <v>1987743.777</v>
      </c>
      <c r="L154" s="8">
        <f t="shared" si="18"/>
        <v>61219.967299999997</v>
      </c>
      <c r="M154" s="8">
        <f t="shared" si="19"/>
        <v>4142551.1225000001</v>
      </c>
      <c r="Q154" s="5" t="s">
        <v>1107</v>
      </c>
    </row>
    <row r="155" spans="1:17" x14ac:dyDescent="0.35">
      <c r="A155" s="5">
        <v>19.18</v>
      </c>
      <c r="B155" s="5" t="s">
        <v>1088</v>
      </c>
      <c r="C155" s="5" t="s">
        <v>408</v>
      </c>
      <c r="D155" s="5" t="s">
        <v>470</v>
      </c>
      <c r="E155" s="6">
        <v>1</v>
      </c>
      <c r="F155" s="8">
        <f>IFERROR(VLOOKUP(Q155,PARTIDAS!$A:$P,13,FALSE),0)</f>
        <v>6500000</v>
      </c>
      <c r="G155" s="8">
        <f>IFERROR(VLOOKUP(Q155,PARTIDAS!$A:$P,14,FALSE),0)</f>
        <v>6500000</v>
      </c>
      <c r="H155" s="8">
        <f>IFERROR(VLOOKUP(Q155,PARTIDAS!$A:$P,15,FALSE),0)</f>
        <v>195000</v>
      </c>
      <c r="I155" s="8">
        <f>IFERROR(VLOOKUP(Q155,PARTIDAS!$A:$P,16,FALSE),0)</f>
        <v>13195000</v>
      </c>
      <c r="J155" s="8">
        <f t="shared" si="16"/>
        <v>6500000</v>
      </c>
      <c r="K155" s="8">
        <f t="shared" si="17"/>
        <v>6500000</v>
      </c>
      <c r="L155" s="8">
        <f t="shared" si="18"/>
        <v>195000</v>
      </c>
      <c r="M155" s="8">
        <f t="shared" si="19"/>
        <v>13195000</v>
      </c>
      <c r="Q155" s="5" t="s">
        <v>1108</v>
      </c>
    </row>
    <row r="156" spans="1:17" x14ac:dyDescent="0.35">
      <c r="A156" s="5">
        <v>19.190000000000001</v>
      </c>
      <c r="B156" s="5" t="s">
        <v>1088</v>
      </c>
      <c r="C156" s="5" t="s">
        <v>767</v>
      </c>
      <c r="D156" s="5" t="s">
        <v>470</v>
      </c>
      <c r="E156" s="6">
        <v>1</v>
      </c>
      <c r="F156" s="8">
        <f>IFERROR(VLOOKUP(Q156,PARTIDAS!$A:$P,13,FALSE),0)</f>
        <v>0</v>
      </c>
      <c r="G156" s="8">
        <f>IFERROR(VLOOKUP(Q156,PARTIDAS!$A:$P,14,FALSE),0)</f>
        <v>2925000</v>
      </c>
      <c r="H156" s="8">
        <f>IFERROR(VLOOKUP(Q156,PARTIDAS!$A:$P,15,FALSE),0)</f>
        <v>0</v>
      </c>
      <c r="I156" s="8">
        <f>IFERROR(VLOOKUP(Q156,PARTIDAS!$A:$P,16,FALSE),0)</f>
        <v>2925000</v>
      </c>
      <c r="J156" s="8">
        <f t="shared" si="16"/>
        <v>0</v>
      </c>
      <c r="K156" s="8">
        <f t="shared" si="17"/>
        <v>2925000</v>
      </c>
      <c r="L156" s="8">
        <f t="shared" si="18"/>
        <v>0</v>
      </c>
      <c r="M156" s="8">
        <f t="shared" si="19"/>
        <v>2925000</v>
      </c>
      <c r="Q156" s="5" t="s">
        <v>1109</v>
      </c>
    </row>
    <row r="157" spans="1:17" x14ac:dyDescent="0.35">
      <c r="A157" s="5">
        <v>20.010000000000002</v>
      </c>
      <c r="B157" s="5" t="s">
        <v>1110</v>
      </c>
      <c r="C157" s="5" t="s">
        <v>1111</v>
      </c>
      <c r="D157" s="5" t="s">
        <v>284</v>
      </c>
      <c r="E157" s="6">
        <v>36</v>
      </c>
      <c r="F157" s="8">
        <f>IFERROR(VLOOKUP(Q157,PARTIDAS!$A:$P,13,FALSE),0)</f>
        <v>375000</v>
      </c>
      <c r="G157" s="8">
        <f>IFERROR(VLOOKUP(Q157,PARTIDAS!$A:$P,14,FALSE),0)</f>
        <v>213888.88889999999</v>
      </c>
      <c r="H157" s="8">
        <f>IFERROR(VLOOKUP(Q157,PARTIDAS!$A:$P,15,FALSE),0)</f>
        <v>0</v>
      </c>
      <c r="I157" s="8">
        <f>IFERROR(VLOOKUP(Q157,PARTIDAS!$A:$P,16,FALSE),0)</f>
        <v>588888.88890000002</v>
      </c>
      <c r="J157" s="8">
        <f t="shared" si="16"/>
        <v>13500000</v>
      </c>
      <c r="K157" s="8">
        <f t="shared" si="17"/>
        <v>7700000.0003999993</v>
      </c>
      <c r="L157" s="8">
        <f t="shared" si="18"/>
        <v>0</v>
      </c>
      <c r="M157" s="8">
        <f t="shared" si="19"/>
        <v>21200000.000399999</v>
      </c>
      <c r="Q157" s="5" t="s">
        <v>1112</v>
      </c>
    </row>
    <row r="158" spans="1:17" x14ac:dyDescent="0.35">
      <c r="A158" s="5">
        <v>20.02</v>
      </c>
      <c r="B158" s="5" t="s">
        <v>1110</v>
      </c>
      <c r="C158" s="5" t="s">
        <v>1113</v>
      </c>
      <c r="D158" s="5" t="s">
        <v>284</v>
      </c>
      <c r="E158" s="6">
        <v>36</v>
      </c>
      <c r="F158" s="8">
        <f>IFERROR(VLOOKUP(Q158,PARTIDAS!$A:$P,13,FALSE),0)</f>
        <v>0</v>
      </c>
      <c r="G158" s="8">
        <f>IFERROR(VLOOKUP(Q158,PARTIDAS!$A:$P,14,FALSE),0)</f>
        <v>189000</v>
      </c>
      <c r="H158" s="8">
        <f>IFERROR(VLOOKUP(Q158,PARTIDAS!$A:$P,15,FALSE),0)</f>
        <v>0</v>
      </c>
      <c r="I158" s="8">
        <f>IFERROR(VLOOKUP(Q158,PARTIDAS!$A:$P,16,FALSE),0)</f>
        <v>189000</v>
      </c>
      <c r="J158" s="8">
        <f t="shared" si="16"/>
        <v>0</v>
      </c>
      <c r="K158" s="8">
        <f t="shared" si="17"/>
        <v>6804000</v>
      </c>
      <c r="L158" s="8">
        <f t="shared" si="18"/>
        <v>0</v>
      </c>
      <c r="M158" s="8">
        <f t="shared" si="19"/>
        <v>6804000</v>
      </c>
      <c r="Q158" s="5" t="s">
        <v>1114</v>
      </c>
    </row>
    <row r="159" spans="1:17" x14ac:dyDescent="0.35">
      <c r="A159" s="5">
        <v>21.01</v>
      </c>
      <c r="B159" s="5" t="s">
        <v>1115</v>
      </c>
      <c r="C159" s="5" t="s">
        <v>1116</v>
      </c>
      <c r="D159" s="5" t="s">
        <v>470</v>
      </c>
      <c r="E159" s="6">
        <v>0</v>
      </c>
      <c r="F159" s="8">
        <f>IFERROR(VLOOKUP(Q159,PARTIDAS!$A:$P,13,FALSE),0)</f>
        <v>0</v>
      </c>
      <c r="G159" s="8">
        <f>IFERROR(VLOOKUP(Q159,PARTIDAS!$A:$P,14,FALSE),0)</f>
        <v>0</v>
      </c>
      <c r="H159" s="8">
        <f>IFERROR(VLOOKUP(Q159,PARTIDAS!$A:$P,15,FALSE),0)</f>
        <v>0</v>
      </c>
      <c r="I159" s="8">
        <f>IFERROR(VLOOKUP(Q159,PARTIDAS!$A:$P,16,FALSE),0)</f>
        <v>0</v>
      </c>
      <c r="J159" s="8">
        <f t="shared" si="16"/>
        <v>0</v>
      </c>
      <c r="K159" s="8">
        <f t="shared" si="17"/>
        <v>0</v>
      </c>
      <c r="L159" s="8">
        <f t="shared" si="18"/>
        <v>0</v>
      </c>
      <c r="M159" s="8">
        <f t="shared" si="19"/>
        <v>0</v>
      </c>
      <c r="Q159" s="5" t="s">
        <v>1117</v>
      </c>
    </row>
    <row r="160" spans="1:17" x14ac:dyDescent="0.35">
      <c r="A160" s="5">
        <v>22.01</v>
      </c>
      <c r="B160" s="5" t="s">
        <v>1118</v>
      </c>
      <c r="C160" s="5" t="s">
        <v>1119</v>
      </c>
      <c r="D160" s="5" t="s">
        <v>284</v>
      </c>
      <c r="E160" s="6">
        <v>16</v>
      </c>
      <c r="F160" s="8">
        <f>IFERROR(VLOOKUP(Q160,PARTIDAS!$A:$P,13,FALSE),0)</f>
        <v>0</v>
      </c>
      <c r="G160" s="8">
        <f>IFERROR(VLOOKUP(Q160,PARTIDAS!$A:$P,14,FALSE),0)</f>
        <v>64400</v>
      </c>
      <c r="H160" s="8">
        <f>IFERROR(VLOOKUP(Q160,PARTIDAS!$A:$P,15,FALSE),0)</f>
        <v>0</v>
      </c>
      <c r="I160" s="8">
        <f>IFERROR(VLOOKUP(Q160,PARTIDAS!$A:$P,16,FALSE),0)</f>
        <v>64400</v>
      </c>
      <c r="J160" s="8">
        <f t="shared" si="16"/>
        <v>0</v>
      </c>
      <c r="K160" s="8">
        <f t="shared" si="17"/>
        <v>1030400</v>
      </c>
      <c r="L160" s="8">
        <f t="shared" si="18"/>
        <v>0</v>
      </c>
      <c r="M160" s="8">
        <f t="shared" si="19"/>
        <v>1030400</v>
      </c>
      <c r="Q160" s="5" t="s">
        <v>1120</v>
      </c>
    </row>
    <row r="161" spans="1:17" x14ac:dyDescent="0.35">
      <c r="A161" s="5">
        <v>22.02</v>
      </c>
      <c r="B161" s="5" t="s">
        <v>1118</v>
      </c>
      <c r="C161" s="5" t="s">
        <v>1121</v>
      </c>
      <c r="D161" s="5" t="s">
        <v>284</v>
      </c>
      <c r="E161" s="6">
        <v>17</v>
      </c>
      <c r="F161" s="8">
        <f>IFERROR(VLOOKUP(Q161,PARTIDAS!$A:$P,13,FALSE),0)</f>
        <v>0</v>
      </c>
      <c r="G161" s="8">
        <f>IFERROR(VLOOKUP(Q161,PARTIDAS!$A:$P,14,FALSE),0)</f>
        <v>64400</v>
      </c>
      <c r="H161" s="8">
        <f>IFERROR(VLOOKUP(Q161,PARTIDAS!$A:$P,15,FALSE),0)</f>
        <v>0</v>
      </c>
      <c r="I161" s="8">
        <f>IFERROR(VLOOKUP(Q161,PARTIDAS!$A:$P,16,FALSE),0)</f>
        <v>64400</v>
      </c>
      <c r="J161" s="8">
        <f t="shared" si="16"/>
        <v>0</v>
      </c>
      <c r="K161" s="8">
        <f t="shared" si="17"/>
        <v>1094800</v>
      </c>
      <c r="L161" s="8">
        <f t="shared" si="18"/>
        <v>0</v>
      </c>
      <c r="M161" s="8">
        <f t="shared" si="19"/>
        <v>1094800</v>
      </c>
      <c r="Q161" s="5" t="s">
        <v>1122</v>
      </c>
    </row>
    <row r="162" spans="1:17" x14ac:dyDescent="0.35">
      <c r="A162" s="5">
        <v>23.01</v>
      </c>
      <c r="B162" s="5" t="s">
        <v>1123</v>
      </c>
      <c r="C162" s="5" t="s">
        <v>1124</v>
      </c>
      <c r="D162" s="5" t="s">
        <v>470</v>
      </c>
      <c r="E162" s="6">
        <v>7</v>
      </c>
      <c r="F162" s="8">
        <f>IFERROR(VLOOKUP(Q162,PARTIDAS!$A:$P,13,FALSE),0)</f>
        <v>102857.44152819224</v>
      </c>
      <c r="G162" s="8">
        <f>IFERROR(VLOOKUP(Q162,PARTIDAS!$A:$P,14,FALSE),0)</f>
        <v>247059.62109915857</v>
      </c>
      <c r="H162" s="8">
        <f>IFERROR(VLOOKUP(Q162,PARTIDAS!$A:$P,15,FALSE),0)</f>
        <v>5248.7557999999999</v>
      </c>
      <c r="I162" s="8">
        <f>IFERROR(VLOOKUP(Q162,PARTIDAS!$A:$P,16,FALSE),0)</f>
        <v>355165.81842735078</v>
      </c>
      <c r="J162" s="8">
        <f t="shared" ref="J162:J190" si="20">F162*$E162</f>
        <v>720002.09069734567</v>
      </c>
      <c r="K162" s="8">
        <f t="shared" ref="K162:K190" si="21">G162*$E162</f>
        <v>1729417.3476941099</v>
      </c>
      <c r="L162" s="8">
        <f t="shared" ref="L162:L190" si="22">H162*$E162</f>
        <v>36741.2906</v>
      </c>
      <c r="M162" s="8">
        <f t="shared" ref="M162:M193" si="23">J162+K162+L162</f>
        <v>2486160.7289914554</v>
      </c>
      <c r="Q162" s="5" t="s">
        <v>1125</v>
      </c>
    </row>
    <row r="163" spans="1:17" x14ac:dyDescent="0.35">
      <c r="A163" s="5">
        <v>23.02</v>
      </c>
      <c r="B163" s="5" t="s">
        <v>1123</v>
      </c>
      <c r="C163" s="5" t="s">
        <v>1126</v>
      </c>
      <c r="D163" s="5" t="s">
        <v>470</v>
      </c>
      <c r="E163" s="6">
        <v>1</v>
      </c>
      <c r="F163" s="8">
        <f>IFERROR(VLOOKUP(Q163,PARTIDAS!$A:$P,13,FALSE),0)</f>
        <v>200000</v>
      </c>
      <c r="G163" s="8">
        <f>IFERROR(VLOOKUP(Q163,PARTIDAS!$A:$P,14,FALSE),0)</f>
        <v>326801.25</v>
      </c>
      <c r="H163" s="8">
        <f>IFERROR(VLOOKUP(Q163,PARTIDAS!$A:$P,15,FALSE),0)</f>
        <v>7902.0186000000003</v>
      </c>
      <c r="I163" s="8">
        <f>IFERROR(VLOOKUP(Q163,PARTIDAS!$A:$P,16,FALSE),0)</f>
        <v>534703.26859999995</v>
      </c>
      <c r="J163" s="8">
        <f t="shared" si="20"/>
        <v>200000</v>
      </c>
      <c r="K163" s="8">
        <f t="shared" si="21"/>
        <v>326801.25</v>
      </c>
      <c r="L163" s="8">
        <f t="shared" si="22"/>
        <v>7902.0186000000003</v>
      </c>
      <c r="M163" s="8">
        <f t="shared" si="23"/>
        <v>534703.26859999995</v>
      </c>
      <c r="Q163" s="5" t="s">
        <v>1127</v>
      </c>
    </row>
    <row r="164" spans="1:17" x14ac:dyDescent="0.35">
      <c r="A164" s="5">
        <v>23.03</v>
      </c>
      <c r="B164" s="5" t="s">
        <v>1123</v>
      </c>
      <c r="C164" s="5" t="s">
        <v>1128</v>
      </c>
      <c r="D164" s="5" t="s">
        <v>470</v>
      </c>
      <c r="E164" s="6">
        <v>1</v>
      </c>
      <c r="F164" s="8">
        <f>IFERROR(VLOOKUP(Q164,PARTIDAS!$A:$P,13,FALSE),0)</f>
        <v>253919.62650000001</v>
      </c>
      <c r="G164" s="8">
        <f>IFERROR(VLOOKUP(Q164,PARTIDAS!$A:$P,14,FALSE),0)</f>
        <v>439307.50329999998</v>
      </c>
      <c r="H164" s="8">
        <f>IFERROR(VLOOKUP(Q164,PARTIDAS!$A:$P,15,FALSE),0)</f>
        <v>0</v>
      </c>
      <c r="I164" s="8">
        <f>IFERROR(VLOOKUP(Q164,PARTIDAS!$A:$P,16,FALSE),0)</f>
        <v>693227.1298</v>
      </c>
      <c r="J164" s="8">
        <f t="shared" si="20"/>
        <v>253919.62650000001</v>
      </c>
      <c r="K164" s="8">
        <f t="shared" si="21"/>
        <v>439307.50329999998</v>
      </c>
      <c r="L164" s="8">
        <f t="shared" si="22"/>
        <v>0</v>
      </c>
      <c r="M164" s="8">
        <f t="shared" si="23"/>
        <v>693227.1298</v>
      </c>
      <c r="Q164" s="5" t="s">
        <v>1129</v>
      </c>
    </row>
    <row r="165" spans="1:17" x14ac:dyDescent="0.35">
      <c r="A165" s="5">
        <v>24.01</v>
      </c>
      <c r="B165" s="5" t="s">
        <v>1130</v>
      </c>
      <c r="C165" s="5" t="s">
        <v>1131</v>
      </c>
      <c r="D165" s="5" t="s">
        <v>816</v>
      </c>
      <c r="E165" s="6">
        <v>14</v>
      </c>
      <c r="F165" s="8">
        <f>IFERROR(VLOOKUP(Q165,PARTIDAS!$A:$P,13,FALSE),0)</f>
        <v>0</v>
      </c>
      <c r="G165" s="8">
        <f>IFERROR(VLOOKUP(Q165,PARTIDAS!$A:$P,14,FALSE),0)</f>
        <v>599210.84669999999</v>
      </c>
      <c r="H165" s="8">
        <f>IFERROR(VLOOKUP(Q165,PARTIDAS!$A:$P,15,FALSE),0)</f>
        <v>0</v>
      </c>
      <c r="I165" s="8">
        <f>IFERROR(VLOOKUP(Q165,PARTIDAS!$A:$P,16,FALSE),0)</f>
        <v>599210.84669999999</v>
      </c>
      <c r="J165" s="8">
        <f t="shared" si="20"/>
        <v>0</v>
      </c>
      <c r="K165" s="8">
        <f t="shared" si="21"/>
        <v>8388951.8538000006</v>
      </c>
      <c r="L165" s="8">
        <f t="shared" si="22"/>
        <v>0</v>
      </c>
      <c r="M165" s="8">
        <f t="shared" si="23"/>
        <v>8388951.8538000006</v>
      </c>
      <c r="Q165" s="5" t="s">
        <v>1132</v>
      </c>
    </row>
    <row r="166" spans="1:17" x14ac:dyDescent="0.35">
      <c r="A166" s="5">
        <v>24.02</v>
      </c>
      <c r="B166" s="5" t="s">
        <v>1130</v>
      </c>
      <c r="C166" s="5" t="s">
        <v>1133</v>
      </c>
      <c r="D166" s="5" t="s">
        <v>816</v>
      </c>
      <c r="E166" s="6">
        <v>4</v>
      </c>
      <c r="F166" s="8">
        <f>IFERROR(VLOOKUP(Q166,PARTIDAS!$A:$P,13,FALSE),0)</f>
        <v>0</v>
      </c>
      <c r="G166" s="8">
        <f>IFERROR(VLOOKUP(Q166,PARTIDAS!$A:$P,14,FALSE),0)</f>
        <v>1547376.3492000001</v>
      </c>
      <c r="H166" s="8">
        <f>IFERROR(VLOOKUP(Q166,PARTIDAS!$A:$P,15,FALSE),0)</f>
        <v>0</v>
      </c>
      <c r="I166" s="8">
        <f>IFERROR(VLOOKUP(Q166,PARTIDAS!$A:$P,16,FALSE),0)</f>
        <v>1547376.3492000001</v>
      </c>
      <c r="J166" s="8">
        <f t="shared" si="20"/>
        <v>0</v>
      </c>
      <c r="K166" s="8">
        <f t="shared" si="21"/>
        <v>6189505.3968000002</v>
      </c>
      <c r="L166" s="8">
        <f t="shared" si="22"/>
        <v>0</v>
      </c>
      <c r="M166" s="8">
        <f t="shared" si="23"/>
        <v>6189505.3968000002</v>
      </c>
      <c r="Q166" s="5" t="s">
        <v>1134</v>
      </c>
    </row>
    <row r="167" spans="1:17" x14ac:dyDescent="0.35">
      <c r="A167" s="5">
        <v>24.03</v>
      </c>
      <c r="B167" s="5" t="s">
        <v>1130</v>
      </c>
      <c r="C167" s="5" t="s">
        <v>1135</v>
      </c>
      <c r="D167" s="5" t="s">
        <v>816</v>
      </c>
      <c r="E167" s="6">
        <v>14</v>
      </c>
      <c r="F167" s="8">
        <f>IFERROR(VLOOKUP(Q167,PARTIDAS!$A:$P,13,FALSE),0)</f>
        <v>0</v>
      </c>
      <c r="G167" s="8">
        <f>IFERROR(VLOOKUP(Q167,PARTIDAS!$A:$P,14,FALSE),0)</f>
        <v>150000</v>
      </c>
      <c r="H167" s="8">
        <f>IFERROR(VLOOKUP(Q167,PARTIDAS!$A:$P,15,FALSE),0)</f>
        <v>0</v>
      </c>
      <c r="I167" s="8">
        <f>IFERROR(VLOOKUP(Q167,PARTIDAS!$A:$P,16,FALSE),0)</f>
        <v>150000</v>
      </c>
      <c r="J167" s="8">
        <f t="shared" si="20"/>
        <v>0</v>
      </c>
      <c r="K167" s="8">
        <f t="shared" si="21"/>
        <v>2100000</v>
      </c>
      <c r="L167" s="8">
        <f t="shared" si="22"/>
        <v>0</v>
      </c>
      <c r="M167" s="8">
        <f t="shared" si="23"/>
        <v>2100000</v>
      </c>
      <c r="Q167" s="5" t="s">
        <v>1136</v>
      </c>
    </row>
    <row r="168" spans="1:17" x14ac:dyDescent="0.35">
      <c r="A168" s="5">
        <v>24.04</v>
      </c>
      <c r="B168" s="5" t="s">
        <v>1130</v>
      </c>
      <c r="C168" s="5" t="s">
        <v>1137</v>
      </c>
      <c r="D168" s="5" t="s">
        <v>470</v>
      </c>
      <c r="E168" s="6">
        <v>1</v>
      </c>
      <c r="F168" s="8">
        <f>IFERROR(VLOOKUP(Q168,PARTIDAS!$A:$P,13,FALSE),0)</f>
        <v>2388097.2666000002</v>
      </c>
      <c r="G168" s="8">
        <f>IFERROR(VLOOKUP(Q168,PARTIDAS!$A:$P,14,FALSE),0)</f>
        <v>1222808.1199999999</v>
      </c>
      <c r="H168" s="8">
        <f>IFERROR(VLOOKUP(Q168,PARTIDAS!$A:$P,15,FALSE),0)</f>
        <v>54163.580199999997</v>
      </c>
      <c r="I168" s="8">
        <f>IFERROR(VLOOKUP(Q168,PARTIDAS!$A:$P,16,FALSE),0)</f>
        <v>3665068.9668000001</v>
      </c>
      <c r="J168" s="8">
        <f t="shared" si="20"/>
        <v>2388097.2666000002</v>
      </c>
      <c r="K168" s="8">
        <f t="shared" si="21"/>
        <v>1222808.1199999999</v>
      </c>
      <c r="L168" s="8">
        <f t="shared" si="22"/>
        <v>54163.580199999997</v>
      </c>
      <c r="M168" s="8">
        <f t="shared" si="23"/>
        <v>3665068.9668000001</v>
      </c>
      <c r="Q168" s="5" t="s">
        <v>1138</v>
      </c>
    </row>
    <row r="169" spans="1:17" x14ac:dyDescent="0.35">
      <c r="A169" s="5">
        <v>24.05</v>
      </c>
      <c r="B169" s="5" t="s">
        <v>1130</v>
      </c>
      <c r="C169" s="5" t="s">
        <v>1139</v>
      </c>
      <c r="D169" s="5" t="s">
        <v>816</v>
      </c>
      <c r="E169" s="6">
        <v>14</v>
      </c>
      <c r="F169" s="8">
        <f>IFERROR(VLOOKUP(Q169,PARTIDAS!$A:$P,13,FALSE),0)</f>
        <v>50000</v>
      </c>
      <c r="G169" s="8">
        <f>IFERROR(VLOOKUP(Q169,PARTIDAS!$A:$P,14,FALSE),0)</f>
        <v>495686.19</v>
      </c>
      <c r="H169" s="8">
        <f>IFERROR(VLOOKUP(Q169,PARTIDAS!$A:$P,15,FALSE),0)</f>
        <v>8185.2924999999996</v>
      </c>
      <c r="I169" s="8">
        <f>IFERROR(VLOOKUP(Q169,PARTIDAS!$A:$P,16,FALSE),0)</f>
        <v>553871.48249999993</v>
      </c>
      <c r="J169" s="8">
        <f t="shared" si="20"/>
        <v>700000</v>
      </c>
      <c r="K169" s="8">
        <f t="shared" si="21"/>
        <v>6939606.6600000001</v>
      </c>
      <c r="L169" s="8">
        <f t="shared" si="22"/>
        <v>114594.095</v>
      </c>
      <c r="M169" s="8">
        <f t="shared" si="23"/>
        <v>7754200.7549999999</v>
      </c>
      <c r="Q169" s="5" t="s">
        <v>1140</v>
      </c>
    </row>
    <row r="170" spans="1:17" x14ac:dyDescent="0.35">
      <c r="A170" s="5">
        <v>24.06</v>
      </c>
      <c r="B170" s="5" t="s">
        <v>1130</v>
      </c>
      <c r="C170" s="5" t="s">
        <v>1141</v>
      </c>
      <c r="D170" s="5" t="s">
        <v>816</v>
      </c>
      <c r="E170" s="6">
        <v>14</v>
      </c>
      <c r="F170" s="8">
        <f>IFERROR(VLOOKUP(Q170,PARTIDAS!$A:$P,13,FALSE),0)</f>
        <v>25000</v>
      </c>
      <c r="G170" s="8">
        <f>IFERROR(VLOOKUP(Q170,PARTIDAS!$A:$P,14,FALSE),0)</f>
        <v>329565.984</v>
      </c>
      <c r="H170" s="8">
        <f>IFERROR(VLOOKUP(Q170,PARTIDAS!$A:$P,15,FALSE),0)</f>
        <v>5318.4894999999997</v>
      </c>
      <c r="I170" s="8">
        <f>IFERROR(VLOOKUP(Q170,PARTIDAS!$A:$P,16,FALSE),0)</f>
        <v>359884.47350000002</v>
      </c>
      <c r="J170" s="8">
        <f t="shared" si="20"/>
        <v>350000</v>
      </c>
      <c r="K170" s="8">
        <f t="shared" si="21"/>
        <v>4613923.7759999996</v>
      </c>
      <c r="L170" s="8">
        <f t="shared" si="22"/>
        <v>74458.853000000003</v>
      </c>
      <c r="M170" s="8">
        <f t="shared" si="23"/>
        <v>5038382.6289999997</v>
      </c>
      <c r="Q170" s="5" t="s">
        <v>1142</v>
      </c>
    </row>
    <row r="171" spans="1:17" x14ac:dyDescent="0.35">
      <c r="A171" s="5">
        <v>24.07</v>
      </c>
      <c r="B171" s="5" t="s">
        <v>1130</v>
      </c>
      <c r="C171" s="5" t="s">
        <v>1143</v>
      </c>
      <c r="D171" s="5" t="s">
        <v>470</v>
      </c>
      <c r="E171" s="6">
        <v>0</v>
      </c>
      <c r="F171" s="8">
        <f>IFERROR(VLOOKUP(Q171,PARTIDAS!$A:$P,13,FALSE),0)</f>
        <v>0</v>
      </c>
      <c r="G171" s="8">
        <f>IFERROR(VLOOKUP(Q171,PARTIDAS!$A:$P,14,FALSE),0)</f>
        <v>0</v>
      </c>
      <c r="H171" s="8">
        <f>IFERROR(VLOOKUP(Q171,PARTIDAS!$A:$P,15,FALSE),0)</f>
        <v>0</v>
      </c>
      <c r="I171" s="8">
        <f>IFERROR(VLOOKUP(Q171,PARTIDAS!$A:$P,16,FALSE),0)</f>
        <v>0</v>
      </c>
      <c r="J171" s="8">
        <f t="shared" si="20"/>
        <v>0</v>
      </c>
      <c r="K171" s="8">
        <f t="shared" si="21"/>
        <v>0</v>
      </c>
      <c r="L171" s="8">
        <f t="shared" si="22"/>
        <v>0</v>
      </c>
      <c r="M171" s="8">
        <f t="shared" si="23"/>
        <v>0</v>
      </c>
      <c r="Q171" s="5" t="s">
        <v>1144</v>
      </c>
    </row>
    <row r="172" spans="1:17" x14ac:dyDescent="0.35">
      <c r="A172" s="5">
        <v>24.08</v>
      </c>
      <c r="B172" s="5" t="s">
        <v>1130</v>
      </c>
      <c r="C172" s="5" t="s">
        <v>782</v>
      </c>
      <c r="D172" s="5" t="s">
        <v>816</v>
      </c>
      <c r="E172" s="6">
        <v>14</v>
      </c>
      <c r="F172" s="8">
        <f>IFERROR(VLOOKUP(Q172,PARTIDAS!$A:$P,13,FALSE),0)</f>
        <v>0</v>
      </c>
      <c r="G172" s="8">
        <f>IFERROR(VLOOKUP(Q172,PARTIDAS!$A:$P,14,FALSE),0)</f>
        <v>250000</v>
      </c>
      <c r="H172" s="8">
        <f>IFERROR(VLOOKUP(Q172,PARTIDAS!$A:$P,15,FALSE),0)</f>
        <v>0</v>
      </c>
      <c r="I172" s="8">
        <f>IFERROR(VLOOKUP(Q172,PARTIDAS!$A:$P,16,FALSE),0)</f>
        <v>250000</v>
      </c>
      <c r="J172" s="8">
        <f t="shared" si="20"/>
        <v>0</v>
      </c>
      <c r="K172" s="8">
        <f t="shared" si="21"/>
        <v>3500000</v>
      </c>
      <c r="L172" s="8">
        <f t="shared" si="22"/>
        <v>0</v>
      </c>
      <c r="M172" s="8">
        <f t="shared" si="23"/>
        <v>3500000</v>
      </c>
      <c r="Q172" s="5" t="s">
        <v>1145</v>
      </c>
    </row>
    <row r="173" spans="1:17" x14ac:dyDescent="0.35">
      <c r="A173" s="5">
        <v>24.09</v>
      </c>
      <c r="B173" s="5" t="s">
        <v>1130</v>
      </c>
      <c r="C173" s="5" t="s">
        <v>1146</v>
      </c>
      <c r="D173" s="5" t="s">
        <v>816</v>
      </c>
      <c r="E173" s="6">
        <v>4</v>
      </c>
      <c r="F173" s="8">
        <f>IFERROR(VLOOKUP(Q173,PARTIDAS!$A:$P,13,FALSE),0)</f>
        <v>0</v>
      </c>
      <c r="G173" s="8">
        <f>IFERROR(VLOOKUP(Q173,PARTIDAS!$A:$P,14,FALSE),0)</f>
        <v>0</v>
      </c>
      <c r="H173" s="8">
        <f>IFERROR(VLOOKUP(Q173,PARTIDAS!$A:$P,15,FALSE),0)</f>
        <v>0</v>
      </c>
      <c r="I173" s="8">
        <f>IFERROR(VLOOKUP(Q173,PARTIDAS!$A:$P,16,FALSE),0)</f>
        <v>0</v>
      </c>
      <c r="J173" s="8">
        <f t="shared" si="20"/>
        <v>0</v>
      </c>
      <c r="K173" s="8">
        <f t="shared" si="21"/>
        <v>0</v>
      </c>
      <c r="L173" s="8">
        <f t="shared" si="22"/>
        <v>0</v>
      </c>
      <c r="M173" s="8">
        <f t="shared" si="23"/>
        <v>0</v>
      </c>
      <c r="Q173" s="5" t="s">
        <v>1147</v>
      </c>
    </row>
    <row r="174" spans="1:17" x14ac:dyDescent="0.35">
      <c r="A174" s="5">
        <v>24.1</v>
      </c>
      <c r="B174" s="5" t="s">
        <v>1130</v>
      </c>
      <c r="C174" s="5" t="s">
        <v>131</v>
      </c>
      <c r="D174" s="5" t="s">
        <v>816</v>
      </c>
      <c r="E174" s="6">
        <v>14</v>
      </c>
      <c r="F174" s="8">
        <f>IFERROR(VLOOKUP(Q174,PARTIDAS!$A:$P,13,FALSE),0)</f>
        <v>200000</v>
      </c>
      <c r="G174" s="8">
        <f>IFERROR(VLOOKUP(Q174,PARTIDAS!$A:$P,14,FALSE),0)</f>
        <v>49934.239999999998</v>
      </c>
      <c r="H174" s="8">
        <f>IFERROR(VLOOKUP(Q174,PARTIDAS!$A:$P,15,FALSE),0)</f>
        <v>0</v>
      </c>
      <c r="I174" s="8">
        <f>IFERROR(VLOOKUP(Q174,PARTIDAS!$A:$P,16,FALSE),0)</f>
        <v>249934.24</v>
      </c>
      <c r="J174" s="8">
        <f t="shared" si="20"/>
        <v>2800000</v>
      </c>
      <c r="K174" s="8">
        <f t="shared" si="21"/>
        <v>699079.36</v>
      </c>
      <c r="L174" s="8">
        <f t="shared" si="22"/>
        <v>0</v>
      </c>
      <c r="M174" s="8">
        <f t="shared" si="23"/>
        <v>3499079.36</v>
      </c>
      <c r="Q174" s="5" t="s">
        <v>1148</v>
      </c>
    </row>
    <row r="175" spans="1:17" x14ac:dyDescent="0.35">
      <c r="A175" s="5">
        <v>25.01</v>
      </c>
      <c r="B175" s="5" t="s">
        <v>1149</v>
      </c>
      <c r="C175" s="5" t="s">
        <v>1150</v>
      </c>
      <c r="D175" s="5" t="s">
        <v>816</v>
      </c>
      <c r="E175" s="6">
        <v>14</v>
      </c>
      <c r="F175" s="8">
        <f>IFERROR(VLOOKUP(Q175,PARTIDAS!$A:$P,13,FALSE),0)</f>
        <v>0</v>
      </c>
      <c r="G175" s="8">
        <f>IFERROR(VLOOKUP(Q175,PARTIDAS!$A:$P,14,FALSE),0)</f>
        <v>3798370.5819999999</v>
      </c>
      <c r="H175" s="8">
        <f>IFERROR(VLOOKUP(Q175,PARTIDAS!$A:$P,15,FALSE),0)</f>
        <v>0</v>
      </c>
      <c r="I175" s="8">
        <f>IFERROR(VLOOKUP(Q175,PARTIDAS!$A:$P,16,FALSE),0)</f>
        <v>3798370.5819999999</v>
      </c>
      <c r="J175" s="8">
        <f t="shared" si="20"/>
        <v>0</v>
      </c>
      <c r="K175" s="8">
        <f t="shared" si="21"/>
        <v>53177188.148000002</v>
      </c>
      <c r="L175" s="8">
        <f t="shared" si="22"/>
        <v>0</v>
      </c>
      <c r="M175" s="8">
        <f t="shared" si="23"/>
        <v>53177188.148000002</v>
      </c>
      <c r="Q175" s="5" t="s">
        <v>1151</v>
      </c>
    </row>
    <row r="176" spans="1:17" x14ac:dyDescent="0.35">
      <c r="A176" s="5">
        <v>25.02</v>
      </c>
      <c r="B176" s="5" t="s">
        <v>1149</v>
      </c>
      <c r="C176" s="5" t="s">
        <v>1152</v>
      </c>
      <c r="D176" s="5" t="s">
        <v>816</v>
      </c>
      <c r="E176" s="6">
        <v>14</v>
      </c>
      <c r="F176" s="8">
        <f>IFERROR(VLOOKUP(Q176,PARTIDAS!$A:$P,13,FALSE),0)</f>
        <v>0</v>
      </c>
      <c r="G176" s="8">
        <f>IFERROR(VLOOKUP(Q176,PARTIDAS!$A:$P,14,FALSE),0)</f>
        <v>500000</v>
      </c>
      <c r="H176" s="8">
        <f>IFERROR(VLOOKUP(Q176,PARTIDAS!$A:$P,15,FALSE),0)</f>
        <v>0</v>
      </c>
      <c r="I176" s="8">
        <f>IFERROR(VLOOKUP(Q176,PARTIDAS!$A:$P,16,FALSE),0)</f>
        <v>500000</v>
      </c>
      <c r="J176" s="8">
        <f t="shared" si="20"/>
        <v>0</v>
      </c>
      <c r="K176" s="8">
        <f t="shared" si="21"/>
        <v>7000000</v>
      </c>
      <c r="L176" s="8">
        <f t="shared" si="22"/>
        <v>0</v>
      </c>
      <c r="M176" s="8">
        <f t="shared" si="23"/>
        <v>7000000</v>
      </c>
      <c r="Q176" s="5" t="s">
        <v>1153</v>
      </c>
    </row>
    <row r="177" spans="1:17" x14ac:dyDescent="0.35">
      <c r="A177" s="5">
        <v>26.01</v>
      </c>
      <c r="B177" s="5" t="s">
        <v>1154</v>
      </c>
      <c r="C177" s="5" t="s">
        <v>432</v>
      </c>
      <c r="D177" s="5" t="s">
        <v>1155</v>
      </c>
      <c r="E177" s="6">
        <v>71835</v>
      </c>
      <c r="F177" s="8">
        <f>IFERROR(VLOOKUP(Q177,PARTIDAS!$A:$P,13,FALSE),0)</f>
        <v>1675.9465</v>
      </c>
      <c r="G177" s="8">
        <f>IFERROR(VLOOKUP(Q177,PARTIDAS!$A:$P,14,FALSE),0)</f>
        <v>0</v>
      </c>
      <c r="H177" s="8">
        <f>IFERROR(VLOOKUP(Q177,PARTIDAS!$A:$P,15,FALSE),0)</f>
        <v>0</v>
      </c>
      <c r="I177" s="8">
        <f>IFERROR(VLOOKUP(Q177,PARTIDAS!$A:$P,16,FALSE),0)</f>
        <v>1675.9465</v>
      </c>
      <c r="J177" s="8">
        <f t="shared" si="20"/>
        <v>120391616.8275</v>
      </c>
      <c r="K177" s="8">
        <f t="shared" si="21"/>
        <v>0</v>
      </c>
      <c r="L177" s="8">
        <f t="shared" si="22"/>
        <v>0</v>
      </c>
      <c r="M177" s="8">
        <f t="shared" si="23"/>
        <v>120391616.8275</v>
      </c>
      <c r="Q177" s="5" t="s">
        <v>1156</v>
      </c>
    </row>
    <row r="178" spans="1:17" x14ac:dyDescent="0.35">
      <c r="A178" s="5">
        <v>26.02</v>
      </c>
      <c r="B178" s="5" t="s">
        <v>1154</v>
      </c>
      <c r="C178" s="5" t="s">
        <v>434</v>
      </c>
      <c r="D178" s="5" t="s">
        <v>828</v>
      </c>
      <c r="E178" s="6">
        <v>641</v>
      </c>
      <c r="F178" s="8">
        <f>IFERROR(VLOOKUP(Q178,PARTIDAS!$A:$P,13,FALSE),0)</f>
        <v>161741.24100000001</v>
      </c>
      <c r="G178" s="8">
        <f>IFERROR(VLOOKUP(Q178,PARTIDAS!$A:$P,14,FALSE),0)</f>
        <v>0</v>
      </c>
      <c r="H178" s="8">
        <f>IFERROR(VLOOKUP(Q178,PARTIDAS!$A:$P,15,FALSE),0)</f>
        <v>0</v>
      </c>
      <c r="I178" s="8">
        <f>IFERROR(VLOOKUP(Q178,PARTIDAS!$A:$P,16,FALSE),0)</f>
        <v>161741.24100000001</v>
      </c>
      <c r="J178" s="8">
        <f t="shared" si="20"/>
        <v>103676135.48100001</v>
      </c>
      <c r="K178" s="8">
        <f t="shared" si="21"/>
        <v>0</v>
      </c>
      <c r="L178" s="8">
        <f t="shared" si="22"/>
        <v>0</v>
      </c>
      <c r="M178" s="8">
        <f t="shared" si="23"/>
        <v>103676135.48100001</v>
      </c>
      <c r="Q178" s="5" t="s">
        <v>1157</v>
      </c>
    </row>
    <row r="179" spans="1:17" x14ac:dyDescent="0.35">
      <c r="A179" s="5">
        <v>26.03</v>
      </c>
      <c r="B179" s="5" t="s">
        <v>1154</v>
      </c>
      <c r="C179" s="5" t="s">
        <v>1158</v>
      </c>
      <c r="D179" s="5" t="s">
        <v>470</v>
      </c>
      <c r="E179" s="6">
        <v>1</v>
      </c>
      <c r="F179" s="8">
        <f>IFERROR(VLOOKUP(Q179,PARTIDAS!$A:$P,13,FALSE),0)</f>
        <v>0</v>
      </c>
      <c r="G179" s="8">
        <f>IFERROR(VLOOKUP(Q179,PARTIDAS!$A:$P,14,FALSE),0)</f>
        <v>0</v>
      </c>
      <c r="H179" s="8">
        <f>IFERROR(VLOOKUP(Q179,PARTIDAS!$A:$P,15,FALSE),0)</f>
        <v>0</v>
      </c>
      <c r="I179" s="8">
        <f>IFERROR(VLOOKUP(Q179,PARTIDAS!$A:$P,16,FALSE),0)</f>
        <v>0</v>
      </c>
      <c r="J179" s="8">
        <f t="shared" si="20"/>
        <v>0</v>
      </c>
      <c r="K179" s="8">
        <f t="shared" si="21"/>
        <v>0</v>
      </c>
      <c r="L179" s="8">
        <f t="shared" si="22"/>
        <v>0</v>
      </c>
      <c r="M179" s="8">
        <f t="shared" si="23"/>
        <v>0</v>
      </c>
      <c r="Q179" s="5" t="s">
        <v>1159</v>
      </c>
    </row>
    <row r="180" spans="1:17" x14ac:dyDescent="0.35">
      <c r="A180" s="5">
        <v>26.04</v>
      </c>
      <c r="B180" s="5" t="s">
        <v>1154</v>
      </c>
      <c r="C180" s="5" t="s">
        <v>1160</v>
      </c>
      <c r="D180" s="5" t="s">
        <v>284</v>
      </c>
      <c r="E180" s="6">
        <v>6</v>
      </c>
      <c r="F180" s="8">
        <f>IFERROR(VLOOKUP(Q180,PARTIDAS!$A:$P,13,FALSE),0)</f>
        <v>0</v>
      </c>
      <c r="G180" s="8">
        <f>IFERROR(VLOOKUP(Q180,PARTIDAS!$A:$P,14,FALSE),0)</f>
        <v>0</v>
      </c>
      <c r="H180" s="8">
        <f>IFERROR(VLOOKUP(Q180,PARTIDAS!$A:$P,15,FALSE),0)</f>
        <v>0</v>
      </c>
      <c r="I180" s="8">
        <f>IFERROR(VLOOKUP(Q180,PARTIDAS!$A:$P,16,FALSE),0)</f>
        <v>0</v>
      </c>
      <c r="J180" s="8">
        <f t="shared" si="20"/>
        <v>0</v>
      </c>
      <c r="K180" s="8">
        <f t="shared" si="21"/>
        <v>0</v>
      </c>
      <c r="L180" s="8">
        <f t="shared" si="22"/>
        <v>0</v>
      </c>
      <c r="M180" s="8">
        <f t="shared" si="23"/>
        <v>0</v>
      </c>
      <c r="Q180" s="5" t="s">
        <v>1161</v>
      </c>
    </row>
    <row r="181" spans="1:17" x14ac:dyDescent="0.35">
      <c r="A181" s="5">
        <v>26.05</v>
      </c>
      <c r="B181" s="5" t="s">
        <v>1154</v>
      </c>
      <c r="C181" s="5" t="s">
        <v>1162</v>
      </c>
      <c r="D181" s="5" t="s">
        <v>284</v>
      </c>
      <c r="E181" s="6">
        <v>2</v>
      </c>
      <c r="F181" s="8">
        <f>IFERROR(VLOOKUP(Q181,PARTIDAS!$A:$P,13,FALSE),0)</f>
        <v>0</v>
      </c>
      <c r="G181" s="8">
        <f>IFERROR(VLOOKUP(Q181,PARTIDAS!$A:$P,14,FALSE),0)</f>
        <v>0</v>
      </c>
      <c r="H181" s="8">
        <f>IFERROR(VLOOKUP(Q181,PARTIDAS!$A:$P,15,FALSE),0)</f>
        <v>0</v>
      </c>
      <c r="I181" s="8">
        <f>IFERROR(VLOOKUP(Q181,PARTIDAS!$A:$P,16,FALSE),0)</f>
        <v>0</v>
      </c>
      <c r="J181" s="8">
        <f t="shared" si="20"/>
        <v>0</v>
      </c>
      <c r="K181" s="8">
        <f t="shared" si="21"/>
        <v>0</v>
      </c>
      <c r="L181" s="8">
        <f t="shared" si="22"/>
        <v>0</v>
      </c>
      <c r="M181" s="8">
        <f t="shared" si="23"/>
        <v>0</v>
      </c>
      <c r="Q181" s="5" t="s">
        <v>1163</v>
      </c>
    </row>
    <row r="182" spans="1:17" x14ac:dyDescent="0.35">
      <c r="A182" s="5">
        <v>26.06</v>
      </c>
      <c r="B182" s="5" t="s">
        <v>1154</v>
      </c>
      <c r="C182" s="5" t="s">
        <v>1164</v>
      </c>
      <c r="D182" s="5" t="s">
        <v>284</v>
      </c>
      <c r="E182" s="6">
        <v>5</v>
      </c>
      <c r="F182" s="8">
        <f>IFERROR(VLOOKUP(Q182,PARTIDAS!$A:$P,13,FALSE),0)</f>
        <v>0</v>
      </c>
      <c r="G182" s="8">
        <f>IFERROR(VLOOKUP(Q182,PARTIDAS!$A:$P,14,FALSE),0)</f>
        <v>0</v>
      </c>
      <c r="H182" s="8">
        <f>IFERROR(VLOOKUP(Q182,PARTIDAS!$A:$P,15,FALSE),0)</f>
        <v>0</v>
      </c>
      <c r="I182" s="8">
        <f>IFERROR(VLOOKUP(Q182,PARTIDAS!$A:$P,16,FALSE),0)</f>
        <v>0</v>
      </c>
      <c r="J182" s="8">
        <f t="shared" si="20"/>
        <v>0</v>
      </c>
      <c r="K182" s="8">
        <f t="shared" si="21"/>
        <v>0</v>
      </c>
      <c r="L182" s="8">
        <f t="shared" si="22"/>
        <v>0</v>
      </c>
      <c r="M182" s="8">
        <f t="shared" si="23"/>
        <v>0</v>
      </c>
      <c r="Q182" s="5" t="s">
        <v>1165</v>
      </c>
    </row>
    <row r="183" spans="1:17" x14ac:dyDescent="0.35">
      <c r="A183" s="5">
        <v>26.07</v>
      </c>
      <c r="B183" s="5" t="s">
        <v>1154</v>
      </c>
      <c r="C183" s="5" t="s">
        <v>1166</v>
      </c>
      <c r="D183" s="5" t="s">
        <v>284</v>
      </c>
      <c r="E183" s="6">
        <v>1</v>
      </c>
      <c r="F183" s="8">
        <f>IFERROR(VLOOKUP(Q183,PARTIDAS!$A:$P,13,FALSE),0)</f>
        <v>0</v>
      </c>
      <c r="G183" s="8">
        <f>IFERROR(VLOOKUP(Q183,PARTIDAS!$A:$P,14,FALSE),0)</f>
        <v>0</v>
      </c>
      <c r="H183" s="8">
        <f>IFERROR(VLOOKUP(Q183,PARTIDAS!$A:$P,15,FALSE),0)</f>
        <v>0</v>
      </c>
      <c r="I183" s="8">
        <f>IFERROR(VLOOKUP(Q183,PARTIDAS!$A:$P,16,FALSE),0)</f>
        <v>0</v>
      </c>
      <c r="J183" s="8">
        <f t="shared" si="20"/>
        <v>0</v>
      </c>
      <c r="K183" s="8">
        <f t="shared" si="21"/>
        <v>0</v>
      </c>
      <c r="L183" s="8">
        <f t="shared" si="22"/>
        <v>0</v>
      </c>
      <c r="M183" s="8">
        <f t="shared" si="23"/>
        <v>0</v>
      </c>
      <c r="Q183" s="5" t="s">
        <v>1167</v>
      </c>
    </row>
    <row r="184" spans="1:17" x14ac:dyDescent="0.35">
      <c r="A184" s="5">
        <v>26.08</v>
      </c>
      <c r="B184" s="5" t="s">
        <v>1154</v>
      </c>
      <c r="C184" s="5" t="s">
        <v>1168</v>
      </c>
      <c r="D184" s="5" t="s">
        <v>1169</v>
      </c>
      <c r="E184" s="6">
        <v>0</v>
      </c>
      <c r="F184" s="8">
        <f>IFERROR(VLOOKUP(Q184,PARTIDAS!$A:$P,13,FALSE),0)</f>
        <v>0</v>
      </c>
      <c r="G184" s="8">
        <f>IFERROR(VLOOKUP(Q184,PARTIDAS!$A:$P,14,FALSE),0)</f>
        <v>0</v>
      </c>
      <c r="H184" s="8">
        <f>IFERROR(VLOOKUP(Q184,PARTIDAS!$A:$P,15,FALSE),0)</f>
        <v>0</v>
      </c>
      <c r="I184" s="8">
        <f>IFERROR(VLOOKUP(Q184,PARTIDAS!$A:$P,16,FALSE),0)</f>
        <v>0</v>
      </c>
      <c r="J184" s="8">
        <f t="shared" si="20"/>
        <v>0</v>
      </c>
      <c r="K184" s="8">
        <f t="shared" si="21"/>
        <v>0</v>
      </c>
      <c r="L184" s="8">
        <f t="shared" si="22"/>
        <v>0</v>
      </c>
      <c r="M184" s="8">
        <f t="shared" si="23"/>
        <v>0</v>
      </c>
      <c r="Q184" s="5" t="s">
        <v>1170</v>
      </c>
    </row>
    <row r="185" spans="1:17" x14ac:dyDescent="0.35">
      <c r="A185" s="5">
        <v>27.01</v>
      </c>
      <c r="B185" s="5" t="s">
        <v>1171</v>
      </c>
      <c r="C185" s="5" t="s">
        <v>436</v>
      </c>
      <c r="D185" s="5" t="s">
        <v>284</v>
      </c>
      <c r="E185" s="6">
        <v>18</v>
      </c>
      <c r="F185" s="8">
        <f>IFERROR(VLOOKUP(Q185,PARTIDAS!$A:$P,13,FALSE),0)</f>
        <v>15000</v>
      </c>
      <c r="G185" s="8">
        <f>IFERROR(VLOOKUP(Q185,PARTIDAS!$A:$P,14,FALSE),0)</f>
        <v>75113.048200000005</v>
      </c>
      <c r="H185" s="8">
        <f>IFERROR(VLOOKUP(Q185,PARTIDAS!$A:$P,15,FALSE),0)</f>
        <v>0</v>
      </c>
      <c r="I185" s="8">
        <f>IFERROR(VLOOKUP(Q185,PARTIDAS!$A:$P,16,FALSE),0)</f>
        <v>90113.048200000005</v>
      </c>
      <c r="J185" s="8">
        <f t="shared" si="20"/>
        <v>270000</v>
      </c>
      <c r="K185" s="8">
        <f t="shared" si="21"/>
        <v>1352034.8676</v>
      </c>
      <c r="L185" s="8">
        <f t="shared" si="22"/>
        <v>0</v>
      </c>
      <c r="M185" s="8">
        <f t="shared" si="23"/>
        <v>1622034.8676</v>
      </c>
      <c r="Q185" s="5" t="s">
        <v>1172</v>
      </c>
    </row>
    <row r="186" spans="1:17" x14ac:dyDescent="0.35">
      <c r="A186" s="5">
        <v>27.02</v>
      </c>
      <c r="B186" s="5" t="s">
        <v>1171</v>
      </c>
      <c r="C186" s="5" t="s">
        <v>1173</v>
      </c>
      <c r="D186" s="5" t="s">
        <v>470</v>
      </c>
      <c r="E186" s="6">
        <v>1</v>
      </c>
      <c r="F186" s="8">
        <f>IFERROR(VLOOKUP(Q186,PARTIDAS!$A:$P,13,FALSE),0)</f>
        <v>4362662.0962049114</v>
      </c>
      <c r="G186" s="8">
        <f>IFERROR(VLOOKUP(Q186,PARTIDAS!$A:$P,14,FALSE),0)</f>
        <v>1363919.7598999999</v>
      </c>
      <c r="H186" s="8">
        <f>IFERROR(VLOOKUP(Q186,PARTIDAS!$A:$P,15,FALSE),0)</f>
        <v>0</v>
      </c>
      <c r="I186" s="8">
        <f>IFERROR(VLOOKUP(Q186,PARTIDAS!$A:$P,16,FALSE),0)</f>
        <v>5726581.8561049113</v>
      </c>
      <c r="J186" s="8">
        <f t="shared" si="20"/>
        <v>4362662.0962049114</v>
      </c>
      <c r="K186" s="8">
        <f t="shared" si="21"/>
        <v>1363919.7598999999</v>
      </c>
      <c r="L186" s="8">
        <f t="shared" si="22"/>
        <v>0</v>
      </c>
      <c r="M186" s="8">
        <f t="shared" si="23"/>
        <v>5726581.8561049113</v>
      </c>
      <c r="Q186" s="5" t="s">
        <v>1174</v>
      </c>
    </row>
    <row r="187" spans="1:17" x14ac:dyDescent="0.35">
      <c r="A187" s="5">
        <v>27.03</v>
      </c>
      <c r="B187" s="5" t="s">
        <v>1171</v>
      </c>
      <c r="C187" s="5" t="s">
        <v>1175</v>
      </c>
      <c r="D187" s="5" t="s">
        <v>470</v>
      </c>
      <c r="E187" s="6">
        <v>1</v>
      </c>
      <c r="F187" s="8">
        <f>IFERROR(VLOOKUP(Q187,PARTIDAS!$A:$P,13,FALSE),0)</f>
        <v>2952724.0898000002</v>
      </c>
      <c r="G187" s="8">
        <f>IFERROR(VLOOKUP(Q187,PARTIDAS!$A:$P,14,FALSE),0)</f>
        <v>0</v>
      </c>
      <c r="H187" s="8">
        <f>IFERROR(VLOOKUP(Q187,PARTIDAS!$A:$P,15,FALSE),0)</f>
        <v>0</v>
      </c>
      <c r="I187" s="8">
        <f>IFERROR(VLOOKUP(Q187,PARTIDAS!$A:$P,16,FALSE),0)</f>
        <v>2952724.0898000002</v>
      </c>
      <c r="J187" s="8">
        <f t="shared" si="20"/>
        <v>2952724.0898000002</v>
      </c>
      <c r="K187" s="8">
        <f t="shared" si="21"/>
        <v>0</v>
      </c>
      <c r="L187" s="8">
        <f t="shared" si="22"/>
        <v>0</v>
      </c>
      <c r="M187" s="8">
        <f t="shared" si="23"/>
        <v>2952724.0898000002</v>
      </c>
      <c r="Q187" s="5" t="s">
        <v>1176</v>
      </c>
    </row>
    <row r="188" spans="1:17" x14ac:dyDescent="0.35">
      <c r="A188" s="5">
        <v>28.01</v>
      </c>
      <c r="B188" s="5" t="s">
        <v>1177</v>
      </c>
      <c r="C188" s="5" t="s">
        <v>1178</v>
      </c>
      <c r="D188" s="5" t="s">
        <v>470</v>
      </c>
      <c r="E188" s="6">
        <v>1</v>
      </c>
      <c r="F188" s="8">
        <f>IFERROR(VLOOKUP(Q188,PARTIDAS!$A:$P,13,FALSE),0)</f>
        <v>8108346.1239</v>
      </c>
      <c r="G188" s="8">
        <f>IFERROR(VLOOKUP(Q188,PARTIDAS!$A:$P,14,FALSE),0)</f>
        <v>16174656.500299999</v>
      </c>
      <c r="H188" s="8">
        <f>IFERROR(VLOOKUP(Q188,PARTIDAS!$A:$P,15,FALSE),0)</f>
        <v>364245.03940000001</v>
      </c>
      <c r="I188" s="8">
        <f>IFERROR(VLOOKUP(Q188,PARTIDAS!$A:$P,16,FALSE),0)</f>
        <v>24647247.663600001</v>
      </c>
      <c r="J188" s="8">
        <f t="shared" si="20"/>
        <v>8108346.1239</v>
      </c>
      <c r="K188" s="8">
        <f t="shared" si="21"/>
        <v>16174656.500299999</v>
      </c>
      <c r="L188" s="8">
        <f t="shared" si="22"/>
        <v>364245.03940000001</v>
      </c>
      <c r="M188" s="8">
        <f t="shared" si="23"/>
        <v>24647247.663600001</v>
      </c>
      <c r="Q188" s="5" t="s">
        <v>1179</v>
      </c>
    </row>
    <row r="189" spans="1:17" x14ac:dyDescent="0.35">
      <c r="A189" s="5">
        <v>28.02</v>
      </c>
      <c r="B189" s="5" t="s">
        <v>1177</v>
      </c>
      <c r="C189" s="5" t="s">
        <v>1180</v>
      </c>
      <c r="D189" s="5" t="s">
        <v>470</v>
      </c>
      <c r="E189" s="6">
        <v>1</v>
      </c>
      <c r="F189" s="8">
        <f>IFERROR(VLOOKUP(Q189,PARTIDAS!$A:$P,13,FALSE),0)</f>
        <v>5535035.5999999996</v>
      </c>
      <c r="G189" s="8">
        <f>IFERROR(VLOOKUP(Q189,PARTIDAS!$A:$P,14,FALSE),0)</f>
        <v>0</v>
      </c>
      <c r="H189" s="8">
        <f>IFERROR(VLOOKUP(Q189,PARTIDAS!$A:$P,15,FALSE),0)</f>
        <v>83025.534</v>
      </c>
      <c r="I189" s="8">
        <f>IFERROR(VLOOKUP(Q189,PARTIDAS!$A:$P,16,FALSE),0)</f>
        <v>5618061.1339999996</v>
      </c>
      <c r="J189" s="8">
        <f t="shared" si="20"/>
        <v>5535035.5999999996</v>
      </c>
      <c r="K189" s="8">
        <f t="shared" si="21"/>
        <v>0</v>
      </c>
      <c r="L189" s="8">
        <f t="shared" si="22"/>
        <v>83025.534</v>
      </c>
      <c r="M189" s="8">
        <f t="shared" si="23"/>
        <v>5618061.1339999996</v>
      </c>
      <c r="Q189" s="5" t="s">
        <v>1181</v>
      </c>
    </row>
    <row r="190" spans="1:17" x14ac:dyDescent="0.35">
      <c r="A190" s="5">
        <v>28.03</v>
      </c>
      <c r="B190" s="5" t="s">
        <v>1177</v>
      </c>
      <c r="C190" s="5" t="s">
        <v>467</v>
      </c>
      <c r="D190" s="5" t="s">
        <v>284</v>
      </c>
      <c r="E190" s="6">
        <v>16</v>
      </c>
      <c r="F190" s="8">
        <f>IFERROR(VLOOKUP(Q190,PARTIDAS!$A:$P,13,FALSE),0)</f>
        <v>75150</v>
      </c>
      <c r="G190" s="8">
        <f>IFERROR(VLOOKUP(Q190,PARTIDAS!$A:$P,14,FALSE),0)</f>
        <v>0</v>
      </c>
      <c r="H190" s="8">
        <f>IFERROR(VLOOKUP(Q190,PARTIDAS!$A:$P,15,FALSE),0)</f>
        <v>1127.25</v>
      </c>
      <c r="I190" s="8">
        <f>IFERROR(VLOOKUP(Q190,PARTIDAS!$A:$P,16,FALSE),0)</f>
        <v>76277.25</v>
      </c>
      <c r="J190" s="8">
        <f t="shared" si="20"/>
        <v>1202400</v>
      </c>
      <c r="K190" s="8">
        <f t="shared" si="21"/>
        <v>0</v>
      </c>
      <c r="L190" s="8">
        <f t="shared" si="22"/>
        <v>18036</v>
      </c>
      <c r="M190" s="8">
        <f t="shared" si="23"/>
        <v>1220436</v>
      </c>
      <c r="Q190" s="5" t="s">
        <v>1182</v>
      </c>
    </row>
    <row r="191" spans="1:17" x14ac:dyDescent="0.35">
      <c r="C191" s="9" t="s">
        <v>1183</v>
      </c>
      <c r="J191" s="10">
        <f>SUM(J2:J190)</f>
        <v>489078536.49041104</v>
      </c>
      <c r="K191" s="10">
        <f>SUM(K2:K190)</f>
        <v>652819159.40273821</v>
      </c>
      <c r="L191" s="10">
        <f>SUM(L2:L190)</f>
        <v>21000044.630232498</v>
      </c>
      <c r="M191" s="10">
        <f>SUM(M2:M190)</f>
        <v>1162897740.523381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8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6" customWidth="1"/>
    <col min="3" max="3" width="7" customWidth="1"/>
    <col min="4" max="4" width="12" customWidth="1"/>
    <col min="5" max="5" width="40" customWidth="1"/>
    <col min="6" max="6" width="8" customWidth="1"/>
    <col min="7" max="7" width="11" customWidth="1"/>
    <col min="8" max="8" width="8" customWidth="1"/>
    <col min="9" max="9" width="13" customWidth="1"/>
    <col min="10" max="10" width="14" customWidth="1"/>
    <col min="11" max="11" width="16" customWidth="1"/>
    <col min="12" max="12" width="7" customWidth="1"/>
    <col min="13" max="13" width="18" customWidth="1"/>
    <col min="14" max="14" width="11" customWidth="1"/>
    <col min="15" max="15" width="14" customWidth="1"/>
    <col min="16" max="16" width="13" customWidth="1"/>
  </cols>
  <sheetData>
    <row r="1" spans="1:16" ht="29" x14ac:dyDescent="0.35">
      <c r="A1" s="4" t="s">
        <v>1184</v>
      </c>
      <c r="B1" s="4" t="s">
        <v>1185</v>
      </c>
      <c r="C1" s="4" t="s">
        <v>1186</v>
      </c>
      <c r="D1" s="4" t="s">
        <v>1187</v>
      </c>
      <c r="E1" s="4" t="s">
        <v>21</v>
      </c>
      <c r="F1" s="4" t="s">
        <v>22</v>
      </c>
      <c r="G1" s="4" t="s">
        <v>1188</v>
      </c>
      <c r="H1" s="4" t="s">
        <v>1189</v>
      </c>
      <c r="I1" s="4" t="s">
        <v>1190</v>
      </c>
      <c r="J1" s="4" t="s">
        <v>1191</v>
      </c>
      <c r="K1" s="4" t="s">
        <v>1192</v>
      </c>
      <c r="L1" s="4" t="s">
        <v>1193</v>
      </c>
      <c r="M1" s="4" t="s">
        <v>1194</v>
      </c>
      <c r="N1" s="4" t="s">
        <v>1195</v>
      </c>
      <c r="O1" s="4" t="s">
        <v>1196</v>
      </c>
      <c r="P1" s="4" t="s">
        <v>1197</v>
      </c>
    </row>
    <row r="2" spans="1:16" x14ac:dyDescent="0.35">
      <c r="A2" s="5" t="s">
        <v>808</v>
      </c>
      <c r="B2" s="5" t="s">
        <v>1198</v>
      </c>
      <c r="C2" s="5" t="s">
        <v>1199</v>
      </c>
      <c r="D2" s="5" t="s">
        <v>663</v>
      </c>
      <c r="E2" s="7" t="str">
        <f>IFERROR(VLOOKUP(D2,SUBCONTRATOS_PRY!A:B,2,FALSE),"?")</f>
        <v>JEFE DE OBRA</v>
      </c>
      <c r="F2" s="5" t="s">
        <v>1200</v>
      </c>
      <c r="G2" s="11">
        <v>1</v>
      </c>
      <c r="H2" s="12">
        <v>0</v>
      </c>
      <c r="I2" s="7">
        <f>IFERROR(VLOOKUP(D2,SUBCONTRATOS_PRY!A:D,4,FALSE),0)</f>
        <v>172653.2083</v>
      </c>
      <c r="J2" s="8">
        <f t="shared" ref="J2:J65" si="0">G2*I2*(1+H2)</f>
        <v>172653.2083</v>
      </c>
      <c r="K2" s="7" t="str">
        <f t="shared" ref="K2:K65" si="1">A2&amp;"|"&amp;B2</f>
        <v>PTO-0102|MO</v>
      </c>
      <c r="L2" s="7">
        <f>COUNTIFS($K$2:K2,K2)</f>
        <v>1</v>
      </c>
      <c r="M2" s="7" t="str">
        <f t="shared" ref="M2:M65" si="2">K2&amp;"|"&amp;L2</f>
        <v>PTO-0102|MO|1</v>
      </c>
      <c r="N2" s="7">
        <f>IFERROR(VLOOKUP(A2,PARTIDAS!A:F,6,FALSE),0)</f>
        <v>1</v>
      </c>
      <c r="O2" s="7">
        <f t="shared" ref="O2:O65" si="3">IF(C2="ALB",IF(N2=0,0,G2/N2),0)</f>
        <v>0</v>
      </c>
      <c r="P2" s="7">
        <f>IFERROR(_xlfn.XLOOKUP(A2,PPTO_GENERADOR!$Q:$Q,PPTO_GENERADOR!$E:$E,"-",0),"-")</f>
        <v>3</v>
      </c>
    </row>
    <row r="3" spans="1:16" x14ac:dyDescent="0.35">
      <c r="A3" s="5" t="s">
        <v>808</v>
      </c>
      <c r="B3" s="5" t="s">
        <v>1198</v>
      </c>
      <c r="C3" s="5" t="s">
        <v>1201</v>
      </c>
      <c r="D3" s="5" t="s">
        <v>475</v>
      </c>
      <c r="E3" s="7" t="str">
        <f>IFERROR(VLOOKUP(D3,MANO_DE_OBRA!A:B,2,FALSE),"?")</f>
        <v>AYUDANTE</v>
      </c>
      <c r="F3" s="5" t="s">
        <v>1200</v>
      </c>
      <c r="G3" s="11">
        <v>1.6666666699999999</v>
      </c>
      <c r="H3" s="12">
        <v>0</v>
      </c>
      <c r="I3" s="7">
        <f>IFERROR(VLOOKUP(D3,MANO_DE_OBRA!A:C,3,FALSE),0)</f>
        <v>49934.239999999998</v>
      </c>
      <c r="J3" s="8">
        <f t="shared" si="0"/>
        <v>83223.733499780792</v>
      </c>
      <c r="K3" s="7" t="str">
        <f t="shared" si="1"/>
        <v>PTO-0102|MO</v>
      </c>
      <c r="L3" s="7">
        <f>COUNTIFS($K$2:K3,K3)</f>
        <v>2</v>
      </c>
      <c r="M3" s="7" t="str">
        <f t="shared" si="2"/>
        <v>PTO-0102|MO|2</v>
      </c>
      <c r="N3" s="7">
        <f>IFERROR(VLOOKUP(A3,PARTIDAS!A:F,6,FALSE),0)</f>
        <v>1</v>
      </c>
      <c r="O3" s="7">
        <f t="shared" si="3"/>
        <v>1.6666666699999999</v>
      </c>
      <c r="P3" s="7">
        <f>IFERROR(_xlfn.XLOOKUP(A3,PPTO_GENERADOR!$Q:$Q,PPTO_GENERADOR!$E:$E,"-",0),"-")</f>
        <v>3</v>
      </c>
    </row>
    <row r="4" spans="1:16" x14ac:dyDescent="0.35">
      <c r="A4" s="5" t="s">
        <v>808</v>
      </c>
      <c r="B4" s="5" t="s">
        <v>1202</v>
      </c>
      <c r="C4" s="5"/>
      <c r="D4" s="5" t="s">
        <v>484</v>
      </c>
      <c r="E4" s="7" t="str">
        <f>IFERROR(VLOOKUP(D4,EQUIPOS!A:B,2,FALSE),"?")</f>
        <v>Herramientas/consumibles - Topógrafo - Visita de obra replanteo</v>
      </c>
      <c r="F4" s="5"/>
      <c r="G4" s="11">
        <v>1</v>
      </c>
      <c r="H4" s="12">
        <v>0</v>
      </c>
      <c r="I4" s="7">
        <f>IFERROR(VLOOKUP(D4,EQUIPOS!A:C,3,FALSE),0)</f>
        <v>4463.1540999999997</v>
      </c>
      <c r="J4" s="8">
        <f t="shared" si="0"/>
        <v>4463.1540999999997</v>
      </c>
      <c r="K4" s="7" t="str">
        <f t="shared" si="1"/>
        <v>PTO-0102|EQ</v>
      </c>
      <c r="L4" s="7">
        <f>COUNTIFS($K$2:K4,K4)</f>
        <v>1</v>
      </c>
      <c r="M4" s="7" t="str">
        <f t="shared" si="2"/>
        <v>PTO-0102|EQ|1</v>
      </c>
      <c r="N4" s="7">
        <f>IFERROR(VLOOKUP(A4,PARTIDAS!A:F,6,FALSE),0)</f>
        <v>1</v>
      </c>
      <c r="O4" s="7">
        <f t="shared" si="3"/>
        <v>0</v>
      </c>
      <c r="P4" s="7">
        <f>IFERROR(_xlfn.XLOOKUP(A4,PPTO_GENERADOR!$Q:$Q,PPTO_GENERADOR!$E:$E,"-",0),"-")</f>
        <v>3</v>
      </c>
    </row>
    <row r="5" spans="1:16" x14ac:dyDescent="0.35">
      <c r="A5" s="5" t="s">
        <v>808</v>
      </c>
      <c r="B5" s="5" t="s">
        <v>1203</v>
      </c>
      <c r="C5" s="5" t="s">
        <v>1204</v>
      </c>
      <c r="D5" s="5" t="s">
        <v>468</v>
      </c>
      <c r="E5" s="7" t="str">
        <f>IFERROR(VLOOKUP(D5,MATERIALES!A:B,2,FALSE),"?")</f>
        <v>Consumibles</v>
      </c>
      <c r="F5" s="5"/>
      <c r="G5" s="11">
        <v>41666.666700000002</v>
      </c>
      <c r="H5" s="12">
        <v>0</v>
      </c>
      <c r="I5" s="7">
        <f>IFERROR(VLOOKUP(D5,MATERIALES!A:D,4,FALSE),0)</f>
        <v>1</v>
      </c>
      <c r="J5" s="8">
        <f t="shared" si="0"/>
        <v>41666.666700000002</v>
      </c>
      <c r="K5" s="7" t="str">
        <f t="shared" si="1"/>
        <v>PTO-0102|MAT</v>
      </c>
      <c r="L5" s="7">
        <f>COUNTIFS($K$2:K5,K5)</f>
        <v>1</v>
      </c>
      <c r="M5" s="7" t="str">
        <f t="shared" si="2"/>
        <v>PTO-0102|MAT|1</v>
      </c>
      <c r="N5" s="7">
        <f>IFERROR(VLOOKUP(A5,PARTIDAS!A:F,6,FALSE),0)</f>
        <v>1</v>
      </c>
      <c r="O5" s="7">
        <f t="shared" si="3"/>
        <v>0</v>
      </c>
      <c r="P5" s="7">
        <f>IFERROR(_xlfn.XLOOKUP(A5,PPTO_GENERADOR!$Q:$Q,PPTO_GENERADOR!$E:$E,"-",0),"-")</f>
        <v>3</v>
      </c>
    </row>
    <row r="6" spans="1:16" x14ac:dyDescent="0.35">
      <c r="A6" s="5" t="s">
        <v>812</v>
      </c>
      <c r="B6" s="5" t="s">
        <v>1203</v>
      </c>
      <c r="C6" s="5" t="s">
        <v>1199</v>
      </c>
      <c r="D6" s="5" t="s">
        <v>25</v>
      </c>
      <c r="E6" s="7" t="str">
        <f>IFERROR(VLOOKUP(D6,MATERIALES!A:B,2,FALSE),"?")</f>
        <v>C. CIN. T101 ESP 0,50 MM (C25)</v>
      </c>
      <c r="F6" s="5"/>
      <c r="G6" s="11">
        <v>2.5</v>
      </c>
      <c r="H6" s="12">
        <v>0</v>
      </c>
      <c r="I6" s="7">
        <f>IFERROR(VLOOKUP(D6,MATERIALES!A:D,4,FALSE),0)</f>
        <v>10599.9835</v>
      </c>
      <c r="J6" s="8">
        <f t="shared" si="0"/>
        <v>26499.958750000002</v>
      </c>
      <c r="K6" s="7" t="str">
        <f t="shared" si="1"/>
        <v>PTO-0104|MAT</v>
      </c>
      <c r="L6" s="7">
        <f>COUNTIFS($K$2:K6,K6)</f>
        <v>1</v>
      </c>
      <c r="M6" s="7" t="str">
        <f t="shared" si="2"/>
        <v>PTO-0104|MAT|1</v>
      </c>
      <c r="N6" s="7">
        <f>IFERROR(VLOOKUP(A6,PARTIDAS!A:F,6,FALSE),0)</f>
        <v>1</v>
      </c>
      <c r="O6" s="7">
        <f t="shared" si="3"/>
        <v>0</v>
      </c>
      <c r="P6" s="7">
        <f>IFERROR(_xlfn.XLOOKUP(A6,PPTO_GENERADOR!$Q:$Q,PPTO_GENERADOR!$E:$E,"-",0),"-")</f>
        <v>11</v>
      </c>
    </row>
    <row r="7" spans="1:16" x14ac:dyDescent="0.35">
      <c r="A7" s="5" t="s">
        <v>812</v>
      </c>
      <c r="B7" s="5" t="s">
        <v>1203</v>
      </c>
      <c r="C7" s="5" t="s">
        <v>1199</v>
      </c>
      <c r="D7" s="5" t="s">
        <v>28</v>
      </c>
      <c r="E7" s="7" t="str">
        <f>IFERROR(VLOOKUP(D7,MATERIALES!A:B,2,FALSE),"?")</f>
        <v>Peril UPN 100 x 12 m</v>
      </c>
      <c r="F7" s="5"/>
      <c r="G7" s="11">
        <v>9.0909089999999998E-2</v>
      </c>
      <c r="H7" s="12">
        <v>0</v>
      </c>
      <c r="I7" s="7">
        <f>IFERROR(VLOOKUP(D7,MATERIALES!A:D,4,FALSE),0)</f>
        <v>267019.01650000003</v>
      </c>
      <c r="J7" s="8">
        <f t="shared" si="0"/>
        <v>24274.455802709988</v>
      </c>
      <c r="K7" s="7" t="str">
        <f t="shared" si="1"/>
        <v>PTO-0104|MAT</v>
      </c>
      <c r="L7" s="7">
        <f>COUNTIFS($K$2:K7,K7)</f>
        <v>2</v>
      </c>
      <c r="M7" s="7" t="str">
        <f t="shared" si="2"/>
        <v>PTO-0104|MAT|2</v>
      </c>
      <c r="N7" s="7">
        <f>IFERROR(VLOOKUP(A7,PARTIDAS!A:F,6,FALSE),0)</f>
        <v>1</v>
      </c>
      <c r="O7" s="7">
        <f t="shared" si="3"/>
        <v>0</v>
      </c>
      <c r="P7" s="7">
        <f>IFERROR(_xlfn.XLOOKUP(A7,PPTO_GENERADOR!$Q:$Q,PPTO_GENERADOR!$E:$E,"-",0),"-")</f>
        <v>11</v>
      </c>
    </row>
    <row r="8" spans="1:16" x14ac:dyDescent="0.35">
      <c r="A8" s="5" t="s">
        <v>812</v>
      </c>
      <c r="B8" s="5" t="s">
        <v>1203</v>
      </c>
      <c r="C8" s="5" t="s">
        <v>1199</v>
      </c>
      <c r="D8" s="5" t="s">
        <v>30</v>
      </c>
      <c r="E8" s="7" t="str">
        <f>IFERROR(VLOOKUP(D8,MATERIALES!A:B,2,FALSE),"?")</f>
        <v>Tubo estructural 40 x 40 x 2, Largo 6 metros</v>
      </c>
      <c r="F8" s="5"/>
      <c r="G8" s="11">
        <v>0.18181818</v>
      </c>
      <c r="H8" s="12">
        <v>0</v>
      </c>
      <c r="I8" s="7">
        <f>IFERROR(VLOOKUP(D8,MATERIALES!A:D,4,FALSE),0)</f>
        <v>26250.6198</v>
      </c>
      <c r="J8" s="8">
        <f t="shared" si="0"/>
        <v>4772.8399159079636</v>
      </c>
      <c r="K8" s="7" t="str">
        <f t="shared" si="1"/>
        <v>PTO-0104|MAT</v>
      </c>
      <c r="L8" s="7">
        <f>COUNTIFS($K$2:K8,K8)</f>
        <v>3</v>
      </c>
      <c r="M8" s="7" t="str">
        <f t="shared" si="2"/>
        <v>PTO-0104|MAT|3</v>
      </c>
      <c r="N8" s="7">
        <f>IFERROR(VLOOKUP(A8,PARTIDAS!A:F,6,FALSE),0)</f>
        <v>1</v>
      </c>
      <c r="O8" s="7">
        <f t="shared" si="3"/>
        <v>0</v>
      </c>
      <c r="P8" s="7">
        <f>IFERROR(_xlfn.XLOOKUP(A8,PPTO_GENERADOR!$Q:$Q,PPTO_GENERADOR!$E:$E,"-",0),"-")</f>
        <v>11</v>
      </c>
    </row>
    <row r="9" spans="1:16" x14ac:dyDescent="0.35">
      <c r="A9" s="5" t="s">
        <v>812</v>
      </c>
      <c r="B9" s="5" t="s">
        <v>1203</v>
      </c>
      <c r="C9" s="5" t="s">
        <v>1199</v>
      </c>
      <c r="D9" s="5" t="s">
        <v>32</v>
      </c>
      <c r="E9" s="7" t="str">
        <f>IFERROR(VLOOKUP(D9,MATERIALES!A:B,2,FALSE),"?")</f>
        <v>Riel Roma 174 e: 2,1 mm. 53 x 60 x 6000</v>
      </c>
      <c r="F9" s="5"/>
      <c r="G9" s="11">
        <v>9.0909089999999998E-2</v>
      </c>
      <c r="H9" s="12">
        <v>0</v>
      </c>
      <c r="I9" s="7">
        <f>IFERROR(VLOOKUP(D9,MATERIALES!A:D,4,FALSE),0)</f>
        <v>81509.950400000002</v>
      </c>
      <c r="J9" s="8">
        <f t="shared" si="0"/>
        <v>7409.9954168091363</v>
      </c>
      <c r="K9" s="7" t="str">
        <f t="shared" si="1"/>
        <v>PTO-0104|MAT</v>
      </c>
      <c r="L9" s="7">
        <f>COUNTIFS($K$2:K9,K9)</f>
        <v>4</v>
      </c>
      <c r="M9" s="7" t="str">
        <f t="shared" si="2"/>
        <v>PTO-0104|MAT|4</v>
      </c>
      <c r="N9" s="7">
        <f>IFERROR(VLOOKUP(A9,PARTIDAS!A:F,6,FALSE),0)</f>
        <v>1</v>
      </c>
      <c r="O9" s="7">
        <f t="shared" si="3"/>
        <v>0</v>
      </c>
      <c r="P9" s="7">
        <f>IFERROR(_xlfn.XLOOKUP(A9,PPTO_GENERADOR!$Q:$Q,PPTO_GENERADOR!$E:$E,"-",0),"-")</f>
        <v>11</v>
      </c>
    </row>
    <row r="10" spans="1:16" x14ac:dyDescent="0.35">
      <c r="A10" s="5" t="s">
        <v>812</v>
      </c>
      <c r="B10" s="5" t="s">
        <v>1203</v>
      </c>
      <c r="C10" s="5" t="s">
        <v>1199</v>
      </c>
      <c r="D10" s="5" t="s">
        <v>34</v>
      </c>
      <c r="E10" s="7" t="str">
        <f>IFERROR(VLOOKUP(D10,MATERIALES!A:B,2,FALSE),"?")</f>
        <v>Carro acero 174 4 ruedas puertas portones Ø45mm</v>
      </c>
      <c r="F10" s="5"/>
      <c r="G10" s="11">
        <v>0.18181818</v>
      </c>
      <c r="H10" s="12">
        <v>0</v>
      </c>
      <c r="I10" s="7">
        <f>IFERROR(VLOOKUP(D10,MATERIALES!A:D,4,FALSE),0)</f>
        <v>12131.562</v>
      </c>
      <c r="J10" s="8">
        <f t="shared" si="0"/>
        <v>2205.73852339716</v>
      </c>
      <c r="K10" s="7" t="str">
        <f t="shared" si="1"/>
        <v>PTO-0104|MAT</v>
      </c>
      <c r="L10" s="7">
        <f>COUNTIFS($K$2:K10,K10)</f>
        <v>5</v>
      </c>
      <c r="M10" s="7" t="str">
        <f t="shared" si="2"/>
        <v>PTO-0104|MAT|5</v>
      </c>
      <c r="N10" s="7">
        <f>IFERROR(VLOOKUP(A10,PARTIDAS!A:F,6,FALSE),0)</f>
        <v>1</v>
      </c>
      <c r="O10" s="7">
        <f t="shared" si="3"/>
        <v>0</v>
      </c>
      <c r="P10" s="7">
        <f>IFERROR(_xlfn.XLOOKUP(A10,PPTO_GENERADOR!$Q:$Q,PPTO_GENERADOR!$E:$E,"-",0),"-")</f>
        <v>11</v>
      </c>
    </row>
    <row r="11" spans="1:16" x14ac:dyDescent="0.35">
      <c r="A11" s="5" t="s">
        <v>812</v>
      </c>
      <c r="B11" s="5" t="s">
        <v>1203</v>
      </c>
      <c r="C11" s="5" t="s">
        <v>1199</v>
      </c>
      <c r="D11" s="5" t="s">
        <v>36</v>
      </c>
      <c r="E11" s="7" t="str">
        <f>IFERROR(VLOOKUP(D11,MATERIALES!A:B,2,FALSE),"?")</f>
        <v>Autoperforantes punta mecha 14 x 2</v>
      </c>
      <c r="F11" s="5"/>
      <c r="G11" s="11">
        <v>11.25</v>
      </c>
      <c r="H11" s="12">
        <v>0</v>
      </c>
      <c r="I11" s="7">
        <f>IFERROR(VLOOKUP(D11,MATERIALES!A:D,4,FALSE),0)</f>
        <v>120</v>
      </c>
      <c r="J11" s="8">
        <f t="shared" si="0"/>
        <v>1350</v>
      </c>
      <c r="K11" s="7" t="str">
        <f t="shared" si="1"/>
        <v>PTO-0104|MAT</v>
      </c>
      <c r="L11" s="7">
        <f>COUNTIFS($K$2:K11,K11)</f>
        <v>6</v>
      </c>
      <c r="M11" s="7" t="str">
        <f t="shared" si="2"/>
        <v>PTO-0104|MAT|6</v>
      </c>
      <c r="N11" s="7">
        <f>IFERROR(VLOOKUP(A11,PARTIDAS!A:F,6,FALSE),0)</f>
        <v>1</v>
      </c>
      <c r="O11" s="7">
        <f t="shared" si="3"/>
        <v>0</v>
      </c>
      <c r="P11" s="7">
        <f>IFERROR(_xlfn.XLOOKUP(A11,PPTO_GENERADOR!$Q:$Q,PPTO_GENERADOR!$E:$E,"-",0),"-")</f>
        <v>11</v>
      </c>
    </row>
    <row r="12" spans="1:16" x14ac:dyDescent="0.35">
      <c r="A12" s="5" t="s">
        <v>812</v>
      </c>
      <c r="B12" s="5" t="s">
        <v>1203</v>
      </c>
      <c r="C12" s="5" t="s">
        <v>1199</v>
      </c>
      <c r="D12" s="5" t="s">
        <v>38</v>
      </c>
      <c r="E12" s="7" t="str">
        <f>IFERROR(VLOOKUP(D12,MATERIALES!A:B,2,FALSE),"?")</f>
        <v>Rollo Concertina</v>
      </c>
      <c r="F12" s="5"/>
      <c r="G12" s="11">
        <v>9.0909089999999998E-2</v>
      </c>
      <c r="H12" s="12">
        <v>0</v>
      </c>
      <c r="I12" s="7">
        <f>IFERROR(VLOOKUP(D12,MATERIALES!A:D,4,FALSE),0)</f>
        <v>31404.958699999999</v>
      </c>
      <c r="J12" s="8">
        <f t="shared" si="0"/>
        <v>2854.996216904583</v>
      </c>
      <c r="K12" s="7" t="str">
        <f t="shared" si="1"/>
        <v>PTO-0104|MAT</v>
      </c>
      <c r="L12" s="7">
        <f>COUNTIFS($K$2:K12,K12)</f>
        <v>7</v>
      </c>
      <c r="M12" s="7" t="str">
        <f t="shared" si="2"/>
        <v>PTO-0104|MAT|7</v>
      </c>
      <c r="N12" s="7">
        <f>IFERROR(VLOOKUP(A12,PARTIDAS!A:F,6,FALSE),0)</f>
        <v>1</v>
      </c>
      <c r="O12" s="7">
        <f t="shared" si="3"/>
        <v>0</v>
      </c>
      <c r="P12" s="7">
        <f>IFERROR(_xlfn.XLOOKUP(A12,PPTO_GENERADOR!$Q:$Q,PPTO_GENERADOR!$E:$E,"-",0),"-")</f>
        <v>11</v>
      </c>
    </row>
    <row r="13" spans="1:16" x14ac:dyDescent="0.35">
      <c r="A13" s="5" t="s">
        <v>812</v>
      </c>
      <c r="B13" s="5" t="s">
        <v>1198</v>
      </c>
      <c r="C13" s="5" t="s">
        <v>1201</v>
      </c>
      <c r="D13" s="5" t="s">
        <v>481</v>
      </c>
      <c r="E13" s="7" t="str">
        <f>IFERROR(VLOOKUP(D13,MANO_DE_OBRA!A:B,2,FALSE),"?")</f>
        <v>OFICIAL</v>
      </c>
      <c r="F13" s="5" t="s">
        <v>1200</v>
      </c>
      <c r="G13" s="11">
        <v>0.18181818</v>
      </c>
      <c r="H13" s="12">
        <v>0</v>
      </c>
      <c r="I13" s="7">
        <f>IFERROR(VLOOKUP(D13,MANO_DE_OBRA!A:C,3,FALSE),0)</f>
        <v>65360.25</v>
      </c>
      <c r="J13" s="8">
        <f t="shared" si="0"/>
        <v>11883.681699344999</v>
      </c>
      <c r="K13" s="7" t="str">
        <f t="shared" si="1"/>
        <v>PTO-0104|MO</v>
      </c>
      <c r="L13" s="7">
        <f>COUNTIFS($K$2:K13,K13)</f>
        <v>1</v>
      </c>
      <c r="M13" s="7" t="str">
        <f t="shared" si="2"/>
        <v>PTO-0104|MO|1</v>
      </c>
      <c r="N13" s="7">
        <f>IFERROR(VLOOKUP(A13,PARTIDAS!A:F,6,FALSE),0)</f>
        <v>1</v>
      </c>
      <c r="O13" s="7">
        <f t="shared" si="3"/>
        <v>0.18181818</v>
      </c>
      <c r="P13" s="7">
        <f>IFERROR(_xlfn.XLOOKUP(A13,PPTO_GENERADOR!$Q:$Q,PPTO_GENERADOR!$E:$E,"-",0),"-")</f>
        <v>11</v>
      </c>
    </row>
    <row r="14" spans="1:16" x14ac:dyDescent="0.35">
      <c r="A14" s="5" t="s">
        <v>812</v>
      </c>
      <c r="B14" s="5" t="s">
        <v>1198</v>
      </c>
      <c r="C14" s="5" t="s">
        <v>1201</v>
      </c>
      <c r="D14" s="5" t="s">
        <v>479</v>
      </c>
      <c r="E14" s="7" t="str">
        <f>IFERROR(VLOOKUP(D14,MANO_DE_OBRA!A:B,2,FALSE),"?")</f>
        <v>MEDIO OFICIAL</v>
      </c>
      <c r="F14" s="5" t="s">
        <v>1200</v>
      </c>
      <c r="G14" s="11">
        <v>0.18181818</v>
      </c>
      <c r="H14" s="12">
        <v>0</v>
      </c>
      <c r="I14" s="7">
        <f>IFERROR(VLOOKUP(D14,MANO_DE_OBRA!A:C,3,FALSE),0)</f>
        <v>54784.07</v>
      </c>
      <c r="J14" s="8">
        <f t="shared" si="0"/>
        <v>9960.7399003926002</v>
      </c>
      <c r="K14" s="7" t="str">
        <f t="shared" si="1"/>
        <v>PTO-0104|MO</v>
      </c>
      <c r="L14" s="7">
        <f>COUNTIFS($K$2:K14,K14)</f>
        <v>2</v>
      </c>
      <c r="M14" s="7" t="str">
        <f t="shared" si="2"/>
        <v>PTO-0104|MO|2</v>
      </c>
      <c r="N14" s="7">
        <f>IFERROR(VLOOKUP(A14,PARTIDAS!A:F,6,FALSE),0)</f>
        <v>1</v>
      </c>
      <c r="O14" s="7">
        <f t="shared" si="3"/>
        <v>0.18181818</v>
      </c>
      <c r="P14" s="7">
        <f>IFERROR(_xlfn.XLOOKUP(A14,PPTO_GENERADOR!$Q:$Q,PPTO_GENERADOR!$E:$E,"-",0),"-")</f>
        <v>11</v>
      </c>
    </row>
    <row r="15" spans="1:16" x14ac:dyDescent="0.35">
      <c r="A15" s="5" t="s">
        <v>812</v>
      </c>
      <c r="B15" s="5" t="s">
        <v>1198</v>
      </c>
      <c r="C15" s="5" t="s">
        <v>1201</v>
      </c>
      <c r="D15" s="5" t="s">
        <v>475</v>
      </c>
      <c r="E15" s="7" t="str">
        <f>IFERROR(VLOOKUP(D15,MANO_DE_OBRA!A:B,2,FALSE),"?")</f>
        <v>AYUDANTE</v>
      </c>
      <c r="F15" s="5" t="s">
        <v>1200</v>
      </c>
      <c r="G15" s="11">
        <v>0.18181818</v>
      </c>
      <c r="H15" s="12">
        <v>0</v>
      </c>
      <c r="I15" s="7">
        <f>IFERROR(VLOOKUP(D15,MANO_DE_OBRA!A:C,3,FALSE),0)</f>
        <v>49934.239999999998</v>
      </c>
      <c r="J15" s="8">
        <f t="shared" si="0"/>
        <v>9078.9526364832</v>
      </c>
      <c r="K15" s="7" t="str">
        <f t="shared" si="1"/>
        <v>PTO-0104|MO</v>
      </c>
      <c r="L15" s="7">
        <f>COUNTIFS($K$2:K15,K15)</f>
        <v>3</v>
      </c>
      <c r="M15" s="7" t="str">
        <f t="shared" si="2"/>
        <v>PTO-0104|MO|3</v>
      </c>
      <c r="N15" s="7">
        <f>IFERROR(VLOOKUP(A15,PARTIDAS!A:F,6,FALSE),0)</f>
        <v>1</v>
      </c>
      <c r="O15" s="7">
        <f t="shared" si="3"/>
        <v>0.18181818</v>
      </c>
      <c r="P15" s="7">
        <f>IFERROR(_xlfn.XLOOKUP(A15,PPTO_GENERADOR!$Q:$Q,PPTO_GENERADOR!$E:$E,"-",0),"-")</f>
        <v>11</v>
      </c>
    </row>
    <row r="16" spans="1:16" x14ac:dyDescent="0.35">
      <c r="A16" s="5" t="s">
        <v>812</v>
      </c>
      <c r="B16" s="5" t="s">
        <v>1202</v>
      </c>
      <c r="C16" s="5"/>
      <c r="D16" s="5" t="s">
        <v>487</v>
      </c>
      <c r="E16" s="7" t="str">
        <f>IFERROR(VLOOKUP(D16,EQUIPOS!A:B,2,FALSE),"?")</f>
        <v xml:space="preserve">Herramientas/consumibles - Cerco de obra perimetral - En chapa C25 </v>
      </c>
      <c r="F16" s="5"/>
      <c r="G16" s="11">
        <v>1</v>
      </c>
      <c r="H16" s="12">
        <v>0</v>
      </c>
      <c r="I16" s="7">
        <f>IFERROR(VLOOKUP(D16,EQUIPOS!A:C,3,FALSE),0)</f>
        <v>1660.4484</v>
      </c>
      <c r="J16" s="8">
        <f t="shared" si="0"/>
        <v>1660.4484</v>
      </c>
      <c r="K16" s="7" t="str">
        <f t="shared" si="1"/>
        <v>PTO-0104|EQ</v>
      </c>
      <c r="L16" s="7">
        <f>COUNTIFS($K$2:K16,K16)</f>
        <v>1</v>
      </c>
      <c r="M16" s="7" t="str">
        <f t="shared" si="2"/>
        <v>PTO-0104|EQ|1</v>
      </c>
      <c r="N16" s="7">
        <f>IFERROR(VLOOKUP(A16,PARTIDAS!A:F,6,FALSE),0)</f>
        <v>1</v>
      </c>
      <c r="O16" s="7">
        <f t="shared" si="3"/>
        <v>0</v>
      </c>
      <c r="P16" s="7">
        <f>IFERROR(_xlfn.XLOOKUP(A16,PPTO_GENERADOR!$Q:$Q,PPTO_GENERADOR!$E:$E,"-",0),"-")</f>
        <v>11</v>
      </c>
    </row>
    <row r="17" spans="1:16" x14ac:dyDescent="0.35">
      <c r="A17" s="5" t="s">
        <v>812</v>
      </c>
      <c r="B17" s="5" t="s">
        <v>1203</v>
      </c>
      <c r="C17" s="5" t="s">
        <v>1204</v>
      </c>
      <c r="D17" s="5" t="s">
        <v>468</v>
      </c>
      <c r="E17" s="7" t="str">
        <f>IFERROR(VLOOKUP(D17,MATERIALES!A:B,2,FALSE),"?")</f>
        <v>Consumibles</v>
      </c>
      <c r="F17" s="5"/>
      <c r="G17" s="11">
        <v>10405.195</v>
      </c>
      <c r="H17" s="12">
        <v>0</v>
      </c>
      <c r="I17" s="7">
        <f>IFERROR(VLOOKUP(D17,MATERIALES!A:D,4,FALSE),0)</f>
        <v>1</v>
      </c>
      <c r="J17" s="8">
        <f t="shared" si="0"/>
        <v>10405.195</v>
      </c>
      <c r="K17" s="7" t="str">
        <f t="shared" si="1"/>
        <v>PTO-0104|MAT</v>
      </c>
      <c r="L17" s="7">
        <f>COUNTIFS($K$2:K17,K17)</f>
        <v>8</v>
      </c>
      <c r="M17" s="7" t="str">
        <f t="shared" si="2"/>
        <v>PTO-0104|MAT|8</v>
      </c>
      <c r="N17" s="7">
        <f>IFERROR(VLOOKUP(A17,PARTIDAS!A:F,6,FALSE),0)</f>
        <v>1</v>
      </c>
      <c r="O17" s="7">
        <f t="shared" si="3"/>
        <v>0</v>
      </c>
      <c r="P17" s="7">
        <f>IFERROR(_xlfn.XLOOKUP(A17,PPTO_GENERADOR!$Q:$Q,PPTO_GENERADOR!$E:$E,"-",0),"-")</f>
        <v>11</v>
      </c>
    </row>
    <row r="18" spans="1:16" x14ac:dyDescent="0.35">
      <c r="A18" s="5" t="s">
        <v>814</v>
      </c>
      <c r="B18" s="5" t="s">
        <v>1203</v>
      </c>
      <c r="C18" s="5" t="s">
        <v>1199</v>
      </c>
      <c r="D18" s="5" t="s">
        <v>40</v>
      </c>
      <c r="E18" s="7" t="str">
        <f>IFERROR(VLOOKUP(D18,MATERIALES!A:B,2,FALSE),"?")</f>
        <v>C. CIN. T101 ESP 0,50 MM (C25)</v>
      </c>
      <c r="F18" s="5"/>
      <c r="G18" s="11">
        <v>35</v>
      </c>
      <c r="H18" s="12">
        <v>0</v>
      </c>
      <c r="I18" s="7">
        <f>IFERROR(VLOOKUP(D18,MATERIALES!A:D,4,FALSE),0)</f>
        <v>5299.9916999999996</v>
      </c>
      <c r="J18" s="8">
        <f t="shared" si="0"/>
        <v>185499.7095</v>
      </c>
      <c r="K18" s="7" t="str">
        <f t="shared" si="1"/>
        <v>PTO-0105|MAT</v>
      </c>
      <c r="L18" s="7">
        <f>COUNTIFS($K$2:K18,K18)</f>
        <v>1</v>
      </c>
      <c r="M18" s="7" t="str">
        <f t="shared" si="2"/>
        <v>PTO-0105|MAT|1</v>
      </c>
      <c r="N18" s="7">
        <f>IFERROR(VLOOKUP(A18,PARTIDAS!A:F,6,FALSE),0)</f>
        <v>1</v>
      </c>
      <c r="O18" s="7">
        <f t="shared" si="3"/>
        <v>0</v>
      </c>
      <c r="P18" s="7">
        <f>IFERROR(_xlfn.XLOOKUP(A18,PPTO_GENERADOR!$Q:$Q,PPTO_GENERADOR!$E:$E,"-",0),"-")</f>
        <v>1</v>
      </c>
    </row>
    <row r="19" spans="1:16" x14ac:dyDescent="0.35">
      <c r="A19" s="5" t="s">
        <v>814</v>
      </c>
      <c r="B19" s="5" t="s">
        <v>1203</v>
      </c>
      <c r="C19" s="5" t="s">
        <v>1199</v>
      </c>
      <c r="D19" s="5" t="s">
        <v>41</v>
      </c>
      <c r="E19" s="7" t="str">
        <f>IFERROR(VLOOKUP(D19,MATERIALES!A:B,2,FALSE),"?")</f>
        <v>Precio fenolico comun e: 18 mm</v>
      </c>
      <c r="F19" s="5"/>
      <c r="G19" s="11">
        <v>33</v>
      </c>
      <c r="H19" s="12">
        <v>0</v>
      </c>
      <c r="I19" s="7">
        <f>IFERROR(VLOOKUP(D19,MATERIALES!A:D,4,FALSE),0)</f>
        <v>13161.34</v>
      </c>
      <c r="J19" s="8">
        <f t="shared" si="0"/>
        <v>434324.22000000003</v>
      </c>
      <c r="K19" s="7" t="str">
        <f t="shared" si="1"/>
        <v>PTO-0105|MAT</v>
      </c>
      <c r="L19" s="7">
        <f>COUNTIFS($K$2:K19,K19)</f>
        <v>2</v>
      </c>
      <c r="M19" s="7" t="str">
        <f t="shared" si="2"/>
        <v>PTO-0105|MAT|2</v>
      </c>
      <c r="N19" s="7">
        <f>IFERROR(VLOOKUP(A19,PARTIDAS!A:F,6,FALSE),0)</f>
        <v>1</v>
      </c>
      <c r="O19" s="7">
        <f t="shared" si="3"/>
        <v>0</v>
      </c>
      <c r="P19" s="7">
        <f>IFERROR(_xlfn.XLOOKUP(A19,PPTO_GENERADOR!$Q:$Q,PPTO_GENERADOR!$E:$E,"-",0),"-")</f>
        <v>1</v>
      </c>
    </row>
    <row r="20" spans="1:16" x14ac:dyDescent="0.35">
      <c r="A20" s="5" t="s">
        <v>814</v>
      </c>
      <c r="B20" s="5" t="s">
        <v>1203</v>
      </c>
      <c r="C20" s="5" t="s">
        <v>1199</v>
      </c>
      <c r="D20" s="5" t="s">
        <v>43</v>
      </c>
      <c r="E20" s="7" t="str">
        <f>IFERROR(VLOOKUP(D20,MATERIALES!A:B,2,FALSE),"?")</f>
        <v>Tabla 4 x 1 x 3,6 Saligna bruto</v>
      </c>
      <c r="F20" s="5"/>
      <c r="G20" s="11">
        <v>80</v>
      </c>
      <c r="H20" s="12">
        <v>0</v>
      </c>
      <c r="I20" s="7">
        <f>IFERROR(VLOOKUP(D20,MATERIALES!A:D,4,FALSE),0)</f>
        <v>970.97400000000005</v>
      </c>
      <c r="J20" s="8">
        <f t="shared" si="0"/>
        <v>77677.919999999998</v>
      </c>
      <c r="K20" s="7" t="str">
        <f t="shared" si="1"/>
        <v>PTO-0105|MAT</v>
      </c>
      <c r="L20" s="7">
        <f>COUNTIFS($K$2:K20,K20)</f>
        <v>3</v>
      </c>
      <c r="M20" s="7" t="str">
        <f t="shared" si="2"/>
        <v>PTO-0105|MAT|3</v>
      </c>
      <c r="N20" s="7">
        <f>IFERROR(VLOOKUP(A20,PARTIDAS!A:F,6,FALSE),0)</f>
        <v>1</v>
      </c>
      <c r="O20" s="7">
        <f t="shared" si="3"/>
        <v>0</v>
      </c>
      <c r="P20" s="7">
        <f>IFERROR(_xlfn.XLOOKUP(A20,PPTO_GENERADOR!$Q:$Q,PPTO_GENERADOR!$E:$E,"-",0),"-")</f>
        <v>1</v>
      </c>
    </row>
    <row r="21" spans="1:16" x14ac:dyDescent="0.35">
      <c r="A21" s="5" t="s">
        <v>814</v>
      </c>
      <c r="B21" s="5" t="s">
        <v>1203</v>
      </c>
      <c r="C21" s="5" t="s">
        <v>1199</v>
      </c>
      <c r="D21" s="5" t="s">
        <v>45</v>
      </c>
      <c r="E21" s="7" t="str">
        <f>IFERROR(VLOOKUP(D21,MATERIALES!A:B,2,FALSE),"?")</f>
        <v>Tirante 3 x 3 x 3,6 Saligna bruto</v>
      </c>
      <c r="F21" s="5"/>
      <c r="G21" s="11">
        <v>40</v>
      </c>
      <c r="H21" s="12">
        <v>0</v>
      </c>
      <c r="I21" s="7">
        <f>IFERROR(VLOOKUP(D21,MATERIALES!A:D,4,FALSE),0)</f>
        <v>2184.7139999999999</v>
      </c>
      <c r="J21" s="8">
        <f t="shared" si="0"/>
        <v>87388.56</v>
      </c>
      <c r="K21" s="7" t="str">
        <f t="shared" si="1"/>
        <v>PTO-0105|MAT</v>
      </c>
      <c r="L21" s="7">
        <f>COUNTIFS($K$2:K21,K21)</f>
        <v>4</v>
      </c>
      <c r="M21" s="7" t="str">
        <f t="shared" si="2"/>
        <v>PTO-0105|MAT|4</v>
      </c>
      <c r="N21" s="7">
        <f>IFERROR(VLOOKUP(A21,PARTIDAS!A:F,6,FALSE),0)</f>
        <v>1</v>
      </c>
      <c r="O21" s="7">
        <f t="shared" si="3"/>
        <v>0</v>
      </c>
      <c r="P21" s="7">
        <f>IFERROR(_xlfn.XLOOKUP(A21,PPTO_GENERADOR!$Q:$Q,PPTO_GENERADOR!$E:$E,"-",0),"-")</f>
        <v>1</v>
      </c>
    </row>
    <row r="22" spans="1:16" x14ac:dyDescent="0.35">
      <c r="A22" s="5" t="s">
        <v>814</v>
      </c>
      <c r="B22" s="5" t="s">
        <v>1203</v>
      </c>
      <c r="C22" s="5" t="s">
        <v>1199</v>
      </c>
      <c r="D22" s="5" t="s">
        <v>47</v>
      </c>
      <c r="E22" s="7" t="str">
        <f>IFERROR(VLOOKUP(D22,MATERIALES!A:B,2,FALSE),"?")</f>
        <v>Flechas 3 x 6 x 3,7 - Reutilizado (estimado 3 usos)</v>
      </c>
      <c r="F22" s="5"/>
      <c r="G22" s="11">
        <v>20</v>
      </c>
      <c r="H22" s="12">
        <v>0</v>
      </c>
      <c r="I22" s="7">
        <f>IFERROR(VLOOKUP(D22,MATERIALES!A:D,4,FALSE),0)</f>
        <v>4369.4279999999999</v>
      </c>
      <c r="J22" s="8">
        <f t="shared" si="0"/>
        <v>87388.56</v>
      </c>
      <c r="K22" s="7" t="str">
        <f t="shared" si="1"/>
        <v>PTO-0105|MAT</v>
      </c>
      <c r="L22" s="7">
        <f>COUNTIFS($K$2:K22,K22)</f>
        <v>5</v>
      </c>
      <c r="M22" s="7" t="str">
        <f t="shared" si="2"/>
        <v>PTO-0105|MAT|5</v>
      </c>
      <c r="N22" s="7">
        <f>IFERROR(VLOOKUP(A22,PARTIDAS!A:F,6,FALSE),0)</f>
        <v>1</v>
      </c>
      <c r="O22" s="7">
        <f t="shared" si="3"/>
        <v>0</v>
      </c>
      <c r="P22" s="7">
        <f>IFERROR(_xlfn.XLOOKUP(A22,PPTO_GENERADOR!$Q:$Q,PPTO_GENERADOR!$E:$E,"-",0),"-")</f>
        <v>1</v>
      </c>
    </row>
    <row r="23" spans="1:16" x14ac:dyDescent="0.35">
      <c r="A23" s="5" t="s">
        <v>814</v>
      </c>
      <c r="B23" s="5" t="s">
        <v>1203</v>
      </c>
      <c r="C23" s="5" t="s">
        <v>1199</v>
      </c>
      <c r="D23" s="5" t="s">
        <v>49</v>
      </c>
      <c r="E23" s="7" t="str">
        <f>IFERROR(VLOOKUP(D23,MATERIALES!A:B,2,FALSE),"?")</f>
        <v>Escalera</v>
      </c>
      <c r="F23" s="5"/>
      <c r="G23" s="11">
        <v>0.5</v>
      </c>
      <c r="H23" s="12">
        <v>0</v>
      </c>
      <c r="I23" s="7">
        <f>IFERROR(VLOOKUP(D23,MATERIALES!A:D,4,FALSE),0)</f>
        <v>252455.04000000001</v>
      </c>
      <c r="J23" s="8">
        <f t="shared" si="0"/>
        <v>126227.52</v>
      </c>
      <c r="K23" s="7" t="str">
        <f t="shared" si="1"/>
        <v>PTO-0105|MAT</v>
      </c>
      <c r="L23" s="7">
        <f>COUNTIFS($K$2:K23,K23)</f>
        <v>6</v>
      </c>
      <c r="M23" s="7" t="str">
        <f t="shared" si="2"/>
        <v>PTO-0105|MAT|6</v>
      </c>
      <c r="N23" s="7">
        <f>IFERROR(VLOOKUP(A23,PARTIDAS!A:F,6,FALSE),0)</f>
        <v>1</v>
      </c>
      <c r="O23" s="7">
        <f t="shared" si="3"/>
        <v>0</v>
      </c>
      <c r="P23" s="7">
        <f>IFERROR(_xlfn.XLOOKUP(A23,PPTO_GENERADOR!$Q:$Q,PPTO_GENERADOR!$E:$E,"-",0),"-")</f>
        <v>1</v>
      </c>
    </row>
    <row r="24" spans="1:16" x14ac:dyDescent="0.35">
      <c r="A24" s="5" t="s">
        <v>814</v>
      </c>
      <c r="B24" s="5" t="s">
        <v>1198</v>
      </c>
      <c r="C24" s="5" t="s">
        <v>1199</v>
      </c>
      <c r="D24" s="5" t="s">
        <v>666</v>
      </c>
      <c r="E24" s="7" t="str">
        <f>IFERROR(VLOOKUP(D24,SUBCONTRATOS_PRY!A:B,2,FALSE),"?")</f>
        <v>Flete madera</v>
      </c>
      <c r="F24" s="5" t="s">
        <v>1200</v>
      </c>
      <c r="G24" s="11">
        <v>2</v>
      </c>
      <c r="H24" s="12">
        <v>0</v>
      </c>
      <c r="I24" s="7">
        <f>IFERROR(VLOOKUP(D24,SUBCONTRATOS_PRY!A:D,4,FALSE),0)</f>
        <v>250000</v>
      </c>
      <c r="J24" s="8">
        <f t="shared" si="0"/>
        <v>500000</v>
      </c>
      <c r="K24" s="7" t="str">
        <f t="shared" si="1"/>
        <v>PTO-0105|MO</v>
      </c>
      <c r="L24" s="7">
        <f>COUNTIFS($K$2:K24,K24)</f>
        <v>1</v>
      </c>
      <c r="M24" s="7" t="str">
        <f t="shared" si="2"/>
        <v>PTO-0105|MO|1</v>
      </c>
      <c r="N24" s="7">
        <f>IFERROR(VLOOKUP(A24,PARTIDAS!A:F,6,FALSE),0)</f>
        <v>1</v>
      </c>
      <c r="O24" s="7">
        <f t="shared" si="3"/>
        <v>0</v>
      </c>
      <c r="P24" s="7">
        <f>IFERROR(_xlfn.XLOOKUP(A24,PPTO_GENERADOR!$Q:$Q,PPTO_GENERADOR!$E:$E,"-",0),"-")</f>
        <v>1</v>
      </c>
    </row>
    <row r="25" spans="1:16" x14ac:dyDescent="0.35">
      <c r="A25" s="5" t="s">
        <v>814</v>
      </c>
      <c r="B25" s="5" t="s">
        <v>1203</v>
      </c>
      <c r="C25" s="5" t="s">
        <v>1205</v>
      </c>
      <c r="D25" s="5" t="s">
        <v>51</v>
      </c>
      <c r="E25" s="7" t="str">
        <f>IFERROR(VLOOKUP(D25,MATERIALES!A:B,2,FALSE),"?")</f>
        <v>Materiales varios</v>
      </c>
      <c r="F25" s="5"/>
      <c r="G25" s="11">
        <v>1</v>
      </c>
      <c r="H25" s="12">
        <v>0</v>
      </c>
      <c r="I25" s="7">
        <f>IFERROR(VLOOKUP(D25,MATERIALES!A:D,4,FALSE),0)</f>
        <v>100000</v>
      </c>
      <c r="J25" s="8">
        <f t="shared" si="0"/>
        <v>100000</v>
      </c>
      <c r="K25" s="7" t="str">
        <f t="shared" si="1"/>
        <v>PTO-0105|MAT</v>
      </c>
      <c r="L25" s="7">
        <f>COUNTIFS($K$2:K25,K25)</f>
        <v>7</v>
      </c>
      <c r="M25" s="7" t="str">
        <f t="shared" si="2"/>
        <v>PTO-0105|MAT|7</v>
      </c>
      <c r="N25" s="7">
        <f>IFERROR(VLOOKUP(A25,PARTIDAS!A:F,6,FALSE),0)</f>
        <v>1</v>
      </c>
      <c r="O25" s="7">
        <f t="shared" si="3"/>
        <v>0</v>
      </c>
      <c r="P25" s="7">
        <f>IFERROR(_xlfn.XLOOKUP(A25,PPTO_GENERADOR!$Q:$Q,PPTO_GENERADOR!$E:$E,"-",0),"-")</f>
        <v>1</v>
      </c>
    </row>
    <row r="26" spans="1:16" x14ac:dyDescent="0.35">
      <c r="A26" s="5" t="s">
        <v>814</v>
      </c>
      <c r="B26" s="5" t="s">
        <v>1198</v>
      </c>
      <c r="C26" s="5" t="s">
        <v>1201</v>
      </c>
      <c r="D26" s="5" t="s">
        <v>477</v>
      </c>
      <c r="E26" s="7" t="str">
        <f>IFERROR(VLOOKUP(D26,MANO_DE_OBRA!A:B,2,FALSE),"?")</f>
        <v>ESPECIALIZADO</v>
      </c>
      <c r="F26" s="5" t="s">
        <v>1200</v>
      </c>
      <c r="G26" s="11">
        <v>12</v>
      </c>
      <c r="H26" s="12">
        <v>0</v>
      </c>
      <c r="I26" s="7">
        <f>IFERROR(VLOOKUP(D26,MANO_DE_OBRA!A:C,3,FALSE),0)</f>
        <v>75113.05</v>
      </c>
      <c r="J26" s="8">
        <f t="shared" si="0"/>
        <v>901356.60000000009</v>
      </c>
      <c r="K26" s="7" t="str">
        <f t="shared" si="1"/>
        <v>PTO-0105|MO</v>
      </c>
      <c r="L26" s="7">
        <f>COUNTIFS($K$2:K26,K26)</f>
        <v>2</v>
      </c>
      <c r="M26" s="7" t="str">
        <f t="shared" si="2"/>
        <v>PTO-0105|MO|2</v>
      </c>
      <c r="N26" s="7">
        <f>IFERROR(VLOOKUP(A26,PARTIDAS!A:F,6,FALSE),0)</f>
        <v>1</v>
      </c>
      <c r="O26" s="7">
        <f t="shared" si="3"/>
        <v>12</v>
      </c>
      <c r="P26" s="7">
        <f>IFERROR(_xlfn.XLOOKUP(A26,PPTO_GENERADOR!$Q:$Q,PPTO_GENERADOR!$E:$E,"-",0),"-")</f>
        <v>1</v>
      </c>
    </row>
    <row r="27" spans="1:16" x14ac:dyDescent="0.35">
      <c r="A27" s="5" t="s">
        <v>814</v>
      </c>
      <c r="B27" s="5" t="s">
        <v>1198</v>
      </c>
      <c r="C27" s="5" t="s">
        <v>1201</v>
      </c>
      <c r="D27" s="5" t="s">
        <v>481</v>
      </c>
      <c r="E27" s="7" t="str">
        <f>IFERROR(VLOOKUP(D27,MANO_DE_OBRA!A:B,2,FALSE),"?")</f>
        <v>OFICIAL</v>
      </c>
      <c r="F27" s="5" t="s">
        <v>1200</v>
      </c>
      <c r="G27" s="11">
        <v>19</v>
      </c>
      <c r="H27" s="12">
        <v>0</v>
      </c>
      <c r="I27" s="7">
        <f>IFERROR(VLOOKUP(D27,MANO_DE_OBRA!A:C,3,FALSE),0)</f>
        <v>65360.25</v>
      </c>
      <c r="J27" s="8">
        <f t="shared" si="0"/>
        <v>1241844.75</v>
      </c>
      <c r="K27" s="7" t="str">
        <f t="shared" si="1"/>
        <v>PTO-0105|MO</v>
      </c>
      <c r="L27" s="7">
        <f>COUNTIFS($K$2:K27,K27)</f>
        <v>3</v>
      </c>
      <c r="M27" s="7" t="str">
        <f t="shared" si="2"/>
        <v>PTO-0105|MO|3</v>
      </c>
      <c r="N27" s="7">
        <f>IFERROR(VLOOKUP(A27,PARTIDAS!A:F,6,FALSE),0)</f>
        <v>1</v>
      </c>
      <c r="O27" s="7">
        <f t="shared" si="3"/>
        <v>19</v>
      </c>
      <c r="P27" s="7">
        <f>IFERROR(_xlfn.XLOOKUP(A27,PPTO_GENERADOR!$Q:$Q,PPTO_GENERADOR!$E:$E,"-",0),"-")</f>
        <v>1</v>
      </c>
    </row>
    <row r="28" spans="1:16" x14ac:dyDescent="0.35">
      <c r="A28" s="5" t="s">
        <v>814</v>
      </c>
      <c r="B28" s="5" t="s">
        <v>1198</v>
      </c>
      <c r="C28" s="5" t="s">
        <v>1201</v>
      </c>
      <c r="D28" s="5" t="s">
        <v>479</v>
      </c>
      <c r="E28" s="7" t="str">
        <f>IFERROR(VLOOKUP(D28,MANO_DE_OBRA!A:B,2,FALSE),"?")</f>
        <v>MEDIO OFICIAL</v>
      </c>
      <c r="F28" s="5" t="s">
        <v>1200</v>
      </c>
      <c r="G28" s="11">
        <v>5</v>
      </c>
      <c r="H28" s="12">
        <v>0</v>
      </c>
      <c r="I28" s="7">
        <f>IFERROR(VLOOKUP(D28,MANO_DE_OBRA!A:C,3,FALSE),0)</f>
        <v>54784.07</v>
      </c>
      <c r="J28" s="8">
        <f t="shared" si="0"/>
        <v>273920.34999999998</v>
      </c>
      <c r="K28" s="7" t="str">
        <f t="shared" si="1"/>
        <v>PTO-0105|MO</v>
      </c>
      <c r="L28" s="7">
        <f>COUNTIFS($K$2:K28,K28)</f>
        <v>4</v>
      </c>
      <c r="M28" s="7" t="str">
        <f t="shared" si="2"/>
        <v>PTO-0105|MO|4</v>
      </c>
      <c r="N28" s="7">
        <f>IFERROR(VLOOKUP(A28,PARTIDAS!A:F,6,FALSE),0)</f>
        <v>1</v>
      </c>
      <c r="O28" s="7">
        <f t="shared" si="3"/>
        <v>5</v>
      </c>
      <c r="P28" s="7">
        <f>IFERROR(_xlfn.XLOOKUP(A28,PPTO_GENERADOR!$Q:$Q,PPTO_GENERADOR!$E:$E,"-",0),"-")</f>
        <v>1</v>
      </c>
    </row>
    <row r="29" spans="1:16" x14ac:dyDescent="0.35">
      <c r="A29" s="5" t="s">
        <v>814</v>
      </c>
      <c r="B29" s="5" t="s">
        <v>1198</v>
      </c>
      <c r="C29" s="5" t="s">
        <v>1201</v>
      </c>
      <c r="D29" s="5" t="s">
        <v>475</v>
      </c>
      <c r="E29" s="7" t="str">
        <f>IFERROR(VLOOKUP(D29,MANO_DE_OBRA!A:B,2,FALSE),"?")</f>
        <v>AYUDANTE</v>
      </c>
      <c r="F29" s="5" t="s">
        <v>1200</v>
      </c>
      <c r="G29" s="11">
        <v>12</v>
      </c>
      <c r="H29" s="12">
        <v>0</v>
      </c>
      <c r="I29" s="7">
        <f>IFERROR(VLOOKUP(D29,MANO_DE_OBRA!A:C,3,FALSE),0)</f>
        <v>49934.239999999998</v>
      </c>
      <c r="J29" s="8">
        <f t="shared" si="0"/>
        <v>599210.88</v>
      </c>
      <c r="K29" s="7" t="str">
        <f t="shared" si="1"/>
        <v>PTO-0105|MO</v>
      </c>
      <c r="L29" s="7">
        <f>COUNTIFS($K$2:K29,K29)</f>
        <v>5</v>
      </c>
      <c r="M29" s="7" t="str">
        <f t="shared" si="2"/>
        <v>PTO-0105|MO|5</v>
      </c>
      <c r="N29" s="7">
        <f>IFERROR(VLOOKUP(A29,PARTIDAS!A:F,6,FALSE),0)</f>
        <v>1</v>
      </c>
      <c r="O29" s="7">
        <f t="shared" si="3"/>
        <v>12</v>
      </c>
      <c r="P29" s="7">
        <f>IFERROR(_xlfn.XLOOKUP(A29,PPTO_GENERADOR!$Q:$Q,PPTO_GENERADOR!$E:$E,"-",0),"-")</f>
        <v>1</v>
      </c>
    </row>
    <row r="30" spans="1:16" x14ac:dyDescent="0.35">
      <c r="A30" s="5" t="s">
        <v>814</v>
      </c>
      <c r="B30" s="5" t="s">
        <v>1203</v>
      </c>
      <c r="C30" s="5" t="s">
        <v>1199</v>
      </c>
      <c r="D30" s="5" t="s">
        <v>54</v>
      </c>
      <c r="E30" s="7" t="str">
        <f>IFERROR(VLOOKUP(D30,MATERIALES!A:B,2,FALSE),"?")</f>
        <v>Rollo de cable TPR 3 x 2,5</v>
      </c>
      <c r="F30" s="5"/>
      <c r="G30" s="11">
        <v>1</v>
      </c>
      <c r="H30" s="12">
        <v>0</v>
      </c>
      <c r="I30" s="7">
        <f>IFERROR(VLOOKUP(D30,MATERIALES!A:D,4,FALSE),0)</f>
        <v>214876.0331</v>
      </c>
      <c r="J30" s="8">
        <f t="shared" si="0"/>
        <v>214876.0331</v>
      </c>
      <c r="K30" s="7" t="str">
        <f t="shared" si="1"/>
        <v>PTO-0105|MAT</v>
      </c>
      <c r="L30" s="7">
        <f>COUNTIFS($K$2:K30,K30)</f>
        <v>8</v>
      </c>
      <c r="M30" s="7" t="str">
        <f t="shared" si="2"/>
        <v>PTO-0105|MAT|8</v>
      </c>
      <c r="N30" s="7">
        <f>IFERROR(VLOOKUP(A30,PARTIDAS!A:F,6,FALSE),0)</f>
        <v>1</v>
      </c>
      <c r="O30" s="7">
        <f t="shared" si="3"/>
        <v>0</v>
      </c>
      <c r="P30" s="7">
        <f>IFERROR(_xlfn.XLOOKUP(A30,PPTO_GENERADOR!$Q:$Q,PPTO_GENERADOR!$E:$E,"-",0),"-")</f>
        <v>1</v>
      </c>
    </row>
    <row r="31" spans="1:16" x14ac:dyDescent="0.35">
      <c r="A31" s="5" t="s">
        <v>814</v>
      </c>
      <c r="B31" s="5" t="s">
        <v>1203</v>
      </c>
      <c r="C31" s="5" t="s">
        <v>1199</v>
      </c>
      <c r="D31" s="5" t="s">
        <v>56</v>
      </c>
      <c r="E31" s="7" t="str">
        <f>IFERROR(VLOOKUP(D31,MATERIALES!A:B,2,FALSE),"?")</f>
        <v>Zocalo E27</v>
      </c>
      <c r="F31" s="5"/>
      <c r="G31" s="11">
        <v>10</v>
      </c>
      <c r="H31" s="12">
        <v>0</v>
      </c>
      <c r="I31" s="7">
        <f>IFERROR(VLOOKUP(D31,MATERIALES!A:D,4,FALSE),0)</f>
        <v>369.8347</v>
      </c>
      <c r="J31" s="8">
        <f t="shared" si="0"/>
        <v>3698.3469999999998</v>
      </c>
      <c r="K31" s="7" t="str">
        <f t="shared" si="1"/>
        <v>PTO-0105|MAT</v>
      </c>
      <c r="L31" s="7">
        <f>COUNTIFS($K$2:K31,K31)</f>
        <v>9</v>
      </c>
      <c r="M31" s="7" t="str">
        <f t="shared" si="2"/>
        <v>PTO-0105|MAT|9</v>
      </c>
      <c r="N31" s="7">
        <f>IFERROR(VLOOKUP(A31,PARTIDAS!A:F,6,FALSE),0)</f>
        <v>1</v>
      </c>
      <c r="O31" s="7">
        <f t="shared" si="3"/>
        <v>0</v>
      </c>
      <c r="P31" s="7">
        <f>IFERROR(_xlfn.XLOOKUP(A31,PPTO_GENERADOR!$Q:$Q,PPTO_GENERADOR!$E:$E,"-",0),"-")</f>
        <v>1</v>
      </c>
    </row>
    <row r="32" spans="1:16" x14ac:dyDescent="0.35">
      <c r="A32" s="5" t="s">
        <v>814</v>
      </c>
      <c r="B32" s="5" t="s">
        <v>1203</v>
      </c>
      <c r="C32" s="5" t="s">
        <v>1199</v>
      </c>
      <c r="D32" s="5" t="s">
        <v>58</v>
      </c>
      <c r="E32" s="7" t="str">
        <f>IFERROR(VLOOKUP(D32,MATERIALES!A:B,2,FALSE),"?")</f>
        <v>Lampara Led 12 w</v>
      </c>
      <c r="F32" s="5"/>
      <c r="G32" s="11">
        <v>10</v>
      </c>
      <c r="H32" s="12">
        <v>0</v>
      </c>
      <c r="I32" s="7">
        <f>IFERROR(VLOOKUP(D32,MATERIALES!A:D,4,FALSE),0)</f>
        <v>2363.6363999999999</v>
      </c>
      <c r="J32" s="8">
        <f t="shared" si="0"/>
        <v>23636.363999999998</v>
      </c>
      <c r="K32" s="7" t="str">
        <f t="shared" si="1"/>
        <v>PTO-0105|MAT</v>
      </c>
      <c r="L32" s="7">
        <f>COUNTIFS($K$2:K32,K32)</f>
        <v>10</v>
      </c>
      <c r="M32" s="7" t="str">
        <f t="shared" si="2"/>
        <v>PTO-0105|MAT|10</v>
      </c>
      <c r="N32" s="7">
        <f>IFERROR(VLOOKUP(A32,PARTIDAS!A:F,6,FALSE),0)</f>
        <v>1</v>
      </c>
      <c r="O32" s="7">
        <f t="shared" si="3"/>
        <v>0</v>
      </c>
      <c r="P32" s="7">
        <f>IFERROR(_xlfn.XLOOKUP(A32,PPTO_GENERADOR!$Q:$Q,PPTO_GENERADOR!$E:$E,"-",0),"-")</f>
        <v>1</v>
      </c>
    </row>
    <row r="33" spans="1:16" x14ac:dyDescent="0.35">
      <c r="A33" s="5" t="s">
        <v>814</v>
      </c>
      <c r="B33" s="5" t="s">
        <v>1203</v>
      </c>
      <c r="C33" s="5" t="s">
        <v>1199</v>
      </c>
      <c r="D33" s="5" t="s">
        <v>60</v>
      </c>
      <c r="E33" s="7" t="str">
        <f>IFERROR(VLOOKUP(D33,MATERIALES!A:B,2,FALSE),"?")</f>
        <v>Mat. Elect. (tomas, enchufes, etc.)</v>
      </c>
      <c r="F33" s="5"/>
      <c r="G33" s="11">
        <v>0.25</v>
      </c>
      <c r="H33" s="12">
        <v>0</v>
      </c>
      <c r="I33" s="7">
        <f>IFERROR(VLOOKUP(D33,MATERIALES!A:D,4,FALSE),0)</f>
        <v>242210.7438</v>
      </c>
      <c r="J33" s="8">
        <f t="shared" si="0"/>
        <v>60552.685949999999</v>
      </c>
      <c r="K33" s="7" t="str">
        <f t="shared" si="1"/>
        <v>PTO-0105|MAT</v>
      </c>
      <c r="L33" s="7">
        <f>COUNTIFS($K$2:K33,K33)</f>
        <v>11</v>
      </c>
      <c r="M33" s="7" t="str">
        <f t="shared" si="2"/>
        <v>PTO-0105|MAT|11</v>
      </c>
      <c r="N33" s="7">
        <f>IFERROR(VLOOKUP(A33,PARTIDAS!A:F,6,FALSE),0)</f>
        <v>1</v>
      </c>
      <c r="O33" s="7">
        <f t="shared" si="3"/>
        <v>0</v>
      </c>
      <c r="P33" s="7">
        <f>IFERROR(_xlfn.XLOOKUP(A33,PPTO_GENERADOR!$Q:$Q,PPTO_GENERADOR!$E:$E,"-",0),"-")</f>
        <v>1</v>
      </c>
    </row>
    <row r="34" spans="1:16" x14ac:dyDescent="0.35">
      <c r="A34" s="5" t="s">
        <v>814</v>
      </c>
      <c r="B34" s="5" t="s">
        <v>1203</v>
      </c>
      <c r="C34" s="5" t="s">
        <v>1199</v>
      </c>
      <c r="D34" s="5" t="s">
        <v>62</v>
      </c>
      <c r="E34" s="7" t="str">
        <f>IFERROR(VLOOKUP(D34,MATERIALES!A:B,2,FALSE),"?")</f>
        <v>Materiales Sanit</v>
      </c>
      <c r="F34" s="5"/>
      <c r="G34" s="11">
        <v>1</v>
      </c>
      <c r="H34" s="12">
        <v>0</v>
      </c>
      <c r="I34" s="7">
        <f>IFERROR(VLOOKUP(D34,MATERIALES!A:D,4,FALSE),0)</f>
        <v>500000</v>
      </c>
      <c r="J34" s="8">
        <f t="shared" si="0"/>
        <v>500000</v>
      </c>
      <c r="K34" s="7" t="str">
        <f t="shared" si="1"/>
        <v>PTO-0105|MAT</v>
      </c>
      <c r="L34" s="7">
        <f>COUNTIFS($K$2:K34,K34)</f>
        <v>12</v>
      </c>
      <c r="M34" s="7" t="str">
        <f t="shared" si="2"/>
        <v>PTO-0105|MAT|12</v>
      </c>
      <c r="N34" s="7">
        <f>IFERROR(VLOOKUP(A34,PARTIDAS!A:F,6,FALSE),0)</f>
        <v>1</v>
      </c>
      <c r="O34" s="7">
        <f t="shared" si="3"/>
        <v>0</v>
      </c>
      <c r="P34" s="7">
        <f>IFERROR(_xlfn.XLOOKUP(A34,PPTO_GENERADOR!$Q:$Q,PPTO_GENERADOR!$E:$E,"-",0),"-")</f>
        <v>1</v>
      </c>
    </row>
    <row r="35" spans="1:16" x14ac:dyDescent="0.35">
      <c r="A35" s="5" t="s">
        <v>814</v>
      </c>
      <c r="B35" s="5" t="s">
        <v>1203</v>
      </c>
      <c r="C35" s="5" t="s">
        <v>1199</v>
      </c>
      <c r="D35" s="5" t="s">
        <v>64</v>
      </c>
      <c r="E35" s="7" t="str">
        <f>IFERROR(VLOOKUP(D35,MATERIALES!A:B,2,FALSE),"?")</f>
        <v>Inodoro</v>
      </c>
      <c r="F35" s="5"/>
      <c r="G35" s="11">
        <v>2</v>
      </c>
      <c r="H35" s="12">
        <v>0</v>
      </c>
      <c r="I35" s="7">
        <f>IFERROR(VLOOKUP(D35,MATERIALES!A:D,4,FALSE),0)</f>
        <v>100000</v>
      </c>
      <c r="J35" s="8">
        <f t="shared" si="0"/>
        <v>200000</v>
      </c>
      <c r="K35" s="7" t="str">
        <f t="shared" si="1"/>
        <v>PTO-0105|MAT</v>
      </c>
      <c r="L35" s="7">
        <f>COUNTIFS($K$2:K35,K35)</f>
        <v>13</v>
      </c>
      <c r="M35" s="7" t="str">
        <f t="shared" si="2"/>
        <v>PTO-0105|MAT|13</v>
      </c>
      <c r="N35" s="7">
        <f>IFERROR(VLOOKUP(A35,PARTIDAS!A:F,6,FALSE),0)</f>
        <v>1</v>
      </c>
      <c r="O35" s="7">
        <f t="shared" si="3"/>
        <v>0</v>
      </c>
      <c r="P35" s="7">
        <f>IFERROR(_xlfn.XLOOKUP(A35,PPTO_GENERADOR!$Q:$Q,PPTO_GENERADOR!$E:$E,"-",0),"-")</f>
        <v>1</v>
      </c>
    </row>
    <row r="36" spans="1:16" x14ac:dyDescent="0.35">
      <c r="A36" s="5" t="s">
        <v>814</v>
      </c>
      <c r="B36" s="5" t="s">
        <v>1203</v>
      </c>
      <c r="C36" s="5" t="s">
        <v>1199</v>
      </c>
      <c r="D36" s="5" t="s">
        <v>66</v>
      </c>
      <c r="E36" s="7" t="str">
        <f>IFERROR(VLOOKUP(D36,MATERIALES!A:B,2,FALSE),"?")</f>
        <v>Mochila plastico</v>
      </c>
      <c r="F36" s="5"/>
      <c r="G36" s="11">
        <v>2</v>
      </c>
      <c r="H36" s="12">
        <v>0</v>
      </c>
      <c r="I36" s="7">
        <f>IFERROR(VLOOKUP(D36,MATERIALES!A:D,4,FALSE),0)</f>
        <v>25000</v>
      </c>
      <c r="J36" s="8">
        <f t="shared" si="0"/>
        <v>50000</v>
      </c>
      <c r="K36" s="7" t="str">
        <f t="shared" si="1"/>
        <v>PTO-0105|MAT</v>
      </c>
      <c r="L36" s="7">
        <f>COUNTIFS($K$2:K36,K36)</f>
        <v>14</v>
      </c>
      <c r="M36" s="7" t="str">
        <f t="shared" si="2"/>
        <v>PTO-0105|MAT|14</v>
      </c>
      <c r="N36" s="7">
        <f>IFERROR(VLOOKUP(A36,PARTIDAS!A:F,6,FALSE),0)</f>
        <v>1</v>
      </c>
      <c r="O36" s="7">
        <f t="shared" si="3"/>
        <v>0</v>
      </c>
      <c r="P36" s="7">
        <f>IFERROR(_xlfn.XLOOKUP(A36,PPTO_GENERADOR!$Q:$Q,PPTO_GENERADOR!$E:$E,"-",0),"-")</f>
        <v>1</v>
      </c>
    </row>
    <row r="37" spans="1:16" x14ac:dyDescent="0.35">
      <c r="A37" s="5" t="s">
        <v>814</v>
      </c>
      <c r="B37" s="5" t="s">
        <v>1203</v>
      </c>
      <c r="C37" s="5" t="s">
        <v>1199</v>
      </c>
      <c r="D37" s="5" t="s">
        <v>68</v>
      </c>
      <c r="E37" s="7" t="str">
        <f>IFERROR(VLOOKUP(D37,MATERIALES!A:B,2,FALSE),"?")</f>
        <v>Bacha</v>
      </c>
      <c r="F37" s="5"/>
      <c r="G37" s="11">
        <v>2</v>
      </c>
      <c r="H37" s="12">
        <v>0</v>
      </c>
      <c r="I37" s="7">
        <f>IFERROR(VLOOKUP(D37,MATERIALES!A:D,4,FALSE),0)</f>
        <v>24793.3884</v>
      </c>
      <c r="J37" s="8">
        <f t="shared" si="0"/>
        <v>49586.7768</v>
      </c>
      <c r="K37" s="7" t="str">
        <f t="shared" si="1"/>
        <v>PTO-0105|MAT</v>
      </c>
      <c r="L37" s="7">
        <f>COUNTIFS($K$2:K37,K37)</f>
        <v>15</v>
      </c>
      <c r="M37" s="7" t="str">
        <f t="shared" si="2"/>
        <v>PTO-0105|MAT|15</v>
      </c>
      <c r="N37" s="7">
        <f>IFERROR(VLOOKUP(A37,PARTIDAS!A:F,6,FALSE),0)</f>
        <v>1</v>
      </c>
      <c r="O37" s="7">
        <f t="shared" si="3"/>
        <v>0</v>
      </c>
      <c r="P37" s="7">
        <f>IFERROR(_xlfn.XLOOKUP(A37,PPTO_GENERADOR!$Q:$Q,PPTO_GENERADOR!$E:$E,"-",0),"-")</f>
        <v>1</v>
      </c>
    </row>
    <row r="38" spans="1:16" x14ac:dyDescent="0.35">
      <c r="A38" s="5" t="s">
        <v>814</v>
      </c>
      <c r="B38" s="5" t="s">
        <v>1203</v>
      </c>
      <c r="C38" s="5" t="s">
        <v>1199</v>
      </c>
      <c r="D38" s="5" t="s">
        <v>70</v>
      </c>
      <c r="E38" s="7" t="str">
        <f>IFERROR(VLOOKUP(D38,MATERIALES!A:B,2,FALSE),"?")</f>
        <v>Termo electrico 40 lts</v>
      </c>
      <c r="F38" s="5"/>
      <c r="G38" s="11">
        <v>1</v>
      </c>
      <c r="H38" s="12">
        <v>0</v>
      </c>
      <c r="I38" s="7">
        <f>IFERROR(VLOOKUP(D38,MATERIALES!A:D,4,FALSE),0)</f>
        <v>200000</v>
      </c>
      <c r="J38" s="8">
        <f t="shared" si="0"/>
        <v>200000</v>
      </c>
      <c r="K38" s="7" t="str">
        <f t="shared" si="1"/>
        <v>PTO-0105|MAT</v>
      </c>
      <c r="L38" s="7">
        <f>COUNTIFS($K$2:K38,K38)</f>
        <v>16</v>
      </c>
      <c r="M38" s="7" t="str">
        <f t="shared" si="2"/>
        <v>PTO-0105|MAT|16</v>
      </c>
      <c r="N38" s="7">
        <f>IFERROR(VLOOKUP(A38,PARTIDAS!A:F,6,FALSE),0)</f>
        <v>1</v>
      </c>
      <c r="O38" s="7">
        <f t="shared" si="3"/>
        <v>0</v>
      </c>
      <c r="P38" s="7">
        <f>IFERROR(_xlfn.XLOOKUP(A38,PPTO_GENERADOR!$Q:$Q,PPTO_GENERADOR!$E:$E,"-",0),"-")</f>
        <v>1</v>
      </c>
    </row>
    <row r="39" spans="1:16" x14ac:dyDescent="0.35">
      <c r="A39" s="5" t="s">
        <v>814</v>
      </c>
      <c r="B39" s="5" t="s">
        <v>1202</v>
      </c>
      <c r="C39" s="5"/>
      <c r="D39" s="5" t="s">
        <v>489</v>
      </c>
      <c r="E39" s="7" t="str">
        <f>IFERROR(VLOOKUP(D39,EQUIPOS!A:B,2,FALSE),"?")</f>
        <v>Herramientas/consumibles - Obrador colgante, pañol y ducha</v>
      </c>
      <c r="F39" s="5"/>
      <c r="G39" s="11">
        <v>1</v>
      </c>
      <c r="H39" s="12">
        <v>0</v>
      </c>
      <c r="I39" s="7">
        <f>IFERROR(VLOOKUP(D39,EQUIPOS!A:C,3,FALSE),0)</f>
        <v>88757.838000000003</v>
      </c>
      <c r="J39" s="8">
        <f t="shared" si="0"/>
        <v>88757.838000000003</v>
      </c>
      <c r="K39" s="7" t="str">
        <f t="shared" si="1"/>
        <v>PTO-0105|EQ</v>
      </c>
      <c r="L39" s="7">
        <f>COUNTIFS($K$2:K39,K39)</f>
        <v>1</v>
      </c>
      <c r="M39" s="7" t="str">
        <f t="shared" si="2"/>
        <v>PTO-0105|EQ|1</v>
      </c>
      <c r="N39" s="7">
        <f>IFERROR(VLOOKUP(A39,PARTIDAS!A:F,6,FALSE),0)</f>
        <v>1</v>
      </c>
      <c r="O39" s="7">
        <f t="shared" si="3"/>
        <v>0</v>
      </c>
      <c r="P39" s="7">
        <f>IFERROR(_xlfn.XLOOKUP(A39,PPTO_GENERADOR!$Q:$Q,PPTO_GENERADOR!$E:$E,"-",0),"-")</f>
        <v>1</v>
      </c>
    </row>
    <row r="40" spans="1:16" x14ac:dyDescent="0.35">
      <c r="A40" s="5" t="s">
        <v>817</v>
      </c>
      <c r="B40" s="5" t="s">
        <v>1198</v>
      </c>
      <c r="C40" s="5" t="s">
        <v>1199</v>
      </c>
      <c r="D40" s="5" t="s">
        <v>668</v>
      </c>
      <c r="E40" s="7" t="str">
        <f>IFERROR(VLOOKUP(D40,SUBCONTRATOS_PRY!A:B,2,FALSE),"?")</f>
        <v>Baño portatil / Ducha</v>
      </c>
      <c r="F40" s="5" t="s">
        <v>1200</v>
      </c>
      <c r="G40" s="11">
        <v>1</v>
      </c>
      <c r="H40" s="12">
        <v>0</v>
      </c>
      <c r="I40" s="7">
        <f>IFERROR(VLOOKUP(D40,SUBCONTRATOS_PRY!A:D,4,FALSE),0)</f>
        <v>295488.55940000003</v>
      </c>
      <c r="J40" s="8">
        <f t="shared" si="0"/>
        <v>295488.55940000003</v>
      </c>
      <c r="K40" s="7" t="str">
        <f t="shared" si="1"/>
        <v>PTO-0106|MO</v>
      </c>
      <c r="L40" s="7">
        <f>COUNTIFS($K$2:K40,K40)</f>
        <v>1</v>
      </c>
      <c r="M40" s="7" t="str">
        <f t="shared" si="2"/>
        <v>PTO-0106|MO|1</v>
      </c>
      <c r="N40" s="7">
        <f>IFERROR(VLOOKUP(A40,PARTIDAS!A:F,6,FALSE),0)</f>
        <v>1</v>
      </c>
      <c r="O40" s="7">
        <f t="shared" si="3"/>
        <v>0</v>
      </c>
      <c r="P40" s="7">
        <f>IFERROR(_xlfn.XLOOKUP(A40,PPTO_GENERADOR!$Q:$Q,PPTO_GENERADOR!$E:$E,"-",0),"-")</f>
        <v>3</v>
      </c>
    </row>
    <row r="41" spans="1:16" x14ac:dyDescent="0.35">
      <c r="A41" s="5" t="s">
        <v>817</v>
      </c>
      <c r="B41" s="5" t="s">
        <v>1198</v>
      </c>
      <c r="C41" s="5" t="s">
        <v>1199</v>
      </c>
      <c r="D41" s="5" t="s">
        <v>670</v>
      </c>
      <c r="E41" s="7" t="str">
        <f>IFERROR(VLOOKUP(D41,SUBCONTRATOS_PRY!A:B,2,FALSE),"?")</f>
        <v>Traslado flete entrega/ retiro</v>
      </c>
      <c r="F41" s="5" t="s">
        <v>1200</v>
      </c>
      <c r="G41" s="11">
        <v>1</v>
      </c>
      <c r="H41" s="12">
        <v>0</v>
      </c>
      <c r="I41" s="7">
        <f>IFERROR(VLOOKUP(D41,SUBCONTRATOS_PRY!A:D,4,FALSE),0)</f>
        <v>16416.0311</v>
      </c>
      <c r="J41" s="8">
        <f t="shared" si="0"/>
        <v>16416.0311</v>
      </c>
      <c r="K41" s="7" t="str">
        <f t="shared" si="1"/>
        <v>PTO-0106|MO</v>
      </c>
      <c r="L41" s="7">
        <f>COUNTIFS($K$2:K41,K41)</f>
        <v>2</v>
      </c>
      <c r="M41" s="7" t="str">
        <f t="shared" si="2"/>
        <v>PTO-0106|MO|2</v>
      </c>
      <c r="N41" s="7">
        <f>IFERROR(VLOOKUP(A41,PARTIDAS!A:F,6,FALSE),0)</f>
        <v>1</v>
      </c>
      <c r="O41" s="7">
        <f t="shared" si="3"/>
        <v>0</v>
      </c>
      <c r="P41" s="7">
        <f>IFERROR(_xlfn.XLOOKUP(A41,PPTO_GENERADOR!$Q:$Q,PPTO_GENERADOR!$E:$E,"-",0),"-")</f>
        <v>3</v>
      </c>
    </row>
    <row r="42" spans="1:16" x14ac:dyDescent="0.35">
      <c r="A42" s="5" t="s">
        <v>819</v>
      </c>
      <c r="B42" s="5" t="s">
        <v>1203</v>
      </c>
      <c r="C42" s="5" t="s">
        <v>1205</v>
      </c>
      <c r="D42" s="5" t="s">
        <v>72</v>
      </c>
      <c r="E42" s="7" t="str">
        <f>IFERROR(VLOOKUP(D42,MATERIALES!A:B,2,FALSE),"?")</f>
        <v>Pilar de obra, albañileria</v>
      </c>
      <c r="F42" s="5"/>
      <c r="G42" s="11">
        <v>2</v>
      </c>
      <c r="H42" s="12">
        <v>0</v>
      </c>
      <c r="I42" s="7">
        <f>IFERROR(VLOOKUP(D42,MATERIALES!A:D,4,FALSE),0)</f>
        <v>25000</v>
      </c>
      <c r="J42" s="8">
        <f t="shared" si="0"/>
        <v>50000</v>
      </c>
      <c r="K42" s="7" t="str">
        <f t="shared" si="1"/>
        <v>PTO-0107|MAT</v>
      </c>
      <c r="L42" s="7">
        <f>COUNTIFS($K$2:K42,K42)</f>
        <v>1</v>
      </c>
      <c r="M42" s="7" t="str">
        <f t="shared" si="2"/>
        <v>PTO-0107|MAT|1</v>
      </c>
      <c r="N42" s="7">
        <f>IFERROR(VLOOKUP(A42,PARTIDAS!A:F,6,FALSE),0)</f>
        <v>1</v>
      </c>
      <c r="O42" s="7">
        <f t="shared" si="3"/>
        <v>0</v>
      </c>
      <c r="P42" s="7">
        <f>IFERROR(_xlfn.XLOOKUP(A42,PPTO_GENERADOR!$Q:$Q,PPTO_GENERADOR!$E:$E,"-",0),"-")</f>
        <v>1</v>
      </c>
    </row>
    <row r="43" spans="1:16" x14ac:dyDescent="0.35">
      <c r="A43" s="5" t="s">
        <v>819</v>
      </c>
      <c r="B43" s="5" t="s">
        <v>1198</v>
      </c>
      <c r="C43" s="5" t="s">
        <v>1201</v>
      </c>
      <c r="D43" s="5" t="s">
        <v>481</v>
      </c>
      <c r="E43" s="7" t="str">
        <f>IFERROR(VLOOKUP(D43,MANO_DE_OBRA!A:B,2,FALSE),"?")</f>
        <v>OFICIAL</v>
      </c>
      <c r="F43" s="5" t="s">
        <v>1200</v>
      </c>
      <c r="G43" s="11">
        <v>4</v>
      </c>
      <c r="H43" s="12">
        <v>0</v>
      </c>
      <c r="I43" s="7">
        <f>IFERROR(VLOOKUP(D43,MANO_DE_OBRA!A:C,3,FALSE),0)</f>
        <v>65360.25</v>
      </c>
      <c r="J43" s="8">
        <f t="shared" si="0"/>
        <v>261441</v>
      </c>
      <c r="K43" s="7" t="str">
        <f t="shared" si="1"/>
        <v>PTO-0107|MO</v>
      </c>
      <c r="L43" s="7">
        <f>COUNTIFS($K$2:K43,K43)</f>
        <v>1</v>
      </c>
      <c r="M43" s="7" t="str">
        <f t="shared" si="2"/>
        <v>PTO-0107|MO|1</v>
      </c>
      <c r="N43" s="7">
        <f>IFERROR(VLOOKUP(A43,PARTIDAS!A:F,6,FALSE),0)</f>
        <v>1</v>
      </c>
      <c r="O43" s="7">
        <f t="shared" si="3"/>
        <v>4</v>
      </c>
      <c r="P43" s="7">
        <f>IFERROR(_xlfn.XLOOKUP(A43,PPTO_GENERADOR!$Q:$Q,PPTO_GENERADOR!$E:$E,"-",0),"-")</f>
        <v>1</v>
      </c>
    </row>
    <row r="44" spans="1:16" x14ac:dyDescent="0.35">
      <c r="A44" s="5" t="s">
        <v>819</v>
      </c>
      <c r="B44" s="5" t="s">
        <v>1198</v>
      </c>
      <c r="C44" s="5" t="s">
        <v>1201</v>
      </c>
      <c r="D44" s="5" t="s">
        <v>475</v>
      </c>
      <c r="E44" s="7" t="str">
        <f>IFERROR(VLOOKUP(D44,MANO_DE_OBRA!A:B,2,FALSE),"?")</f>
        <v>AYUDANTE</v>
      </c>
      <c r="F44" s="5" t="s">
        <v>1200</v>
      </c>
      <c r="G44" s="11">
        <v>2</v>
      </c>
      <c r="H44" s="12">
        <v>0</v>
      </c>
      <c r="I44" s="7">
        <f>IFERROR(VLOOKUP(D44,MANO_DE_OBRA!A:C,3,FALSE),0)</f>
        <v>49934.239999999998</v>
      </c>
      <c r="J44" s="8">
        <f t="shared" si="0"/>
        <v>99868.479999999996</v>
      </c>
      <c r="K44" s="7" t="str">
        <f t="shared" si="1"/>
        <v>PTO-0107|MO</v>
      </c>
      <c r="L44" s="7">
        <f>COUNTIFS($K$2:K44,K44)</f>
        <v>2</v>
      </c>
      <c r="M44" s="7" t="str">
        <f t="shared" si="2"/>
        <v>PTO-0107|MO|2</v>
      </c>
      <c r="N44" s="7">
        <f>IFERROR(VLOOKUP(A44,PARTIDAS!A:F,6,FALSE),0)</f>
        <v>1</v>
      </c>
      <c r="O44" s="7">
        <f t="shared" si="3"/>
        <v>2</v>
      </c>
      <c r="P44" s="7">
        <f>IFERROR(_xlfn.XLOOKUP(A44,PPTO_GENERADOR!$Q:$Q,PPTO_GENERADOR!$E:$E,"-",0),"-")</f>
        <v>1</v>
      </c>
    </row>
    <row r="45" spans="1:16" x14ac:dyDescent="0.35">
      <c r="A45" s="5" t="s">
        <v>819</v>
      </c>
      <c r="B45" s="5" t="s">
        <v>1203</v>
      </c>
      <c r="C45" s="5" t="s">
        <v>1199</v>
      </c>
      <c r="D45" s="5" t="s">
        <v>74</v>
      </c>
      <c r="E45" s="7" t="str">
        <f>IFERROR(VLOOKUP(D45,MATERIALES!A:B,2,FALSE),"?")</f>
        <v>Kit medidor pilar Edenor Conextube</v>
      </c>
      <c r="F45" s="5"/>
      <c r="G45" s="11">
        <v>1</v>
      </c>
      <c r="H45" s="12">
        <v>0</v>
      </c>
      <c r="I45" s="7">
        <f>IFERROR(VLOOKUP(D45,MATERIALES!A:D,4,FALSE),0)</f>
        <v>150000</v>
      </c>
      <c r="J45" s="8">
        <f t="shared" si="0"/>
        <v>150000</v>
      </c>
      <c r="K45" s="7" t="str">
        <f t="shared" si="1"/>
        <v>PTO-0107|MAT</v>
      </c>
      <c r="L45" s="7">
        <f>COUNTIFS($K$2:K45,K45)</f>
        <v>2</v>
      </c>
      <c r="M45" s="7" t="str">
        <f t="shared" si="2"/>
        <v>PTO-0107|MAT|2</v>
      </c>
      <c r="N45" s="7">
        <f>IFERROR(VLOOKUP(A45,PARTIDAS!A:F,6,FALSE),0)</f>
        <v>1</v>
      </c>
      <c r="O45" s="7">
        <f t="shared" si="3"/>
        <v>0</v>
      </c>
      <c r="P45" s="7">
        <f>IFERROR(_xlfn.XLOOKUP(A45,PPTO_GENERADOR!$Q:$Q,PPTO_GENERADOR!$E:$E,"-",0),"-")</f>
        <v>1</v>
      </c>
    </row>
    <row r="46" spans="1:16" x14ac:dyDescent="0.35">
      <c r="A46" s="5" t="s">
        <v>819</v>
      </c>
      <c r="B46" s="5" t="s">
        <v>1203</v>
      </c>
      <c r="C46" s="5" t="s">
        <v>1199</v>
      </c>
      <c r="D46" s="5" t="s">
        <v>76</v>
      </c>
      <c r="E46" s="7" t="str">
        <f>IFERROR(VLOOKUP(D46,MATERIALES!A:B,2,FALSE),"?")</f>
        <v>Kit jabalina + caja + toma cable</v>
      </c>
      <c r="F46" s="5"/>
      <c r="G46" s="11">
        <v>1</v>
      </c>
      <c r="H46" s="12">
        <v>0</v>
      </c>
      <c r="I46" s="7">
        <f>IFERROR(VLOOKUP(D46,MATERIALES!A:D,4,FALSE),0)</f>
        <v>15000</v>
      </c>
      <c r="J46" s="8">
        <f t="shared" si="0"/>
        <v>15000</v>
      </c>
      <c r="K46" s="7" t="str">
        <f t="shared" si="1"/>
        <v>PTO-0107|MAT</v>
      </c>
      <c r="L46" s="7">
        <f>COUNTIFS($K$2:K46,K46)</f>
        <v>3</v>
      </c>
      <c r="M46" s="7" t="str">
        <f t="shared" si="2"/>
        <v>PTO-0107|MAT|3</v>
      </c>
      <c r="N46" s="7">
        <f>IFERROR(VLOOKUP(A46,PARTIDAS!A:F,6,FALSE),0)</f>
        <v>1</v>
      </c>
      <c r="O46" s="7">
        <f t="shared" si="3"/>
        <v>0</v>
      </c>
      <c r="P46" s="7">
        <f>IFERROR(_xlfn.XLOOKUP(A46,PPTO_GENERADOR!$Q:$Q,PPTO_GENERADOR!$E:$E,"-",0),"-")</f>
        <v>1</v>
      </c>
    </row>
    <row r="47" spans="1:16" x14ac:dyDescent="0.35">
      <c r="A47" s="5" t="s">
        <v>819</v>
      </c>
      <c r="B47" s="5" t="s">
        <v>1203</v>
      </c>
      <c r="C47" s="5" t="s">
        <v>1199</v>
      </c>
      <c r="D47" s="5" t="s">
        <v>78</v>
      </c>
      <c r="E47" s="7" t="str">
        <f>IFERROR(VLOOKUP(D47,MATERIALES!A:B,2,FALSE),"?")</f>
        <v>Cable subterraneo 5 x 10 mm2</v>
      </c>
      <c r="F47" s="5"/>
      <c r="G47" s="11">
        <v>20</v>
      </c>
      <c r="H47" s="12">
        <v>0</v>
      </c>
      <c r="I47" s="7">
        <f>IFERROR(VLOOKUP(D47,MATERIALES!A:D,4,FALSE),0)</f>
        <v>16528.925599999999</v>
      </c>
      <c r="J47" s="8">
        <f t="shared" si="0"/>
        <v>330578.51199999999</v>
      </c>
      <c r="K47" s="7" t="str">
        <f t="shared" si="1"/>
        <v>PTO-0107|MAT</v>
      </c>
      <c r="L47" s="7">
        <f>COUNTIFS($K$2:K47,K47)</f>
        <v>4</v>
      </c>
      <c r="M47" s="7" t="str">
        <f t="shared" si="2"/>
        <v>PTO-0107|MAT|4</v>
      </c>
      <c r="N47" s="7">
        <f>IFERROR(VLOOKUP(A47,PARTIDAS!A:F,6,FALSE),0)</f>
        <v>1</v>
      </c>
      <c r="O47" s="7">
        <f t="shared" si="3"/>
        <v>0</v>
      </c>
      <c r="P47" s="7">
        <f>IFERROR(_xlfn.XLOOKUP(A47,PPTO_GENERADOR!$Q:$Q,PPTO_GENERADOR!$E:$E,"-",0),"-")</f>
        <v>1</v>
      </c>
    </row>
    <row r="48" spans="1:16" x14ac:dyDescent="0.35">
      <c r="A48" s="5" t="s">
        <v>819</v>
      </c>
      <c r="B48" s="5" t="s">
        <v>1203</v>
      </c>
      <c r="C48" s="5" t="s">
        <v>1199</v>
      </c>
      <c r="D48" s="5" t="s">
        <v>80</v>
      </c>
      <c r="E48" s="7" t="str">
        <f>IFERROR(VLOOKUP(D48,MATERIALES!A:B,2,FALSE),"?")</f>
        <v>Tablero de obra</v>
      </c>
      <c r="F48" s="5"/>
      <c r="G48" s="11">
        <v>1</v>
      </c>
      <c r="H48" s="12">
        <v>0</v>
      </c>
      <c r="I48" s="7">
        <f>IFERROR(VLOOKUP(D48,MATERIALES!A:D,4,FALSE),0)</f>
        <v>300000</v>
      </c>
      <c r="J48" s="8">
        <f t="shared" si="0"/>
        <v>300000</v>
      </c>
      <c r="K48" s="7" t="str">
        <f t="shared" si="1"/>
        <v>PTO-0107|MAT</v>
      </c>
      <c r="L48" s="7">
        <f>COUNTIFS($K$2:K48,K48)</f>
        <v>5</v>
      </c>
      <c r="M48" s="7" t="str">
        <f t="shared" si="2"/>
        <v>PTO-0107|MAT|5</v>
      </c>
      <c r="N48" s="7">
        <f>IFERROR(VLOOKUP(A48,PARTIDAS!A:F,6,FALSE),0)</f>
        <v>1</v>
      </c>
      <c r="O48" s="7">
        <f t="shared" si="3"/>
        <v>0</v>
      </c>
      <c r="P48" s="7">
        <f>IFERROR(_xlfn.XLOOKUP(A48,PPTO_GENERADOR!$Q:$Q,PPTO_GENERADOR!$E:$E,"-",0),"-")</f>
        <v>1</v>
      </c>
    </row>
    <row r="49" spans="1:16" x14ac:dyDescent="0.35">
      <c r="A49" s="5" t="s">
        <v>819</v>
      </c>
      <c r="B49" s="5" t="s">
        <v>1198</v>
      </c>
      <c r="C49" s="5" t="s">
        <v>1201</v>
      </c>
      <c r="D49" s="5" t="s">
        <v>477</v>
      </c>
      <c r="E49" s="7" t="str">
        <f>IFERROR(VLOOKUP(D49,MANO_DE_OBRA!A:B,2,FALSE),"?")</f>
        <v>ESPECIALIZADO</v>
      </c>
      <c r="F49" s="5" t="s">
        <v>1200</v>
      </c>
      <c r="G49" s="11">
        <v>2</v>
      </c>
      <c r="H49" s="12">
        <v>0</v>
      </c>
      <c r="I49" s="7">
        <f>IFERROR(VLOOKUP(D49,MANO_DE_OBRA!A:C,3,FALSE),0)</f>
        <v>75113.05</v>
      </c>
      <c r="J49" s="8">
        <f t="shared" si="0"/>
        <v>150226.1</v>
      </c>
      <c r="K49" s="7" t="str">
        <f t="shared" si="1"/>
        <v>PTO-0107|MO</v>
      </c>
      <c r="L49" s="7">
        <f>COUNTIFS($K$2:K49,K49)</f>
        <v>3</v>
      </c>
      <c r="M49" s="7" t="str">
        <f t="shared" si="2"/>
        <v>PTO-0107|MO|3</v>
      </c>
      <c r="N49" s="7">
        <f>IFERROR(VLOOKUP(A49,PARTIDAS!A:F,6,FALSE),0)</f>
        <v>1</v>
      </c>
      <c r="O49" s="7">
        <f t="shared" si="3"/>
        <v>2</v>
      </c>
      <c r="P49" s="7">
        <f>IFERROR(_xlfn.XLOOKUP(A49,PPTO_GENERADOR!$Q:$Q,PPTO_GENERADOR!$E:$E,"-",0),"-")</f>
        <v>1</v>
      </c>
    </row>
    <row r="50" spans="1:16" x14ac:dyDescent="0.35">
      <c r="A50" s="5" t="s">
        <v>819</v>
      </c>
      <c r="B50" s="5" t="s">
        <v>1202</v>
      </c>
      <c r="C50" s="5"/>
      <c r="D50" s="5" t="s">
        <v>491</v>
      </c>
      <c r="E50" s="7" t="str">
        <f>IFERROR(VLOOKUP(D50,EQUIPOS!A:B,2,FALSE),"?")</f>
        <v>Herramientas/consumibles - Conexión pilar y luz de obra + Tablero d</v>
      </c>
      <c r="F50" s="5"/>
      <c r="G50" s="11">
        <v>1</v>
      </c>
      <c r="H50" s="12">
        <v>0</v>
      </c>
      <c r="I50" s="7">
        <f>IFERROR(VLOOKUP(D50,EQUIPOS!A:C,3,FALSE),0)</f>
        <v>20356.7111</v>
      </c>
      <c r="J50" s="8">
        <f t="shared" si="0"/>
        <v>20356.7111</v>
      </c>
      <c r="K50" s="7" t="str">
        <f t="shared" si="1"/>
        <v>PTO-0107|EQ</v>
      </c>
      <c r="L50" s="7">
        <f>COUNTIFS($K$2:K50,K50)</f>
        <v>1</v>
      </c>
      <c r="M50" s="7" t="str">
        <f t="shared" si="2"/>
        <v>PTO-0107|EQ|1</v>
      </c>
      <c r="N50" s="7">
        <f>IFERROR(VLOOKUP(A50,PARTIDAS!A:F,6,FALSE),0)</f>
        <v>1</v>
      </c>
      <c r="O50" s="7">
        <f t="shared" si="3"/>
        <v>0</v>
      </c>
      <c r="P50" s="7">
        <f>IFERROR(_xlfn.XLOOKUP(A50,PPTO_GENERADOR!$Q:$Q,PPTO_GENERADOR!$E:$E,"-",0),"-")</f>
        <v>1</v>
      </c>
    </row>
    <row r="51" spans="1:16" x14ac:dyDescent="0.35">
      <c r="A51" s="5" t="s">
        <v>821</v>
      </c>
      <c r="B51" s="5" t="s">
        <v>1203</v>
      </c>
      <c r="C51" s="5" t="s">
        <v>1199</v>
      </c>
      <c r="D51" s="5" t="s">
        <v>82</v>
      </c>
      <c r="E51" s="7" t="str">
        <f>IFERROR(VLOOKUP(D51,MATERIALES!A:B,2,FALSE),"?")</f>
        <v>Tanque de Bombeo 500 lts (reutilizado)</v>
      </c>
      <c r="F51" s="5"/>
      <c r="G51" s="11">
        <v>1</v>
      </c>
      <c r="H51" s="12">
        <v>0</v>
      </c>
      <c r="I51" s="7">
        <f>IFERROR(VLOOKUP(D51,MATERIALES!A:D,4,FALSE),0)</f>
        <v>150000</v>
      </c>
      <c r="J51" s="8">
        <f t="shared" si="0"/>
        <v>150000</v>
      </c>
      <c r="K51" s="7" t="str">
        <f t="shared" si="1"/>
        <v>PTO-0108|MAT</v>
      </c>
      <c r="L51" s="7">
        <f>COUNTIFS($K$2:K51,K51)</f>
        <v>1</v>
      </c>
      <c r="M51" s="7" t="str">
        <f t="shared" si="2"/>
        <v>PTO-0108|MAT|1</v>
      </c>
      <c r="N51" s="7">
        <f>IFERROR(VLOOKUP(A51,PARTIDAS!A:F,6,FALSE),0)</f>
        <v>1</v>
      </c>
      <c r="O51" s="7">
        <f t="shared" si="3"/>
        <v>0</v>
      </c>
      <c r="P51" s="7">
        <f>IFERROR(_xlfn.XLOOKUP(A51,PPTO_GENERADOR!$Q:$Q,PPTO_GENERADOR!$E:$E,"-",0),"-")</f>
        <v>1</v>
      </c>
    </row>
    <row r="52" spans="1:16" x14ac:dyDescent="0.35">
      <c r="A52" s="5" t="s">
        <v>821</v>
      </c>
      <c r="B52" s="5" t="s">
        <v>1203</v>
      </c>
      <c r="C52" s="5" t="s">
        <v>1199</v>
      </c>
      <c r="D52" s="5" t="s">
        <v>84</v>
      </c>
      <c r="E52" s="7" t="str">
        <f>IFERROR(VLOOKUP(D52,MATERIALES!A:B,2,FALSE),"?")</f>
        <v>Bomba pres (reutilizada)</v>
      </c>
      <c r="F52" s="5"/>
      <c r="G52" s="11">
        <v>1</v>
      </c>
      <c r="H52" s="12">
        <v>0</v>
      </c>
      <c r="I52" s="7">
        <f>IFERROR(VLOOKUP(D52,MATERIALES!A:D,4,FALSE),0)</f>
        <v>200000</v>
      </c>
      <c r="J52" s="8">
        <f t="shared" si="0"/>
        <v>200000</v>
      </c>
      <c r="K52" s="7" t="str">
        <f t="shared" si="1"/>
        <v>PTO-0108|MAT</v>
      </c>
      <c r="L52" s="7">
        <f>COUNTIFS($K$2:K52,K52)</f>
        <v>2</v>
      </c>
      <c r="M52" s="7" t="str">
        <f t="shared" si="2"/>
        <v>PTO-0108|MAT|2</v>
      </c>
      <c r="N52" s="7">
        <f>IFERROR(VLOOKUP(A52,PARTIDAS!A:F,6,FALSE),0)</f>
        <v>1</v>
      </c>
      <c r="O52" s="7">
        <f t="shared" si="3"/>
        <v>0</v>
      </c>
      <c r="P52" s="7">
        <f>IFERROR(_xlfn.XLOOKUP(A52,PPTO_GENERADOR!$Q:$Q,PPTO_GENERADOR!$E:$E,"-",0),"-")</f>
        <v>1</v>
      </c>
    </row>
    <row r="53" spans="1:16" x14ac:dyDescent="0.35">
      <c r="A53" s="5" t="s">
        <v>821</v>
      </c>
      <c r="B53" s="5" t="s">
        <v>1203</v>
      </c>
      <c r="C53" s="5" t="s">
        <v>1199</v>
      </c>
      <c r="D53" s="5" t="s">
        <v>86</v>
      </c>
      <c r="E53" s="7" t="str">
        <f>IFERROR(VLOOKUP(D53,MATERIALES!A:B,2,FALSE),"?")</f>
        <v>Flotante mecanico 1" + boya</v>
      </c>
      <c r="F53" s="5"/>
      <c r="G53" s="11">
        <v>1</v>
      </c>
      <c r="H53" s="12">
        <v>0</v>
      </c>
      <c r="I53" s="7">
        <f>IFERROR(VLOOKUP(D53,MATERIALES!A:D,4,FALSE),0)</f>
        <v>50000</v>
      </c>
      <c r="J53" s="8">
        <f t="shared" si="0"/>
        <v>50000</v>
      </c>
      <c r="K53" s="7" t="str">
        <f t="shared" si="1"/>
        <v>PTO-0108|MAT</v>
      </c>
      <c r="L53" s="7">
        <f>COUNTIFS($K$2:K53,K53)</f>
        <v>3</v>
      </c>
      <c r="M53" s="7" t="str">
        <f t="shared" si="2"/>
        <v>PTO-0108|MAT|3</v>
      </c>
      <c r="N53" s="7">
        <f>IFERROR(VLOOKUP(A53,PARTIDAS!A:F,6,FALSE),0)</f>
        <v>1</v>
      </c>
      <c r="O53" s="7">
        <f t="shared" si="3"/>
        <v>0</v>
      </c>
      <c r="P53" s="7">
        <f>IFERROR(_xlfn.XLOOKUP(A53,PPTO_GENERADOR!$Q:$Q,PPTO_GENERADOR!$E:$E,"-",0),"-")</f>
        <v>1</v>
      </c>
    </row>
    <row r="54" spans="1:16" x14ac:dyDescent="0.35">
      <c r="A54" s="5" t="s">
        <v>821</v>
      </c>
      <c r="B54" s="5" t="s">
        <v>1203</v>
      </c>
      <c r="C54" s="5" t="s">
        <v>1199</v>
      </c>
      <c r="D54" s="5" t="s">
        <v>88</v>
      </c>
      <c r="E54" s="7" t="str">
        <f>IFERROR(VLOOKUP(D54,MATERIALES!A:B,2,FALSE),"?")</f>
        <v>Flotante automatico</v>
      </c>
      <c r="F54" s="5"/>
      <c r="G54" s="11">
        <v>1</v>
      </c>
      <c r="H54" s="12">
        <v>0</v>
      </c>
      <c r="I54" s="7">
        <f>IFERROR(VLOOKUP(D54,MATERIALES!A:D,4,FALSE),0)</f>
        <v>10000</v>
      </c>
      <c r="J54" s="8">
        <f t="shared" si="0"/>
        <v>10000</v>
      </c>
      <c r="K54" s="7" t="str">
        <f t="shared" si="1"/>
        <v>PTO-0108|MAT</v>
      </c>
      <c r="L54" s="7">
        <f>COUNTIFS($K$2:K54,K54)</f>
        <v>4</v>
      </c>
      <c r="M54" s="7" t="str">
        <f t="shared" si="2"/>
        <v>PTO-0108|MAT|4</v>
      </c>
      <c r="N54" s="7">
        <f>IFERROR(VLOOKUP(A54,PARTIDAS!A:F,6,FALSE),0)</f>
        <v>1</v>
      </c>
      <c r="O54" s="7">
        <f t="shared" si="3"/>
        <v>0</v>
      </c>
      <c r="P54" s="7">
        <f>IFERROR(_xlfn.XLOOKUP(A54,PPTO_GENERADOR!$Q:$Q,PPTO_GENERADOR!$E:$E,"-",0),"-")</f>
        <v>1</v>
      </c>
    </row>
    <row r="55" spans="1:16" x14ac:dyDescent="0.35">
      <c r="A55" s="5" t="s">
        <v>821</v>
      </c>
      <c r="B55" s="5" t="s">
        <v>1203</v>
      </c>
      <c r="C55" s="5" t="s">
        <v>1199</v>
      </c>
      <c r="D55" s="5" t="s">
        <v>90</v>
      </c>
      <c r="E55" s="7" t="str">
        <f>IFERROR(VLOOKUP(D55,MATERIALES!A:B,2,FALSE),"?")</f>
        <v>Caño 3/4"</v>
      </c>
      <c r="F55" s="5"/>
      <c r="G55" s="11">
        <v>10</v>
      </c>
      <c r="H55" s="12">
        <v>0</v>
      </c>
      <c r="I55" s="7">
        <f>IFERROR(VLOOKUP(D55,MATERIALES!A:D,4,FALSE),0)</f>
        <v>10000</v>
      </c>
      <c r="J55" s="8">
        <f t="shared" si="0"/>
        <v>100000</v>
      </c>
      <c r="K55" s="7" t="str">
        <f t="shared" si="1"/>
        <v>PTO-0108|MAT</v>
      </c>
      <c r="L55" s="7">
        <f>COUNTIFS($K$2:K55,K55)</f>
        <v>5</v>
      </c>
      <c r="M55" s="7" t="str">
        <f t="shared" si="2"/>
        <v>PTO-0108|MAT|5</v>
      </c>
      <c r="N55" s="7">
        <f>IFERROR(VLOOKUP(A55,PARTIDAS!A:F,6,FALSE),0)</f>
        <v>1</v>
      </c>
      <c r="O55" s="7">
        <f t="shared" si="3"/>
        <v>0</v>
      </c>
      <c r="P55" s="7">
        <f>IFERROR(_xlfn.XLOOKUP(A55,PPTO_GENERADOR!$Q:$Q,PPTO_GENERADOR!$E:$E,"-",0),"-")</f>
        <v>1</v>
      </c>
    </row>
    <row r="56" spans="1:16" x14ac:dyDescent="0.35">
      <c r="A56" s="5" t="s">
        <v>821</v>
      </c>
      <c r="B56" s="5" t="s">
        <v>1203</v>
      </c>
      <c r="C56" s="5" t="s">
        <v>1199</v>
      </c>
      <c r="D56" s="5" t="s">
        <v>92</v>
      </c>
      <c r="E56" s="7" t="str">
        <f>IFERROR(VLOOKUP(D56,MATERIALES!A:B,2,FALSE),"?")</f>
        <v>Val. esf doble media union 1"</v>
      </c>
      <c r="F56" s="5"/>
      <c r="G56" s="11">
        <v>3</v>
      </c>
      <c r="H56" s="12">
        <v>0</v>
      </c>
      <c r="I56" s="7">
        <f>IFERROR(VLOOKUP(D56,MATERIALES!A:D,4,FALSE),0)</f>
        <v>15000</v>
      </c>
      <c r="J56" s="8">
        <f t="shared" si="0"/>
        <v>45000</v>
      </c>
      <c r="K56" s="7" t="str">
        <f t="shared" si="1"/>
        <v>PTO-0108|MAT</v>
      </c>
      <c r="L56" s="7">
        <f>COUNTIFS($K$2:K56,K56)</f>
        <v>6</v>
      </c>
      <c r="M56" s="7" t="str">
        <f t="shared" si="2"/>
        <v>PTO-0108|MAT|6</v>
      </c>
      <c r="N56" s="7">
        <f>IFERROR(VLOOKUP(A56,PARTIDAS!A:F,6,FALSE),0)</f>
        <v>1</v>
      </c>
      <c r="O56" s="7">
        <f t="shared" si="3"/>
        <v>0</v>
      </c>
      <c r="P56" s="7">
        <f>IFERROR(_xlfn.XLOOKUP(A56,PPTO_GENERADOR!$Q:$Q,PPTO_GENERADOR!$E:$E,"-",0),"-")</f>
        <v>1</v>
      </c>
    </row>
    <row r="57" spans="1:16" x14ac:dyDescent="0.35">
      <c r="A57" s="5" t="s">
        <v>821</v>
      </c>
      <c r="B57" s="5" t="s">
        <v>1203</v>
      </c>
      <c r="C57" s="5" t="s">
        <v>1199</v>
      </c>
      <c r="D57" s="5" t="s">
        <v>94</v>
      </c>
      <c r="E57" s="7" t="str">
        <f>IFERROR(VLOOKUP(D57,MATERIALES!A:B,2,FALSE),"?")</f>
        <v>Canilla de pvc</v>
      </c>
      <c r="F57" s="5"/>
      <c r="G57" s="11">
        <v>6</v>
      </c>
      <c r="H57" s="12">
        <v>0</v>
      </c>
      <c r="I57" s="7">
        <f>IFERROR(VLOOKUP(D57,MATERIALES!A:D,4,FALSE),0)</f>
        <v>2000</v>
      </c>
      <c r="J57" s="8">
        <f t="shared" si="0"/>
        <v>12000</v>
      </c>
      <c r="K57" s="7" t="str">
        <f t="shared" si="1"/>
        <v>PTO-0108|MAT</v>
      </c>
      <c r="L57" s="7">
        <f>COUNTIFS($K$2:K57,K57)</f>
        <v>7</v>
      </c>
      <c r="M57" s="7" t="str">
        <f t="shared" si="2"/>
        <v>PTO-0108|MAT|7</v>
      </c>
      <c r="N57" s="7">
        <f>IFERROR(VLOOKUP(A57,PARTIDAS!A:F,6,FALSE),0)</f>
        <v>1</v>
      </c>
      <c r="O57" s="7">
        <f t="shared" si="3"/>
        <v>0</v>
      </c>
      <c r="P57" s="7">
        <f>IFERROR(_xlfn.XLOOKUP(A57,PPTO_GENERADOR!$Q:$Q,PPTO_GENERADOR!$E:$E,"-",0),"-")</f>
        <v>1</v>
      </c>
    </row>
    <row r="58" spans="1:16" x14ac:dyDescent="0.35">
      <c r="A58" s="5" t="s">
        <v>821</v>
      </c>
      <c r="B58" s="5" t="s">
        <v>1203</v>
      </c>
      <c r="C58" s="5" t="s">
        <v>1199</v>
      </c>
      <c r="D58" s="5" t="s">
        <v>96</v>
      </c>
      <c r="E58" s="7" t="str">
        <f>IFERROR(VLOOKUP(D58,MATERIALES!A:B,2,FALSE),"?")</f>
        <v>Desperdicio</v>
      </c>
      <c r="F58" s="5"/>
      <c r="G58" s="11">
        <v>0.2</v>
      </c>
      <c r="H58" s="12">
        <v>0</v>
      </c>
      <c r="I58" s="7">
        <f>IFERROR(VLOOKUP(D58,MATERIALES!A:D,4,FALSE),0)</f>
        <v>567000</v>
      </c>
      <c r="J58" s="8">
        <f t="shared" si="0"/>
        <v>113400</v>
      </c>
      <c r="K58" s="7" t="str">
        <f t="shared" si="1"/>
        <v>PTO-0108|MAT</v>
      </c>
      <c r="L58" s="7">
        <f>COUNTIFS($K$2:K58,K58)</f>
        <v>8</v>
      </c>
      <c r="M58" s="7" t="str">
        <f t="shared" si="2"/>
        <v>PTO-0108|MAT|8</v>
      </c>
      <c r="N58" s="7">
        <f>IFERROR(VLOOKUP(A58,PARTIDAS!A:F,6,FALSE),0)</f>
        <v>1</v>
      </c>
      <c r="O58" s="7">
        <f t="shared" si="3"/>
        <v>0</v>
      </c>
      <c r="P58" s="7">
        <f>IFERROR(_xlfn.XLOOKUP(A58,PPTO_GENERADOR!$Q:$Q,PPTO_GENERADOR!$E:$E,"-",0),"-")</f>
        <v>1</v>
      </c>
    </row>
    <row r="59" spans="1:16" x14ac:dyDescent="0.35">
      <c r="A59" s="5" t="s">
        <v>821</v>
      </c>
      <c r="B59" s="5" t="s">
        <v>1198</v>
      </c>
      <c r="C59" s="5" t="s">
        <v>1201</v>
      </c>
      <c r="D59" s="5" t="s">
        <v>477</v>
      </c>
      <c r="E59" s="7" t="str">
        <f>IFERROR(VLOOKUP(D59,MANO_DE_OBRA!A:B,2,FALSE),"?")</f>
        <v>ESPECIALIZADO</v>
      </c>
      <c r="F59" s="5" t="s">
        <v>1200</v>
      </c>
      <c r="G59" s="11">
        <v>3</v>
      </c>
      <c r="H59" s="12">
        <v>0</v>
      </c>
      <c r="I59" s="7">
        <f>IFERROR(VLOOKUP(D59,MANO_DE_OBRA!A:C,3,FALSE),0)</f>
        <v>75113.05</v>
      </c>
      <c r="J59" s="8">
        <f t="shared" si="0"/>
        <v>225339.15000000002</v>
      </c>
      <c r="K59" s="7" t="str">
        <f t="shared" si="1"/>
        <v>PTO-0108|MO</v>
      </c>
      <c r="L59" s="7">
        <f>COUNTIFS($K$2:K59,K59)</f>
        <v>1</v>
      </c>
      <c r="M59" s="7" t="str">
        <f t="shared" si="2"/>
        <v>PTO-0108|MO|1</v>
      </c>
      <c r="N59" s="7">
        <f>IFERROR(VLOOKUP(A59,PARTIDAS!A:F,6,FALSE),0)</f>
        <v>1</v>
      </c>
      <c r="O59" s="7">
        <f t="shared" si="3"/>
        <v>3</v>
      </c>
      <c r="P59" s="7">
        <f>IFERROR(_xlfn.XLOOKUP(A59,PPTO_GENERADOR!$Q:$Q,PPTO_GENERADOR!$E:$E,"-",0),"-")</f>
        <v>1</v>
      </c>
    </row>
    <row r="60" spans="1:16" x14ac:dyDescent="0.35">
      <c r="A60" s="5" t="s">
        <v>821</v>
      </c>
      <c r="B60" s="5" t="s">
        <v>1198</v>
      </c>
      <c r="C60" s="5" t="s">
        <v>1201</v>
      </c>
      <c r="D60" s="5" t="s">
        <v>481</v>
      </c>
      <c r="E60" s="7" t="str">
        <f>IFERROR(VLOOKUP(D60,MANO_DE_OBRA!A:B,2,FALSE),"?")</f>
        <v>OFICIAL</v>
      </c>
      <c r="F60" s="5" t="s">
        <v>1200</v>
      </c>
      <c r="G60" s="11">
        <v>3</v>
      </c>
      <c r="H60" s="12">
        <v>0</v>
      </c>
      <c r="I60" s="7">
        <f>IFERROR(VLOOKUP(D60,MANO_DE_OBRA!A:C,3,FALSE),0)</f>
        <v>65360.25</v>
      </c>
      <c r="J60" s="8">
        <f t="shared" si="0"/>
        <v>196080.75</v>
      </c>
      <c r="K60" s="7" t="str">
        <f t="shared" si="1"/>
        <v>PTO-0108|MO</v>
      </c>
      <c r="L60" s="7">
        <f>COUNTIFS($K$2:K60,K60)</f>
        <v>2</v>
      </c>
      <c r="M60" s="7" t="str">
        <f t="shared" si="2"/>
        <v>PTO-0108|MO|2</v>
      </c>
      <c r="N60" s="7">
        <f>IFERROR(VLOOKUP(A60,PARTIDAS!A:F,6,FALSE),0)</f>
        <v>1</v>
      </c>
      <c r="O60" s="7">
        <f t="shared" si="3"/>
        <v>3</v>
      </c>
      <c r="P60" s="7">
        <f>IFERROR(_xlfn.XLOOKUP(A60,PPTO_GENERADOR!$Q:$Q,PPTO_GENERADOR!$E:$E,"-",0),"-")</f>
        <v>1</v>
      </c>
    </row>
    <row r="61" spans="1:16" x14ac:dyDescent="0.35">
      <c r="A61" s="5" t="s">
        <v>821</v>
      </c>
      <c r="B61" s="5" t="s">
        <v>1202</v>
      </c>
      <c r="C61" s="5"/>
      <c r="D61" s="5" t="s">
        <v>493</v>
      </c>
      <c r="E61" s="7" t="str">
        <f>IFERROR(VLOOKUP(D61,EQUIPOS!A:B,2,FALSE),"?")</f>
        <v>Herramientas/consumibles - Conexión agua de obra, tanque + bomba</v>
      </c>
      <c r="F61" s="5"/>
      <c r="G61" s="11">
        <v>1</v>
      </c>
      <c r="H61" s="12">
        <v>0</v>
      </c>
      <c r="I61" s="7">
        <f>IFERROR(VLOOKUP(D61,EQUIPOS!A:C,3,FALSE),0)</f>
        <v>16527.298299999999</v>
      </c>
      <c r="J61" s="8">
        <f t="shared" si="0"/>
        <v>16527.298299999999</v>
      </c>
      <c r="K61" s="7" t="str">
        <f t="shared" si="1"/>
        <v>PTO-0108|EQ</v>
      </c>
      <c r="L61" s="7">
        <f>COUNTIFS($K$2:K61,K61)</f>
        <v>1</v>
      </c>
      <c r="M61" s="7" t="str">
        <f t="shared" si="2"/>
        <v>PTO-0108|EQ|1</v>
      </c>
      <c r="N61" s="7">
        <f>IFERROR(VLOOKUP(A61,PARTIDAS!A:F,6,FALSE),0)</f>
        <v>1</v>
      </c>
      <c r="O61" s="7">
        <f t="shared" si="3"/>
        <v>0</v>
      </c>
      <c r="P61" s="7">
        <f>IFERROR(_xlfn.XLOOKUP(A61,PPTO_GENERADOR!$Q:$Q,PPTO_GENERADOR!$E:$E,"-",0),"-")</f>
        <v>1</v>
      </c>
    </row>
    <row r="62" spans="1:16" x14ac:dyDescent="0.35">
      <c r="A62" s="5" t="s">
        <v>823</v>
      </c>
      <c r="B62" s="5" t="s">
        <v>1198</v>
      </c>
      <c r="C62" s="5" t="s">
        <v>1199</v>
      </c>
      <c r="D62" s="5" t="s">
        <v>672</v>
      </c>
      <c r="E62" s="7" t="str">
        <f>IFERROR(VLOOKUP(D62,SUBCONTRATOS_PRY!A:B,2,FALSE),"?")</f>
        <v>Gestion suministros luz de obra</v>
      </c>
      <c r="F62" s="5" t="s">
        <v>1200</v>
      </c>
      <c r="G62" s="11">
        <v>0.79478826999999996</v>
      </c>
      <c r="H62" s="12">
        <v>0</v>
      </c>
      <c r="I62" s="7">
        <f>IFERROR(VLOOKUP(D62,SUBCONTRATOS_PRY!A:D,4,FALSE),0)</f>
        <v>139065.91810000001</v>
      </c>
      <c r="J62" s="8">
        <f t="shared" si="0"/>
        <v>110527.96046266069</v>
      </c>
      <c r="K62" s="7" t="str">
        <f t="shared" si="1"/>
        <v>PTO-0109|MO</v>
      </c>
      <c r="L62" s="7">
        <f>COUNTIFS($K$2:K62,K62)</f>
        <v>1</v>
      </c>
      <c r="M62" s="7" t="str">
        <f t="shared" si="2"/>
        <v>PTO-0109|MO|1</v>
      </c>
      <c r="N62" s="7">
        <f>IFERROR(VLOOKUP(A62,PARTIDAS!A:F,6,FALSE),0)</f>
        <v>1</v>
      </c>
      <c r="O62" s="7">
        <f t="shared" si="3"/>
        <v>0</v>
      </c>
      <c r="P62" s="7">
        <f>IFERROR(_xlfn.XLOOKUP(A62,PPTO_GENERADOR!$Q:$Q,PPTO_GENERADOR!$E:$E,"-",0),"-")</f>
        <v>1</v>
      </c>
    </row>
    <row r="63" spans="1:16" x14ac:dyDescent="0.35">
      <c r="A63" s="5" t="s">
        <v>823</v>
      </c>
      <c r="B63" s="5" t="s">
        <v>1198</v>
      </c>
      <c r="C63" s="5" t="s">
        <v>1199</v>
      </c>
      <c r="D63" s="5" t="s">
        <v>674</v>
      </c>
      <c r="E63" s="7" t="str">
        <f>IFERROR(VLOOKUP(D63,SUBCONTRATOS_PRY!A:B,2,FALSE),"?")</f>
        <v>Luz de Obra</v>
      </c>
      <c r="F63" s="5" t="s">
        <v>1200</v>
      </c>
      <c r="G63" s="11">
        <v>1.5895765500000001</v>
      </c>
      <c r="H63" s="12">
        <v>0</v>
      </c>
      <c r="I63" s="7">
        <f>IFERROR(VLOOKUP(D63,SUBCONTRATOS_PRY!A:D,4,FALSE),0)</f>
        <v>100127.461</v>
      </c>
      <c r="J63" s="8">
        <f t="shared" si="0"/>
        <v>159160.26401663956</v>
      </c>
      <c r="K63" s="7" t="str">
        <f t="shared" si="1"/>
        <v>PTO-0109|MO</v>
      </c>
      <c r="L63" s="7">
        <f>COUNTIFS($K$2:K63,K63)</f>
        <v>2</v>
      </c>
      <c r="M63" s="7" t="str">
        <f t="shared" si="2"/>
        <v>PTO-0109|MO|2</v>
      </c>
      <c r="N63" s="7">
        <f>IFERROR(VLOOKUP(A63,PARTIDAS!A:F,6,FALSE),0)</f>
        <v>1</v>
      </c>
      <c r="O63" s="7">
        <f t="shared" si="3"/>
        <v>0</v>
      </c>
      <c r="P63" s="7">
        <f>IFERROR(_xlfn.XLOOKUP(A63,PPTO_GENERADOR!$Q:$Q,PPTO_GENERADOR!$E:$E,"-",0),"-")</f>
        <v>1</v>
      </c>
    </row>
    <row r="64" spans="1:16" x14ac:dyDescent="0.35">
      <c r="A64" s="5" t="s">
        <v>823</v>
      </c>
      <c r="B64" s="5" t="s">
        <v>1198</v>
      </c>
      <c r="C64" s="5" t="s">
        <v>1199</v>
      </c>
      <c r="D64" s="5" t="s">
        <v>676</v>
      </c>
      <c r="E64" s="7" t="str">
        <f>IFERROR(VLOOKUP(D64,SUBCONTRATOS_PRY!A:B,2,FALSE),"?")</f>
        <v>Medicion PAT luz de obra</v>
      </c>
      <c r="F64" s="5" t="s">
        <v>1200</v>
      </c>
      <c r="G64" s="11">
        <v>0.79478826999999996</v>
      </c>
      <c r="H64" s="12">
        <v>0</v>
      </c>
      <c r="I64" s="7">
        <f>IFERROR(VLOOKUP(D64,SUBCONTRATOS_PRY!A:D,4,FALSE),0)</f>
        <v>87611.528399999996</v>
      </c>
      <c r="J64" s="8">
        <f t="shared" si="0"/>
        <v>69632.615089091865</v>
      </c>
      <c r="K64" s="7" t="str">
        <f t="shared" si="1"/>
        <v>PTO-0109|MO</v>
      </c>
      <c r="L64" s="7">
        <f>COUNTIFS($K$2:K64,K64)</f>
        <v>3</v>
      </c>
      <c r="M64" s="7" t="str">
        <f t="shared" si="2"/>
        <v>PTO-0109|MO|3</v>
      </c>
      <c r="N64" s="7">
        <f>IFERROR(VLOOKUP(A64,PARTIDAS!A:F,6,FALSE),0)</f>
        <v>1</v>
      </c>
      <c r="O64" s="7">
        <f t="shared" si="3"/>
        <v>0</v>
      </c>
      <c r="P64" s="7">
        <f>IFERROR(_xlfn.XLOOKUP(A64,PPTO_GENERADOR!$Q:$Q,PPTO_GENERADOR!$E:$E,"-",0),"-")</f>
        <v>1</v>
      </c>
    </row>
    <row r="65" spans="1:16" x14ac:dyDescent="0.35">
      <c r="A65" s="5" t="s">
        <v>825</v>
      </c>
      <c r="B65" s="5" t="s">
        <v>1198</v>
      </c>
      <c r="C65" s="5" t="s">
        <v>1199</v>
      </c>
      <c r="D65" s="5" t="s">
        <v>678</v>
      </c>
      <c r="E65" s="7" t="str">
        <f>IFERROR(VLOOKUP(D65,SUBCONTRATOS_PRY!A:B,2,FALSE),"?")</f>
        <v>Total de Obra (3 perforaciones)</v>
      </c>
      <c r="F65" s="5" t="s">
        <v>1200</v>
      </c>
      <c r="G65" s="11">
        <v>1</v>
      </c>
      <c r="H65" s="12">
        <v>0</v>
      </c>
      <c r="I65" s="7">
        <f>IFERROR(VLOOKUP(D65,SUBCONTRATOS_PRY!A:D,4,FALSE),0)</f>
        <v>7800000</v>
      </c>
      <c r="J65" s="8">
        <f t="shared" si="0"/>
        <v>7800000</v>
      </c>
      <c r="K65" s="7" t="str">
        <f t="shared" si="1"/>
        <v>PTO-0110|MO</v>
      </c>
      <c r="L65" s="7">
        <f>COUNTIFS($K$2:K65,K65)</f>
        <v>1</v>
      </c>
      <c r="M65" s="7" t="str">
        <f t="shared" si="2"/>
        <v>PTO-0110|MO|1</v>
      </c>
      <c r="N65" s="7">
        <f>IFERROR(VLOOKUP(A65,PARTIDAS!A:F,6,FALSE),0)</f>
        <v>1</v>
      </c>
      <c r="O65" s="7">
        <f t="shared" si="3"/>
        <v>0</v>
      </c>
      <c r="P65" s="7">
        <f>IFERROR(_xlfn.XLOOKUP(A65,PPTO_GENERADOR!$Q:$Q,PPTO_GENERADOR!$E:$E,"-",0),"-")</f>
        <v>1</v>
      </c>
    </row>
    <row r="66" spans="1:16" x14ac:dyDescent="0.35">
      <c r="A66" s="5" t="s">
        <v>829</v>
      </c>
      <c r="B66" s="5" t="s">
        <v>1198</v>
      </c>
      <c r="C66" s="5" t="s">
        <v>1199</v>
      </c>
      <c r="D66" s="5" t="s">
        <v>680</v>
      </c>
      <c r="E66" s="7" t="str">
        <f>IFERROR(VLOOKUP(D66,SUBCONTRATOS_PRY!A:B,2,FALSE),"?")</f>
        <v>Desmonte, retiro, aporte y compactación e: 40 cm</v>
      </c>
      <c r="F66" s="5" t="s">
        <v>1200</v>
      </c>
      <c r="G66" s="11">
        <v>1.1499999999999999</v>
      </c>
      <c r="H66" s="12">
        <v>0</v>
      </c>
      <c r="I66" s="7">
        <f>IFERROR(VLOOKUP(D66,SUBCONTRATOS_PRY!A:D,4,FALSE),0)</f>
        <v>16000</v>
      </c>
      <c r="J66" s="8">
        <f t="shared" ref="J66:J129" si="4">G66*I66*(1+H66)</f>
        <v>18400</v>
      </c>
      <c r="K66" s="7" t="str">
        <f t="shared" ref="K66:K129" si="5">A66&amp;"|"&amp;B66</f>
        <v>PTO-0201|MO</v>
      </c>
      <c r="L66" s="7">
        <f>COUNTIFS($K$2:K66,K66)</f>
        <v>1</v>
      </c>
      <c r="M66" s="7" t="str">
        <f t="shared" ref="M66:M129" si="6">K66&amp;"|"&amp;L66</f>
        <v>PTO-0201|MO|1</v>
      </c>
      <c r="N66" s="7">
        <f>IFERROR(VLOOKUP(A66,PARTIDAS!A:F,6,FALSE),0)</f>
        <v>1</v>
      </c>
      <c r="O66" s="7">
        <f t="shared" ref="O66:O129" si="7">IF(C66="ALB",IF(N66=0,0,G66/N66),0)</f>
        <v>0</v>
      </c>
      <c r="P66" s="7">
        <f>IFERROR(_xlfn.XLOOKUP(A66,PPTO_GENERADOR!$Q:$Q,PPTO_GENERADOR!$E:$E,"-",0),"-")</f>
        <v>1266</v>
      </c>
    </row>
    <row r="67" spans="1:16" x14ac:dyDescent="0.35">
      <c r="A67" s="5" t="s">
        <v>829</v>
      </c>
      <c r="B67" s="5" t="s">
        <v>1198</v>
      </c>
      <c r="C67" s="5" t="s">
        <v>1201</v>
      </c>
      <c r="D67" s="5" t="s">
        <v>475</v>
      </c>
      <c r="E67" s="7" t="str">
        <f>IFERROR(VLOOKUP(D67,MANO_DE_OBRA!A:B,2,FALSE),"?")</f>
        <v>AYUDANTE</v>
      </c>
      <c r="F67" s="5" t="s">
        <v>1200</v>
      </c>
      <c r="G67" s="11">
        <v>0.15639810000000001</v>
      </c>
      <c r="H67" s="12">
        <v>0</v>
      </c>
      <c r="I67" s="7">
        <f>IFERROR(VLOOKUP(D67,MANO_DE_OBRA!A:C,3,FALSE),0)</f>
        <v>49934.239999999998</v>
      </c>
      <c r="J67" s="8">
        <f t="shared" si="4"/>
        <v>7809.6202609440006</v>
      </c>
      <c r="K67" s="7" t="str">
        <f t="shared" si="5"/>
        <v>PTO-0201|MO</v>
      </c>
      <c r="L67" s="7">
        <f>COUNTIFS($K$2:K67,K67)</f>
        <v>2</v>
      </c>
      <c r="M67" s="7" t="str">
        <f t="shared" si="6"/>
        <v>PTO-0201|MO|2</v>
      </c>
      <c r="N67" s="7">
        <f>IFERROR(VLOOKUP(A67,PARTIDAS!A:F,6,FALSE),0)</f>
        <v>1</v>
      </c>
      <c r="O67" s="7">
        <f t="shared" si="7"/>
        <v>0.15639810000000001</v>
      </c>
      <c r="P67" s="7">
        <f>IFERROR(_xlfn.XLOOKUP(A67,PPTO_GENERADOR!$Q:$Q,PPTO_GENERADOR!$E:$E,"-",0),"-")</f>
        <v>1266</v>
      </c>
    </row>
    <row r="68" spans="1:16" x14ac:dyDescent="0.35">
      <c r="A68" s="5" t="s">
        <v>829</v>
      </c>
      <c r="B68" s="5" t="s">
        <v>1202</v>
      </c>
      <c r="C68" s="5"/>
      <c r="D68" s="5" t="s">
        <v>495</v>
      </c>
      <c r="E68" s="7" t="str">
        <f>IFERROR(VLOOKUP(D68,EQUIPOS!A:B,2,FALSE),"?")</f>
        <v xml:space="preserve">Herramientas/consumibles - Excavación a maquina para submuración y </v>
      </c>
      <c r="F68" s="5"/>
      <c r="G68" s="11">
        <v>1</v>
      </c>
      <c r="H68" s="12">
        <v>0</v>
      </c>
      <c r="I68" s="7">
        <f>IFERROR(VLOOKUP(D68,EQUIPOS!A:C,3,FALSE),0)</f>
        <v>117.1443</v>
      </c>
      <c r="J68" s="8">
        <f t="shared" si="4"/>
        <v>117.1443</v>
      </c>
      <c r="K68" s="7" t="str">
        <f t="shared" si="5"/>
        <v>PTO-0201|EQ</v>
      </c>
      <c r="L68" s="7">
        <f>COUNTIFS($K$2:K68,K68)</f>
        <v>1</v>
      </c>
      <c r="M68" s="7" t="str">
        <f t="shared" si="6"/>
        <v>PTO-0201|EQ|1</v>
      </c>
      <c r="N68" s="7">
        <f>IFERROR(VLOOKUP(A68,PARTIDAS!A:F,6,FALSE),0)</f>
        <v>1</v>
      </c>
      <c r="O68" s="7">
        <f t="shared" si="7"/>
        <v>0</v>
      </c>
      <c r="P68" s="7">
        <f>IFERROR(_xlfn.XLOOKUP(A68,PPTO_GENERADOR!$Q:$Q,PPTO_GENERADOR!$E:$E,"-",0),"-")</f>
        <v>1266</v>
      </c>
    </row>
    <row r="69" spans="1:16" x14ac:dyDescent="0.35">
      <c r="A69" s="5" t="s">
        <v>833</v>
      </c>
      <c r="B69" s="5" t="s">
        <v>1198</v>
      </c>
      <c r="C69" s="5" t="s">
        <v>1201</v>
      </c>
      <c r="D69" s="5" t="s">
        <v>475</v>
      </c>
      <c r="E69" s="7" t="str">
        <f>IFERROR(VLOOKUP(D69,MANO_DE_OBRA!A:B,2,FALSE),"?")</f>
        <v>AYUDANTE</v>
      </c>
      <c r="F69" s="5" t="s">
        <v>1200</v>
      </c>
      <c r="G69" s="11">
        <v>1</v>
      </c>
      <c r="H69" s="12">
        <v>0</v>
      </c>
      <c r="I69" s="7">
        <f>IFERROR(VLOOKUP(D69,MANO_DE_OBRA!A:C,3,FALSE),0)</f>
        <v>49934.239999999998</v>
      </c>
      <c r="J69" s="8">
        <f t="shared" si="4"/>
        <v>49934.239999999998</v>
      </c>
      <c r="K69" s="7" t="str">
        <f t="shared" si="5"/>
        <v>PTO-0203|MO</v>
      </c>
      <c r="L69" s="7">
        <f>COUNTIFS($K$2:K69,K69)</f>
        <v>1</v>
      </c>
      <c r="M69" s="7" t="str">
        <f t="shared" si="6"/>
        <v>PTO-0203|MO|1</v>
      </c>
      <c r="N69" s="7">
        <f>IFERROR(VLOOKUP(A69,PARTIDAS!A:F,6,FALSE),0)</f>
        <v>1</v>
      </c>
      <c r="O69" s="7">
        <f t="shared" si="7"/>
        <v>1</v>
      </c>
      <c r="P69" s="7">
        <f>IFERROR(_xlfn.XLOOKUP(A69,PPTO_GENERADOR!$Q:$Q,PPTO_GENERADOR!$E:$E,"-",0),"-")</f>
        <v>2</v>
      </c>
    </row>
    <row r="70" spans="1:16" x14ac:dyDescent="0.35">
      <c r="A70" s="5" t="s">
        <v>836</v>
      </c>
      <c r="B70" s="5" t="s">
        <v>1203</v>
      </c>
      <c r="C70" s="5" t="s">
        <v>1199</v>
      </c>
      <c r="D70" s="5" t="s">
        <v>98</v>
      </c>
      <c r="E70" s="7" t="str">
        <f>IFERROR(VLOOKUP(D70,MATERIALES!A:B,2,FALSE),"?")</f>
        <v>H13 6.20</v>
      </c>
      <c r="F70" s="5"/>
      <c r="G70" s="11">
        <v>1</v>
      </c>
      <c r="H70" s="12">
        <v>0</v>
      </c>
      <c r="I70" s="7">
        <f>IFERROR(VLOOKUP(D70,MATERIALES!A:D,4,FALSE),0)</f>
        <v>115100</v>
      </c>
      <c r="J70" s="8">
        <f t="shared" si="4"/>
        <v>115100</v>
      </c>
      <c r="K70" s="7" t="str">
        <f t="shared" si="5"/>
        <v>PTO-0301|MAT</v>
      </c>
      <c r="L70" s="7">
        <f>COUNTIFS($K$2:K70,K70)</f>
        <v>1</v>
      </c>
      <c r="M70" s="7" t="str">
        <f t="shared" si="6"/>
        <v>PTO-0301|MAT|1</v>
      </c>
      <c r="N70" s="7">
        <f>IFERROR(VLOOKUP(A70,PARTIDAS!A:F,6,FALSE),0)</f>
        <v>1</v>
      </c>
      <c r="O70" s="7">
        <f t="shared" si="7"/>
        <v>0</v>
      </c>
      <c r="P70" s="7">
        <f>IFERROR(_xlfn.XLOOKUP(A70,PPTO_GENERADOR!$Q:$Q,PPTO_GENERADOR!$E:$E,"-",0),"-")</f>
        <v>35</v>
      </c>
    </row>
    <row r="71" spans="1:16" x14ac:dyDescent="0.35">
      <c r="A71" s="5" t="s">
        <v>836</v>
      </c>
      <c r="B71" s="5" t="s">
        <v>1203</v>
      </c>
      <c r="C71" s="5" t="s">
        <v>1199</v>
      </c>
      <c r="D71" s="5" t="s">
        <v>100</v>
      </c>
      <c r="E71" s="7" t="str">
        <f>IFERROR(VLOOKUP(D71,MATERIALES!A:B,2,FALSE),"?")</f>
        <v>Bombeo</v>
      </c>
      <c r="F71" s="5"/>
      <c r="G71" s="11">
        <v>1</v>
      </c>
      <c r="H71" s="12">
        <v>0</v>
      </c>
      <c r="I71" s="7">
        <f>IFERROR(VLOOKUP(D71,MATERIALES!A:D,4,FALSE),0)</f>
        <v>5330</v>
      </c>
      <c r="J71" s="8">
        <f t="shared" si="4"/>
        <v>5330</v>
      </c>
      <c r="K71" s="7" t="str">
        <f t="shared" si="5"/>
        <v>PTO-0301|MAT</v>
      </c>
      <c r="L71" s="7">
        <f>COUNTIFS($K$2:K71,K71)</f>
        <v>2</v>
      </c>
      <c r="M71" s="7" t="str">
        <f t="shared" si="6"/>
        <v>PTO-0301|MAT|2</v>
      </c>
      <c r="N71" s="7">
        <f>IFERROR(VLOOKUP(A71,PARTIDAS!A:F,6,FALSE),0)</f>
        <v>1</v>
      </c>
      <c r="O71" s="7">
        <f t="shared" si="7"/>
        <v>0</v>
      </c>
      <c r="P71" s="7">
        <f>IFERROR(_xlfn.XLOOKUP(A71,PPTO_GENERADOR!$Q:$Q,PPTO_GENERADOR!$E:$E,"-",0),"-")</f>
        <v>35</v>
      </c>
    </row>
    <row r="72" spans="1:16" x14ac:dyDescent="0.35">
      <c r="A72" s="5" t="s">
        <v>836</v>
      </c>
      <c r="B72" s="5" t="s">
        <v>1203</v>
      </c>
      <c r="C72" s="5" t="s">
        <v>1205</v>
      </c>
      <c r="D72" s="5" t="s">
        <v>102</v>
      </c>
      <c r="E72" s="7" t="str">
        <f>IFERROR(VLOOKUP(D72,MATERIALES!A:B,2,FALSE),"?")</f>
        <v>Acarreo</v>
      </c>
      <c r="F72" s="5"/>
      <c r="G72" s="11">
        <v>1</v>
      </c>
      <c r="H72" s="12">
        <v>0</v>
      </c>
      <c r="I72" s="7">
        <f>IFERROR(VLOOKUP(D72,MATERIALES!A:D,4,FALSE),0)</f>
        <v>76142.857099999994</v>
      </c>
      <c r="J72" s="8">
        <f t="shared" si="4"/>
        <v>76142.857099999994</v>
      </c>
      <c r="K72" s="7" t="str">
        <f t="shared" si="5"/>
        <v>PTO-0301|MAT</v>
      </c>
      <c r="L72" s="7">
        <f>COUNTIFS($K$2:K72,K72)</f>
        <v>3</v>
      </c>
      <c r="M72" s="7" t="str">
        <f t="shared" si="6"/>
        <v>PTO-0301|MAT|3</v>
      </c>
      <c r="N72" s="7">
        <f>IFERROR(VLOOKUP(A72,PARTIDAS!A:F,6,FALSE),0)</f>
        <v>1</v>
      </c>
      <c r="O72" s="7">
        <f t="shared" si="7"/>
        <v>0</v>
      </c>
      <c r="P72" s="7">
        <f>IFERROR(_xlfn.XLOOKUP(A72,PPTO_GENERADOR!$Q:$Q,PPTO_GENERADOR!$E:$E,"-",0),"-")</f>
        <v>35</v>
      </c>
    </row>
    <row r="73" spans="1:16" x14ac:dyDescent="0.35">
      <c r="A73" s="5" t="s">
        <v>836</v>
      </c>
      <c r="B73" s="5" t="s">
        <v>1198</v>
      </c>
      <c r="C73" s="5" t="s">
        <v>1201</v>
      </c>
      <c r="D73" s="5" t="s">
        <v>475</v>
      </c>
      <c r="E73" s="7" t="str">
        <f>IFERROR(VLOOKUP(D73,MANO_DE_OBRA!A:B,2,FALSE),"?")</f>
        <v>AYUDANTE</v>
      </c>
      <c r="F73" s="5" t="s">
        <v>1200</v>
      </c>
      <c r="G73" s="11">
        <v>1</v>
      </c>
      <c r="H73" s="12">
        <v>0</v>
      </c>
      <c r="I73" s="7">
        <f>IFERROR(VLOOKUP(D73,MANO_DE_OBRA!A:C,3,FALSE),0)</f>
        <v>49934.239999999998</v>
      </c>
      <c r="J73" s="8">
        <f t="shared" si="4"/>
        <v>49934.239999999998</v>
      </c>
      <c r="K73" s="7" t="str">
        <f t="shared" si="5"/>
        <v>PTO-0301|MO</v>
      </c>
      <c r="L73" s="7">
        <f>COUNTIFS($K$2:K73,K73)</f>
        <v>1</v>
      </c>
      <c r="M73" s="7" t="str">
        <f t="shared" si="6"/>
        <v>PTO-0301|MO|1</v>
      </c>
      <c r="N73" s="7">
        <f>IFERROR(VLOOKUP(A73,PARTIDAS!A:F,6,FALSE),0)</f>
        <v>1</v>
      </c>
      <c r="O73" s="7">
        <f t="shared" si="7"/>
        <v>1</v>
      </c>
      <c r="P73" s="7">
        <f>IFERROR(_xlfn.XLOOKUP(A73,PPTO_GENERADOR!$Q:$Q,PPTO_GENERADOR!$E:$E,"-",0),"-")</f>
        <v>35</v>
      </c>
    </row>
    <row r="74" spans="1:16" x14ac:dyDescent="0.35">
      <c r="A74" s="5" t="s">
        <v>836</v>
      </c>
      <c r="B74" s="5" t="s">
        <v>1202</v>
      </c>
      <c r="C74" s="5"/>
      <c r="D74" s="5" t="s">
        <v>497</v>
      </c>
      <c r="E74" s="7" t="str">
        <f>IFERROR(VLOOKUP(D74,EQUIPOS!A:B,2,FALSE),"?")</f>
        <v>Herramientas/consumibles - Hormigón de limpieza - e: 10 cm</v>
      </c>
      <c r="F74" s="5"/>
      <c r="G74" s="11">
        <v>1</v>
      </c>
      <c r="H74" s="12">
        <v>0</v>
      </c>
      <c r="I74" s="7">
        <f>IFERROR(VLOOKUP(D74,EQUIPOS!A:C,3,FALSE),0)</f>
        <v>3697.6064000000001</v>
      </c>
      <c r="J74" s="8">
        <f t="shared" si="4"/>
        <v>3697.6064000000001</v>
      </c>
      <c r="K74" s="7" t="str">
        <f t="shared" si="5"/>
        <v>PTO-0301|EQ</v>
      </c>
      <c r="L74" s="7">
        <f>COUNTIFS($K$2:K74,K74)</f>
        <v>1</v>
      </c>
      <c r="M74" s="7" t="str">
        <f t="shared" si="6"/>
        <v>PTO-0301|EQ|1</v>
      </c>
      <c r="N74" s="7">
        <f>IFERROR(VLOOKUP(A74,PARTIDAS!A:F,6,FALSE),0)</f>
        <v>1</v>
      </c>
      <c r="O74" s="7">
        <f t="shared" si="7"/>
        <v>0</v>
      </c>
      <c r="P74" s="7">
        <f>IFERROR(_xlfn.XLOOKUP(A74,PPTO_GENERADOR!$Q:$Q,PPTO_GENERADOR!$E:$E,"-",0),"-")</f>
        <v>35</v>
      </c>
    </row>
    <row r="75" spans="1:16" x14ac:dyDescent="0.35">
      <c r="A75" s="5" t="s">
        <v>838</v>
      </c>
      <c r="B75" s="5" t="s">
        <v>1203</v>
      </c>
      <c r="C75" s="5" t="s">
        <v>1199</v>
      </c>
      <c r="D75" s="5" t="s">
        <v>104</v>
      </c>
      <c r="E75" s="7" t="str">
        <f>IFERROR(VLOOKUP(D75,MATERIALES!A:B,2,FALSE),"?")</f>
        <v>Encofrado Tabique submuración - H30 (95 kg/m3 de hierro)</v>
      </c>
      <c r="F75" s="5"/>
      <c r="G75" s="11">
        <v>1</v>
      </c>
      <c r="H75" s="12">
        <v>0</v>
      </c>
      <c r="I75" s="7">
        <f>IFERROR(VLOOKUP(D75,MATERIALES!A:D,4,FALSE),0)</f>
        <v>70843.445699999997</v>
      </c>
      <c r="J75" s="8">
        <f t="shared" si="4"/>
        <v>70843.445699999997</v>
      </c>
      <c r="K75" s="7" t="str">
        <f t="shared" si="5"/>
        <v>PTO-0302|MAT</v>
      </c>
      <c r="L75" s="7">
        <f>COUNTIFS($K$2:K75,K75)</f>
        <v>1</v>
      </c>
      <c r="M75" s="7" t="str">
        <f t="shared" si="6"/>
        <v>PTO-0302|MAT|1</v>
      </c>
      <c r="N75" s="7">
        <f>IFERROR(VLOOKUP(A75,PARTIDAS!A:F,6,FALSE),0)</f>
        <v>1</v>
      </c>
      <c r="O75" s="7">
        <f t="shared" si="7"/>
        <v>0</v>
      </c>
      <c r="P75" s="7">
        <f>IFERROR(_xlfn.XLOOKUP(A75,PPTO_GENERADOR!$Q:$Q,PPTO_GENERADOR!$E:$E,"-",0),"-")</f>
        <v>40</v>
      </c>
    </row>
    <row r="76" spans="1:16" x14ac:dyDescent="0.35">
      <c r="A76" s="5" t="s">
        <v>838</v>
      </c>
      <c r="B76" s="5" t="s">
        <v>1198</v>
      </c>
      <c r="C76" s="5" t="s">
        <v>1201</v>
      </c>
      <c r="D76" s="5" t="s">
        <v>477</v>
      </c>
      <c r="E76" s="7" t="str">
        <f>IFERROR(VLOOKUP(D76,MANO_DE_OBRA!A:B,2,FALSE),"?")</f>
        <v>ESPECIALIZADO</v>
      </c>
      <c r="F76" s="5" t="s">
        <v>1200</v>
      </c>
      <c r="G76" s="11">
        <v>1.89395808</v>
      </c>
      <c r="H76" s="12">
        <v>0</v>
      </c>
      <c r="I76" s="7">
        <f>IFERROR(VLOOKUP(D76,MANO_DE_OBRA!A:C,3,FALSE),0)</f>
        <v>75113.05</v>
      </c>
      <c r="J76" s="8">
        <f t="shared" si="4"/>
        <v>142260.96796094399</v>
      </c>
      <c r="K76" s="7" t="str">
        <f t="shared" si="5"/>
        <v>PTO-0302|MO</v>
      </c>
      <c r="L76" s="7">
        <f>COUNTIFS($K$2:K76,K76)</f>
        <v>1</v>
      </c>
      <c r="M76" s="7" t="str">
        <f t="shared" si="6"/>
        <v>PTO-0302|MO|1</v>
      </c>
      <c r="N76" s="7">
        <f>IFERROR(VLOOKUP(A76,PARTIDAS!A:F,6,FALSE),0)</f>
        <v>1</v>
      </c>
      <c r="O76" s="7">
        <f t="shared" si="7"/>
        <v>1.89395808</v>
      </c>
      <c r="P76" s="7">
        <f>IFERROR(_xlfn.XLOOKUP(A76,PPTO_GENERADOR!$Q:$Q,PPTO_GENERADOR!$E:$E,"-",0),"-")</f>
        <v>40</v>
      </c>
    </row>
    <row r="77" spans="1:16" x14ac:dyDescent="0.35">
      <c r="A77" s="5" t="s">
        <v>838</v>
      </c>
      <c r="B77" s="5" t="s">
        <v>1198</v>
      </c>
      <c r="C77" s="5" t="s">
        <v>1201</v>
      </c>
      <c r="D77" s="5" t="s">
        <v>481</v>
      </c>
      <c r="E77" s="7" t="str">
        <f>IFERROR(VLOOKUP(D77,MANO_DE_OBRA!A:B,2,FALSE),"?")</f>
        <v>OFICIAL</v>
      </c>
      <c r="F77" s="5" t="s">
        <v>1200</v>
      </c>
      <c r="G77" s="11">
        <v>2.4858201100000001</v>
      </c>
      <c r="H77" s="12">
        <v>0</v>
      </c>
      <c r="I77" s="7">
        <f>IFERROR(VLOOKUP(D77,MANO_DE_OBRA!A:C,3,FALSE),0)</f>
        <v>65360.25</v>
      </c>
      <c r="J77" s="8">
        <f t="shared" si="4"/>
        <v>162473.82384462751</v>
      </c>
      <c r="K77" s="7" t="str">
        <f t="shared" si="5"/>
        <v>PTO-0302|MO</v>
      </c>
      <c r="L77" s="7">
        <f>COUNTIFS($K$2:K77,K77)</f>
        <v>2</v>
      </c>
      <c r="M77" s="7" t="str">
        <f t="shared" si="6"/>
        <v>PTO-0302|MO|2</v>
      </c>
      <c r="N77" s="7">
        <f>IFERROR(VLOOKUP(A77,PARTIDAS!A:F,6,FALSE),0)</f>
        <v>1</v>
      </c>
      <c r="O77" s="7">
        <f t="shared" si="7"/>
        <v>2.4858201100000001</v>
      </c>
      <c r="P77" s="7">
        <f>IFERROR(_xlfn.XLOOKUP(A77,PPTO_GENERADOR!$Q:$Q,PPTO_GENERADOR!$E:$E,"-",0),"-")</f>
        <v>40</v>
      </c>
    </row>
    <row r="78" spans="1:16" x14ac:dyDescent="0.35">
      <c r="A78" s="5" t="s">
        <v>838</v>
      </c>
      <c r="B78" s="5" t="s">
        <v>1198</v>
      </c>
      <c r="C78" s="5" t="s">
        <v>1201</v>
      </c>
      <c r="D78" s="5" t="s">
        <v>475</v>
      </c>
      <c r="E78" s="7" t="str">
        <f>IFERROR(VLOOKUP(D78,MANO_DE_OBRA!A:B,2,FALSE),"?")</f>
        <v>AYUDANTE</v>
      </c>
      <c r="F78" s="5" t="s">
        <v>1200</v>
      </c>
      <c r="G78" s="11">
        <v>5.9186000000000002E-2</v>
      </c>
      <c r="H78" s="12">
        <v>0</v>
      </c>
      <c r="I78" s="7">
        <f>IFERROR(VLOOKUP(D78,MANO_DE_OBRA!A:C,3,FALSE),0)</f>
        <v>49934.239999999998</v>
      </c>
      <c r="J78" s="8">
        <f t="shared" si="4"/>
        <v>2955.4079286400001</v>
      </c>
      <c r="K78" s="7" t="str">
        <f t="shared" si="5"/>
        <v>PTO-0302|MO</v>
      </c>
      <c r="L78" s="7">
        <f>COUNTIFS($K$2:K78,K78)</f>
        <v>3</v>
      </c>
      <c r="M78" s="7" t="str">
        <f t="shared" si="6"/>
        <v>PTO-0302|MO|3</v>
      </c>
      <c r="N78" s="7">
        <f>IFERROR(VLOOKUP(A78,PARTIDAS!A:F,6,FALSE),0)</f>
        <v>1</v>
      </c>
      <c r="O78" s="7">
        <f t="shared" si="7"/>
        <v>5.9186000000000002E-2</v>
      </c>
      <c r="P78" s="7">
        <f>IFERROR(_xlfn.XLOOKUP(A78,PPTO_GENERADOR!$Q:$Q,PPTO_GENERADOR!$E:$E,"-",0),"-")</f>
        <v>40</v>
      </c>
    </row>
    <row r="79" spans="1:16" x14ac:dyDescent="0.35">
      <c r="A79" s="5" t="s">
        <v>838</v>
      </c>
      <c r="B79" s="5" t="s">
        <v>1202</v>
      </c>
      <c r="C79" s="5"/>
      <c r="D79" s="5" t="s">
        <v>499</v>
      </c>
      <c r="E79" s="7" t="str">
        <f>IFERROR(VLOOKUP(D79,EQUIPOS!A:B,2,FALSE),"?")</f>
        <v xml:space="preserve">Herramientas/consumibles - Tabique submuración - H30 hidrófugo (95 </v>
      </c>
      <c r="F79" s="5"/>
      <c r="G79" s="11">
        <v>1</v>
      </c>
      <c r="H79" s="12">
        <v>0</v>
      </c>
      <c r="I79" s="7">
        <f>IFERROR(VLOOKUP(D79,EQUIPOS!A:C,3,FALSE),0)</f>
        <v>5678.0046000000002</v>
      </c>
      <c r="J79" s="8">
        <f t="shared" si="4"/>
        <v>5678.0046000000002</v>
      </c>
      <c r="K79" s="7" t="str">
        <f t="shared" si="5"/>
        <v>PTO-0302|EQ</v>
      </c>
      <c r="L79" s="7">
        <f>COUNTIFS($K$2:K79,K79)</f>
        <v>1</v>
      </c>
      <c r="M79" s="7" t="str">
        <f t="shared" si="6"/>
        <v>PTO-0302|EQ|1</v>
      </c>
      <c r="N79" s="7">
        <f>IFERROR(VLOOKUP(A79,PARTIDAS!A:F,6,FALSE),0)</f>
        <v>1</v>
      </c>
      <c r="O79" s="7">
        <f t="shared" si="7"/>
        <v>0</v>
      </c>
      <c r="P79" s="7">
        <f>IFERROR(_xlfn.XLOOKUP(A79,PPTO_GENERADOR!$Q:$Q,PPTO_GENERADOR!$E:$E,"-",0),"-")</f>
        <v>40</v>
      </c>
    </row>
    <row r="80" spans="1:16" x14ac:dyDescent="0.35">
      <c r="A80" s="5" t="s">
        <v>840</v>
      </c>
      <c r="B80" s="5" t="s">
        <v>1203</v>
      </c>
      <c r="C80" s="5" t="s">
        <v>1199</v>
      </c>
      <c r="D80" s="5" t="s">
        <v>106</v>
      </c>
      <c r="E80" s="7" t="str">
        <f>IFERROR(VLOOKUP(D80,MATERIALES!A:B,2,FALSE),"?")</f>
        <v>Encofrado Zapata corrida tabique - H30 (120 kg/m3)</v>
      </c>
      <c r="F80" s="5"/>
      <c r="G80" s="11">
        <v>1</v>
      </c>
      <c r="H80" s="12">
        <v>0</v>
      </c>
      <c r="I80" s="7">
        <f>IFERROR(VLOOKUP(D80,MATERIALES!A:D,4,FALSE),0)</f>
        <v>55068.8217</v>
      </c>
      <c r="J80" s="8">
        <f t="shared" si="4"/>
        <v>55068.8217</v>
      </c>
      <c r="K80" s="7" t="str">
        <f t="shared" si="5"/>
        <v>PTO-0303|MAT</v>
      </c>
      <c r="L80" s="7">
        <f>COUNTIFS($K$2:K80,K80)</f>
        <v>1</v>
      </c>
      <c r="M80" s="7" t="str">
        <f t="shared" si="6"/>
        <v>PTO-0303|MAT|1</v>
      </c>
      <c r="N80" s="7">
        <f>IFERROR(VLOOKUP(A80,PARTIDAS!A:F,6,FALSE),0)</f>
        <v>1</v>
      </c>
      <c r="O80" s="7">
        <f t="shared" si="7"/>
        <v>0</v>
      </c>
      <c r="P80" s="7">
        <f>IFERROR(_xlfn.XLOOKUP(A80,PPTO_GENERADOR!$Q:$Q,PPTO_GENERADOR!$E:$E,"-",0),"-")</f>
        <v>28</v>
      </c>
    </row>
    <row r="81" spans="1:16" x14ac:dyDescent="0.35">
      <c r="A81" s="5" t="s">
        <v>840</v>
      </c>
      <c r="B81" s="5" t="s">
        <v>1198</v>
      </c>
      <c r="C81" s="5" t="s">
        <v>1199</v>
      </c>
      <c r="D81" s="5" t="s">
        <v>682</v>
      </c>
      <c r="E81" s="7" t="str">
        <f>IFERROR(VLOOKUP(D81,SUBCONTRATOS_PRY!A:B,2,FALSE),"?")</f>
        <v>H.A. De vigas de fundación (115kg/m3 de hierro)</v>
      </c>
      <c r="F81" s="5" t="s">
        <v>1200</v>
      </c>
      <c r="G81" s="11">
        <v>1</v>
      </c>
      <c r="H81" s="12">
        <v>0</v>
      </c>
      <c r="I81" s="7">
        <f>IFERROR(VLOOKUP(D81,SUBCONTRATOS_PRY!A:D,4,FALSE),0)</f>
        <v>253994.1428</v>
      </c>
      <c r="J81" s="8">
        <f t="shared" si="4"/>
        <v>253994.1428</v>
      </c>
      <c r="K81" s="7" t="str">
        <f t="shared" si="5"/>
        <v>PTO-0303|MO</v>
      </c>
      <c r="L81" s="7">
        <f>COUNTIFS($K$2:K81,K81)</f>
        <v>1</v>
      </c>
      <c r="M81" s="7" t="str">
        <f t="shared" si="6"/>
        <v>PTO-0303|MO|1</v>
      </c>
      <c r="N81" s="7">
        <f>IFERROR(VLOOKUP(A81,PARTIDAS!A:F,6,FALSE),0)</f>
        <v>1</v>
      </c>
      <c r="O81" s="7">
        <f t="shared" si="7"/>
        <v>0</v>
      </c>
      <c r="P81" s="7">
        <f>IFERROR(_xlfn.XLOOKUP(A81,PPTO_GENERADOR!$Q:$Q,PPTO_GENERADOR!$E:$E,"-",0),"-")</f>
        <v>28</v>
      </c>
    </row>
    <row r="82" spans="1:16" x14ac:dyDescent="0.35">
      <c r="A82" s="5" t="s">
        <v>840</v>
      </c>
      <c r="B82" s="5" t="s">
        <v>1202</v>
      </c>
      <c r="C82" s="5"/>
      <c r="D82" s="5" t="s">
        <v>501</v>
      </c>
      <c r="E82" s="7" t="str">
        <f>IFERROR(VLOOKUP(D82,EQUIPOS!A:B,2,FALSE),"?")</f>
        <v>Herramientas/consumibles - Zapata corrida tabique - H30 hidrófugo (</v>
      </c>
      <c r="F82" s="5"/>
      <c r="G82" s="11">
        <v>1</v>
      </c>
      <c r="H82" s="12">
        <v>0</v>
      </c>
      <c r="I82" s="7">
        <f>IFERROR(VLOOKUP(D82,EQUIPOS!A:C,3,FALSE),0)</f>
        <v>4635.9444999999996</v>
      </c>
      <c r="J82" s="8">
        <f t="shared" si="4"/>
        <v>4635.9444999999996</v>
      </c>
      <c r="K82" s="7" t="str">
        <f t="shared" si="5"/>
        <v>PTO-0303|EQ</v>
      </c>
      <c r="L82" s="7">
        <f>COUNTIFS($K$2:K82,K82)</f>
        <v>1</v>
      </c>
      <c r="M82" s="7" t="str">
        <f t="shared" si="6"/>
        <v>PTO-0303|EQ|1</v>
      </c>
      <c r="N82" s="7">
        <f>IFERROR(VLOOKUP(A82,PARTIDAS!A:F,6,FALSE),0)</f>
        <v>1</v>
      </c>
      <c r="O82" s="7">
        <f t="shared" si="7"/>
        <v>0</v>
      </c>
      <c r="P82" s="7">
        <f>IFERROR(_xlfn.XLOOKUP(A82,PPTO_GENERADOR!$Q:$Q,PPTO_GENERADOR!$E:$E,"-",0),"-")</f>
        <v>28</v>
      </c>
    </row>
    <row r="83" spans="1:16" x14ac:dyDescent="0.35">
      <c r="A83" s="5" t="s">
        <v>842</v>
      </c>
      <c r="B83" s="5" t="s">
        <v>1203</v>
      </c>
      <c r="C83" s="5" t="s">
        <v>1199</v>
      </c>
      <c r="D83" s="5" t="s">
        <v>108</v>
      </c>
      <c r="E83" s="7" t="str">
        <f>IFERROR(VLOOKUP(D83,MATERIALES!A:B,2,FALSE),"?")</f>
        <v>Encofrado Platea - H30 (95 kg/m3 de hierro)</v>
      </c>
      <c r="F83" s="5"/>
      <c r="G83" s="11">
        <v>1</v>
      </c>
      <c r="H83" s="12">
        <v>0</v>
      </c>
      <c r="I83" s="7">
        <f>IFERROR(VLOOKUP(D83,MATERIALES!A:D,4,FALSE),0)</f>
        <v>2471.4097999999999</v>
      </c>
      <c r="J83" s="8">
        <f t="shared" si="4"/>
        <v>2471.4097999999999</v>
      </c>
      <c r="K83" s="7" t="str">
        <f t="shared" si="5"/>
        <v>PTO-0304|MAT</v>
      </c>
      <c r="L83" s="7">
        <f>COUNTIFS($K$2:K83,K83)</f>
        <v>1</v>
      </c>
      <c r="M83" s="7" t="str">
        <f t="shared" si="6"/>
        <v>PTO-0304|MAT|1</v>
      </c>
      <c r="N83" s="7">
        <f>IFERROR(VLOOKUP(A83,PARTIDAS!A:F,6,FALSE),0)</f>
        <v>1</v>
      </c>
      <c r="O83" s="7">
        <f t="shared" si="7"/>
        <v>0</v>
      </c>
      <c r="P83" s="7">
        <f>IFERROR(_xlfn.XLOOKUP(A83,PPTO_GENERADOR!$Q:$Q,PPTO_GENERADOR!$E:$E,"-",0),"-")</f>
        <v>179</v>
      </c>
    </row>
    <row r="84" spans="1:16" x14ac:dyDescent="0.35">
      <c r="A84" s="5" t="s">
        <v>842</v>
      </c>
      <c r="B84" s="5" t="s">
        <v>1198</v>
      </c>
      <c r="C84" s="5" t="s">
        <v>1199</v>
      </c>
      <c r="D84" s="5" t="s">
        <v>684</v>
      </c>
      <c r="E84" s="7" t="str">
        <f>IFERROR(VLOOKUP(D84,SUBCONTRATOS_PRY!A:B,2,FALSE),"?")</f>
        <v>HA. De cabezales (90 kg/m3 de hierro)</v>
      </c>
      <c r="F84" s="5" t="s">
        <v>1200</v>
      </c>
      <c r="G84" s="11">
        <v>1</v>
      </c>
      <c r="H84" s="12">
        <v>0</v>
      </c>
      <c r="I84" s="7">
        <f>IFERROR(VLOOKUP(D84,SUBCONTRATOS_PRY!A:D,4,FALSE),0)</f>
        <v>148967.56479999999</v>
      </c>
      <c r="J84" s="8">
        <f t="shared" si="4"/>
        <v>148967.56479999999</v>
      </c>
      <c r="K84" s="7" t="str">
        <f t="shared" si="5"/>
        <v>PTO-0304|MO</v>
      </c>
      <c r="L84" s="7">
        <f>COUNTIFS($K$2:K84,K84)</f>
        <v>1</v>
      </c>
      <c r="M84" s="7" t="str">
        <f t="shared" si="6"/>
        <v>PTO-0304|MO|1</v>
      </c>
      <c r="N84" s="7">
        <f>IFERROR(VLOOKUP(A84,PARTIDAS!A:F,6,FALSE),0)</f>
        <v>1</v>
      </c>
      <c r="O84" s="7">
        <f t="shared" si="7"/>
        <v>0</v>
      </c>
      <c r="P84" s="7">
        <f>IFERROR(_xlfn.XLOOKUP(A84,PPTO_GENERADOR!$Q:$Q,PPTO_GENERADOR!$E:$E,"-",0),"-")</f>
        <v>179</v>
      </c>
    </row>
    <row r="85" spans="1:16" x14ac:dyDescent="0.35">
      <c r="A85" s="5" t="s">
        <v>842</v>
      </c>
      <c r="B85" s="5" t="s">
        <v>1202</v>
      </c>
      <c r="C85" s="5"/>
      <c r="D85" s="5" t="s">
        <v>503</v>
      </c>
      <c r="E85" s="7" t="str">
        <f>IFERROR(VLOOKUP(D85,EQUIPOS!A:B,2,FALSE),"?")</f>
        <v>Herramientas/consumibles - Platea - H30 hidrófugo (95 kg/m3 de hier</v>
      </c>
      <c r="F85" s="5"/>
      <c r="G85" s="11">
        <v>1</v>
      </c>
      <c r="H85" s="12">
        <v>0</v>
      </c>
      <c r="I85" s="7">
        <f>IFERROR(VLOOKUP(D85,EQUIPOS!A:C,3,FALSE),0)</f>
        <v>2271.5846000000001</v>
      </c>
      <c r="J85" s="8">
        <f t="shared" si="4"/>
        <v>2271.5846000000001</v>
      </c>
      <c r="K85" s="7" t="str">
        <f t="shared" si="5"/>
        <v>PTO-0304|EQ</v>
      </c>
      <c r="L85" s="7">
        <f>COUNTIFS($K$2:K85,K85)</f>
        <v>1</v>
      </c>
      <c r="M85" s="7" t="str">
        <f t="shared" si="6"/>
        <v>PTO-0304|EQ|1</v>
      </c>
      <c r="N85" s="7">
        <f>IFERROR(VLOOKUP(A85,PARTIDAS!A:F,6,FALSE),0)</f>
        <v>1</v>
      </c>
      <c r="O85" s="7">
        <f t="shared" si="7"/>
        <v>0</v>
      </c>
      <c r="P85" s="7">
        <f>IFERROR(_xlfn.XLOOKUP(A85,PPTO_GENERADOR!$Q:$Q,PPTO_GENERADOR!$E:$E,"-",0),"-")</f>
        <v>179</v>
      </c>
    </row>
    <row r="86" spans="1:16" x14ac:dyDescent="0.35">
      <c r="A86" s="5" t="s">
        <v>844</v>
      </c>
      <c r="B86" s="5" t="s">
        <v>1203</v>
      </c>
      <c r="C86" s="5" t="s">
        <v>1199</v>
      </c>
      <c r="D86" s="5" t="s">
        <v>110</v>
      </c>
      <c r="E86" s="7" t="str">
        <f>IFERROR(VLOOKUP(D86,MATERIALES!A:B,2,FALSE),"?")</f>
        <v>Encofrado Losa maciza visto - H30 (120 kg/m3 de hierro)</v>
      </c>
      <c r="F86" s="5"/>
      <c r="G86" s="11">
        <v>1</v>
      </c>
      <c r="H86" s="12">
        <v>0</v>
      </c>
      <c r="I86" s="7">
        <f>IFERROR(VLOOKUP(D86,MATERIALES!A:D,4,FALSE),0)</f>
        <v>40150.005400000002</v>
      </c>
      <c r="J86" s="8">
        <f t="shared" si="4"/>
        <v>40150.005400000002</v>
      </c>
      <c r="K86" s="7" t="str">
        <f t="shared" si="5"/>
        <v>PTO-0305|MAT</v>
      </c>
      <c r="L86" s="7">
        <f>COUNTIFS($K$2:K86,K86)</f>
        <v>1</v>
      </c>
      <c r="M86" s="7" t="str">
        <f t="shared" si="6"/>
        <v>PTO-0305|MAT|1</v>
      </c>
      <c r="N86" s="7">
        <f>IFERROR(VLOOKUP(A86,PARTIDAS!A:F,6,FALSE),0)</f>
        <v>1</v>
      </c>
      <c r="O86" s="7">
        <f t="shared" si="7"/>
        <v>0</v>
      </c>
      <c r="P86" s="7">
        <f>IFERROR(_xlfn.XLOOKUP(A86,PPTO_GENERADOR!$Q:$Q,PPTO_GENERADOR!$E:$E,"-",0),"-")</f>
        <v>10</v>
      </c>
    </row>
    <row r="87" spans="1:16" x14ac:dyDescent="0.35">
      <c r="A87" s="5" t="s">
        <v>844</v>
      </c>
      <c r="B87" s="5" t="s">
        <v>1198</v>
      </c>
      <c r="C87" s="5" t="s">
        <v>1201</v>
      </c>
      <c r="D87" s="5" t="s">
        <v>477</v>
      </c>
      <c r="E87" s="7" t="str">
        <f>IFERROR(VLOOKUP(D87,MANO_DE_OBRA!A:B,2,FALSE),"?")</f>
        <v>ESPECIALIZADO</v>
      </c>
      <c r="F87" s="5" t="s">
        <v>1200</v>
      </c>
      <c r="G87" s="11">
        <v>1.99658716</v>
      </c>
      <c r="H87" s="12">
        <v>0</v>
      </c>
      <c r="I87" s="7">
        <f>IFERROR(VLOOKUP(D87,MANO_DE_OBRA!A:C,3,FALSE),0)</f>
        <v>75113.05</v>
      </c>
      <c r="J87" s="8">
        <f t="shared" si="4"/>
        <v>149969.75117843802</v>
      </c>
      <c r="K87" s="7" t="str">
        <f t="shared" si="5"/>
        <v>PTO-0305|MO</v>
      </c>
      <c r="L87" s="7">
        <f>COUNTIFS($K$2:K87,K87)</f>
        <v>1</v>
      </c>
      <c r="M87" s="7" t="str">
        <f t="shared" si="6"/>
        <v>PTO-0305|MO|1</v>
      </c>
      <c r="N87" s="7">
        <f>IFERROR(VLOOKUP(A87,PARTIDAS!A:F,6,FALSE),0)</f>
        <v>1</v>
      </c>
      <c r="O87" s="7">
        <f t="shared" si="7"/>
        <v>1.99658716</v>
      </c>
      <c r="P87" s="7">
        <f>IFERROR(_xlfn.XLOOKUP(A87,PPTO_GENERADOR!$Q:$Q,PPTO_GENERADOR!$E:$E,"-",0),"-")</f>
        <v>10</v>
      </c>
    </row>
    <row r="88" spans="1:16" x14ac:dyDescent="0.35">
      <c r="A88" s="5" t="s">
        <v>844</v>
      </c>
      <c r="B88" s="5" t="s">
        <v>1198</v>
      </c>
      <c r="C88" s="5" t="s">
        <v>1201</v>
      </c>
      <c r="D88" s="5" t="s">
        <v>481</v>
      </c>
      <c r="E88" s="7" t="str">
        <f>IFERROR(VLOOKUP(D88,MANO_DE_OBRA!A:B,2,FALSE),"?")</f>
        <v>OFICIAL</v>
      </c>
      <c r="F88" s="5" t="s">
        <v>1200</v>
      </c>
      <c r="G88" s="11">
        <v>1.99658716</v>
      </c>
      <c r="H88" s="12">
        <v>0</v>
      </c>
      <c r="I88" s="7">
        <f>IFERROR(VLOOKUP(D88,MANO_DE_OBRA!A:C,3,FALSE),0)</f>
        <v>65360.25</v>
      </c>
      <c r="J88" s="8">
        <f t="shared" si="4"/>
        <v>130497.43592439</v>
      </c>
      <c r="K88" s="7" t="str">
        <f t="shared" si="5"/>
        <v>PTO-0305|MO</v>
      </c>
      <c r="L88" s="7">
        <f>COUNTIFS($K$2:K88,K88)</f>
        <v>2</v>
      </c>
      <c r="M88" s="7" t="str">
        <f t="shared" si="6"/>
        <v>PTO-0305|MO|2</v>
      </c>
      <c r="N88" s="7">
        <f>IFERROR(VLOOKUP(A88,PARTIDAS!A:F,6,FALSE),0)</f>
        <v>1</v>
      </c>
      <c r="O88" s="7">
        <f t="shared" si="7"/>
        <v>1.99658716</v>
      </c>
      <c r="P88" s="7">
        <f>IFERROR(_xlfn.XLOOKUP(A88,PPTO_GENERADOR!$Q:$Q,PPTO_GENERADOR!$E:$E,"-",0),"-")</f>
        <v>10</v>
      </c>
    </row>
    <row r="89" spans="1:16" x14ac:dyDescent="0.35">
      <c r="A89" s="5" t="s">
        <v>844</v>
      </c>
      <c r="B89" s="5" t="s">
        <v>1198</v>
      </c>
      <c r="C89" s="5" t="s">
        <v>1201</v>
      </c>
      <c r="D89" s="5" t="s">
        <v>475</v>
      </c>
      <c r="E89" s="7" t="str">
        <f>IFERROR(VLOOKUP(D89,MANO_DE_OBRA!A:B,2,FALSE),"?")</f>
        <v>AYUDANTE</v>
      </c>
      <c r="F89" s="5" t="s">
        <v>1200</v>
      </c>
      <c r="G89" s="11">
        <v>0.12286652000000001</v>
      </c>
      <c r="H89" s="12">
        <v>0</v>
      </c>
      <c r="I89" s="7">
        <f>IFERROR(VLOOKUP(D89,MANO_DE_OBRA!A:C,3,FALSE),0)</f>
        <v>49934.239999999998</v>
      </c>
      <c r="J89" s="8">
        <f t="shared" si="4"/>
        <v>6135.2462976448005</v>
      </c>
      <c r="K89" s="7" t="str">
        <f t="shared" si="5"/>
        <v>PTO-0305|MO</v>
      </c>
      <c r="L89" s="7">
        <f>COUNTIFS($K$2:K89,K89)</f>
        <v>3</v>
      </c>
      <c r="M89" s="7" t="str">
        <f t="shared" si="6"/>
        <v>PTO-0305|MO|3</v>
      </c>
      <c r="N89" s="7">
        <f>IFERROR(VLOOKUP(A89,PARTIDAS!A:F,6,FALSE),0)</f>
        <v>1</v>
      </c>
      <c r="O89" s="7">
        <f t="shared" si="7"/>
        <v>0.12286652000000001</v>
      </c>
      <c r="P89" s="7">
        <f>IFERROR(_xlfn.XLOOKUP(A89,PPTO_GENERADOR!$Q:$Q,PPTO_GENERADOR!$E:$E,"-",0),"-")</f>
        <v>10</v>
      </c>
    </row>
    <row r="90" spans="1:16" x14ac:dyDescent="0.35">
      <c r="A90" s="5" t="s">
        <v>844</v>
      </c>
      <c r="B90" s="5" t="s">
        <v>1202</v>
      </c>
      <c r="C90" s="5"/>
      <c r="D90" s="5" t="s">
        <v>505</v>
      </c>
      <c r="E90" s="7" t="str">
        <f>IFERROR(VLOOKUP(D90,EQUIPOS!A:B,2,FALSE),"?")</f>
        <v>Herramientas/consumibles - Rampa - H30 (120 kg/m3 de hierro)</v>
      </c>
      <c r="F90" s="5"/>
      <c r="G90" s="11">
        <v>1</v>
      </c>
      <c r="H90" s="12">
        <v>0</v>
      </c>
      <c r="I90" s="7">
        <f>IFERROR(VLOOKUP(D90,EQUIPOS!A:C,3,FALSE),0)</f>
        <v>4901.2865000000002</v>
      </c>
      <c r="J90" s="8">
        <f t="shared" si="4"/>
        <v>4901.2865000000002</v>
      </c>
      <c r="K90" s="7" t="str">
        <f t="shared" si="5"/>
        <v>PTO-0305|EQ</v>
      </c>
      <c r="L90" s="7">
        <f>COUNTIFS($K$2:K90,K90)</f>
        <v>1</v>
      </c>
      <c r="M90" s="7" t="str">
        <f t="shared" si="6"/>
        <v>PTO-0305|EQ|1</v>
      </c>
      <c r="N90" s="7">
        <f>IFERROR(VLOOKUP(A90,PARTIDAS!A:F,6,FALSE),0)</f>
        <v>1</v>
      </c>
      <c r="O90" s="7">
        <f t="shared" si="7"/>
        <v>0</v>
      </c>
      <c r="P90" s="7">
        <f>IFERROR(_xlfn.XLOOKUP(A90,PPTO_GENERADOR!$Q:$Q,PPTO_GENERADOR!$E:$E,"-",0),"-")</f>
        <v>10</v>
      </c>
    </row>
    <row r="91" spans="1:16" x14ac:dyDescent="0.35">
      <c r="A91" s="5" t="s">
        <v>846</v>
      </c>
      <c r="B91" s="5" t="s">
        <v>1203</v>
      </c>
      <c r="C91" s="5" t="s">
        <v>1199</v>
      </c>
      <c r="D91" s="5" t="s">
        <v>112</v>
      </c>
      <c r="E91" s="7" t="str">
        <f>IFERROR(VLOOKUP(D91,MATERIALES!A:B,2,FALSE),"?")</f>
        <v>Encofrado Losa maciza - H30 (120 kg/m3 de hierro)</v>
      </c>
      <c r="F91" s="5"/>
      <c r="G91" s="11">
        <v>1</v>
      </c>
      <c r="H91" s="12">
        <v>0</v>
      </c>
      <c r="I91" s="7">
        <f>IFERROR(VLOOKUP(D91,MATERIALES!A:D,4,FALSE),0)</f>
        <v>32975.501400000001</v>
      </c>
      <c r="J91" s="8">
        <f t="shared" si="4"/>
        <v>32975.501400000001</v>
      </c>
      <c r="K91" s="7" t="str">
        <f t="shared" si="5"/>
        <v>PTO-0306|MAT</v>
      </c>
      <c r="L91" s="7">
        <f>COUNTIFS($K$2:K91,K91)</f>
        <v>1</v>
      </c>
      <c r="M91" s="7" t="str">
        <f t="shared" si="6"/>
        <v>PTO-0306|MAT|1</v>
      </c>
      <c r="N91" s="7">
        <f>IFERROR(VLOOKUP(A91,PARTIDAS!A:F,6,FALSE),0)</f>
        <v>1</v>
      </c>
      <c r="O91" s="7">
        <f t="shared" si="7"/>
        <v>0</v>
      </c>
      <c r="P91" s="7">
        <f>IFERROR(_xlfn.XLOOKUP(A91,PPTO_GENERADOR!$Q:$Q,PPTO_GENERADOR!$E:$E,"-",0),"-")</f>
        <v>177</v>
      </c>
    </row>
    <row r="92" spans="1:16" x14ac:dyDescent="0.35">
      <c r="A92" s="5" t="s">
        <v>846</v>
      </c>
      <c r="B92" s="5" t="s">
        <v>1198</v>
      </c>
      <c r="C92" s="5" t="s">
        <v>1201</v>
      </c>
      <c r="D92" s="5" t="s">
        <v>477</v>
      </c>
      <c r="E92" s="7" t="str">
        <f>IFERROR(VLOOKUP(D92,MANO_DE_OBRA!A:B,2,FALSE),"?")</f>
        <v>ESPECIALIZADO</v>
      </c>
      <c r="F92" s="5" t="s">
        <v>1200</v>
      </c>
      <c r="G92" s="11">
        <v>1.3310581100000001</v>
      </c>
      <c r="H92" s="12">
        <v>0</v>
      </c>
      <c r="I92" s="7">
        <f>IFERROR(VLOOKUP(D92,MANO_DE_OBRA!A:C,3,FALSE),0)</f>
        <v>75113.05</v>
      </c>
      <c r="J92" s="8">
        <f t="shared" si="4"/>
        <v>99979.834369335513</v>
      </c>
      <c r="K92" s="7" t="str">
        <f t="shared" si="5"/>
        <v>PTO-0306|MO</v>
      </c>
      <c r="L92" s="7">
        <f>COUNTIFS($K$2:K92,K92)</f>
        <v>1</v>
      </c>
      <c r="M92" s="7" t="str">
        <f t="shared" si="6"/>
        <v>PTO-0306|MO|1</v>
      </c>
      <c r="N92" s="7">
        <f>IFERROR(VLOOKUP(A92,PARTIDAS!A:F,6,FALSE),0)</f>
        <v>1</v>
      </c>
      <c r="O92" s="7">
        <f t="shared" si="7"/>
        <v>1.3310581100000001</v>
      </c>
      <c r="P92" s="7">
        <f>IFERROR(_xlfn.XLOOKUP(A92,PPTO_GENERADOR!$Q:$Q,PPTO_GENERADOR!$E:$E,"-",0),"-")</f>
        <v>177</v>
      </c>
    </row>
    <row r="93" spans="1:16" x14ac:dyDescent="0.35">
      <c r="A93" s="5" t="s">
        <v>846</v>
      </c>
      <c r="B93" s="5" t="s">
        <v>1198</v>
      </c>
      <c r="C93" s="5" t="s">
        <v>1201</v>
      </c>
      <c r="D93" s="5" t="s">
        <v>481</v>
      </c>
      <c r="E93" s="7" t="str">
        <f>IFERROR(VLOOKUP(D93,MANO_DE_OBRA!A:B,2,FALSE),"?")</f>
        <v>OFICIAL</v>
      </c>
      <c r="F93" s="5" t="s">
        <v>1200</v>
      </c>
      <c r="G93" s="11">
        <v>1.3310581100000001</v>
      </c>
      <c r="H93" s="12">
        <v>0</v>
      </c>
      <c r="I93" s="7">
        <f>IFERROR(VLOOKUP(D93,MANO_DE_OBRA!A:C,3,FALSE),0)</f>
        <v>65360.25</v>
      </c>
      <c r="J93" s="8">
        <f t="shared" si="4"/>
        <v>86998.290834127503</v>
      </c>
      <c r="K93" s="7" t="str">
        <f t="shared" si="5"/>
        <v>PTO-0306|MO</v>
      </c>
      <c r="L93" s="7">
        <f>COUNTIFS($K$2:K93,K93)</f>
        <v>2</v>
      </c>
      <c r="M93" s="7" t="str">
        <f t="shared" si="6"/>
        <v>PTO-0306|MO|2</v>
      </c>
      <c r="N93" s="7">
        <f>IFERROR(VLOOKUP(A93,PARTIDAS!A:F,6,FALSE),0)</f>
        <v>1</v>
      </c>
      <c r="O93" s="7">
        <f t="shared" si="7"/>
        <v>1.3310581100000001</v>
      </c>
      <c r="P93" s="7">
        <f>IFERROR(_xlfn.XLOOKUP(A93,PPTO_GENERADOR!$Q:$Q,PPTO_GENERADOR!$E:$E,"-",0),"-")</f>
        <v>177</v>
      </c>
    </row>
    <row r="94" spans="1:16" x14ac:dyDescent="0.35">
      <c r="A94" s="5" t="s">
        <v>846</v>
      </c>
      <c r="B94" s="5" t="s">
        <v>1198</v>
      </c>
      <c r="C94" s="5" t="s">
        <v>1201</v>
      </c>
      <c r="D94" s="5" t="s">
        <v>475</v>
      </c>
      <c r="E94" s="7" t="str">
        <f>IFERROR(VLOOKUP(D94,MANO_DE_OBRA!A:B,2,FALSE),"?")</f>
        <v>AYUDANTE</v>
      </c>
      <c r="F94" s="5" t="s">
        <v>1200</v>
      </c>
      <c r="G94" s="11">
        <v>8.1911010000000006E-2</v>
      </c>
      <c r="H94" s="12">
        <v>0</v>
      </c>
      <c r="I94" s="7">
        <f>IFERROR(VLOOKUP(D94,MANO_DE_OBRA!A:C,3,FALSE),0)</f>
        <v>49934.239999999998</v>
      </c>
      <c r="J94" s="8">
        <f t="shared" si="4"/>
        <v>4090.1640319824</v>
      </c>
      <c r="K94" s="7" t="str">
        <f t="shared" si="5"/>
        <v>PTO-0306|MO</v>
      </c>
      <c r="L94" s="7">
        <f>COUNTIFS($K$2:K94,K94)</f>
        <v>3</v>
      </c>
      <c r="M94" s="7" t="str">
        <f t="shared" si="6"/>
        <v>PTO-0306|MO|3</v>
      </c>
      <c r="N94" s="7">
        <f>IFERROR(VLOOKUP(A94,PARTIDAS!A:F,6,FALSE),0)</f>
        <v>1</v>
      </c>
      <c r="O94" s="7">
        <f t="shared" si="7"/>
        <v>8.1911010000000006E-2</v>
      </c>
      <c r="P94" s="7">
        <f>IFERROR(_xlfn.XLOOKUP(A94,PPTO_GENERADOR!$Q:$Q,PPTO_GENERADOR!$E:$E,"-",0),"-")</f>
        <v>177</v>
      </c>
    </row>
    <row r="95" spans="1:16" x14ac:dyDescent="0.35">
      <c r="A95" s="5" t="s">
        <v>846</v>
      </c>
      <c r="B95" s="5" t="s">
        <v>1202</v>
      </c>
      <c r="C95" s="5"/>
      <c r="D95" s="5" t="s">
        <v>507</v>
      </c>
      <c r="E95" s="7" t="str">
        <f>IFERROR(VLOOKUP(D95,EQUIPOS!A:B,2,FALSE),"?")</f>
        <v>Herramientas/consumibles - Losa maciza - H30 (110 kg/m3 de hierro)</v>
      </c>
      <c r="F95" s="5"/>
      <c r="G95" s="11">
        <v>1</v>
      </c>
      <c r="H95" s="12">
        <v>0</v>
      </c>
      <c r="I95" s="7">
        <f>IFERROR(VLOOKUP(D95,EQUIPOS!A:C,3,FALSE),0)</f>
        <v>3360.6568000000002</v>
      </c>
      <c r="J95" s="8">
        <f t="shared" si="4"/>
        <v>3360.6568000000002</v>
      </c>
      <c r="K95" s="7" t="str">
        <f t="shared" si="5"/>
        <v>PTO-0306|EQ</v>
      </c>
      <c r="L95" s="7">
        <f>COUNTIFS($K$2:K95,K95)</f>
        <v>1</v>
      </c>
      <c r="M95" s="7" t="str">
        <f t="shared" si="6"/>
        <v>PTO-0306|EQ|1</v>
      </c>
      <c r="N95" s="7">
        <f>IFERROR(VLOOKUP(A95,PARTIDAS!A:F,6,FALSE),0)</f>
        <v>1</v>
      </c>
      <c r="O95" s="7">
        <f t="shared" si="7"/>
        <v>0</v>
      </c>
      <c r="P95" s="7">
        <f>IFERROR(_xlfn.XLOOKUP(A95,PPTO_GENERADOR!$Q:$Q,PPTO_GENERADOR!$E:$E,"-",0),"-")</f>
        <v>177</v>
      </c>
    </row>
    <row r="96" spans="1:16" x14ac:dyDescent="0.35">
      <c r="A96" s="5" t="s">
        <v>848</v>
      </c>
      <c r="B96" s="5" t="s">
        <v>1203</v>
      </c>
      <c r="C96" s="5" t="s">
        <v>1199</v>
      </c>
      <c r="D96" s="5" t="s">
        <v>114</v>
      </c>
      <c r="E96" s="7" t="str">
        <f>IFERROR(VLOOKUP(D96,MATERIALES!A:B,2,FALSE),"?")</f>
        <v>Encofrado Vigas - H30 (130 kg/m3 de hierro)</v>
      </c>
      <c r="F96" s="5"/>
      <c r="G96" s="11">
        <v>1</v>
      </c>
      <c r="H96" s="12">
        <v>0</v>
      </c>
      <c r="I96" s="7">
        <f>IFERROR(VLOOKUP(D96,MATERIALES!A:D,4,FALSE),0)</f>
        <v>94228.958100000003</v>
      </c>
      <c r="J96" s="8">
        <f t="shared" si="4"/>
        <v>94228.958100000003</v>
      </c>
      <c r="K96" s="7" t="str">
        <f t="shared" si="5"/>
        <v>PTO-0307|MAT</v>
      </c>
      <c r="L96" s="7">
        <f>COUNTIFS($K$2:K96,K96)</f>
        <v>1</v>
      </c>
      <c r="M96" s="7" t="str">
        <f t="shared" si="6"/>
        <v>PTO-0307|MAT|1</v>
      </c>
      <c r="N96" s="7">
        <f>IFERROR(VLOOKUP(A96,PARTIDAS!A:F,6,FALSE),0)</f>
        <v>1</v>
      </c>
      <c r="O96" s="7">
        <f t="shared" si="7"/>
        <v>0</v>
      </c>
      <c r="P96" s="7">
        <f>IFERROR(_xlfn.XLOOKUP(A96,PPTO_GENERADOR!$Q:$Q,PPTO_GENERADOR!$E:$E,"-",0),"-")</f>
        <v>65</v>
      </c>
    </row>
    <row r="97" spans="1:16" x14ac:dyDescent="0.35">
      <c r="A97" s="5" t="s">
        <v>848</v>
      </c>
      <c r="B97" s="5" t="s">
        <v>1198</v>
      </c>
      <c r="C97" s="5" t="s">
        <v>1201</v>
      </c>
      <c r="D97" s="5" t="s">
        <v>477</v>
      </c>
      <c r="E97" s="7" t="str">
        <f>IFERROR(VLOOKUP(D97,MANO_DE_OBRA!A:B,2,FALSE),"?")</f>
        <v>ESPECIALIZADO</v>
      </c>
      <c r="F97" s="5" t="s">
        <v>1200</v>
      </c>
      <c r="G97" s="11">
        <v>3.2673112400000002</v>
      </c>
      <c r="H97" s="12">
        <v>0</v>
      </c>
      <c r="I97" s="7">
        <f>IFERROR(VLOOKUP(D97,MANO_DE_OBRA!A:C,3,FALSE),0)</f>
        <v>75113.05</v>
      </c>
      <c r="J97" s="8">
        <f t="shared" si="4"/>
        <v>245417.71253568202</v>
      </c>
      <c r="K97" s="7" t="str">
        <f t="shared" si="5"/>
        <v>PTO-0307|MO</v>
      </c>
      <c r="L97" s="7">
        <f>COUNTIFS($K$2:K97,K97)</f>
        <v>1</v>
      </c>
      <c r="M97" s="7" t="str">
        <f t="shared" si="6"/>
        <v>PTO-0307|MO|1</v>
      </c>
      <c r="N97" s="7">
        <f>IFERROR(VLOOKUP(A97,PARTIDAS!A:F,6,FALSE),0)</f>
        <v>1</v>
      </c>
      <c r="O97" s="7">
        <f t="shared" si="7"/>
        <v>3.2673112400000002</v>
      </c>
      <c r="P97" s="7">
        <f>IFERROR(_xlfn.XLOOKUP(A97,PPTO_GENERADOR!$Q:$Q,PPTO_GENERADOR!$E:$E,"-",0),"-")</f>
        <v>65</v>
      </c>
    </row>
    <row r="98" spans="1:16" x14ac:dyDescent="0.35">
      <c r="A98" s="5" t="s">
        <v>848</v>
      </c>
      <c r="B98" s="5" t="s">
        <v>1198</v>
      </c>
      <c r="C98" s="5" t="s">
        <v>1201</v>
      </c>
      <c r="D98" s="5" t="s">
        <v>481</v>
      </c>
      <c r="E98" s="7" t="str">
        <f>IFERROR(VLOOKUP(D98,MANO_DE_OBRA!A:B,2,FALSE),"?")</f>
        <v>OFICIAL</v>
      </c>
      <c r="F98" s="5" t="s">
        <v>1200</v>
      </c>
      <c r="G98" s="11">
        <v>3.2673112400000002</v>
      </c>
      <c r="H98" s="12">
        <v>0</v>
      </c>
      <c r="I98" s="7">
        <f>IFERROR(VLOOKUP(D98,MANO_DE_OBRA!A:C,3,FALSE),0)</f>
        <v>65360.25</v>
      </c>
      <c r="J98" s="8">
        <f t="shared" si="4"/>
        <v>213552.27947421002</v>
      </c>
      <c r="K98" s="7" t="str">
        <f t="shared" si="5"/>
        <v>PTO-0307|MO</v>
      </c>
      <c r="L98" s="7">
        <f>COUNTIFS($K$2:K98,K98)</f>
        <v>2</v>
      </c>
      <c r="M98" s="7" t="str">
        <f t="shared" si="6"/>
        <v>PTO-0307|MO|2</v>
      </c>
      <c r="N98" s="7">
        <f>IFERROR(VLOOKUP(A98,PARTIDAS!A:F,6,FALSE),0)</f>
        <v>1</v>
      </c>
      <c r="O98" s="7">
        <f t="shared" si="7"/>
        <v>3.2673112400000002</v>
      </c>
      <c r="P98" s="7">
        <f>IFERROR(_xlfn.XLOOKUP(A98,PPTO_GENERADOR!$Q:$Q,PPTO_GENERADOR!$E:$E,"-",0),"-")</f>
        <v>65</v>
      </c>
    </row>
    <row r="99" spans="1:16" x14ac:dyDescent="0.35">
      <c r="A99" s="5" t="s">
        <v>848</v>
      </c>
      <c r="B99" s="5" t="s">
        <v>1198</v>
      </c>
      <c r="C99" s="5" t="s">
        <v>1201</v>
      </c>
      <c r="D99" s="5" t="s">
        <v>475</v>
      </c>
      <c r="E99" s="7" t="str">
        <f>IFERROR(VLOOKUP(D99,MANO_DE_OBRA!A:B,2,FALSE),"?")</f>
        <v>AYUDANTE</v>
      </c>
      <c r="F99" s="5" t="s">
        <v>1200</v>
      </c>
      <c r="G99" s="11">
        <v>7.9691010000000007E-2</v>
      </c>
      <c r="H99" s="12">
        <v>0</v>
      </c>
      <c r="I99" s="7">
        <f>IFERROR(VLOOKUP(D99,MANO_DE_OBRA!A:C,3,FALSE),0)</f>
        <v>49934.239999999998</v>
      </c>
      <c r="J99" s="8">
        <f t="shared" si="4"/>
        <v>3979.3100191824001</v>
      </c>
      <c r="K99" s="7" t="str">
        <f t="shared" si="5"/>
        <v>PTO-0307|MO</v>
      </c>
      <c r="L99" s="7">
        <f>COUNTIFS($K$2:K99,K99)</f>
        <v>3</v>
      </c>
      <c r="M99" s="7" t="str">
        <f t="shared" si="6"/>
        <v>PTO-0307|MO|3</v>
      </c>
      <c r="N99" s="7">
        <f>IFERROR(VLOOKUP(A99,PARTIDAS!A:F,6,FALSE),0)</f>
        <v>1</v>
      </c>
      <c r="O99" s="7">
        <f t="shared" si="7"/>
        <v>7.9691010000000007E-2</v>
      </c>
      <c r="P99" s="7">
        <f>IFERROR(_xlfn.XLOOKUP(A99,PPTO_GENERADOR!$Q:$Q,PPTO_GENERADOR!$E:$E,"-",0),"-")</f>
        <v>65</v>
      </c>
    </row>
    <row r="100" spans="1:16" x14ac:dyDescent="0.35">
      <c r="A100" s="5" t="s">
        <v>848</v>
      </c>
      <c r="B100" s="5" t="s">
        <v>1202</v>
      </c>
      <c r="C100" s="5"/>
      <c r="D100" s="5" t="s">
        <v>509</v>
      </c>
      <c r="E100" s="7" t="str">
        <f>IFERROR(VLOOKUP(D100,EQUIPOS!A:B,2,FALSE),"?")</f>
        <v>Herramientas/consumibles - Vigas - H30 (140 kg/m3 de hierro)</v>
      </c>
      <c r="F100" s="5"/>
      <c r="G100" s="11">
        <v>1</v>
      </c>
      <c r="H100" s="12">
        <v>0</v>
      </c>
      <c r="I100" s="7">
        <f>IFERROR(VLOOKUP(D100,EQUIPOS!A:C,3,FALSE),0)</f>
        <v>8357.6736999999994</v>
      </c>
      <c r="J100" s="8">
        <f t="shared" si="4"/>
        <v>8357.6736999999994</v>
      </c>
      <c r="K100" s="7" t="str">
        <f t="shared" si="5"/>
        <v>PTO-0307|EQ</v>
      </c>
      <c r="L100" s="7">
        <f>COUNTIFS($K$2:K100,K100)</f>
        <v>1</v>
      </c>
      <c r="M100" s="7" t="str">
        <f t="shared" si="6"/>
        <v>PTO-0307|EQ|1</v>
      </c>
      <c r="N100" s="7">
        <f>IFERROR(VLOOKUP(A100,PARTIDAS!A:F,6,FALSE),0)</f>
        <v>1</v>
      </c>
      <c r="O100" s="7">
        <f t="shared" si="7"/>
        <v>0</v>
      </c>
      <c r="P100" s="7">
        <f>IFERROR(_xlfn.XLOOKUP(A100,PPTO_GENERADOR!$Q:$Q,PPTO_GENERADOR!$E:$E,"-",0),"-")</f>
        <v>65</v>
      </c>
    </row>
    <row r="101" spans="1:16" x14ac:dyDescent="0.35">
      <c r="A101" s="5" t="s">
        <v>850</v>
      </c>
      <c r="B101" s="5" t="s">
        <v>1203</v>
      </c>
      <c r="C101" s="5" t="s">
        <v>1199</v>
      </c>
      <c r="D101" s="5" t="s">
        <v>116</v>
      </c>
      <c r="E101" s="7" t="str">
        <f>IFERROR(VLOOKUP(D101,MATERIALES!A:B,2,FALSE),"?")</f>
        <v>Encofrado Vigas H° visto - H30 (130 kg/m3 de hierro)</v>
      </c>
      <c r="F101" s="5"/>
      <c r="G101" s="11">
        <v>1</v>
      </c>
      <c r="H101" s="12">
        <v>0</v>
      </c>
      <c r="I101" s="7">
        <f>IFERROR(VLOOKUP(D101,MATERIALES!A:D,4,FALSE),0)</f>
        <v>92072.316600000006</v>
      </c>
      <c r="J101" s="8">
        <f t="shared" si="4"/>
        <v>92072.316600000006</v>
      </c>
      <c r="K101" s="7" t="str">
        <f t="shared" si="5"/>
        <v>PTO-0308|MAT</v>
      </c>
      <c r="L101" s="7">
        <f>COUNTIFS($K$2:K101,K101)</f>
        <v>1</v>
      </c>
      <c r="M101" s="7" t="str">
        <f t="shared" si="6"/>
        <v>PTO-0308|MAT|1</v>
      </c>
      <c r="N101" s="7">
        <f>IFERROR(VLOOKUP(A101,PARTIDAS!A:F,6,FALSE),0)</f>
        <v>1</v>
      </c>
      <c r="O101" s="7">
        <f t="shared" si="7"/>
        <v>0</v>
      </c>
      <c r="P101" s="7">
        <f>IFERROR(_xlfn.XLOOKUP(A101,PPTO_GENERADOR!$Q:$Q,PPTO_GENERADOR!$E:$E,"-",0),"-")</f>
        <v>12</v>
      </c>
    </row>
    <row r="102" spans="1:16" x14ac:dyDescent="0.35">
      <c r="A102" s="5" t="s">
        <v>850</v>
      </c>
      <c r="B102" s="5" t="s">
        <v>1198</v>
      </c>
      <c r="C102" s="5" t="s">
        <v>1201</v>
      </c>
      <c r="D102" s="5" t="s">
        <v>477</v>
      </c>
      <c r="E102" s="7" t="str">
        <f>IFERROR(VLOOKUP(D102,MANO_DE_OBRA!A:B,2,FALSE),"?")</f>
        <v>ESPECIALIZADO</v>
      </c>
      <c r="F102" s="5" t="s">
        <v>1200</v>
      </c>
      <c r="G102" s="11">
        <v>3.9207734900000002</v>
      </c>
      <c r="H102" s="12">
        <v>0</v>
      </c>
      <c r="I102" s="7">
        <f>IFERROR(VLOOKUP(D102,MANO_DE_OBRA!A:C,3,FALSE),0)</f>
        <v>75113.05</v>
      </c>
      <c r="J102" s="8">
        <f t="shared" si="4"/>
        <v>294501.25519304455</v>
      </c>
      <c r="K102" s="7" t="str">
        <f t="shared" si="5"/>
        <v>PTO-0308|MO</v>
      </c>
      <c r="L102" s="7">
        <f>COUNTIFS($K$2:K102,K102)</f>
        <v>1</v>
      </c>
      <c r="M102" s="7" t="str">
        <f t="shared" si="6"/>
        <v>PTO-0308|MO|1</v>
      </c>
      <c r="N102" s="7">
        <f>IFERROR(VLOOKUP(A102,PARTIDAS!A:F,6,FALSE),0)</f>
        <v>1</v>
      </c>
      <c r="O102" s="7">
        <f t="shared" si="7"/>
        <v>3.9207734900000002</v>
      </c>
      <c r="P102" s="7">
        <f>IFERROR(_xlfn.XLOOKUP(A102,PPTO_GENERADOR!$Q:$Q,PPTO_GENERADOR!$E:$E,"-",0),"-")</f>
        <v>12</v>
      </c>
    </row>
    <row r="103" spans="1:16" x14ac:dyDescent="0.35">
      <c r="A103" s="5" t="s">
        <v>850</v>
      </c>
      <c r="B103" s="5" t="s">
        <v>1198</v>
      </c>
      <c r="C103" s="5" t="s">
        <v>1201</v>
      </c>
      <c r="D103" s="5" t="s">
        <v>481</v>
      </c>
      <c r="E103" s="7" t="str">
        <f>IFERROR(VLOOKUP(D103,MANO_DE_OBRA!A:B,2,FALSE),"?")</f>
        <v>OFICIAL</v>
      </c>
      <c r="F103" s="5" t="s">
        <v>1200</v>
      </c>
      <c r="G103" s="11">
        <v>3.9207734900000002</v>
      </c>
      <c r="H103" s="12">
        <v>0</v>
      </c>
      <c r="I103" s="7">
        <f>IFERROR(VLOOKUP(D103,MANO_DE_OBRA!A:C,3,FALSE),0)</f>
        <v>65360.25</v>
      </c>
      <c r="J103" s="8">
        <f t="shared" si="4"/>
        <v>256262.73549977251</v>
      </c>
      <c r="K103" s="7" t="str">
        <f t="shared" si="5"/>
        <v>PTO-0308|MO</v>
      </c>
      <c r="L103" s="7">
        <f>COUNTIFS($K$2:K103,K103)</f>
        <v>2</v>
      </c>
      <c r="M103" s="7" t="str">
        <f t="shared" si="6"/>
        <v>PTO-0308|MO|2</v>
      </c>
      <c r="N103" s="7">
        <f>IFERROR(VLOOKUP(A103,PARTIDAS!A:F,6,FALSE),0)</f>
        <v>1</v>
      </c>
      <c r="O103" s="7">
        <f t="shared" si="7"/>
        <v>3.9207734900000002</v>
      </c>
      <c r="P103" s="7">
        <f>IFERROR(_xlfn.XLOOKUP(A103,PPTO_GENERADOR!$Q:$Q,PPTO_GENERADOR!$E:$E,"-",0),"-")</f>
        <v>12</v>
      </c>
    </row>
    <row r="104" spans="1:16" x14ac:dyDescent="0.35">
      <c r="A104" s="5" t="s">
        <v>850</v>
      </c>
      <c r="B104" s="5" t="s">
        <v>1198</v>
      </c>
      <c r="C104" s="5" t="s">
        <v>1201</v>
      </c>
      <c r="D104" s="5" t="s">
        <v>475</v>
      </c>
      <c r="E104" s="7" t="str">
        <f>IFERROR(VLOOKUP(D104,MANO_DE_OBRA!A:B,2,FALSE),"?")</f>
        <v>AYUDANTE</v>
      </c>
      <c r="F104" s="5" t="s">
        <v>1200</v>
      </c>
      <c r="G104" s="11">
        <v>9.5629210000000006E-2</v>
      </c>
      <c r="H104" s="12">
        <v>0</v>
      </c>
      <c r="I104" s="7">
        <f>IFERROR(VLOOKUP(D104,MANO_DE_OBRA!A:C,3,FALSE),0)</f>
        <v>49934.239999999998</v>
      </c>
      <c r="J104" s="8">
        <f t="shared" si="4"/>
        <v>4775.1719231504003</v>
      </c>
      <c r="K104" s="7" t="str">
        <f t="shared" si="5"/>
        <v>PTO-0308|MO</v>
      </c>
      <c r="L104" s="7">
        <f>COUNTIFS($K$2:K104,K104)</f>
        <v>3</v>
      </c>
      <c r="M104" s="7" t="str">
        <f t="shared" si="6"/>
        <v>PTO-0308|MO|3</v>
      </c>
      <c r="N104" s="7">
        <f>IFERROR(VLOOKUP(A104,PARTIDAS!A:F,6,FALSE),0)</f>
        <v>1</v>
      </c>
      <c r="O104" s="7">
        <f t="shared" si="7"/>
        <v>9.5629210000000006E-2</v>
      </c>
      <c r="P104" s="7">
        <f>IFERROR(_xlfn.XLOOKUP(A104,PPTO_GENERADOR!$Q:$Q,PPTO_GENERADOR!$E:$E,"-",0),"-")</f>
        <v>12</v>
      </c>
    </row>
    <row r="105" spans="1:16" x14ac:dyDescent="0.35">
      <c r="A105" s="5" t="s">
        <v>850</v>
      </c>
      <c r="B105" s="5" t="s">
        <v>1202</v>
      </c>
      <c r="C105" s="5"/>
      <c r="D105" s="5" t="s">
        <v>511</v>
      </c>
      <c r="E105" s="7" t="str">
        <f>IFERROR(VLOOKUP(D105,EQUIPOS!A:B,2,FALSE),"?")</f>
        <v>Herramientas/consumibles - Vigas de H° visto - H30 (140 kg/m3 de hi</v>
      </c>
      <c r="F105" s="5"/>
      <c r="G105" s="11">
        <v>1</v>
      </c>
      <c r="H105" s="12">
        <v>0</v>
      </c>
      <c r="I105" s="7">
        <f>IFERROR(VLOOKUP(D105,EQUIPOS!A:C,3,FALSE),0)</f>
        <v>9714.1720000000005</v>
      </c>
      <c r="J105" s="8">
        <f t="shared" si="4"/>
        <v>9714.1720000000005</v>
      </c>
      <c r="K105" s="7" t="str">
        <f t="shared" si="5"/>
        <v>PTO-0308|EQ</v>
      </c>
      <c r="L105" s="7">
        <f>COUNTIFS($K$2:K105,K105)</f>
        <v>1</v>
      </c>
      <c r="M105" s="7" t="str">
        <f t="shared" si="6"/>
        <v>PTO-0308|EQ|1</v>
      </c>
      <c r="N105" s="7">
        <f>IFERROR(VLOOKUP(A105,PARTIDAS!A:F,6,FALSE),0)</f>
        <v>1</v>
      </c>
      <c r="O105" s="7">
        <f t="shared" si="7"/>
        <v>0</v>
      </c>
      <c r="P105" s="7">
        <f>IFERROR(_xlfn.XLOOKUP(A105,PPTO_GENERADOR!$Q:$Q,PPTO_GENERADOR!$E:$E,"-",0),"-")</f>
        <v>12</v>
      </c>
    </row>
    <row r="106" spans="1:16" x14ac:dyDescent="0.35">
      <c r="A106" s="5" t="s">
        <v>852</v>
      </c>
      <c r="B106" s="5" t="s">
        <v>1203</v>
      </c>
      <c r="C106" s="5" t="s">
        <v>1199</v>
      </c>
      <c r="D106" s="5" t="s">
        <v>118</v>
      </c>
      <c r="E106" s="7" t="str">
        <f>IFERROR(VLOOKUP(D106,MATERIALES!A:B,2,FALSE),"?")</f>
        <v>Encofrado Tabique - H30 (140 kg/m3 de hierro)</v>
      </c>
      <c r="F106" s="5"/>
      <c r="G106" s="11">
        <v>1</v>
      </c>
      <c r="H106" s="12">
        <v>0</v>
      </c>
      <c r="I106" s="7">
        <f>IFERROR(VLOOKUP(D106,MATERIALES!A:D,4,FALSE),0)</f>
        <v>70843.445699999997</v>
      </c>
      <c r="J106" s="8">
        <f t="shared" si="4"/>
        <v>70843.445699999997</v>
      </c>
      <c r="K106" s="7" t="str">
        <f t="shared" si="5"/>
        <v>PTO-0309|MAT</v>
      </c>
      <c r="L106" s="7">
        <f>COUNTIFS($K$2:K106,K106)</f>
        <v>1</v>
      </c>
      <c r="M106" s="7" t="str">
        <f t="shared" si="6"/>
        <v>PTO-0309|MAT|1</v>
      </c>
      <c r="N106" s="7">
        <f>IFERROR(VLOOKUP(A106,PARTIDAS!A:F,6,FALSE),0)</f>
        <v>1</v>
      </c>
      <c r="O106" s="7">
        <f t="shared" si="7"/>
        <v>0</v>
      </c>
      <c r="P106" s="7">
        <f>IFERROR(_xlfn.XLOOKUP(A106,PPTO_GENERADOR!$Q:$Q,PPTO_GENERADOR!$E:$E,"-",0),"-")</f>
        <v>28</v>
      </c>
    </row>
    <row r="107" spans="1:16" x14ac:dyDescent="0.35">
      <c r="A107" s="5" t="s">
        <v>852</v>
      </c>
      <c r="B107" s="5" t="s">
        <v>1198</v>
      </c>
      <c r="C107" s="5" t="s">
        <v>1201</v>
      </c>
      <c r="D107" s="5" t="s">
        <v>477</v>
      </c>
      <c r="E107" s="7" t="str">
        <f>IFERROR(VLOOKUP(D107,MANO_DE_OBRA!A:B,2,FALSE),"?")</f>
        <v>ESPECIALIZADO</v>
      </c>
      <c r="F107" s="5" t="s">
        <v>1200</v>
      </c>
      <c r="G107" s="11">
        <v>1.89395808</v>
      </c>
      <c r="H107" s="12">
        <v>0</v>
      </c>
      <c r="I107" s="7">
        <f>IFERROR(VLOOKUP(D107,MANO_DE_OBRA!A:C,3,FALSE),0)</f>
        <v>75113.05</v>
      </c>
      <c r="J107" s="8">
        <f t="shared" si="4"/>
        <v>142260.96796094399</v>
      </c>
      <c r="K107" s="7" t="str">
        <f t="shared" si="5"/>
        <v>PTO-0309|MO</v>
      </c>
      <c r="L107" s="7">
        <f>COUNTIFS($K$2:K107,K107)</f>
        <v>1</v>
      </c>
      <c r="M107" s="7" t="str">
        <f t="shared" si="6"/>
        <v>PTO-0309|MO|1</v>
      </c>
      <c r="N107" s="7">
        <f>IFERROR(VLOOKUP(A107,PARTIDAS!A:F,6,FALSE),0)</f>
        <v>1</v>
      </c>
      <c r="O107" s="7">
        <f t="shared" si="7"/>
        <v>1.89395808</v>
      </c>
      <c r="P107" s="7">
        <f>IFERROR(_xlfn.XLOOKUP(A107,PPTO_GENERADOR!$Q:$Q,PPTO_GENERADOR!$E:$E,"-",0),"-")</f>
        <v>28</v>
      </c>
    </row>
    <row r="108" spans="1:16" x14ac:dyDescent="0.35">
      <c r="A108" s="5" t="s">
        <v>852</v>
      </c>
      <c r="B108" s="5" t="s">
        <v>1198</v>
      </c>
      <c r="C108" s="5" t="s">
        <v>1201</v>
      </c>
      <c r="D108" s="5" t="s">
        <v>481</v>
      </c>
      <c r="E108" s="7" t="str">
        <f>IFERROR(VLOOKUP(D108,MANO_DE_OBRA!A:B,2,FALSE),"?")</f>
        <v>OFICIAL</v>
      </c>
      <c r="F108" s="5" t="s">
        <v>1200</v>
      </c>
      <c r="G108" s="11">
        <v>2.4858201100000001</v>
      </c>
      <c r="H108" s="12">
        <v>0</v>
      </c>
      <c r="I108" s="7">
        <f>IFERROR(VLOOKUP(D108,MANO_DE_OBRA!A:C,3,FALSE),0)</f>
        <v>65360.25</v>
      </c>
      <c r="J108" s="8">
        <f t="shared" si="4"/>
        <v>162473.82384462751</v>
      </c>
      <c r="K108" s="7" t="str">
        <f t="shared" si="5"/>
        <v>PTO-0309|MO</v>
      </c>
      <c r="L108" s="7">
        <f>COUNTIFS($K$2:K108,K108)</f>
        <v>2</v>
      </c>
      <c r="M108" s="7" t="str">
        <f t="shared" si="6"/>
        <v>PTO-0309|MO|2</v>
      </c>
      <c r="N108" s="7">
        <f>IFERROR(VLOOKUP(A108,PARTIDAS!A:F,6,FALSE),0)</f>
        <v>1</v>
      </c>
      <c r="O108" s="7">
        <f t="shared" si="7"/>
        <v>2.4858201100000001</v>
      </c>
      <c r="P108" s="7">
        <f>IFERROR(_xlfn.XLOOKUP(A108,PPTO_GENERADOR!$Q:$Q,PPTO_GENERADOR!$E:$E,"-",0),"-")</f>
        <v>28</v>
      </c>
    </row>
    <row r="109" spans="1:16" x14ac:dyDescent="0.35">
      <c r="A109" s="5" t="s">
        <v>852</v>
      </c>
      <c r="B109" s="5" t="s">
        <v>1198</v>
      </c>
      <c r="C109" s="5" t="s">
        <v>1201</v>
      </c>
      <c r="D109" s="5" t="s">
        <v>475</v>
      </c>
      <c r="E109" s="7" t="str">
        <f>IFERROR(VLOOKUP(D109,MANO_DE_OBRA!A:B,2,FALSE),"?")</f>
        <v>AYUDANTE</v>
      </c>
      <c r="F109" s="5" t="s">
        <v>1200</v>
      </c>
      <c r="G109" s="11">
        <v>5.9186000000000002E-2</v>
      </c>
      <c r="H109" s="12">
        <v>0</v>
      </c>
      <c r="I109" s="7">
        <f>IFERROR(VLOOKUP(D109,MANO_DE_OBRA!A:C,3,FALSE),0)</f>
        <v>49934.239999999998</v>
      </c>
      <c r="J109" s="8">
        <f t="shared" si="4"/>
        <v>2955.4079286400001</v>
      </c>
      <c r="K109" s="7" t="str">
        <f t="shared" si="5"/>
        <v>PTO-0309|MO</v>
      </c>
      <c r="L109" s="7">
        <f>COUNTIFS($K$2:K109,K109)</f>
        <v>3</v>
      </c>
      <c r="M109" s="7" t="str">
        <f t="shared" si="6"/>
        <v>PTO-0309|MO|3</v>
      </c>
      <c r="N109" s="7">
        <f>IFERROR(VLOOKUP(A109,PARTIDAS!A:F,6,FALSE),0)</f>
        <v>1</v>
      </c>
      <c r="O109" s="7">
        <f t="shared" si="7"/>
        <v>5.9186000000000002E-2</v>
      </c>
      <c r="P109" s="7">
        <f>IFERROR(_xlfn.XLOOKUP(A109,PPTO_GENERADOR!$Q:$Q,PPTO_GENERADOR!$E:$E,"-",0),"-")</f>
        <v>28</v>
      </c>
    </row>
    <row r="110" spans="1:16" x14ac:dyDescent="0.35">
      <c r="A110" s="5" t="s">
        <v>852</v>
      </c>
      <c r="B110" s="5" t="s">
        <v>1202</v>
      </c>
      <c r="C110" s="5"/>
      <c r="D110" s="5" t="s">
        <v>513</v>
      </c>
      <c r="E110" s="7" t="str">
        <f>IFERROR(VLOOKUP(D110,EQUIPOS!A:B,2,FALSE),"?")</f>
        <v>Herramientas/consumibles - Tabiques - H30 (120 kg/m3 de hierro)</v>
      </c>
      <c r="F110" s="5"/>
      <c r="G110" s="11">
        <v>1</v>
      </c>
      <c r="H110" s="12">
        <v>0</v>
      </c>
      <c r="I110" s="7">
        <f>IFERROR(VLOOKUP(D110,EQUIPOS!A:C,3,FALSE),0)</f>
        <v>5678.0046000000002</v>
      </c>
      <c r="J110" s="8">
        <f t="shared" si="4"/>
        <v>5678.0046000000002</v>
      </c>
      <c r="K110" s="7" t="str">
        <f t="shared" si="5"/>
        <v>PTO-0309|EQ</v>
      </c>
      <c r="L110" s="7">
        <f>COUNTIFS($K$2:K110,K110)</f>
        <v>1</v>
      </c>
      <c r="M110" s="7" t="str">
        <f t="shared" si="6"/>
        <v>PTO-0309|EQ|1</v>
      </c>
      <c r="N110" s="7">
        <f>IFERROR(VLOOKUP(A110,PARTIDAS!A:F,6,FALSE),0)</f>
        <v>1</v>
      </c>
      <c r="O110" s="7">
        <f t="shared" si="7"/>
        <v>0</v>
      </c>
      <c r="P110" s="7">
        <f>IFERROR(_xlfn.XLOOKUP(A110,PPTO_GENERADOR!$Q:$Q,PPTO_GENERADOR!$E:$E,"-",0),"-")</f>
        <v>28</v>
      </c>
    </row>
    <row r="111" spans="1:16" x14ac:dyDescent="0.35">
      <c r="A111" s="5" t="s">
        <v>854</v>
      </c>
      <c r="B111" s="5" t="s">
        <v>1203</v>
      </c>
      <c r="C111" s="5" t="s">
        <v>1199</v>
      </c>
      <c r="D111" s="5" t="s">
        <v>120</v>
      </c>
      <c r="E111" s="7" t="str">
        <f>IFERROR(VLOOKUP(D111,MATERIALES!A:B,2,FALSE),"?")</f>
        <v>Encofrado Columna - H30 (190 kg/m3 de hierro)</v>
      </c>
      <c r="F111" s="5"/>
      <c r="G111" s="11">
        <v>1</v>
      </c>
      <c r="H111" s="12">
        <v>0</v>
      </c>
      <c r="I111" s="7">
        <f>IFERROR(VLOOKUP(D111,MATERIALES!A:D,4,FALSE),0)</f>
        <v>60951.378700000001</v>
      </c>
      <c r="J111" s="8">
        <f t="shared" si="4"/>
        <v>60951.378700000001</v>
      </c>
      <c r="K111" s="7" t="str">
        <f t="shared" si="5"/>
        <v>PTO-0310|MAT</v>
      </c>
      <c r="L111" s="7">
        <f>COUNTIFS($K$2:K111,K111)</f>
        <v>1</v>
      </c>
      <c r="M111" s="7" t="str">
        <f t="shared" si="6"/>
        <v>PTO-0310|MAT|1</v>
      </c>
      <c r="N111" s="7">
        <f>IFERROR(VLOOKUP(A111,PARTIDAS!A:F,6,FALSE),0)</f>
        <v>1</v>
      </c>
      <c r="O111" s="7">
        <f t="shared" si="7"/>
        <v>0</v>
      </c>
      <c r="P111" s="7">
        <f>IFERROR(_xlfn.XLOOKUP(A111,PPTO_GENERADOR!$Q:$Q,PPTO_GENERADOR!$E:$E,"-",0),"-")</f>
        <v>54</v>
      </c>
    </row>
    <row r="112" spans="1:16" x14ac:dyDescent="0.35">
      <c r="A112" s="5" t="s">
        <v>854</v>
      </c>
      <c r="B112" s="5" t="s">
        <v>1198</v>
      </c>
      <c r="C112" s="5" t="s">
        <v>1201</v>
      </c>
      <c r="D112" s="5" t="s">
        <v>477</v>
      </c>
      <c r="E112" s="7" t="str">
        <f>IFERROR(VLOOKUP(D112,MANO_DE_OBRA!A:B,2,FALSE),"?")</f>
        <v>ESPECIALIZADO</v>
      </c>
      <c r="F112" s="5" t="s">
        <v>1200</v>
      </c>
      <c r="G112" s="11">
        <v>1.7427466</v>
      </c>
      <c r="H112" s="12">
        <v>0</v>
      </c>
      <c r="I112" s="7">
        <f>IFERROR(VLOOKUP(D112,MANO_DE_OBRA!A:C,3,FALSE),0)</f>
        <v>75113.05</v>
      </c>
      <c r="J112" s="8">
        <f t="shared" si="4"/>
        <v>130903.01250313001</v>
      </c>
      <c r="K112" s="7" t="str">
        <f t="shared" si="5"/>
        <v>PTO-0310|MO</v>
      </c>
      <c r="L112" s="7">
        <f>COUNTIFS($K$2:K112,K112)</f>
        <v>1</v>
      </c>
      <c r="M112" s="7" t="str">
        <f t="shared" si="6"/>
        <v>PTO-0310|MO|1</v>
      </c>
      <c r="N112" s="7">
        <f>IFERROR(VLOOKUP(A112,PARTIDAS!A:F,6,FALSE),0)</f>
        <v>1</v>
      </c>
      <c r="O112" s="7">
        <f t="shared" si="7"/>
        <v>1.7427466</v>
      </c>
      <c r="P112" s="7">
        <f>IFERROR(_xlfn.XLOOKUP(A112,PPTO_GENERADOR!$Q:$Q,PPTO_GENERADOR!$E:$E,"-",0),"-")</f>
        <v>54</v>
      </c>
    </row>
    <row r="113" spans="1:16" x14ac:dyDescent="0.35">
      <c r="A113" s="5" t="s">
        <v>854</v>
      </c>
      <c r="B113" s="5" t="s">
        <v>1198</v>
      </c>
      <c r="C113" s="5" t="s">
        <v>1201</v>
      </c>
      <c r="D113" s="5" t="s">
        <v>481</v>
      </c>
      <c r="E113" s="7" t="str">
        <f>IFERROR(VLOOKUP(D113,MANO_DE_OBRA!A:B,2,FALSE),"?")</f>
        <v>OFICIAL</v>
      </c>
      <c r="F113" s="5" t="s">
        <v>1200</v>
      </c>
      <c r="G113" s="11">
        <v>2.1528045100000002</v>
      </c>
      <c r="H113" s="12">
        <v>0</v>
      </c>
      <c r="I113" s="7">
        <f>IFERROR(VLOOKUP(D113,MANO_DE_OBRA!A:C,3,FALSE),0)</f>
        <v>65360.25</v>
      </c>
      <c r="J113" s="8">
        <f t="shared" si="4"/>
        <v>140707.8409747275</v>
      </c>
      <c r="K113" s="7" t="str">
        <f t="shared" si="5"/>
        <v>PTO-0310|MO</v>
      </c>
      <c r="L113" s="7">
        <f>COUNTIFS($K$2:K113,K113)</f>
        <v>2</v>
      </c>
      <c r="M113" s="7" t="str">
        <f t="shared" si="6"/>
        <v>PTO-0310|MO|2</v>
      </c>
      <c r="N113" s="7">
        <f>IFERROR(VLOOKUP(A113,PARTIDAS!A:F,6,FALSE),0)</f>
        <v>1</v>
      </c>
      <c r="O113" s="7">
        <f t="shared" si="7"/>
        <v>2.1528045100000002</v>
      </c>
      <c r="P113" s="7">
        <f>IFERROR(_xlfn.XLOOKUP(A113,PPTO_GENERADOR!$Q:$Q,PPTO_GENERADOR!$E:$E,"-",0),"-")</f>
        <v>54</v>
      </c>
    </row>
    <row r="114" spans="1:16" x14ac:dyDescent="0.35">
      <c r="A114" s="5" t="s">
        <v>854</v>
      </c>
      <c r="B114" s="5" t="s">
        <v>1198</v>
      </c>
      <c r="C114" s="5" t="s">
        <v>1201</v>
      </c>
      <c r="D114" s="5" t="s">
        <v>475</v>
      </c>
      <c r="E114" s="7" t="str">
        <f>IFERROR(VLOOKUP(D114,MANO_DE_OBRA!A:B,2,FALSE),"?")</f>
        <v>AYUDANTE</v>
      </c>
      <c r="F114" s="5" t="s">
        <v>1200</v>
      </c>
      <c r="G114" s="11">
        <v>4.1005989999999999E-2</v>
      </c>
      <c r="H114" s="12">
        <v>0</v>
      </c>
      <c r="I114" s="7">
        <f>IFERROR(VLOOKUP(D114,MANO_DE_OBRA!A:C,3,FALSE),0)</f>
        <v>49934.239999999998</v>
      </c>
      <c r="J114" s="8">
        <f t="shared" si="4"/>
        <v>2047.6029460975999</v>
      </c>
      <c r="K114" s="7" t="str">
        <f t="shared" si="5"/>
        <v>PTO-0310|MO</v>
      </c>
      <c r="L114" s="7">
        <f>COUNTIFS($K$2:K114,K114)</f>
        <v>3</v>
      </c>
      <c r="M114" s="7" t="str">
        <f t="shared" si="6"/>
        <v>PTO-0310|MO|3</v>
      </c>
      <c r="N114" s="7">
        <f>IFERROR(VLOOKUP(A114,PARTIDAS!A:F,6,FALSE),0)</f>
        <v>1</v>
      </c>
      <c r="O114" s="7">
        <f t="shared" si="7"/>
        <v>4.1005989999999999E-2</v>
      </c>
      <c r="P114" s="7">
        <f>IFERROR(_xlfn.XLOOKUP(A114,PPTO_GENERADOR!$Q:$Q,PPTO_GENERADOR!$E:$E,"-",0),"-")</f>
        <v>54</v>
      </c>
    </row>
    <row r="115" spans="1:16" x14ac:dyDescent="0.35">
      <c r="A115" s="5" t="s">
        <v>854</v>
      </c>
      <c r="B115" s="5" t="s">
        <v>1202</v>
      </c>
      <c r="C115" s="5"/>
      <c r="D115" s="5" t="s">
        <v>515</v>
      </c>
      <c r="E115" s="7" t="str">
        <f>IFERROR(VLOOKUP(D115,EQUIPOS!A:B,2,FALSE),"?")</f>
        <v>Herramientas/consumibles - Columna - H30 (240 Kg/m3 de hierro)</v>
      </c>
      <c r="F115" s="5"/>
      <c r="G115" s="11">
        <v>1</v>
      </c>
      <c r="H115" s="12">
        <v>0</v>
      </c>
      <c r="I115" s="7">
        <f>IFERROR(VLOOKUP(D115,EQUIPOS!A:C,3,FALSE),0)</f>
        <v>5019.1473999999998</v>
      </c>
      <c r="J115" s="8">
        <f t="shared" si="4"/>
        <v>5019.1473999999998</v>
      </c>
      <c r="K115" s="7" t="str">
        <f t="shared" si="5"/>
        <v>PTO-0310|EQ</v>
      </c>
      <c r="L115" s="7">
        <f>COUNTIFS($K$2:K115,K115)</f>
        <v>1</v>
      </c>
      <c r="M115" s="7" t="str">
        <f t="shared" si="6"/>
        <v>PTO-0310|EQ|1</v>
      </c>
      <c r="N115" s="7">
        <f>IFERROR(VLOOKUP(A115,PARTIDAS!A:F,6,FALSE),0)</f>
        <v>1</v>
      </c>
      <c r="O115" s="7">
        <f t="shared" si="7"/>
        <v>0</v>
      </c>
      <c r="P115" s="7">
        <f>IFERROR(_xlfn.XLOOKUP(A115,PPTO_GENERADOR!$Q:$Q,PPTO_GENERADOR!$E:$E,"-",0),"-")</f>
        <v>54</v>
      </c>
    </row>
    <row r="116" spans="1:16" x14ac:dyDescent="0.35">
      <c r="A116" s="5" t="s">
        <v>856</v>
      </c>
      <c r="B116" s="5" t="s">
        <v>1203</v>
      </c>
      <c r="C116" s="5" t="s">
        <v>1199</v>
      </c>
      <c r="D116" s="5" t="s">
        <v>122</v>
      </c>
      <c r="E116" s="7" t="str">
        <f>IFERROR(VLOOKUP(D116,MATERIALES!A:B,2,FALSE),"?")</f>
        <v>Encofrado Escalera vista - H30 (105 kg/m3 de hierro)</v>
      </c>
      <c r="F116" s="5"/>
      <c r="G116" s="11">
        <v>1</v>
      </c>
      <c r="H116" s="12">
        <v>0</v>
      </c>
      <c r="I116" s="7">
        <f>IFERROR(VLOOKUP(D116,MATERIALES!A:D,4,FALSE),0)</f>
        <v>68185.040999999997</v>
      </c>
      <c r="J116" s="8">
        <f t="shared" si="4"/>
        <v>68185.040999999997</v>
      </c>
      <c r="K116" s="7" t="str">
        <f t="shared" si="5"/>
        <v>PTO-0311|MAT</v>
      </c>
      <c r="L116" s="7">
        <f>COUNTIFS($K$2:K116,K116)</f>
        <v>1</v>
      </c>
      <c r="M116" s="7" t="str">
        <f t="shared" si="6"/>
        <v>PTO-0311|MAT|1</v>
      </c>
      <c r="N116" s="7">
        <f>IFERROR(VLOOKUP(A116,PARTIDAS!A:F,6,FALSE),0)</f>
        <v>1</v>
      </c>
      <c r="O116" s="7">
        <f t="shared" si="7"/>
        <v>0</v>
      </c>
      <c r="P116" s="7">
        <f>IFERROR(_xlfn.XLOOKUP(A116,PPTO_GENERADOR!$Q:$Q,PPTO_GENERADOR!$E:$E,"-",0),"-")</f>
        <v>11</v>
      </c>
    </row>
    <row r="117" spans="1:16" x14ac:dyDescent="0.35">
      <c r="A117" s="5" t="s">
        <v>856</v>
      </c>
      <c r="B117" s="5" t="s">
        <v>1198</v>
      </c>
      <c r="C117" s="5" t="s">
        <v>1201</v>
      </c>
      <c r="D117" s="5" t="s">
        <v>477</v>
      </c>
      <c r="E117" s="7" t="str">
        <f>IFERROR(VLOOKUP(D117,MANO_DE_OBRA!A:B,2,FALSE),"?")</f>
        <v>ESPECIALIZADO</v>
      </c>
      <c r="F117" s="5" t="s">
        <v>1200</v>
      </c>
      <c r="G117" s="11">
        <v>3.6292681600000001</v>
      </c>
      <c r="H117" s="12">
        <v>0</v>
      </c>
      <c r="I117" s="7">
        <f>IFERROR(VLOOKUP(D117,MANO_DE_OBRA!A:C,3,FALSE),0)</f>
        <v>75113.05</v>
      </c>
      <c r="J117" s="8">
        <f t="shared" si="4"/>
        <v>272605.40076548804</v>
      </c>
      <c r="K117" s="7" t="str">
        <f t="shared" si="5"/>
        <v>PTO-0311|MO</v>
      </c>
      <c r="L117" s="7">
        <f>COUNTIFS($K$2:K117,K117)</f>
        <v>1</v>
      </c>
      <c r="M117" s="7" t="str">
        <f t="shared" si="6"/>
        <v>PTO-0311|MO|1</v>
      </c>
      <c r="N117" s="7">
        <f>IFERROR(VLOOKUP(A117,PARTIDAS!A:F,6,FALSE),0)</f>
        <v>1</v>
      </c>
      <c r="O117" s="7">
        <f t="shared" si="7"/>
        <v>3.6292681600000001</v>
      </c>
      <c r="P117" s="7">
        <f>IFERROR(_xlfn.XLOOKUP(A117,PPTO_GENERADOR!$Q:$Q,PPTO_GENERADOR!$E:$E,"-",0),"-")</f>
        <v>11</v>
      </c>
    </row>
    <row r="118" spans="1:16" x14ac:dyDescent="0.35">
      <c r="A118" s="5" t="s">
        <v>856</v>
      </c>
      <c r="B118" s="5" t="s">
        <v>1198</v>
      </c>
      <c r="C118" s="5" t="s">
        <v>1201</v>
      </c>
      <c r="D118" s="5" t="s">
        <v>481</v>
      </c>
      <c r="E118" s="7" t="str">
        <f>IFERROR(VLOOKUP(D118,MANO_DE_OBRA!A:B,2,FALSE),"?")</f>
        <v>OFICIAL</v>
      </c>
      <c r="F118" s="5" t="s">
        <v>1200</v>
      </c>
      <c r="G118" s="11">
        <v>0.11707301000000001</v>
      </c>
      <c r="H118" s="12">
        <v>0</v>
      </c>
      <c r="I118" s="7">
        <f>IFERROR(VLOOKUP(D118,MANO_DE_OBRA!A:C,3,FALSE),0)</f>
        <v>65360.25</v>
      </c>
      <c r="J118" s="8">
        <f t="shared" si="4"/>
        <v>7651.9212018525004</v>
      </c>
      <c r="K118" s="7" t="str">
        <f t="shared" si="5"/>
        <v>PTO-0311|MO</v>
      </c>
      <c r="L118" s="7">
        <f>COUNTIFS($K$2:K118,K118)</f>
        <v>2</v>
      </c>
      <c r="M118" s="7" t="str">
        <f t="shared" si="6"/>
        <v>PTO-0311|MO|2</v>
      </c>
      <c r="N118" s="7">
        <f>IFERROR(VLOOKUP(A118,PARTIDAS!A:F,6,FALSE),0)</f>
        <v>1</v>
      </c>
      <c r="O118" s="7">
        <f t="shared" si="7"/>
        <v>0.11707301000000001</v>
      </c>
      <c r="P118" s="7">
        <f>IFERROR(_xlfn.XLOOKUP(A118,PPTO_GENERADOR!$Q:$Q,PPTO_GENERADOR!$E:$E,"-",0),"-")</f>
        <v>11</v>
      </c>
    </row>
    <row r="119" spans="1:16" x14ac:dyDescent="0.35">
      <c r="A119" s="5" t="s">
        <v>856</v>
      </c>
      <c r="B119" s="5" t="s">
        <v>1198</v>
      </c>
      <c r="C119" s="5" t="s">
        <v>1201</v>
      </c>
      <c r="D119" s="5" t="s">
        <v>475</v>
      </c>
      <c r="E119" s="7" t="str">
        <f>IFERROR(VLOOKUP(D119,MANO_DE_OBRA!A:B,2,FALSE),"?")</f>
        <v>AYUDANTE</v>
      </c>
      <c r="F119" s="5" t="s">
        <v>1200</v>
      </c>
      <c r="G119" s="11">
        <v>5.8536999999999999E-2</v>
      </c>
      <c r="H119" s="12">
        <v>0</v>
      </c>
      <c r="I119" s="7">
        <f>IFERROR(VLOOKUP(D119,MANO_DE_OBRA!A:C,3,FALSE),0)</f>
        <v>49934.239999999998</v>
      </c>
      <c r="J119" s="8">
        <f t="shared" si="4"/>
        <v>2923.0006068799999</v>
      </c>
      <c r="K119" s="7" t="str">
        <f t="shared" si="5"/>
        <v>PTO-0311|MO</v>
      </c>
      <c r="L119" s="7">
        <f>COUNTIFS($K$2:K119,K119)</f>
        <v>3</v>
      </c>
      <c r="M119" s="7" t="str">
        <f t="shared" si="6"/>
        <v>PTO-0311|MO|3</v>
      </c>
      <c r="N119" s="7">
        <f>IFERROR(VLOOKUP(A119,PARTIDAS!A:F,6,FALSE),0)</f>
        <v>1</v>
      </c>
      <c r="O119" s="7">
        <f t="shared" si="7"/>
        <v>5.8536999999999999E-2</v>
      </c>
      <c r="P119" s="7">
        <f>IFERROR(_xlfn.XLOOKUP(A119,PPTO_GENERADOR!$Q:$Q,PPTO_GENERADOR!$E:$E,"-",0),"-")</f>
        <v>11</v>
      </c>
    </row>
    <row r="120" spans="1:16" x14ac:dyDescent="0.35">
      <c r="A120" s="5" t="s">
        <v>856</v>
      </c>
      <c r="B120" s="5" t="s">
        <v>1202</v>
      </c>
      <c r="C120" s="5"/>
      <c r="D120" s="5" t="s">
        <v>517</v>
      </c>
      <c r="E120" s="7" t="str">
        <f>IFERROR(VLOOKUP(D120,EQUIPOS!A:B,2,FALSE),"?")</f>
        <v>Herramientas/consumibles - Escaleras - H30 (105 kg/m3 de hierro)</v>
      </c>
      <c r="F120" s="5"/>
      <c r="G120" s="11">
        <v>1</v>
      </c>
      <c r="H120" s="12">
        <v>0</v>
      </c>
      <c r="I120" s="7">
        <f>IFERROR(VLOOKUP(D120,EQUIPOS!A:C,3,FALSE),0)</f>
        <v>5270.4803000000002</v>
      </c>
      <c r="J120" s="8">
        <f t="shared" si="4"/>
        <v>5270.4803000000002</v>
      </c>
      <c r="K120" s="7" t="str">
        <f t="shared" si="5"/>
        <v>PTO-0311|EQ</v>
      </c>
      <c r="L120" s="7">
        <f>COUNTIFS($K$2:K120,K120)</f>
        <v>1</v>
      </c>
      <c r="M120" s="7" t="str">
        <f t="shared" si="6"/>
        <v>PTO-0311|EQ|1</v>
      </c>
      <c r="N120" s="7">
        <f>IFERROR(VLOOKUP(A120,PARTIDAS!A:F,6,FALSE),0)</f>
        <v>1</v>
      </c>
      <c r="O120" s="7">
        <f t="shared" si="7"/>
        <v>0</v>
      </c>
      <c r="P120" s="7">
        <f>IFERROR(_xlfn.XLOOKUP(A120,PPTO_GENERADOR!$Q:$Q,PPTO_GENERADOR!$E:$E,"-",0),"-")</f>
        <v>11</v>
      </c>
    </row>
    <row r="121" spans="1:16" x14ac:dyDescent="0.35">
      <c r="A121" s="5" t="s">
        <v>858</v>
      </c>
      <c r="B121" s="5" t="s">
        <v>1203</v>
      </c>
      <c r="C121" s="5" t="s">
        <v>1199</v>
      </c>
      <c r="D121" s="5" t="s">
        <v>118</v>
      </c>
      <c r="E121" s="7" t="str">
        <f>IFERROR(VLOOKUP(D121,MATERIALES!A:B,2,FALSE),"?")</f>
        <v>Encofrado Tabique - H30 (140 kg/m3 de hierro)</v>
      </c>
      <c r="F121" s="5"/>
      <c r="G121" s="11">
        <v>1</v>
      </c>
      <c r="H121" s="12">
        <v>0</v>
      </c>
      <c r="I121" s="7">
        <f>IFERROR(VLOOKUP(D121,MATERIALES!A:D,4,FALSE),0)</f>
        <v>70843.445699999997</v>
      </c>
      <c r="J121" s="8">
        <f t="shared" si="4"/>
        <v>70843.445699999997</v>
      </c>
      <c r="K121" s="7" t="str">
        <f t="shared" si="5"/>
        <v>PTO-0312|MAT</v>
      </c>
      <c r="L121" s="7">
        <f>COUNTIFS($K$2:K121,K121)</f>
        <v>1</v>
      </c>
      <c r="M121" s="7" t="str">
        <f t="shared" si="6"/>
        <v>PTO-0312|MAT|1</v>
      </c>
      <c r="N121" s="7">
        <f>IFERROR(VLOOKUP(A121,PARTIDAS!A:F,6,FALSE),0)</f>
        <v>1</v>
      </c>
      <c r="O121" s="7">
        <f t="shared" si="7"/>
        <v>0</v>
      </c>
      <c r="P121" s="7">
        <f>IFERROR(_xlfn.XLOOKUP(A121,PPTO_GENERADOR!$Q:$Q,PPTO_GENERADOR!$E:$E,"-",0),"-")</f>
        <v>3</v>
      </c>
    </row>
    <row r="122" spans="1:16" x14ac:dyDescent="0.35">
      <c r="A122" s="5" t="s">
        <v>858</v>
      </c>
      <c r="B122" s="5" t="s">
        <v>1198</v>
      </c>
      <c r="C122" s="5" t="s">
        <v>1201</v>
      </c>
      <c r="D122" s="5" t="s">
        <v>477</v>
      </c>
      <c r="E122" s="7" t="str">
        <f>IFERROR(VLOOKUP(D122,MANO_DE_OBRA!A:B,2,FALSE),"?")</f>
        <v>ESPECIALIZADO</v>
      </c>
      <c r="F122" s="5" t="s">
        <v>1200</v>
      </c>
      <c r="G122" s="11">
        <v>1.89395808</v>
      </c>
      <c r="H122" s="12">
        <v>0</v>
      </c>
      <c r="I122" s="7">
        <f>IFERROR(VLOOKUP(D122,MANO_DE_OBRA!A:C,3,FALSE),0)</f>
        <v>75113.05</v>
      </c>
      <c r="J122" s="8">
        <f t="shared" si="4"/>
        <v>142260.96796094399</v>
      </c>
      <c r="K122" s="7" t="str">
        <f t="shared" si="5"/>
        <v>PTO-0312|MO</v>
      </c>
      <c r="L122" s="7">
        <f>COUNTIFS($K$2:K122,K122)</f>
        <v>1</v>
      </c>
      <c r="M122" s="7" t="str">
        <f t="shared" si="6"/>
        <v>PTO-0312|MO|1</v>
      </c>
      <c r="N122" s="7">
        <f>IFERROR(VLOOKUP(A122,PARTIDAS!A:F,6,FALSE),0)</f>
        <v>1</v>
      </c>
      <c r="O122" s="7">
        <f t="shared" si="7"/>
        <v>1.89395808</v>
      </c>
      <c r="P122" s="7">
        <f>IFERROR(_xlfn.XLOOKUP(A122,PPTO_GENERADOR!$Q:$Q,PPTO_GENERADOR!$E:$E,"-",0),"-")</f>
        <v>3</v>
      </c>
    </row>
    <row r="123" spans="1:16" x14ac:dyDescent="0.35">
      <c r="A123" s="5" t="s">
        <v>858</v>
      </c>
      <c r="B123" s="5" t="s">
        <v>1198</v>
      </c>
      <c r="C123" s="5" t="s">
        <v>1201</v>
      </c>
      <c r="D123" s="5" t="s">
        <v>481</v>
      </c>
      <c r="E123" s="7" t="str">
        <f>IFERROR(VLOOKUP(D123,MANO_DE_OBRA!A:B,2,FALSE),"?")</f>
        <v>OFICIAL</v>
      </c>
      <c r="F123" s="5" t="s">
        <v>1200</v>
      </c>
      <c r="G123" s="11">
        <v>2.4858201100000001</v>
      </c>
      <c r="H123" s="12">
        <v>0</v>
      </c>
      <c r="I123" s="7">
        <f>IFERROR(VLOOKUP(D123,MANO_DE_OBRA!A:C,3,FALSE),0)</f>
        <v>65360.25</v>
      </c>
      <c r="J123" s="8">
        <f t="shared" si="4"/>
        <v>162473.82384462751</v>
      </c>
      <c r="K123" s="7" t="str">
        <f t="shared" si="5"/>
        <v>PTO-0312|MO</v>
      </c>
      <c r="L123" s="7">
        <f>COUNTIFS($K$2:K123,K123)</f>
        <v>2</v>
      </c>
      <c r="M123" s="7" t="str">
        <f t="shared" si="6"/>
        <v>PTO-0312|MO|2</v>
      </c>
      <c r="N123" s="7">
        <f>IFERROR(VLOOKUP(A123,PARTIDAS!A:F,6,FALSE),0)</f>
        <v>1</v>
      </c>
      <c r="O123" s="7">
        <f t="shared" si="7"/>
        <v>2.4858201100000001</v>
      </c>
      <c r="P123" s="7">
        <f>IFERROR(_xlfn.XLOOKUP(A123,PPTO_GENERADOR!$Q:$Q,PPTO_GENERADOR!$E:$E,"-",0),"-")</f>
        <v>3</v>
      </c>
    </row>
    <row r="124" spans="1:16" x14ac:dyDescent="0.35">
      <c r="A124" s="5" t="s">
        <v>858</v>
      </c>
      <c r="B124" s="5" t="s">
        <v>1198</v>
      </c>
      <c r="C124" s="5" t="s">
        <v>1201</v>
      </c>
      <c r="D124" s="5" t="s">
        <v>475</v>
      </c>
      <c r="E124" s="7" t="str">
        <f>IFERROR(VLOOKUP(D124,MANO_DE_OBRA!A:B,2,FALSE),"?")</f>
        <v>AYUDANTE</v>
      </c>
      <c r="F124" s="5" t="s">
        <v>1200</v>
      </c>
      <c r="G124" s="11">
        <v>5.9186000000000002E-2</v>
      </c>
      <c r="H124" s="12">
        <v>0</v>
      </c>
      <c r="I124" s="7">
        <f>IFERROR(VLOOKUP(D124,MANO_DE_OBRA!A:C,3,FALSE),0)</f>
        <v>49934.239999999998</v>
      </c>
      <c r="J124" s="8">
        <f t="shared" si="4"/>
        <v>2955.4079286400001</v>
      </c>
      <c r="K124" s="7" t="str">
        <f t="shared" si="5"/>
        <v>PTO-0312|MO</v>
      </c>
      <c r="L124" s="7">
        <f>COUNTIFS($K$2:K124,K124)</f>
        <v>3</v>
      </c>
      <c r="M124" s="7" t="str">
        <f t="shared" si="6"/>
        <v>PTO-0312|MO|3</v>
      </c>
      <c r="N124" s="7">
        <f>IFERROR(VLOOKUP(A124,PARTIDAS!A:F,6,FALSE),0)</f>
        <v>1</v>
      </c>
      <c r="O124" s="7">
        <f t="shared" si="7"/>
        <v>5.9186000000000002E-2</v>
      </c>
      <c r="P124" s="7">
        <f>IFERROR(_xlfn.XLOOKUP(A124,PPTO_GENERADOR!$Q:$Q,PPTO_GENERADOR!$E:$E,"-",0),"-")</f>
        <v>3</v>
      </c>
    </row>
    <row r="125" spans="1:16" x14ac:dyDescent="0.35">
      <c r="A125" s="5" t="s">
        <v>858</v>
      </c>
      <c r="B125" s="5" t="s">
        <v>1202</v>
      </c>
      <c r="C125" s="5"/>
      <c r="D125" s="5" t="s">
        <v>519</v>
      </c>
      <c r="E125" s="7" t="str">
        <f>IFERROR(VLOOKUP(D125,EQUIPOS!A:B,2,FALSE),"?")</f>
        <v xml:space="preserve">Herramientas/consumibles - Tabiques tanques de H° - H30 (120 kg/m3 </v>
      </c>
      <c r="F125" s="5"/>
      <c r="G125" s="11">
        <v>1</v>
      </c>
      <c r="H125" s="12">
        <v>0</v>
      </c>
      <c r="I125" s="7">
        <f>IFERROR(VLOOKUP(D125,EQUIPOS!A:C,3,FALSE),0)</f>
        <v>5678.0046000000002</v>
      </c>
      <c r="J125" s="8">
        <f t="shared" si="4"/>
        <v>5678.0046000000002</v>
      </c>
      <c r="K125" s="7" t="str">
        <f t="shared" si="5"/>
        <v>PTO-0312|EQ</v>
      </c>
      <c r="L125" s="7">
        <f>COUNTIFS($K$2:K125,K125)</f>
        <v>1</v>
      </c>
      <c r="M125" s="7" t="str">
        <f t="shared" si="6"/>
        <v>PTO-0312|EQ|1</v>
      </c>
      <c r="N125" s="7">
        <f>IFERROR(VLOOKUP(A125,PARTIDAS!A:F,6,FALSE),0)</f>
        <v>1</v>
      </c>
      <c r="O125" s="7">
        <f t="shared" si="7"/>
        <v>0</v>
      </c>
      <c r="P125" s="7">
        <f>IFERROR(_xlfn.XLOOKUP(A125,PPTO_GENERADOR!$Q:$Q,PPTO_GENERADOR!$E:$E,"-",0),"-")</f>
        <v>3</v>
      </c>
    </row>
    <row r="126" spans="1:16" x14ac:dyDescent="0.35">
      <c r="A126" s="5" t="s">
        <v>860</v>
      </c>
      <c r="B126" s="5" t="s">
        <v>1203</v>
      </c>
      <c r="C126" s="5" t="s">
        <v>1199</v>
      </c>
      <c r="D126" s="5" t="s">
        <v>124</v>
      </c>
      <c r="E126" s="7" t="str">
        <f>IFERROR(VLOOKUP(D126,MATERIALES!A:B,2,FALSE),"?")</f>
        <v>Sika Waterbars V15 x 15 mts</v>
      </c>
      <c r="F126" s="5"/>
      <c r="G126" s="11">
        <v>1</v>
      </c>
      <c r="H126" s="12">
        <v>0</v>
      </c>
      <c r="I126" s="7">
        <f>IFERROR(VLOOKUP(D126,MATERIALES!A:D,4,FALSE),0)</f>
        <v>24772.727299999999</v>
      </c>
      <c r="J126" s="8">
        <f t="shared" si="4"/>
        <v>24772.727299999999</v>
      </c>
      <c r="K126" s="7" t="str">
        <f t="shared" si="5"/>
        <v>PTO-0313|MAT</v>
      </c>
      <c r="L126" s="7">
        <f>COUNTIFS($K$2:K126,K126)</f>
        <v>1</v>
      </c>
      <c r="M126" s="7" t="str">
        <f t="shared" si="6"/>
        <v>PTO-0313|MAT|1</v>
      </c>
      <c r="N126" s="7">
        <f>IFERROR(VLOOKUP(A126,PARTIDAS!A:F,6,FALSE),0)</f>
        <v>1</v>
      </c>
      <c r="O126" s="7">
        <f t="shared" si="7"/>
        <v>0</v>
      </c>
      <c r="P126" s="7">
        <f>IFERROR(_xlfn.XLOOKUP(A126,PPTO_GENERADOR!$Q:$Q,PPTO_GENERADOR!$E:$E,"-",0),"-")</f>
        <v>240</v>
      </c>
    </row>
    <row r="127" spans="1:16" x14ac:dyDescent="0.35">
      <c r="A127" s="5" t="s">
        <v>862</v>
      </c>
      <c r="B127" s="5" t="s">
        <v>1202</v>
      </c>
      <c r="C127" s="5"/>
      <c r="D127" s="5" t="s">
        <v>521</v>
      </c>
      <c r="E127" s="7" t="str">
        <f>IFERROR(VLOOKUP(D127,EQUIPOS!A:B,2,FALSE),"?")</f>
        <v>Herramientas/consumibles - Sistema de apuntalamiento y reapuntalami</v>
      </c>
      <c r="F127" s="5"/>
      <c r="G127" s="11">
        <v>1</v>
      </c>
      <c r="H127" s="12">
        <v>0</v>
      </c>
      <c r="I127" s="7">
        <f>IFERROR(VLOOKUP(D127,EQUIPOS!A:C,3,FALSE),0)</f>
        <v>8822750</v>
      </c>
      <c r="J127" s="8">
        <f t="shared" si="4"/>
        <v>8822750</v>
      </c>
      <c r="K127" s="7" t="str">
        <f t="shared" si="5"/>
        <v>PTO-0314|EQ</v>
      </c>
      <c r="L127" s="7">
        <f>COUNTIFS($K$2:K127,K127)</f>
        <v>1</v>
      </c>
      <c r="M127" s="7" t="str">
        <f t="shared" si="6"/>
        <v>PTO-0314|EQ|1</v>
      </c>
      <c r="N127" s="7">
        <f>IFERROR(VLOOKUP(A127,PARTIDAS!A:F,6,FALSE),0)</f>
        <v>1</v>
      </c>
      <c r="O127" s="7">
        <f t="shared" si="7"/>
        <v>0</v>
      </c>
      <c r="P127" s="7">
        <f>IFERROR(_xlfn.XLOOKUP(A127,PPTO_GENERADOR!$Q:$Q,PPTO_GENERADOR!$E:$E,"-",0),"-")</f>
        <v>1</v>
      </c>
    </row>
    <row r="128" spans="1:16" x14ac:dyDescent="0.35">
      <c r="A128" s="5" t="s">
        <v>863</v>
      </c>
      <c r="B128" s="5" t="s">
        <v>1203</v>
      </c>
      <c r="C128" s="5" t="s">
        <v>1199</v>
      </c>
      <c r="D128" s="5" t="s">
        <v>126</v>
      </c>
      <c r="E128" s="7" t="str">
        <f>IFERROR(VLOOKUP(D128,MATERIALES!A:B,2,FALSE),"?")</f>
        <v>Ensayos de Hormigon por etapas de hormigonado</v>
      </c>
      <c r="F128" s="5"/>
      <c r="G128" s="11">
        <v>1</v>
      </c>
      <c r="H128" s="12">
        <v>0</v>
      </c>
      <c r="I128" s="7">
        <f>IFERROR(VLOOKUP(D128,MATERIALES!A:D,4,FALSE),0)</f>
        <v>123492.85709999999</v>
      </c>
      <c r="J128" s="8">
        <f t="shared" si="4"/>
        <v>123492.85709999999</v>
      </c>
      <c r="K128" s="7" t="str">
        <f t="shared" si="5"/>
        <v>PTO-0315|MAT</v>
      </c>
      <c r="L128" s="7">
        <f>COUNTIFS($K$2:K128,K128)</f>
        <v>1</v>
      </c>
      <c r="M128" s="7" t="str">
        <f t="shared" si="6"/>
        <v>PTO-0315|MAT|1</v>
      </c>
      <c r="N128" s="7">
        <f>IFERROR(VLOOKUP(A128,PARTIDAS!A:F,6,FALSE),0)</f>
        <v>1</v>
      </c>
      <c r="O128" s="7">
        <f t="shared" si="7"/>
        <v>0</v>
      </c>
      <c r="P128" s="7">
        <f>IFERROR(_xlfn.XLOOKUP(A128,PPTO_GENERADOR!$Q:$Q,PPTO_GENERADOR!$E:$E,"-",0),"-")</f>
        <v>14</v>
      </c>
    </row>
    <row r="129" spans="1:16" x14ac:dyDescent="0.35">
      <c r="A129" s="5" t="s">
        <v>864</v>
      </c>
      <c r="B129" s="5" t="s">
        <v>1203</v>
      </c>
      <c r="C129" s="5" t="s">
        <v>1199</v>
      </c>
      <c r="D129" s="5" t="s">
        <v>128</v>
      </c>
      <c r="E129" s="7" t="str">
        <f>IFERROR(VLOOKUP(D129,MATERIALES!A:B,2,FALSE),"?")</f>
        <v>Permiso de estacionamiento de bomba de hormigón a contramano</v>
      </c>
      <c r="F129" s="5"/>
      <c r="G129" s="11">
        <v>1</v>
      </c>
      <c r="H129" s="12">
        <v>0</v>
      </c>
      <c r="I129" s="7">
        <f>IFERROR(VLOOKUP(D129,MATERIALES!A:D,4,FALSE),0)</f>
        <v>55000</v>
      </c>
      <c r="J129" s="8">
        <f t="shared" si="4"/>
        <v>55000</v>
      </c>
      <c r="K129" s="7" t="str">
        <f t="shared" si="5"/>
        <v>PTO-0316|MAT</v>
      </c>
      <c r="L129" s="7">
        <f>COUNTIFS($K$2:K129,K129)</f>
        <v>1</v>
      </c>
      <c r="M129" s="7" t="str">
        <f t="shared" si="6"/>
        <v>PTO-0316|MAT|1</v>
      </c>
      <c r="N129" s="7">
        <f>IFERROR(VLOOKUP(A129,PARTIDAS!A:F,6,FALSE),0)</f>
        <v>1</v>
      </c>
      <c r="O129" s="7">
        <f t="shared" si="7"/>
        <v>0</v>
      </c>
      <c r="P129" s="7">
        <f>IFERROR(_xlfn.XLOOKUP(A129,PPTO_GENERADOR!$Q:$Q,PPTO_GENERADOR!$E:$E,"-",0),"-")</f>
        <v>4</v>
      </c>
    </row>
    <row r="130" spans="1:16" x14ac:dyDescent="0.35">
      <c r="A130" s="5" t="s">
        <v>867</v>
      </c>
      <c r="B130" s="5" t="s">
        <v>1203</v>
      </c>
      <c r="C130" s="5" t="s">
        <v>1199</v>
      </c>
      <c r="D130" s="5" t="s">
        <v>130</v>
      </c>
      <c r="E130" s="7" t="str">
        <f>IFERROR(VLOOKUP(D130,MATERIALES!A:B,2,FALSE),"?")</f>
        <v>Volquetes</v>
      </c>
      <c r="F130" s="5"/>
      <c r="G130" s="11">
        <v>4.301075E-2</v>
      </c>
      <c r="H130" s="12">
        <v>0</v>
      </c>
      <c r="I130" s="7">
        <f>IFERROR(VLOOKUP(D130,MATERIALES!A:D,4,FALSE),0)</f>
        <v>80000</v>
      </c>
      <c r="J130" s="8">
        <f t="shared" ref="J130:J193" si="8">G130*I130*(1+H130)</f>
        <v>3440.86</v>
      </c>
      <c r="K130" s="7" t="str">
        <f t="shared" ref="K130:K193" si="9">A130&amp;"|"&amp;B130</f>
        <v>PTO-0317|MAT</v>
      </c>
      <c r="L130" s="7">
        <f>COUNTIFS($K$2:K130,K130)</f>
        <v>1</v>
      </c>
      <c r="M130" s="7" t="str">
        <f t="shared" ref="M130:M193" si="10">K130&amp;"|"&amp;L130</f>
        <v>PTO-0317|MAT|1</v>
      </c>
      <c r="N130" s="7">
        <f>IFERROR(VLOOKUP(A130,PARTIDAS!A:F,6,FALSE),0)</f>
        <v>1</v>
      </c>
      <c r="O130" s="7">
        <f t="shared" ref="O130:O193" si="11">IF(C130="ALB",IF(N130=0,0,G130/N130),0)</f>
        <v>0</v>
      </c>
      <c r="P130" s="7">
        <f>IFERROR(_xlfn.XLOOKUP(A130,PPTO_GENERADOR!$Q:$Q,PPTO_GENERADOR!$E:$E,"-",0),"-")</f>
        <v>93</v>
      </c>
    </row>
    <row r="131" spans="1:16" x14ac:dyDescent="0.35">
      <c r="A131" s="5" t="s">
        <v>867</v>
      </c>
      <c r="B131" s="5" t="s">
        <v>1198</v>
      </c>
      <c r="C131" s="5" t="s">
        <v>1201</v>
      </c>
      <c r="D131" s="5" t="s">
        <v>481</v>
      </c>
      <c r="E131" s="7" t="str">
        <f>IFERROR(VLOOKUP(D131,MANO_DE_OBRA!A:B,2,FALSE),"?")</f>
        <v>OFICIAL</v>
      </c>
      <c r="F131" s="5" t="s">
        <v>1200</v>
      </c>
      <c r="G131" s="11">
        <v>8.6021509999999995E-2</v>
      </c>
      <c r="H131" s="12">
        <v>0</v>
      </c>
      <c r="I131" s="7">
        <f>IFERROR(VLOOKUP(D131,MANO_DE_OBRA!A:C,3,FALSE),0)</f>
        <v>65360.25</v>
      </c>
      <c r="J131" s="8">
        <f t="shared" si="8"/>
        <v>5622.3873989774993</v>
      </c>
      <c r="K131" s="7" t="str">
        <f t="shared" si="9"/>
        <v>PTO-0317|MO</v>
      </c>
      <c r="L131" s="7">
        <f>COUNTIFS($K$2:K131,K131)</f>
        <v>1</v>
      </c>
      <c r="M131" s="7" t="str">
        <f t="shared" si="10"/>
        <v>PTO-0317|MO|1</v>
      </c>
      <c r="N131" s="7">
        <f>IFERROR(VLOOKUP(A131,PARTIDAS!A:F,6,FALSE),0)</f>
        <v>1</v>
      </c>
      <c r="O131" s="7">
        <f t="shared" si="11"/>
        <v>8.6021509999999995E-2</v>
      </c>
      <c r="P131" s="7">
        <f>IFERROR(_xlfn.XLOOKUP(A131,PPTO_GENERADOR!$Q:$Q,PPTO_GENERADOR!$E:$E,"-",0),"-")</f>
        <v>93</v>
      </c>
    </row>
    <row r="132" spans="1:16" x14ac:dyDescent="0.35">
      <c r="A132" s="5" t="s">
        <v>867</v>
      </c>
      <c r="B132" s="5" t="s">
        <v>1198</v>
      </c>
      <c r="C132" s="5" t="s">
        <v>1201</v>
      </c>
      <c r="D132" s="5" t="s">
        <v>475</v>
      </c>
      <c r="E132" s="7" t="str">
        <f>IFERROR(VLOOKUP(D132,MANO_DE_OBRA!A:B,2,FALSE),"?")</f>
        <v>AYUDANTE</v>
      </c>
      <c r="F132" s="5" t="s">
        <v>1200</v>
      </c>
      <c r="G132" s="11">
        <v>0.17204301</v>
      </c>
      <c r="H132" s="12">
        <v>0</v>
      </c>
      <c r="I132" s="7">
        <f>IFERROR(VLOOKUP(D132,MANO_DE_OBRA!A:C,3,FALSE),0)</f>
        <v>49934.239999999998</v>
      </c>
      <c r="J132" s="8">
        <f t="shared" si="8"/>
        <v>8590.8369516623989</v>
      </c>
      <c r="K132" s="7" t="str">
        <f t="shared" si="9"/>
        <v>PTO-0317|MO</v>
      </c>
      <c r="L132" s="7">
        <f>COUNTIFS($K$2:K132,K132)</f>
        <v>2</v>
      </c>
      <c r="M132" s="7" t="str">
        <f t="shared" si="10"/>
        <v>PTO-0317|MO|2</v>
      </c>
      <c r="N132" s="7">
        <f>IFERROR(VLOOKUP(A132,PARTIDAS!A:F,6,FALSE),0)</f>
        <v>1</v>
      </c>
      <c r="O132" s="7">
        <f t="shared" si="11"/>
        <v>0.17204301</v>
      </c>
      <c r="P132" s="7">
        <f>IFERROR(_xlfn.XLOOKUP(A132,PPTO_GENERADOR!$Q:$Q,PPTO_GENERADOR!$E:$E,"-",0),"-")</f>
        <v>93</v>
      </c>
    </row>
    <row r="133" spans="1:16" x14ac:dyDescent="0.35">
      <c r="A133" s="5" t="s">
        <v>867</v>
      </c>
      <c r="B133" s="5" t="s">
        <v>1202</v>
      </c>
      <c r="C133" s="5"/>
      <c r="D133" s="5" t="s">
        <v>523</v>
      </c>
      <c r="E133" s="7" t="str">
        <f>IFERROR(VLOOKUP(D133,EQUIPOS!A:B,2,FALSE),"?")</f>
        <v>Herramientas/consumibles - Picado de medianeras para columnas y vig</v>
      </c>
      <c r="F133" s="5"/>
      <c r="G133" s="11">
        <v>1</v>
      </c>
      <c r="H133" s="12">
        <v>0</v>
      </c>
      <c r="I133" s="7">
        <f>IFERROR(VLOOKUP(D133,EQUIPOS!A:C,3,FALSE),0)</f>
        <v>289.00479999999999</v>
      </c>
      <c r="J133" s="8">
        <f t="shared" si="8"/>
        <v>289.00479999999999</v>
      </c>
      <c r="K133" s="7" t="str">
        <f t="shared" si="9"/>
        <v>PTO-0317|EQ</v>
      </c>
      <c r="L133" s="7">
        <f>COUNTIFS($K$2:K133,K133)</f>
        <v>1</v>
      </c>
      <c r="M133" s="7" t="str">
        <f t="shared" si="10"/>
        <v>PTO-0317|EQ|1</v>
      </c>
      <c r="N133" s="7">
        <f>IFERROR(VLOOKUP(A133,PARTIDAS!A:F,6,FALSE),0)</f>
        <v>1</v>
      </c>
      <c r="O133" s="7">
        <f t="shared" si="11"/>
        <v>0</v>
      </c>
      <c r="P133" s="7">
        <f>IFERROR(_xlfn.XLOOKUP(A133,PPTO_GENERADOR!$Q:$Q,PPTO_GENERADOR!$E:$E,"-",0),"-")</f>
        <v>93</v>
      </c>
    </row>
    <row r="134" spans="1:16" x14ac:dyDescent="0.35">
      <c r="A134" s="5" t="s">
        <v>867</v>
      </c>
      <c r="B134" s="5" t="s">
        <v>1203</v>
      </c>
      <c r="C134" s="5" t="s">
        <v>1204</v>
      </c>
      <c r="D134" s="5" t="s">
        <v>468</v>
      </c>
      <c r="E134" s="7" t="str">
        <f>IFERROR(VLOOKUP(D134,MATERIALES!A:B,2,FALSE),"?")</f>
        <v>Consumibles</v>
      </c>
      <c r="F134" s="5"/>
      <c r="G134" s="11">
        <v>1612.9034999999999</v>
      </c>
      <c r="H134" s="12">
        <v>0</v>
      </c>
      <c r="I134" s="7">
        <f>IFERROR(VLOOKUP(D134,MATERIALES!A:D,4,FALSE),0)</f>
        <v>1</v>
      </c>
      <c r="J134" s="8">
        <f t="shared" si="8"/>
        <v>1612.9034999999999</v>
      </c>
      <c r="K134" s="7" t="str">
        <f t="shared" si="9"/>
        <v>PTO-0317|MAT</v>
      </c>
      <c r="L134" s="7">
        <f>COUNTIFS($K$2:K134,K134)</f>
        <v>2</v>
      </c>
      <c r="M134" s="7" t="str">
        <f t="shared" si="10"/>
        <v>PTO-0317|MAT|2</v>
      </c>
      <c r="N134" s="7">
        <f>IFERROR(VLOOKUP(A134,PARTIDAS!A:F,6,FALSE),0)</f>
        <v>1</v>
      </c>
      <c r="O134" s="7">
        <f t="shared" si="11"/>
        <v>0</v>
      </c>
      <c r="P134" s="7">
        <f>IFERROR(_xlfn.XLOOKUP(A134,PPTO_GENERADOR!$Q:$Q,PPTO_GENERADOR!$E:$E,"-",0),"-")</f>
        <v>93</v>
      </c>
    </row>
    <row r="135" spans="1:16" x14ac:dyDescent="0.35">
      <c r="A135" s="5" t="s">
        <v>870</v>
      </c>
      <c r="B135" s="5" t="s">
        <v>1203</v>
      </c>
      <c r="C135" s="5" t="s">
        <v>1205</v>
      </c>
      <c r="D135" s="5" t="s">
        <v>132</v>
      </c>
      <c r="E135" s="7" t="str">
        <f>IFERROR(VLOOKUP(D135,MATERIALES!A:B,2,FALSE),"?")</f>
        <v>LADRILLO CERAMICO 8 x 18 x 33 cm</v>
      </c>
      <c r="F135" s="5"/>
      <c r="G135" s="11">
        <v>14.99999991</v>
      </c>
      <c r="H135" s="12">
        <v>0.05</v>
      </c>
      <c r="I135" s="7">
        <f>IFERROR(VLOOKUP(D135,MATERIALES!A:D,4,FALSE),0)</f>
        <v>292.32</v>
      </c>
      <c r="J135" s="8">
        <f t="shared" si="8"/>
        <v>4604.03997237576</v>
      </c>
      <c r="K135" s="7" t="str">
        <f t="shared" si="9"/>
        <v>PTO-0401|MAT</v>
      </c>
      <c r="L135" s="7">
        <f>COUNTIFS($K$2:K135,K135)</f>
        <v>1</v>
      </c>
      <c r="M135" s="7" t="str">
        <f t="shared" si="10"/>
        <v>PTO-0401|MAT|1</v>
      </c>
      <c r="N135" s="7">
        <f>IFERROR(VLOOKUP(A135,PARTIDAS!A:F,6,FALSE),0)</f>
        <v>1</v>
      </c>
      <c r="O135" s="7">
        <f t="shared" si="11"/>
        <v>0</v>
      </c>
      <c r="P135" s="7">
        <f>IFERROR(_xlfn.XLOOKUP(A135,PPTO_GENERADOR!$Q:$Q,PPTO_GENERADOR!$E:$E,"-",0),"-")</f>
        <v>819</v>
      </c>
    </row>
    <row r="136" spans="1:16" x14ac:dyDescent="0.35">
      <c r="A136" s="5" t="s">
        <v>870</v>
      </c>
      <c r="B136" s="5" t="s">
        <v>1203</v>
      </c>
      <c r="C136" s="5" t="s">
        <v>1205</v>
      </c>
      <c r="D136" s="5" t="s">
        <v>134</v>
      </c>
      <c r="E136" s="7" t="str">
        <f>IFERROR(VLOOKUP(D136,MATERIALES!A:B,2,FALSE),"?")</f>
        <v>Barra de Acero Aleteado - 6mm x 12m</v>
      </c>
      <c r="F136" s="5"/>
      <c r="G136" s="11">
        <v>0.17</v>
      </c>
      <c r="H136" s="12">
        <v>0.1</v>
      </c>
      <c r="I136" s="7">
        <f>IFERROR(VLOOKUP(D136,MATERIALES!A:D,4,FALSE),0)</f>
        <v>3611.22</v>
      </c>
      <c r="J136" s="8">
        <f t="shared" si="8"/>
        <v>675.2981400000001</v>
      </c>
      <c r="K136" s="7" t="str">
        <f t="shared" si="9"/>
        <v>PTO-0401|MAT</v>
      </c>
      <c r="L136" s="7">
        <f>COUNTIFS($K$2:K136,K136)</f>
        <v>2</v>
      </c>
      <c r="M136" s="7" t="str">
        <f t="shared" si="10"/>
        <v>PTO-0401|MAT|2</v>
      </c>
      <c r="N136" s="7">
        <f>IFERROR(VLOOKUP(A136,PARTIDAS!A:F,6,FALSE),0)</f>
        <v>1</v>
      </c>
      <c r="O136" s="7">
        <f t="shared" si="11"/>
        <v>0</v>
      </c>
      <c r="P136" s="7">
        <f>IFERROR(_xlfn.XLOOKUP(A136,PPTO_GENERADOR!$Q:$Q,PPTO_GENERADOR!$E:$E,"-",0),"-")</f>
        <v>819</v>
      </c>
    </row>
    <row r="137" spans="1:16" x14ac:dyDescent="0.35">
      <c r="A137" s="5" t="s">
        <v>870</v>
      </c>
      <c r="B137" s="5" t="s">
        <v>1203</v>
      </c>
      <c r="C137" s="5" t="s">
        <v>1205</v>
      </c>
      <c r="D137" s="5" t="s">
        <v>136</v>
      </c>
      <c r="E137" s="7" t="str">
        <f>IFERROR(VLOOKUP(D137,MATERIALES!A:B,2,FALSE),"?")</f>
        <v>ARENA LAVADA</v>
      </c>
      <c r="F137" s="5"/>
      <c r="G137" s="11">
        <v>1.2E-2</v>
      </c>
      <c r="H137" s="12">
        <v>0.1</v>
      </c>
      <c r="I137" s="7">
        <f>IFERROR(VLOOKUP(D137,MATERIALES!A:D,4,FALSE),0)</f>
        <v>31265.15</v>
      </c>
      <c r="J137" s="8">
        <f t="shared" si="8"/>
        <v>412.69998000000004</v>
      </c>
      <c r="K137" s="7" t="str">
        <f t="shared" si="9"/>
        <v>PTO-0401|MAT</v>
      </c>
      <c r="L137" s="7">
        <f>COUNTIFS($K$2:K137,K137)</f>
        <v>3</v>
      </c>
      <c r="M137" s="7" t="str">
        <f t="shared" si="10"/>
        <v>PTO-0401|MAT|3</v>
      </c>
      <c r="N137" s="7">
        <f>IFERROR(VLOOKUP(A137,PARTIDAS!A:F,6,FALSE),0)</f>
        <v>1</v>
      </c>
      <c r="O137" s="7">
        <f t="shared" si="11"/>
        <v>0</v>
      </c>
      <c r="P137" s="7">
        <f>IFERROR(_xlfn.XLOOKUP(A137,PPTO_GENERADOR!$Q:$Q,PPTO_GENERADOR!$E:$E,"-",0),"-")</f>
        <v>819</v>
      </c>
    </row>
    <row r="138" spans="1:16" x14ac:dyDescent="0.35">
      <c r="A138" s="5" t="s">
        <v>870</v>
      </c>
      <c r="B138" s="5" t="s">
        <v>1203</v>
      </c>
      <c r="C138" s="5" t="s">
        <v>1205</v>
      </c>
      <c r="D138" s="5" t="s">
        <v>138</v>
      </c>
      <c r="E138" s="7" t="str">
        <f>IFERROR(VLOOKUP(D138,MATERIALES!A:B,2,FALSE),"?")</f>
        <v>Cal Comun x 25kg</v>
      </c>
      <c r="F138" s="5"/>
      <c r="G138" s="11">
        <v>0.1</v>
      </c>
      <c r="H138" s="12">
        <v>0.1</v>
      </c>
      <c r="I138" s="7">
        <f>IFERROR(VLOOKUP(D138,MATERIALES!A:D,4,FALSE),0)</f>
        <v>3532.67</v>
      </c>
      <c r="J138" s="8">
        <f t="shared" si="8"/>
        <v>388.59370000000007</v>
      </c>
      <c r="K138" s="7" t="str">
        <f t="shared" si="9"/>
        <v>PTO-0401|MAT</v>
      </c>
      <c r="L138" s="7">
        <f>COUNTIFS($K$2:K138,K138)</f>
        <v>4</v>
      </c>
      <c r="M138" s="7" t="str">
        <f t="shared" si="10"/>
        <v>PTO-0401|MAT|4</v>
      </c>
      <c r="N138" s="7">
        <f>IFERROR(VLOOKUP(A138,PARTIDAS!A:F,6,FALSE),0)</f>
        <v>1</v>
      </c>
      <c r="O138" s="7">
        <f t="shared" si="11"/>
        <v>0</v>
      </c>
      <c r="P138" s="7">
        <f>IFERROR(_xlfn.XLOOKUP(A138,PPTO_GENERADOR!$Q:$Q,PPTO_GENERADOR!$E:$E,"-",0),"-")</f>
        <v>819</v>
      </c>
    </row>
    <row r="139" spans="1:16" x14ac:dyDescent="0.35">
      <c r="A139" s="5" t="s">
        <v>870</v>
      </c>
      <c r="B139" s="5" t="s">
        <v>1203</v>
      </c>
      <c r="C139" s="5" t="s">
        <v>1205</v>
      </c>
      <c r="D139" s="5" t="s">
        <v>140</v>
      </c>
      <c r="E139" s="7" t="str">
        <f>IFERROR(VLOOKUP(D139,MATERIALES!A:B,2,FALSE),"?")</f>
        <v>Cemento Portland x 50kg</v>
      </c>
      <c r="F139" s="5"/>
      <c r="G139" s="11">
        <v>0.05</v>
      </c>
      <c r="H139" s="12">
        <v>0.1</v>
      </c>
      <c r="I139" s="7">
        <f>IFERROR(VLOOKUP(D139,MATERIALES!A:D,4,FALSE),0)</f>
        <v>7233.47</v>
      </c>
      <c r="J139" s="8">
        <f t="shared" si="8"/>
        <v>397.8408500000001</v>
      </c>
      <c r="K139" s="7" t="str">
        <f t="shared" si="9"/>
        <v>PTO-0401|MAT</v>
      </c>
      <c r="L139" s="7">
        <f>COUNTIFS($K$2:K139,K139)</f>
        <v>5</v>
      </c>
      <c r="M139" s="7" t="str">
        <f t="shared" si="10"/>
        <v>PTO-0401|MAT|5</v>
      </c>
      <c r="N139" s="7">
        <f>IFERROR(VLOOKUP(A139,PARTIDAS!A:F,6,FALSE),0)</f>
        <v>1</v>
      </c>
      <c r="O139" s="7">
        <f t="shared" si="11"/>
        <v>0</v>
      </c>
      <c r="P139" s="7">
        <f>IFERROR(_xlfn.XLOOKUP(A139,PPTO_GENERADOR!$Q:$Q,PPTO_GENERADOR!$E:$E,"-",0),"-")</f>
        <v>819</v>
      </c>
    </row>
    <row r="140" spans="1:16" x14ac:dyDescent="0.35">
      <c r="A140" s="5" t="s">
        <v>870</v>
      </c>
      <c r="B140" s="5" t="s">
        <v>1198</v>
      </c>
      <c r="C140" s="5" t="s">
        <v>1201</v>
      </c>
      <c r="D140" s="5" t="s">
        <v>477</v>
      </c>
      <c r="E140" s="7" t="str">
        <f>IFERROR(VLOOKUP(D140,MANO_DE_OBRA!A:B,2,FALSE),"?")</f>
        <v>ESPECIALIZADO</v>
      </c>
      <c r="F140" s="5" t="s">
        <v>1200</v>
      </c>
      <c r="G140" s="11">
        <v>6.6666669999999997E-2</v>
      </c>
      <c r="H140" s="12">
        <v>0</v>
      </c>
      <c r="I140" s="7">
        <f>IFERROR(VLOOKUP(D140,MANO_DE_OBRA!A:C,3,FALSE),0)</f>
        <v>75113.05</v>
      </c>
      <c r="J140" s="8">
        <f t="shared" si="8"/>
        <v>5007.5369170434997</v>
      </c>
      <c r="K140" s="7" t="str">
        <f t="shared" si="9"/>
        <v>PTO-0401|MO</v>
      </c>
      <c r="L140" s="7">
        <f>COUNTIFS($K$2:K140,K140)</f>
        <v>1</v>
      </c>
      <c r="M140" s="7" t="str">
        <f t="shared" si="10"/>
        <v>PTO-0401|MO|1</v>
      </c>
      <c r="N140" s="7">
        <f>IFERROR(VLOOKUP(A140,PARTIDAS!A:F,6,FALSE),0)</f>
        <v>1</v>
      </c>
      <c r="O140" s="7">
        <f t="shared" si="11"/>
        <v>6.6666669999999997E-2</v>
      </c>
      <c r="P140" s="7">
        <f>IFERROR(_xlfn.XLOOKUP(A140,PPTO_GENERADOR!$Q:$Q,PPTO_GENERADOR!$E:$E,"-",0),"-")</f>
        <v>819</v>
      </c>
    </row>
    <row r="141" spans="1:16" x14ac:dyDescent="0.35">
      <c r="A141" s="5" t="s">
        <v>870</v>
      </c>
      <c r="B141" s="5" t="s">
        <v>1198</v>
      </c>
      <c r="C141" s="5" t="s">
        <v>1201</v>
      </c>
      <c r="D141" s="5" t="s">
        <v>475</v>
      </c>
      <c r="E141" s="7" t="str">
        <f>IFERROR(VLOOKUP(D141,MANO_DE_OBRA!A:B,2,FALSE),"?")</f>
        <v>AYUDANTE</v>
      </c>
      <c r="F141" s="5" t="s">
        <v>1200</v>
      </c>
      <c r="G141" s="11">
        <v>6.6666669999999997E-2</v>
      </c>
      <c r="H141" s="12">
        <v>0</v>
      </c>
      <c r="I141" s="7">
        <f>IFERROR(VLOOKUP(D141,MANO_DE_OBRA!A:C,3,FALSE),0)</f>
        <v>49934.239999999998</v>
      </c>
      <c r="J141" s="8">
        <f t="shared" si="8"/>
        <v>3328.9494997807997</v>
      </c>
      <c r="K141" s="7" t="str">
        <f t="shared" si="9"/>
        <v>PTO-0401|MO</v>
      </c>
      <c r="L141" s="7">
        <f>COUNTIFS($K$2:K141,K141)</f>
        <v>2</v>
      </c>
      <c r="M141" s="7" t="str">
        <f t="shared" si="10"/>
        <v>PTO-0401|MO|2</v>
      </c>
      <c r="N141" s="7">
        <f>IFERROR(VLOOKUP(A141,PARTIDAS!A:F,6,FALSE),0)</f>
        <v>1</v>
      </c>
      <c r="O141" s="7">
        <f t="shared" si="11"/>
        <v>6.6666669999999997E-2</v>
      </c>
      <c r="P141" s="7">
        <f>IFERROR(_xlfn.XLOOKUP(A141,PPTO_GENERADOR!$Q:$Q,PPTO_GENERADOR!$E:$E,"-",0),"-")</f>
        <v>819</v>
      </c>
    </row>
    <row r="142" spans="1:16" x14ac:dyDescent="0.35">
      <c r="A142" s="5" t="s">
        <v>870</v>
      </c>
      <c r="B142" s="5" t="s">
        <v>1202</v>
      </c>
      <c r="C142" s="5"/>
      <c r="D142" s="5" t="s">
        <v>525</v>
      </c>
      <c r="E142" s="7" t="str">
        <f>IFERROR(VLOOKUP(D142,EQUIPOS!A:B,2,FALSE),"?")</f>
        <v>EQUIPO DE ALBAÑILERIA, carpetas, ladrillo</v>
      </c>
      <c r="F142" s="5"/>
      <c r="G142" s="11">
        <v>6.6666669999999997E-2</v>
      </c>
      <c r="H142" s="12">
        <v>0</v>
      </c>
      <c r="I142" s="7">
        <f>IFERROR(VLOOKUP(D142,EQUIPOS!A:C,3,FALSE),0)</f>
        <v>2227.2298000000001</v>
      </c>
      <c r="J142" s="8">
        <f t="shared" si="8"/>
        <v>148.48199409076599</v>
      </c>
      <c r="K142" s="7" t="str">
        <f t="shared" si="9"/>
        <v>PTO-0401|EQ</v>
      </c>
      <c r="L142" s="7">
        <f>COUNTIFS($K$2:K142,K142)</f>
        <v>1</v>
      </c>
      <c r="M142" s="7" t="str">
        <f t="shared" si="10"/>
        <v>PTO-0401|EQ|1</v>
      </c>
      <c r="N142" s="7">
        <f>IFERROR(VLOOKUP(A142,PARTIDAS!A:F,6,FALSE),0)</f>
        <v>1</v>
      </c>
      <c r="O142" s="7">
        <f t="shared" si="11"/>
        <v>0</v>
      </c>
      <c r="P142" s="7">
        <f>IFERROR(_xlfn.XLOOKUP(A142,PPTO_GENERADOR!$Q:$Q,PPTO_GENERADOR!$E:$E,"-",0),"-")</f>
        <v>819</v>
      </c>
    </row>
    <row r="143" spans="1:16" x14ac:dyDescent="0.35">
      <c r="A143" s="5" t="s">
        <v>870</v>
      </c>
      <c r="B143" s="5" t="s">
        <v>1202</v>
      </c>
      <c r="C143" s="5"/>
      <c r="D143" s="5" t="s">
        <v>527</v>
      </c>
      <c r="E143" s="7" t="str">
        <f>IFERROR(VLOOKUP(D143,EQUIPOS!A:B,2,FALSE),"?")</f>
        <v>ANDAMIO TUBULAR DE UNO A TRES CUERPOS</v>
      </c>
      <c r="F143" s="5"/>
      <c r="G143" s="11">
        <v>3.3333330000000001E-2</v>
      </c>
      <c r="H143" s="12">
        <v>0</v>
      </c>
      <c r="I143" s="7">
        <f>IFERROR(VLOOKUP(D143,EQUIPOS!A:C,3,FALSE),0)</f>
        <v>556.21879999999999</v>
      </c>
      <c r="J143" s="8">
        <f t="shared" si="8"/>
        <v>18.540624812604001</v>
      </c>
      <c r="K143" s="7" t="str">
        <f t="shared" si="9"/>
        <v>PTO-0401|EQ</v>
      </c>
      <c r="L143" s="7">
        <f>COUNTIFS($K$2:K143,K143)</f>
        <v>2</v>
      </c>
      <c r="M143" s="7" t="str">
        <f t="shared" si="10"/>
        <v>PTO-0401|EQ|2</v>
      </c>
      <c r="N143" s="7">
        <f>IFERROR(VLOOKUP(A143,PARTIDAS!A:F,6,FALSE),0)</f>
        <v>1</v>
      </c>
      <c r="O143" s="7">
        <f t="shared" si="11"/>
        <v>0</v>
      </c>
      <c r="P143" s="7">
        <f>IFERROR(_xlfn.XLOOKUP(A143,PPTO_GENERADOR!$Q:$Q,PPTO_GENERADOR!$E:$E,"-",0),"-")</f>
        <v>819</v>
      </c>
    </row>
    <row r="144" spans="1:16" x14ac:dyDescent="0.35">
      <c r="A144" s="5" t="s">
        <v>870</v>
      </c>
      <c r="B144" s="5" t="s">
        <v>1202</v>
      </c>
      <c r="C144" s="5"/>
      <c r="D144" s="5" t="s">
        <v>529</v>
      </c>
      <c r="E144" s="7" t="str">
        <f>IFERROR(VLOOKUP(D144,EQUIPOS!A:B,2,FALSE),"?")</f>
        <v>Hormigonera De 150 Litros 1hp Con Rueda Maciza</v>
      </c>
      <c r="F144" s="5"/>
      <c r="G144" s="11">
        <v>6.6666669999999997E-2</v>
      </c>
      <c r="H144" s="12">
        <v>0</v>
      </c>
      <c r="I144" s="7">
        <f>IFERROR(VLOOKUP(D144,EQUIPOS!A:C,3,FALSE),0)</f>
        <v>932.18029999999999</v>
      </c>
      <c r="J144" s="8">
        <f t="shared" si="8"/>
        <v>62.145356440600999</v>
      </c>
      <c r="K144" s="7" t="str">
        <f t="shared" si="9"/>
        <v>PTO-0401|EQ</v>
      </c>
      <c r="L144" s="7">
        <f>COUNTIFS($K$2:K144,K144)</f>
        <v>3</v>
      </c>
      <c r="M144" s="7" t="str">
        <f t="shared" si="10"/>
        <v>PTO-0401|EQ|3</v>
      </c>
      <c r="N144" s="7">
        <f>IFERROR(VLOOKUP(A144,PARTIDAS!A:F,6,FALSE),0)</f>
        <v>1</v>
      </c>
      <c r="O144" s="7">
        <f t="shared" si="11"/>
        <v>0</v>
      </c>
      <c r="P144" s="7">
        <f>IFERROR(_xlfn.XLOOKUP(A144,PPTO_GENERADOR!$Q:$Q,PPTO_GENERADOR!$E:$E,"-",0),"-")</f>
        <v>819</v>
      </c>
    </row>
    <row r="145" spans="1:16" x14ac:dyDescent="0.35">
      <c r="A145" s="5" t="s">
        <v>870</v>
      </c>
      <c r="B145" s="5" t="s">
        <v>1203</v>
      </c>
      <c r="C145" s="5" t="s">
        <v>1204</v>
      </c>
      <c r="D145" s="5" t="s">
        <v>468</v>
      </c>
      <c r="E145" s="7" t="str">
        <f>IFERROR(VLOOKUP(D145,MATERIALES!A:B,2,FALSE),"?")</f>
        <v>Consumibles</v>
      </c>
      <c r="F145" s="5"/>
      <c r="G145" s="11">
        <v>66.728300000000004</v>
      </c>
      <c r="H145" s="12">
        <v>0</v>
      </c>
      <c r="I145" s="7">
        <f>IFERROR(VLOOKUP(D145,MATERIALES!A:D,4,FALSE),0)</f>
        <v>1</v>
      </c>
      <c r="J145" s="8">
        <f t="shared" si="8"/>
        <v>66.728300000000004</v>
      </c>
      <c r="K145" s="7" t="str">
        <f t="shared" si="9"/>
        <v>PTO-0401|MAT</v>
      </c>
      <c r="L145" s="7">
        <f>COUNTIFS($K$2:K145,K145)</f>
        <v>6</v>
      </c>
      <c r="M145" s="7" t="str">
        <f t="shared" si="10"/>
        <v>PTO-0401|MAT|6</v>
      </c>
      <c r="N145" s="7">
        <f>IFERROR(VLOOKUP(A145,PARTIDAS!A:F,6,FALSE),0)</f>
        <v>1</v>
      </c>
      <c r="O145" s="7">
        <f t="shared" si="11"/>
        <v>0</v>
      </c>
      <c r="P145" s="7">
        <f>IFERROR(_xlfn.XLOOKUP(A145,PPTO_GENERADOR!$Q:$Q,PPTO_GENERADOR!$E:$E,"-",0),"-")</f>
        <v>819</v>
      </c>
    </row>
    <row r="146" spans="1:16" x14ac:dyDescent="0.35">
      <c r="A146" s="5" t="s">
        <v>872</v>
      </c>
      <c r="B146" s="5" t="s">
        <v>1203</v>
      </c>
      <c r="C146" s="5" t="s">
        <v>1205</v>
      </c>
      <c r="D146" s="5" t="s">
        <v>142</v>
      </c>
      <c r="E146" s="7" t="str">
        <f>IFERROR(VLOOKUP(D146,MATERIALES!A:B,2,FALSE),"?")</f>
        <v>Ladrillo hueco ceramico 12x19x33 - Portante</v>
      </c>
      <c r="F146" s="5"/>
      <c r="G146" s="11">
        <v>14.99999994</v>
      </c>
      <c r="H146" s="12">
        <v>0.05</v>
      </c>
      <c r="I146" s="7">
        <f>IFERROR(VLOOKUP(D146,MATERIALES!A:D,4,FALSE),0)</f>
        <v>563.22</v>
      </c>
      <c r="J146" s="8">
        <f t="shared" si="8"/>
        <v>8870.7149645171412</v>
      </c>
      <c r="K146" s="7" t="str">
        <f t="shared" si="9"/>
        <v>PTO-0402|MAT</v>
      </c>
      <c r="L146" s="7">
        <f>COUNTIFS($K$2:K146,K146)</f>
        <v>1</v>
      </c>
      <c r="M146" s="7" t="str">
        <f t="shared" si="10"/>
        <v>PTO-0402|MAT|1</v>
      </c>
      <c r="N146" s="7">
        <f>IFERROR(VLOOKUP(A146,PARTIDAS!A:F,6,FALSE),0)</f>
        <v>1</v>
      </c>
      <c r="O146" s="7">
        <f t="shared" si="11"/>
        <v>0</v>
      </c>
      <c r="P146" s="7">
        <f>IFERROR(_xlfn.XLOOKUP(A146,PPTO_GENERADOR!$Q:$Q,PPTO_GENERADOR!$E:$E,"-",0),"-")</f>
        <v>612</v>
      </c>
    </row>
    <row r="147" spans="1:16" x14ac:dyDescent="0.35">
      <c r="A147" s="5" t="s">
        <v>872</v>
      </c>
      <c r="B147" s="5" t="s">
        <v>1203</v>
      </c>
      <c r="C147" s="5" t="s">
        <v>1205</v>
      </c>
      <c r="D147" s="5" t="s">
        <v>134</v>
      </c>
      <c r="E147" s="7" t="str">
        <f>IFERROR(VLOOKUP(D147,MATERIALES!A:B,2,FALSE),"?")</f>
        <v>Barra de Acero Aleteado - 6mm x 12m</v>
      </c>
      <c r="F147" s="5"/>
      <c r="G147" s="11">
        <v>0.17</v>
      </c>
      <c r="H147" s="12">
        <v>0.1</v>
      </c>
      <c r="I147" s="7">
        <f>IFERROR(VLOOKUP(D147,MATERIALES!A:D,4,FALSE),0)</f>
        <v>3611.22</v>
      </c>
      <c r="J147" s="8">
        <f t="shared" si="8"/>
        <v>675.2981400000001</v>
      </c>
      <c r="K147" s="7" t="str">
        <f t="shared" si="9"/>
        <v>PTO-0402|MAT</v>
      </c>
      <c r="L147" s="7">
        <f>COUNTIFS($K$2:K147,K147)</f>
        <v>2</v>
      </c>
      <c r="M147" s="7" t="str">
        <f t="shared" si="10"/>
        <v>PTO-0402|MAT|2</v>
      </c>
      <c r="N147" s="7">
        <f>IFERROR(VLOOKUP(A147,PARTIDAS!A:F,6,FALSE),0)</f>
        <v>1</v>
      </c>
      <c r="O147" s="7">
        <f t="shared" si="11"/>
        <v>0</v>
      </c>
      <c r="P147" s="7">
        <f>IFERROR(_xlfn.XLOOKUP(A147,PPTO_GENERADOR!$Q:$Q,PPTO_GENERADOR!$E:$E,"-",0),"-")</f>
        <v>612</v>
      </c>
    </row>
    <row r="148" spans="1:16" x14ac:dyDescent="0.35">
      <c r="A148" s="5" t="s">
        <v>872</v>
      </c>
      <c r="B148" s="5" t="s">
        <v>1203</v>
      </c>
      <c r="C148" s="5" t="s">
        <v>1205</v>
      </c>
      <c r="D148" s="5" t="s">
        <v>138</v>
      </c>
      <c r="E148" s="7" t="str">
        <f>IFERROR(VLOOKUP(D148,MATERIALES!A:B,2,FALSE),"?")</f>
        <v>Cal Comun x 25kg</v>
      </c>
      <c r="F148" s="5"/>
      <c r="G148" s="11">
        <v>0.15</v>
      </c>
      <c r="H148" s="12">
        <v>0.1</v>
      </c>
      <c r="I148" s="7">
        <f>IFERROR(VLOOKUP(D148,MATERIALES!A:D,4,FALSE),0)</f>
        <v>3532.67</v>
      </c>
      <c r="J148" s="8">
        <f t="shared" si="8"/>
        <v>582.89054999999996</v>
      </c>
      <c r="K148" s="7" t="str">
        <f t="shared" si="9"/>
        <v>PTO-0402|MAT</v>
      </c>
      <c r="L148" s="7">
        <f>COUNTIFS($K$2:K148,K148)</f>
        <v>3</v>
      </c>
      <c r="M148" s="7" t="str">
        <f t="shared" si="10"/>
        <v>PTO-0402|MAT|3</v>
      </c>
      <c r="N148" s="7">
        <f>IFERROR(VLOOKUP(A148,PARTIDAS!A:F,6,FALSE),0)</f>
        <v>1</v>
      </c>
      <c r="O148" s="7">
        <f t="shared" si="11"/>
        <v>0</v>
      </c>
      <c r="P148" s="7">
        <f>IFERROR(_xlfn.XLOOKUP(A148,PPTO_GENERADOR!$Q:$Q,PPTO_GENERADOR!$E:$E,"-",0),"-")</f>
        <v>612</v>
      </c>
    </row>
    <row r="149" spans="1:16" x14ac:dyDescent="0.35">
      <c r="A149" s="5" t="s">
        <v>872</v>
      </c>
      <c r="B149" s="5" t="s">
        <v>1203</v>
      </c>
      <c r="C149" s="5" t="s">
        <v>1205</v>
      </c>
      <c r="D149" s="5" t="s">
        <v>140</v>
      </c>
      <c r="E149" s="7" t="str">
        <f>IFERROR(VLOOKUP(D149,MATERIALES!A:B,2,FALSE),"?")</f>
        <v>Cemento Portland x 50kg</v>
      </c>
      <c r="F149" s="5"/>
      <c r="G149" s="11">
        <v>7.4999999999999997E-2</v>
      </c>
      <c r="H149" s="12">
        <v>0.1</v>
      </c>
      <c r="I149" s="7">
        <f>IFERROR(VLOOKUP(D149,MATERIALES!A:D,4,FALSE),0)</f>
        <v>7233.47</v>
      </c>
      <c r="J149" s="8">
        <f t="shared" si="8"/>
        <v>596.76127500000007</v>
      </c>
      <c r="K149" s="7" t="str">
        <f t="shared" si="9"/>
        <v>PTO-0402|MAT</v>
      </c>
      <c r="L149" s="7">
        <f>COUNTIFS($K$2:K149,K149)</f>
        <v>4</v>
      </c>
      <c r="M149" s="7" t="str">
        <f t="shared" si="10"/>
        <v>PTO-0402|MAT|4</v>
      </c>
      <c r="N149" s="7">
        <f>IFERROR(VLOOKUP(A149,PARTIDAS!A:F,6,FALSE),0)</f>
        <v>1</v>
      </c>
      <c r="O149" s="7">
        <f t="shared" si="11"/>
        <v>0</v>
      </c>
      <c r="P149" s="7">
        <f>IFERROR(_xlfn.XLOOKUP(A149,PPTO_GENERADOR!$Q:$Q,PPTO_GENERADOR!$E:$E,"-",0),"-")</f>
        <v>612</v>
      </c>
    </row>
    <row r="150" spans="1:16" x14ac:dyDescent="0.35">
      <c r="A150" s="5" t="s">
        <v>872</v>
      </c>
      <c r="B150" s="5" t="s">
        <v>1203</v>
      </c>
      <c r="C150" s="5" t="s">
        <v>1205</v>
      </c>
      <c r="D150" s="5" t="s">
        <v>136</v>
      </c>
      <c r="E150" s="7" t="str">
        <f>IFERROR(VLOOKUP(D150,MATERIALES!A:B,2,FALSE),"?")</f>
        <v>ARENA LAVADA</v>
      </c>
      <c r="F150" s="5"/>
      <c r="G150" s="11">
        <v>1.7999999999999999E-2</v>
      </c>
      <c r="H150" s="12">
        <v>0.1</v>
      </c>
      <c r="I150" s="7">
        <f>IFERROR(VLOOKUP(D150,MATERIALES!A:D,4,FALSE),0)</f>
        <v>31265.15</v>
      </c>
      <c r="J150" s="8">
        <f t="shared" si="8"/>
        <v>619.04997000000003</v>
      </c>
      <c r="K150" s="7" t="str">
        <f t="shared" si="9"/>
        <v>PTO-0402|MAT</v>
      </c>
      <c r="L150" s="7">
        <f>COUNTIFS($K$2:K150,K150)</f>
        <v>5</v>
      </c>
      <c r="M150" s="7" t="str">
        <f t="shared" si="10"/>
        <v>PTO-0402|MAT|5</v>
      </c>
      <c r="N150" s="7">
        <f>IFERROR(VLOOKUP(A150,PARTIDAS!A:F,6,FALSE),0)</f>
        <v>1</v>
      </c>
      <c r="O150" s="7">
        <f t="shared" si="11"/>
        <v>0</v>
      </c>
      <c r="P150" s="7">
        <f>IFERROR(_xlfn.XLOOKUP(A150,PPTO_GENERADOR!$Q:$Q,PPTO_GENERADOR!$E:$E,"-",0),"-")</f>
        <v>612</v>
      </c>
    </row>
    <row r="151" spans="1:16" x14ac:dyDescent="0.35">
      <c r="A151" s="5" t="s">
        <v>872</v>
      </c>
      <c r="B151" s="5" t="s">
        <v>1198</v>
      </c>
      <c r="C151" s="5" t="s">
        <v>1201</v>
      </c>
      <c r="D151" s="5" t="s">
        <v>477</v>
      </c>
      <c r="E151" s="7" t="str">
        <f>IFERROR(VLOOKUP(D151,MANO_DE_OBRA!A:B,2,FALSE),"?")</f>
        <v>ESPECIALIZADO</v>
      </c>
      <c r="F151" s="5" t="s">
        <v>1200</v>
      </c>
      <c r="G151" s="11">
        <v>6.6666669999999997E-2</v>
      </c>
      <c r="H151" s="12">
        <v>0</v>
      </c>
      <c r="I151" s="7">
        <f>IFERROR(VLOOKUP(D151,MANO_DE_OBRA!A:C,3,FALSE),0)</f>
        <v>75113.05</v>
      </c>
      <c r="J151" s="8">
        <f t="shared" si="8"/>
        <v>5007.5369170434997</v>
      </c>
      <c r="K151" s="7" t="str">
        <f t="shared" si="9"/>
        <v>PTO-0402|MO</v>
      </c>
      <c r="L151" s="7">
        <f>COUNTIFS($K$2:K151,K151)</f>
        <v>1</v>
      </c>
      <c r="M151" s="7" t="str">
        <f t="shared" si="10"/>
        <v>PTO-0402|MO|1</v>
      </c>
      <c r="N151" s="7">
        <f>IFERROR(VLOOKUP(A151,PARTIDAS!A:F,6,FALSE),0)</f>
        <v>1</v>
      </c>
      <c r="O151" s="7">
        <f t="shared" si="11"/>
        <v>6.6666669999999997E-2</v>
      </c>
      <c r="P151" s="7">
        <f>IFERROR(_xlfn.XLOOKUP(A151,PPTO_GENERADOR!$Q:$Q,PPTO_GENERADOR!$E:$E,"-",0),"-")</f>
        <v>612</v>
      </c>
    </row>
    <row r="152" spans="1:16" x14ac:dyDescent="0.35">
      <c r="A152" s="5" t="s">
        <v>872</v>
      </c>
      <c r="B152" s="5" t="s">
        <v>1198</v>
      </c>
      <c r="C152" s="5" t="s">
        <v>1201</v>
      </c>
      <c r="D152" s="5" t="s">
        <v>475</v>
      </c>
      <c r="E152" s="7" t="str">
        <f>IFERROR(VLOOKUP(D152,MANO_DE_OBRA!A:B,2,FALSE),"?")</f>
        <v>AYUDANTE</v>
      </c>
      <c r="F152" s="5" t="s">
        <v>1200</v>
      </c>
      <c r="G152" s="11">
        <v>6.6666669999999997E-2</v>
      </c>
      <c r="H152" s="12">
        <v>0</v>
      </c>
      <c r="I152" s="7">
        <f>IFERROR(VLOOKUP(D152,MANO_DE_OBRA!A:C,3,FALSE),0)</f>
        <v>49934.239999999998</v>
      </c>
      <c r="J152" s="8">
        <f t="shared" si="8"/>
        <v>3328.9494997807997</v>
      </c>
      <c r="K152" s="7" t="str">
        <f t="shared" si="9"/>
        <v>PTO-0402|MO</v>
      </c>
      <c r="L152" s="7">
        <f>COUNTIFS($K$2:K152,K152)</f>
        <v>2</v>
      </c>
      <c r="M152" s="7" t="str">
        <f t="shared" si="10"/>
        <v>PTO-0402|MO|2</v>
      </c>
      <c r="N152" s="7">
        <f>IFERROR(VLOOKUP(A152,PARTIDAS!A:F,6,FALSE),0)</f>
        <v>1</v>
      </c>
      <c r="O152" s="7">
        <f t="shared" si="11"/>
        <v>6.6666669999999997E-2</v>
      </c>
      <c r="P152" s="7">
        <f>IFERROR(_xlfn.XLOOKUP(A152,PPTO_GENERADOR!$Q:$Q,PPTO_GENERADOR!$E:$E,"-",0),"-")</f>
        <v>612</v>
      </c>
    </row>
    <row r="153" spans="1:16" x14ac:dyDescent="0.35">
      <c r="A153" s="5" t="s">
        <v>872</v>
      </c>
      <c r="B153" s="5" t="s">
        <v>1202</v>
      </c>
      <c r="C153" s="5"/>
      <c r="D153" s="5" t="s">
        <v>525</v>
      </c>
      <c r="E153" s="7" t="str">
        <f>IFERROR(VLOOKUP(D153,EQUIPOS!A:B,2,FALSE),"?")</f>
        <v>EQUIPO DE ALBAÑILERIA, carpetas, ladrillo</v>
      </c>
      <c r="F153" s="5"/>
      <c r="G153" s="11">
        <v>6.6666669999999997E-2</v>
      </c>
      <c r="H153" s="12">
        <v>0</v>
      </c>
      <c r="I153" s="7">
        <f>IFERROR(VLOOKUP(D153,EQUIPOS!A:C,3,FALSE),0)</f>
        <v>2227.2298000000001</v>
      </c>
      <c r="J153" s="8">
        <f t="shared" si="8"/>
        <v>148.48199409076599</v>
      </c>
      <c r="K153" s="7" t="str">
        <f t="shared" si="9"/>
        <v>PTO-0402|EQ</v>
      </c>
      <c r="L153" s="7">
        <f>COUNTIFS($K$2:K153,K153)</f>
        <v>1</v>
      </c>
      <c r="M153" s="7" t="str">
        <f t="shared" si="10"/>
        <v>PTO-0402|EQ|1</v>
      </c>
      <c r="N153" s="7">
        <f>IFERROR(VLOOKUP(A153,PARTIDAS!A:F,6,FALSE),0)</f>
        <v>1</v>
      </c>
      <c r="O153" s="7">
        <f t="shared" si="11"/>
        <v>0</v>
      </c>
      <c r="P153" s="7">
        <f>IFERROR(_xlfn.XLOOKUP(A153,PPTO_GENERADOR!$Q:$Q,PPTO_GENERADOR!$E:$E,"-",0),"-")</f>
        <v>612</v>
      </c>
    </row>
    <row r="154" spans="1:16" x14ac:dyDescent="0.35">
      <c r="A154" s="5" t="s">
        <v>872</v>
      </c>
      <c r="B154" s="5" t="s">
        <v>1202</v>
      </c>
      <c r="C154" s="5"/>
      <c r="D154" s="5" t="s">
        <v>527</v>
      </c>
      <c r="E154" s="7" t="str">
        <f>IFERROR(VLOOKUP(D154,EQUIPOS!A:B,2,FALSE),"?")</f>
        <v>ANDAMIO TUBULAR DE UNO A TRES CUERPOS</v>
      </c>
      <c r="F154" s="5"/>
      <c r="G154" s="11">
        <v>3.3333330000000001E-2</v>
      </c>
      <c r="H154" s="12">
        <v>0</v>
      </c>
      <c r="I154" s="7">
        <f>IFERROR(VLOOKUP(D154,EQUIPOS!A:C,3,FALSE),0)</f>
        <v>556.21879999999999</v>
      </c>
      <c r="J154" s="8">
        <f t="shared" si="8"/>
        <v>18.540624812604001</v>
      </c>
      <c r="K154" s="7" t="str">
        <f t="shared" si="9"/>
        <v>PTO-0402|EQ</v>
      </c>
      <c r="L154" s="7">
        <f>COUNTIFS($K$2:K154,K154)</f>
        <v>2</v>
      </c>
      <c r="M154" s="7" t="str">
        <f t="shared" si="10"/>
        <v>PTO-0402|EQ|2</v>
      </c>
      <c r="N154" s="7">
        <f>IFERROR(VLOOKUP(A154,PARTIDAS!A:F,6,FALSE),0)</f>
        <v>1</v>
      </c>
      <c r="O154" s="7">
        <f t="shared" si="11"/>
        <v>0</v>
      </c>
      <c r="P154" s="7">
        <f>IFERROR(_xlfn.XLOOKUP(A154,PPTO_GENERADOR!$Q:$Q,PPTO_GENERADOR!$E:$E,"-",0),"-")</f>
        <v>612</v>
      </c>
    </row>
    <row r="155" spans="1:16" x14ac:dyDescent="0.35">
      <c r="A155" s="5" t="s">
        <v>872</v>
      </c>
      <c r="B155" s="5" t="s">
        <v>1202</v>
      </c>
      <c r="C155" s="5"/>
      <c r="D155" s="5" t="s">
        <v>529</v>
      </c>
      <c r="E155" s="7" t="str">
        <f>IFERROR(VLOOKUP(D155,EQUIPOS!A:B,2,FALSE),"?")</f>
        <v>Hormigonera De 150 Litros 1hp Con Rueda Maciza</v>
      </c>
      <c r="F155" s="5"/>
      <c r="G155" s="11">
        <v>6.6666669999999997E-2</v>
      </c>
      <c r="H155" s="12">
        <v>0</v>
      </c>
      <c r="I155" s="7">
        <f>IFERROR(VLOOKUP(D155,EQUIPOS!A:C,3,FALSE),0)</f>
        <v>932.18029999999999</v>
      </c>
      <c r="J155" s="8">
        <f t="shared" si="8"/>
        <v>62.145356440600999</v>
      </c>
      <c r="K155" s="7" t="str">
        <f t="shared" si="9"/>
        <v>PTO-0402|EQ</v>
      </c>
      <c r="L155" s="7">
        <f>COUNTIFS($K$2:K155,K155)</f>
        <v>3</v>
      </c>
      <c r="M155" s="7" t="str">
        <f t="shared" si="10"/>
        <v>PTO-0402|EQ|3</v>
      </c>
      <c r="N155" s="7">
        <f>IFERROR(VLOOKUP(A155,PARTIDAS!A:F,6,FALSE),0)</f>
        <v>1</v>
      </c>
      <c r="O155" s="7">
        <f t="shared" si="11"/>
        <v>0</v>
      </c>
      <c r="P155" s="7">
        <f>IFERROR(_xlfn.XLOOKUP(A155,PPTO_GENERADOR!$Q:$Q,PPTO_GENERADOR!$E:$E,"-",0),"-")</f>
        <v>612</v>
      </c>
    </row>
    <row r="156" spans="1:16" x14ac:dyDescent="0.35">
      <c r="A156" s="5" t="s">
        <v>872</v>
      </c>
      <c r="B156" s="5" t="s">
        <v>1203</v>
      </c>
      <c r="C156" s="5" t="s">
        <v>1204</v>
      </c>
      <c r="D156" s="5" t="s">
        <v>468</v>
      </c>
      <c r="E156" s="7" t="str">
        <f>IFERROR(VLOOKUP(D156,MATERIALES!A:B,2,FALSE),"?")</f>
        <v>Consumibles</v>
      </c>
      <c r="F156" s="5"/>
      <c r="G156" s="11">
        <v>116.8506</v>
      </c>
      <c r="H156" s="12">
        <v>0</v>
      </c>
      <c r="I156" s="7">
        <f>IFERROR(VLOOKUP(D156,MATERIALES!A:D,4,FALSE),0)</f>
        <v>1</v>
      </c>
      <c r="J156" s="8">
        <f t="shared" si="8"/>
        <v>116.8506</v>
      </c>
      <c r="K156" s="7" t="str">
        <f t="shared" si="9"/>
        <v>PTO-0402|MAT</v>
      </c>
      <c r="L156" s="7">
        <f>COUNTIFS($K$2:K156,K156)</f>
        <v>6</v>
      </c>
      <c r="M156" s="7" t="str">
        <f t="shared" si="10"/>
        <v>PTO-0402|MAT|6</v>
      </c>
      <c r="N156" s="7">
        <f>IFERROR(VLOOKUP(A156,PARTIDAS!A:F,6,FALSE),0)</f>
        <v>1</v>
      </c>
      <c r="O156" s="7">
        <f t="shared" si="11"/>
        <v>0</v>
      </c>
      <c r="P156" s="7">
        <f>IFERROR(_xlfn.XLOOKUP(A156,PPTO_GENERADOR!$Q:$Q,PPTO_GENERADOR!$E:$E,"-",0),"-")</f>
        <v>612</v>
      </c>
    </row>
    <row r="157" spans="1:16" x14ac:dyDescent="0.35">
      <c r="A157" s="5" t="s">
        <v>874</v>
      </c>
      <c r="B157" s="5" t="s">
        <v>1203</v>
      </c>
      <c r="C157" s="5" t="s">
        <v>1205</v>
      </c>
      <c r="D157" s="5" t="s">
        <v>134</v>
      </c>
      <c r="E157" s="7" t="str">
        <f>IFERROR(VLOOKUP(D157,MATERIALES!A:B,2,FALSE),"?")</f>
        <v>Barra de Acero Aleteado - 6mm x 12m</v>
      </c>
      <c r="F157" s="5"/>
      <c r="G157" s="11">
        <v>0.16826685</v>
      </c>
      <c r="H157" s="12">
        <v>0.1</v>
      </c>
      <c r="I157" s="7">
        <f>IFERROR(VLOOKUP(D157,MATERIALES!A:D,4,FALSE),0)</f>
        <v>3611.22</v>
      </c>
      <c r="J157" s="8">
        <f t="shared" si="8"/>
        <v>668.41347546269992</v>
      </c>
      <c r="K157" s="7" t="str">
        <f t="shared" si="9"/>
        <v>PTO-0403|MAT</v>
      </c>
      <c r="L157" s="7">
        <f>COUNTIFS($K$2:K157,K157)</f>
        <v>1</v>
      </c>
      <c r="M157" s="7" t="str">
        <f t="shared" si="10"/>
        <v>PTO-0403|MAT|1</v>
      </c>
      <c r="N157" s="7">
        <f>IFERROR(VLOOKUP(A157,PARTIDAS!A:F,6,FALSE),0)</f>
        <v>1</v>
      </c>
      <c r="O157" s="7">
        <f t="shared" si="11"/>
        <v>0</v>
      </c>
      <c r="P157" s="7">
        <f>IFERROR(_xlfn.XLOOKUP(A157,PPTO_GENERADOR!$Q:$Q,PPTO_GENERADOR!$E:$E,"-",0),"-")</f>
        <v>636</v>
      </c>
    </row>
    <row r="158" spans="1:16" x14ac:dyDescent="0.35">
      <c r="A158" s="5" t="s">
        <v>874</v>
      </c>
      <c r="B158" s="5" t="s">
        <v>1203</v>
      </c>
      <c r="C158" s="5" t="s">
        <v>1205</v>
      </c>
      <c r="D158" s="5" t="s">
        <v>144</v>
      </c>
      <c r="E158" s="7" t="str">
        <f>IFERROR(VLOOKUP(D158,MATERIALES!A:B,2,FALSE),"?")</f>
        <v>LADRILLO CERAMICO 12 x 18 x 33 cm</v>
      </c>
      <c r="F158" s="5"/>
      <c r="G158" s="11">
        <v>14.84707512</v>
      </c>
      <c r="H158" s="12">
        <v>0.05</v>
      </c>
      <c r="I158" s="7">
        <f>IFERROR(VLOOKUP(D158,MATERIALES!A:D,4,FALSE),0)</f>
        <v>365.4</v>
      </c>
      <c r="J158" s="8">
        <f t="shared" si="8"/>
        <v>5696.3773112904</v>
      </c>
      <c r="K158" s="7" t="str">
        <f t="shared" si="9"/>
        <v>PTO-0403|MAT</v>
      </c>
      <c r="L158" s="7">
        <f>COUNTIFS($K$2:K158,K158)</f>
        <v>2</v>
      </c>
      <c r="M158" s="7" t="str">
        <f t="shared" si="10"/>
        <v>PTO-0403|MAT|2</v>
      </c>
      <c r="N158" s="7">
        <f>IFERROR(VLOOKUP(A158,PARTIDAS!A:F,6,FALSE),0)</f>
        <v>1</v>
      </c>
      <c r="O158" s="7">
        <f t="shared" si="11"/>
        <v>0</v>
      </c>
      <c r="P158" s="7">
        <f>IFERROR(_xlfn.XLOOKUP(A158,PPTO_GENERADOR!$Q:$Q,PPTO_GENERADOR!$E:$E,"-",0),"-")</f>
        <v>636</v>
      </c>
    </row>
    <row r="159" spans="1:16" x14ac:dyDescent="0.35">
      <c r="A159" s="5" t="s">
        <v>874</v>
      </c>
      <c r="B159" s="5" t="s">
        <v>1203</v>
      </c>
      <c r="C159" s="5" t="s">
        <v>1205</v>
      </c>
      <c r="D159" s="5" t="s">
        <v>138</v>
      </c>
      <c r="E159" s="7" t="str">
        <f>IFERROR(VLOOKUP(D159,MATERIALES!A:B,2,FALSE),"?")</f>
        <v>Cal Comun x 25kg</v>
      </c>
      <c r="F159" s="5"/>
      <c r="G159" s="11">
        <v>0.14847075000000001</v>
      </c>
      <c r="H159" s="12">
        <v>0.1</v>
      </c>
      <c r="I159" s="7">
        <f>IFERROR(VLOOKUP(D159,MATERIALES!A:D,4,FALSE),0)</f>
        <v>3532.67</v>
      </c>
      <c r="J159" s="8">
        <f t="shared" si="8"/>
        <v>576.9479808427501</v>
      </c>
      <c r="K159" s="7" t="str">
        <f t="shared" si="9"/>
        <v>PTO-0403|MAT</v>
      </c>
      <c r="L159" s="7">
        <f>COUNTIFS($K$2:K159,K159)</f>
        <v>3</v>
      </c>
      <c r="M159" s="7" t="str">
        <f t="shared" si="10"/>
        <v>PTO-0403|MAT|3</v>
      </c>
      <c r="N159" s="7">
        <f>IFERROR(VLOOKUP(A159,PARTIDAS!A:F,6,FALSE),0)</f>
        <v>1</v>
      </c>
      <c r="O159" s="7">
        <f t="shared" si="11"/>
        <v>0</v>
      </c>
      <c r="P159" s="7">
        <f>IFERROR(_xlfn.XLOOKUP(A159,PPTO_GENERADOR!$Q:$Q,PPTO_GENERADOR!$E:$E,"-",0),"-")</f>
        <v>636</v>
      </c>
    </row>
    <row r="160" spans="1:16" x14ac:dyDescent="0.35">
      <c r="A160" s="5" t="s">
        <v>874</v>
      </c>
      <c r="B160" s="5" t="s">
        <v>1203</v>
      </c>
      <c r="C160" s="5" t="s">
        <v>1205</v>
      </c>
      <c r="D160" s="5" t="s">
        <v>140</v>
      </c>
      <c r="E160" s="7" t="str">
        <f>IFERROR(VLOOKUP(D160,MATERIALES!A:B,2,FALSE),"?")</f>
        <v>Cemento Portland x 50kg</v>
      </c>
      <c r="F160" s="5"/>
      <c r="G160" s="11">
        <v>7.4235380000000004E-2</v>
      </c>
      <c r="H160" s="12">
        <v>0.1</v>
      </c>
      <c r="I160" s="7">
        <f>IFERROR(VLOOKUP(D160,MATERIALES!A:D,4,FALSE),0)</f>
        <v>7233.47</v>
      </c>
      <c r="J160" s="8">
        <f t="shared" si="8"/>
        <v>590.67733358546013</v>
      </c>
      <c r="K160" s="7" t="str">
        <f t="shared" si="9"/>
        <v>PTO-0403|MAT</v>
      </c>
      <c r="L160" s="7">
        <f>COUNTIFS($K$2:K160,K160)</f>
        <v>4</v>
      </c>
      <c r="M160" s="7" t="str">
        <f t="shared" si="10"/>
        <v>PTO-0403|MAT|4</v>
      </c>
      <c r="N160" s="7">
        <f>IFERROR(VLOOKUP(A160,PARTIDAS!A:F,6,FALSE),0)</f>
        <v>1</v>
      </c>
      <c r="O160" s="7">
        <f t="shared" si="11"/>
        <v>0</v>
      </c>
      <c r="P160" s="7">
        <f>IFERROR(_xlfn.XLOOKUP(A160,PPTO_GENERADOR!$Q:$Q,PPTO_GENERADOR!$E:$E,"-",0),"-")</f>
        <v>636</v>
      </c>
    </row>
    <row r="161" spans="1:16" x14ac:dyDescent="0.35">
      <c r="A161" s="5" t="s">
        <v>874</v>
      </c>
      <c r="B161" s="5" t="s">
        <v>1203</v>
      </c>
      <c r="C161" s="5" t="s">
        <v>1205</v>
      </c>
      <c r="D161" s="5" t="s">
        <v>136</v>
      </c>
      <c r="E161" s="7" t="str">
        <f>IFERROR(VLOOKUP(D161,MATERIALES!A:B,2,FALSE),"?")</f>
        <v>ARENA LAVADA</v>
      </c>
      <c r="F161" s="5"/>
      <c r="G161" s="11">
        <v>1.7816490000000001E-2</v>
      </c>
      <c r="H161" s="12">
        <v>0.1</v>
      </c>
      <c r="I161" s="7">
        <f>IFERROR(VLOOKUP(D161,MATERIALES!A:D,4,FALSE),0)</f>
        <v>31265.15</v>
      </c>
      <c r="J161" s="8">
        <f t="shared" si="8"/>
        <v>612.73875555585016</v>
      </c>
      <c r="K161" s="7" t="str">
        <f t="shared" si="9"/>
        <v>PTO-0403|MAT</v>
      </c>
      <c r="L161" s="7">
        <f>COUNTIFS($K$2:K161,K161)</f>
        <v>5</v>
      </c>
      <c r="M161" s="7" t="str">
        <f t="shared" si="10"/>
        <v>PTO-0403|MAT|5</v>
      </c>
      <c r="N161" s="7">
        <f>IFERROR(VLOOKUP(A161,PARTIDAS!A:F,6,FALSE),0)</f>
        <v>1</v>
      </c>
      <c r="O161" s="7">
        <f t="shared" si="11"/>
        <v>0</v>
      </c>
      <c r="P161" s="7">
        <f>IFERROR(_xlfn.XLOOKUP(A161,PPTO_GENERADOR!$Q:$Q,PPTO_GENERADOR!$E:$E,"-",0),"-")</f>
        <v>636</v>
      </c>
    </row>
    <row r="162" spans="1:16" x14ac:dyDescent="0.35">
      <c r="A162" s="5" t="s">
        <v>874</v>
      </c>
      <c r="B162" s="5" t="s">
        <v>1198</v>
      </c>
      <c r="C162" s="5" t="s">
        <v>1201</v>
      </c>
      <c r="D162" s="5" t="s">
        <v>477</v>
      </c>
      <c r="E162" s="7" t="str">
        <f>IFERROR(VLOOKUP(D162,MANO_DE_OBRA!A:B,2,FALSE),"?")</f>
        <v>ESPECIALIZADO</v>
      </c>
      <c r="F162" s="5" t="s">
        <v>1200</v>
      </c>
      <c r="G162" s="11">
        <v>6.6666669999999997E-2</v>
      </c>
      <c r="H162" s="12">
        <v>0</v>
      </c>
      <c r="I162" s="7">
        <f>IFERROR(VLOOKUP(D162,MANO_DE_OBRA!A:C,3,FALSE),0)</f>
        <v>75113.05</v>
      </c>
      <c r="J162" s="8">
        <f t="shared" si="8"/>
        <v>5007.5369170434997</v>
      </c>
      <c r="K162" s="7" t="str">
        <f t="shared" si="9"/>
        <v>PTO-0403|MO</v>
      </c>
      <c r="L162" s="7">
        <f>COUNTIFS($K$2:K162,K162)</f>
        <v>1</v>
      </c>
      <c r="M162" s="7" t="str">
        <f t="shared" si="10"/>
        <v>PTO-0403|MO|1</v>
      </c>
      <c r="N162" s="7">
        <f>IFERROR(VLOOKUP(A162,PARTIDAS!A:F,6,FALSE),0)</f>
        <v>1</v>
      </c>
      <c r="O162" s="7">
        <f t="shared" si="11"/>
        <v>6.6666669999999997E-2</v>
      </c>
      <c r="P162" s="7">
        <f>IFERROR(_xlfn.XLOOKUP(A162,PPTO_GENERADOR!$Q:$Q,PPTO_GENERADOR!$E:$E,"-",0),"-")</f>
        <v>636</v>
      </c>
    </row>
    <row r="163" spans="1:16" x14ac:dyDescent="0.35">
      <c r="A163" s="5" t="s">
        <v>874</v>
      </c>
      <c r="B163" s="5" t="s">
        <v>1198</v>
      </c>
      <c r="C163" s="5" t="s">
        <v>1201</v>
      </c>
      <c r="D163" s="5" t="s">
        <v>475</v>
      </c>
      <c r="E163" s="7" t="str">
        <f>IFERROR(VLOOKUP(D163,MANO_DE_OBRA!A:B,2,FALSE),"?")</f>
        <v>AYUDANTE</v>
      </c>
      <c r="F163" s="5" t="s">
        <v>1200</v>
      </c>
      <c r="G163" s="11">
        <v>6.6666669999999997E-2</v>
      </c>
      <c r="H163" s="12">
        <v>0</v>
      </c>
      <c r="I163" s="7">
        <f>IFERROR(VLOOKUP(D163,MANO_DE_OBRA!A:C,3,FALSE),0)</f>
        <v>49934.239999999998</v>
      </c>
      <c r="J163" s="8">
        <f t="shared" si="8"/>
        <v>3328.9494997807997</v>
      </c>
      <c r="K163" s="7" t="str">
        <f t="shared" si="9"/>
        <v>PTO-0403|MO</v>
      </c>
      <c r="L163" s="7">
        <f>COUNTIFS($K$2:K163,K163)</f>
        <v>2</v>
      </c>
      <c r="M163" s="7" t="str">
        <f t="shared" si="10"/>
        <v>PTO-0403|MO|2</v>
      </c>
      <c r="N163" s="7">
        <f>IFERROR(VLOOKUP(A163,PARTIDAS!A:F,6,FALSE),0)</f>
        <v>1</v>
      </c>
      <c r="O163" s="7">
        <f t="shared" si="11"/>
        <v>6.6666669999999997E-2</v>
      </c>
      <c r="P163" s="7">
        <f>IFERROR(_xlfn.XLOOKUP(A163,PPTO_GENERADOR!$Q:$Q,PPTO_GENERADOR!$E:$E,"-",0),"-")</f>
        <v>636</v>
      </c>
    </row>
    <row r="164" spans="1:16" x14ac:dyDescent="0.35">
      <c r="A164" s="5" t="s">
        <v>874</v>
      </c>
      <c r="B164" s="5" t="s">
        <v>1202</v>
      </c>
      <c r="C164" s="5"/>
      <c r="D164" s="5" t="s">
        <v>525</v>
      </c>
      <c r="E164" s="7" t="str">
        <f>IFERROR(VLOOKUP(D164,EQUIPOS!A:B,2,FALSE),"?")</f>
        <v>EQUIPO DE ALBAÑILERIA, carpetas, ladrillo</v>
      </c>
      <c r="F164" s="5"/>
      <c r="G164" s="11">
        <v>6.6666669999999997E-2</v>
      </c>
      <c r="H164" s="12">
        <v>0</v>
      </c>
      <c r="I164" s="7">
        <f>IFERROR(VLOOKUP(D164,EQUIPOS!A:C,3,FALSE),0)</f>
        <v>2227.2298000000001</v>
      </c>
      <c r="J164" s="8">
        <f t="shared" si="8"/>
        <v>148.48199409076599</v>
      </c>
      <c r="K164" s="7" t="str">
        <f t="shared" si="9"/>
        <v>PTO-0403|EQ</v>
      </c>
      <c r="L164" s="7">
        <f>COUNTIFS($K$2:K164,K164)</f>
        <v>1</v>
      </c>
      <c r="M164" s="7" t="str">
        <f t="shared" si="10"/>
        <v>PTO-0403|EQ|1</v>
      </c>
      <c r="N164" s="7">
        <f>IFERROR(VLOOKUP(A164,PARTIDAS!A:F,6,FALSE),0)</f>
        <v>1</v>
      </c>
      <c r="O164" s="7">
        <f t="shared" si="11"/>
        <v>0</v>
      </c>
      <c r="P164" s="7">
        <f>IFERROR(_xlfn.XLOOKUP(A164,PPTO_GENERADOR!$Q:$Q,PPTO_GENERADOR!$E:$E,"-",0),"-")</f>
        <v>636</v>
      </c>
    </row>
    <row r="165" spans="1:16" x14ac:dyDescent="0.35">
      <c r="A165" s="5" t="s">
        <v>874</v>
      </c>
      <c r="B165" s="5" t="s">
        <v>1202</v>
      </c>
      <c r="C165" s="5"/>
      <c r="D165" s="5" t="s">
        <v>527</v>
      </c>
      <c r="E165" s="7" t="str">
        <f>IFERROR(VLOOKUP(D165,EQUIPOS!A:B,2,FALSE),"?")</f>
        <v>ANDAMIO TUBULAR DE UNO A TRES CUERPOS</v>
      </c>
      <c r="F165" s="5"/>
      <c r="G165" s="11">
        <v>3.3333330000000001E-2</v>
      </c>
      <c r="H165" s="12">
        <v>0</v>
      </c>
      <c r="I165" s="7">
        <f>IFERROR(VLOOKUP(D165,EQUIPOS!A:C,3,FALSE),0)</f>
        <v>556.21879999999999</v>
      </c>
      <c r="J165" s="8">
        <f t="shared" si="8"/>
        <v>18.540624812604001</v>
      </c>
      <c r="K165" s="7" t="str">
        <f t="shared" si="9"/>
        <v>PTO-0403|EQ</v>
      </c>
      <c r="L165" s="7">
        <f>COUNTIFS($K$2:K165,K165)</f>
        <v>2</v>
      </c>
      <c r="M165" s="7" t="str">
        <f t="shared" si="10"/>
        <v>PTO-0403|EQ|2</v>
      </c>
      <c r="N165" s="7">
        <f>IFERROR(VLOOKUP(A165,PARTIDAS!A:F,6,FALSE),0)</f>
        <v>1</v>
      </c>
      <c r="O165" s="7">
        <f t="shared" si="11"/>
        <v>0</v>
      </c>
      <c r="P165" s="7">
        <f>IFERROR(_xlfn.XLOOKUP(A165,PPTO_GENERADOR!$Q:$Q,PPTO_GENERADOR!$E:$E,"-",0),"-")</f>
        <v>636</v>
      </c>
    </row>
    <row r="166" spans="1:16" x14ac:dyDescent="0.35">
      <c r="A166" s="5" t="s">
        <v>874</v>
      </c>
      <c r="B166" s="5" t="s">
        <v>1202</v>
      </c>
      <c r="C166" s="5"/>
      <c r="D166" s="5" t="s">
        <v>529</v>
      </c>
      <c r="E166" s="7" t="str">
        <f>IFERROR(VLOOKUP(D166,EQUIPOS!A:B,2,FALSE),"?")</f>
        <v>Hormigonera De 150 Litros 1hp Con Rueda Maciza</v>
      </c>
      <c r="F166" s="5"/>
      <c r="G166" s="11">
        <v>6.6666669999999997E-2</v>
      </c>
      <c r="H166" s="12">
        <v>0</v>
      </c>
      <c r="I166" s="7">
        <f>IFERROR(VLOOKUP(D166,EQUIPOS!A:C,3,FALSE),0)</f>
        <v>932.18029999999999</v>
      </c>
      <c r="J166" s="8">
        <f t="shared" si="8"/>
        <v>62.145356440600999</v>
      </c>
      <c r="K166" s="7" t="str">
        <f t="shared" si="9"/>
        <v>PTO-0403|EQ</v>
      </c>
      <c r="L166" s="7">
        <f>COUNTIFS($K$2:K166,K166)</f>
        <v>3</v>
      </c>
      <c r="M166" s="7" t="str">
        <f t="shared" si="10"/>
        <v>PTO-0403|EQ|3</v>
      </c>
      <c r="N166" s="7">
        <f>IFERROR(VLOOKUP(A166,PARTIDAS!A:F,6,FALSE),0)</f>
        <v>1</v>
      </c>
      <c r="O166" s="7">
        <f t="shared" si="11"/>
        <v>0</v>
      </c>
      <c r="P166" s="7">
        <f>IFERROR(_xlfn.XLOOKUP(A166,PPTO_GENERADOR!$Q:$Q,PPTO_GENERADOR!$E:$E,"-",0),"-")</f>
        <v>636</v>
      </c>
    </row>
    <row r="167" spans="1:16" x14ac:dyDescent="0.35">
      <c r="A167" s="5" t="s">
        <v>874</v>
      </c>
      <c r="B167" s="5" t="s">
        <v>1203</v>
      </c>
      <c r="C167" s="5" t="s">
        <v>1204</v>
      </c>
      <c r="D167" s="5" t="s">
        <v>468</v>
      </c>
      <c r="E167" s="7" t="str">
        <f>IFERROR(VLOOKUP(D167,MATERIALES!A:B,2,FALSE),"?")</f>
        <v>Consumibles</v>
      </c>
      <c r="F167" s="5"/>
      <c r="G167" s="11">
        <v>83.895099999999999</v>
      </c>
      <c r="H167" s="12">
        <v>0</v>
      </c>
      <c r="I167" s="7">
        <f>IFERROR(VLOOKUP(D167,MATERIALES!A:D,4,FALSE),0)</f>
        <v>1</v>
      </c>
      <c r="J167" s="8">
        <f t="shared" si="8"/>
        <v>83.895099999999999</v>
      </c>
      <c r="K167" s="7" t="str">
        <f t="shared" si="9"/>
        <v>PTO-0403|MAT</v>
      </c>
      <c r="L167" s="7">
        <f>COUNTIFS($K$2:K167,K167)</f>
        <v>6</v>
      </c>
      <c r="M167" s="7" t="str">
        <f t="shared" si="10"/>
        <v>PTO-0403|MAT|6</v>
      </c>
      <c r="N167" s="7">
        <f>IFERROR(VLOOKUP(A167,PARTIDAS!A:F,6,FALSE),0)</f>
        <v>1</v>
      </c>
      <c r="O167" s="7">
        <f t="shared" si="11"/>
        <v>0</v>
      </c>
      <c r="P167" s="7">
        <f>IFERROR(_xlfn.XLOOKUP(A167,PPTO_GENERADOR!$Q:$Q,PPTO_GENERADOR!$E:$E,"-",0),"-")</f>
        <v>636</v>
      </c>
    </row>
    <row r="168" spans="1:16" x14ac:dyDescent="0.35">
      <c r="A168" s="5" t="s">
        <v>876</v>
      </c>
      <c r="B168" s="5" t="s">
        <v>1203</v>
      </c>
      <c r="C168" s="5" t="s">
        <v>1205</v>
      </c>
      <c r="D168" s="5" t="s">
        <v>140</v>
      </c>
      <c r="E168" s="7" t="str">
        <f>IFERROR(VLOOKUP(D168,MATERIALES!A:B,2,FALSE),"?")</f>
        <v>Cemento Portland x 50kg</v>
      </c>
      <c r="F168" s="5"/>
      <c r="G168" s="11">
        <v>7.4999999999999997E-2</v>
      </c>
      <c r="H168" s="12">
        <v>0.1</v>
      </c>
      <c r="I168" s="7">
        <f>IFERROR(VLOOKUP(D168,MATERIALES!A:D,4,FALSE),0)</f>
        <v>7233.47</v>
      </c>
      <c r="J168" s="8">
        <f t="shared" si="8"/>
        <v>596.76127500000007</v>
      </c>
      <c r="K168" s="7" t="str">
        <f t="shared" si="9"/>
        <v>PTO-0404|MAT</v>
      </c>
      <c r="L168" s="7">
        <f>COUNTIFS($K$2:K168,K168)</f>
        <v>1</v>
      </c>
      <c r="M168" s="7" t="str">
        <f t="shared" si="10"/>
        <v>PTO-0404|MAT|1</v>
      </c>
      <c r="N168" s="7">
        <f>IFERROR(VLOOKUP(A168,PARTIDAS!A:F,6,FALSE),0)</f>
        <v>1</v>
      </c>
      <c r="O168" s="7">
        <f t="shared" si="11"/>
        <v>0</v>
      </c>
      <c r="P168" s="7">
        <f>IFERROR(_xlfn.XLOOKUP(A168,PPTO_GENERADOR!$Q:$Q,PPTO_GENERADOR!$E:$E,"-",0),"-")</f>
        <v>195</v>
      </c>
    </row>
    <row r="169" spans="1:16" x14ac:dyDescent="0.35">
      <c r="A169" s="5" t="s">
        <v>876</v>
      </c>
      <c r="B169" s="5" t="s">
        <v>1203</v>
      </c>
      <c r="C169" s="5" t="s">
        <v>1205</v>
      </c>
      <c r="D169" s="5" t="s">
        <v>138</v>
      </c>
      <c r="E169" s="7" t="str">
        <f>IFERROR(VLOOKUP(D169,MATERIALES!A:B,2,FALSE),"?")</f>
        <v>Cal Comun x 25kg</v>
      </c>
      <c r="F169" s="5"/>
      <c r="G169" s="11">
        <v>0.15</v>
      </c>
      <c r="H169" s="12">
        <v>0.1</v>
      </c>
      <c r="I169" s="7">
        <f>IFERROR(VLOOKUP(D169,MATERIALES!A:D,4,FALSE),0)</f>
        <v>3532.67</v>
      </c>
      <c r="J169" s="8">
        <f t="shared" si="8"/>
        <v>582.89054999999996</v>
      </c>
      <c r="K169" s="7" t="str">
        <f t="shared" si="9"/>
        <v>PTO-0404|MAT</v>
      </c>
      <c r="L169" s="7">
        <f>COUNTIFS($K$2:K169,K169)</f>
        <v>2</v>
      </c>
      <c r="M169" s="7" t="str">
        <f t="shared" si="10"/>
        <v>PTO-0404|MAT|2</v>
      </c>
      <c r="N169" s="7">
        <f>IFERROR(VLOOKUP(A169,PARTIDAS!A:F,6,FALSE),0)</f>
        <v>1</v>
      </c>
      <c r="O169" s="7">
        <f t="shared" si="11"/>
        <v>0</v>
      </c>
      <c r="P169" s="7">
        <f>IFERROR(_xlfn.XLOOKUP(A169,PPTO_GENERADOR!$Q:$Q,PPTO_GENERADOR!$E:$E,"-",0),"-")</f>
        <v>195</v>
      </c>
    </row>
    <row r="170" spans="1:16" x14ac:dyDescent="0.35">
      <c r="A170" s="5" t="s">
        <v>876</v>
      </c>
      <c r="B170" s="5" t="s">
        <v>1203</v>
      </c>
      <c r="C170" s="5" t="s">
        <v>1205</v>
      </c>
      <c r="D170" s="5" t="s">
        <v>134</v>
      </c>
      <c r="E170" s="7" t="str">
        <f>IFERROR(VLOOKUP(D170,MATERIALES!A:B,2,FALSE),"?")</f>
        <v>Barra de Acero Aleteado - 6mm x 12m</v>
      </c>
      <c r="F170" s="5"/>
      <c r="G170" s="11">
        <v>8.5000000000000006E-2</v>
      </c>
      <c r="H170" s="12">
        <v>0.1</v>
      </c>
      <c r="I170" s="7">
        <f>IFERROR(VLOOKUP(D170,MATERIALES!A:D,4,FALSE),0)</f>
        <v>3611.22</v>
      </c>
      <c r="J170" s="8">
        <f t="shared" si="8"/>
        <v>337.64907000000005</v>
      </c>
      <c r="K170" s="7" t="str">
        <f t="shared" si="9"/>
        <v>PTO-0404|MAT</v>
      </c>
      <c r="L170" s="7">
        <f>COUNTIFS($K$2:K170,K170)</f>
        <v>3</v>
      </c>
      <c r="M170" s="7" t="str">
        <f t="shared" si="10"/>
        <v>PTO-0404|MAT|3</v>
      </c>
      <c r="N170" s="7">
        <f>IFERROR(VLOOKUP(A170,PARTIDAS!A:F,6,FALSE),0)</f>
        <v>1</v>
      </c>
      <c r="O170" s="7">
        <f t="shared" si="11"/>
        <v>0</v>
      </c>
      <c r="P170" s="7">
        <f>IFERROR(_xlfn.XLOOKUP(A170,PPTO_GENERADOR!$Q:$Q,PPTO_GENERADOR!$E:$E,"-",0),"-")</f>
        <v>195</v>
      </c>
    </row>
    <row r="171" spans="1:16" x14ac:dyDescent="0.35">
      <c r="A171" s="5" t="s">
        <v>876</v>
      </c>
      <c r="B171" s="5" t="s">
        <v>1203</v>
      </c>
      <c r="C171" s="5" t="s">
        <v>1205</v>
      </c>
      <c r="D171" s="5" t="s">
        <v>146</v>
      </c>
      <c r="E171" s="7" t="str">
        <f>IFERROR(VLOOKUP(D171,MATERIALES!A:B,2,FALSE),"?")</f>
        <v>Ladrillo Comun 12.5 x 5.5 x 25</v>
      </c>
      <c r="F171" s="5"/>
      <c r="G171" s="11">
        <v>29.99999991</v>
      </c>
      <c r="H171" s="12">
        <v>0.05</v>
      </c>
      <c r="I171" s="7">
        <f>IFERROR(VLOOKUP(D171,MATERIALES!A:D,4,FALSE),0)</f>
        <v>115.2</v>
      </c>
      <c r="J171" s="8">
        <f t="shared" si="8"/>
        <v>3628.7999891136001</v>
      </c>
      <c r="K171" s="7" t="str">
        <f t="shared" si="9"/>
        <v>PTO-0404|MAT</v>
      </c>
      <c r="L171" s="7">
        <f>COUNTIFS($K$2:K171,K171)</f>
        <v>4</v>
      </c>
      <c r="M171" s="7" t="str">
        <f t="shared" si="10"/>
        <v>PTO-0404|MAT|4</v>
      </c>
      <c r="N171" s="7">
        <f>IFERROR(VLOOKUP(A171,PARTIDAS!A:F,6,FALSE),0)</f>
        <v>1</v>
      </c>
      <c r="O171" s="7">
        <f t="shared" si="11"/>
        <v>0</v>
      </c>
      <c r="P171" s="7">
        <f>IFERROR(_xlfn.XLOOKUP(A171,PPTO_GENERADOR!$Q:$Q,PPTO_GENERADOR!$E:$E,"-",0),"-")</f>
        <v>195</v>
      </c>
    </row>
    <row r="172" spans="1:16" x14ac:dyDescent="0.35">
      <c r="A172" s="5" t="s">
        <v>876</v>
      </c>
      <c r="B172" s="5" t="s">
        <v>1203</v>
      </c>
      <c r="C172" s="5" t="s">
        <v>1205</v>
      </c>
      <c r="D172" s="5" t="s">
        <v>136</v>
      </c>
      <c r="E172" s="7" t="str">
        <f>IFERROR(VLOOKUP(D172,MATERIALES!A:B,2,FALSE),"?")</f>
        <v>ARENA LAVADA</v>
      </c>
      <c r="F172" s="5"/>
      <c r="G172" s="11">
        <v>1.7500000000000002E-2</v>
      </c>
      <c r="H172" s="12">
        <v>0.1</v>
      </c>
      <c r="I172" s="7">
        <f>IFERROR(VLOOKUP(D172,MATERIALES!A:D,4,FALSE),0)</f>
        <v>31265.15</v>
      </c>
      <c r="J172" s="8">
        <f t="shared" si="8"/>
        <v>601.85413750000021</v>
      </c>
      <c r="K172" s="7" t="str">
        <f t="shared" si="9"/>
        <v>PTO-0404|MAT</v>
      </c>
      <c r="L172" s="7">
        <f>COUNTIFS($K$2:K172,K172)</f>
        <v>5</v>
      </c>
      <c r="M172" s="7" t="str">
        <f t="shared" si="10"/>
        <v>PTO-0404|MAT|5</v>
      </c>
      <c r="N172" s="7">
        <f>IFERROR(VLOOKUP(A172,PARTIDAS!A:F,6,FALSE),0)</f>
        <v>1</v>
      </c>
      <c r="O172" s="7">
        <f t="shared" si="11"/>
        <v>0</v>
      </c>
      <c r="P172" s="7">
        <f>IFERROR(_xlfn.XLOOKUP(A172,PPTO_GENERADOR!$Q:$Q,PPTO_GENERADOR!$E:$E,"-",0),"-")</f>
        <v>195</v>
      </c>
    </row>
    <row r="173" spans="1:16" x14ac:dyDescent="0.35">
      <c r="A173" s="5" t="s">
        <v>876</v>
      </c>
      <c r="B173" s="5" t="s">
        <v>1198</v>
      </c>
      <c r="C173" s="5" t="s">
        <v>1201</v>
      </c>
      <c r="D173" s="5" t="s">
        <v>477</v>
      </c>
      <c r="E173" s="7" t="str">
        <f>IFERROR(VLOOKUP(D173,MANO_DE_OBRA!A:B,2,FALSE),"?")</f>
        <v>ESPECIALIZADO</v>
      </c>
      <c r="F173" s="5" t="s">
        <v>1200</v>
      </c>
      <c r="G173" s="11">
        <v>4.7619050000000003E-2</v>
      </c>
      <c r="H173" s="12">
        <v>0</v>
      </c>
      <c r="I173" s="7">
        <f>IFERROR(VLOOKUP(D173,MANO_DE_OBRA!A:C,3,FALSE),0)</f>
        <v>75113.05</v>
      </c>
      <c r="J173" s="8">
        <f t="shared" si="8"/>
        <v>3576.8120836025005</v>
      </c>
      <c r="K173" s="7" t="str">
        <f t="shared" si="9"/>
        <v>PTO-0404|MO</v>
      </c>
      <c r="L173" s="7">
        <f>COUNTIFS($K$2:K173,K173)</f>
        <v>1</v>
      </c>
      <c r="M173" s="7" t="str">
        <f t="shared" si="10"/>
        <v>PTO-0404|MO|1</v>
      </c>
      <c r="N173" s="7">
        <f>IFERROR(VLOOKUP(A173,PARTIDAS!A:F,6,FALSE),0)</f>
        <v>1</v>
      </c>
      <c r="O173" s="7">
        <f t="shared" si="11"/>
        <v>4.7619050000000003E-2</v>
      </c>
      <c r="P173" s="7">
        <f>IFERROR(_xlfn.XLOOKUP(A173,PPTO_GENERADOR!$Q:$Q,PPTO_GENERADOR!$E:$E,"-",0),"-")</f>
        <v>195</v>
      </c>
    </row>
    <row r="174" spans="1:16" x14ac:dyDescent="0.35">
      <c r="A174" s="5" t="s">
        <v>876</v>
      </c>
      <c r="B174" s="5" t="s">
        <v>1198</v>
      </c>
      <c r="C174" s="5" t="s">
        <v>1201</v>
      </c>
      <c r="D174" s="5" t="s">
        <v>475</v>
      </c>
      <c r="E174" s="7" t="str">
        <f>IFERROR(VLOOKUP(D174,MANO_DE_OBRA!A:B,2,FALSE),"?")</f>
        <v>AYUDANTE</v>
      </c>
      <c r="F174" s="5" t="s">
        <v>1200</v>
      </c>
      <c r="G174" s="11">
        <v>4.7619050000000003E-2</v>
      </c>
      <c r="H174" s="12">
        <v>0</v>
      </c>
      <c r="I174" s="7">
        <f>IFERROR(VLOOKUP(D174,MANO_DE_OBRA!A:C,3,FALSE),0)</f>
        <v>49934.239999999998</v>
      </c>
      <c r="J174" s="8">
        <f t="shared" si="8"/>
        <v>2377.8210712720002</v>
      </c>
      <c r="K174" s="7" t="str">
        <f t="shared" si="9"/>
        <v>PTO-0404|MO</v>
      </c>
      <c r="L174" s="7">
        <f>COUNTIFS($K$2:K174,K174)</f>
        <v>2</v>
      </c>
      <c r="M174" s="7" t="str">
        <f t="shared" si="10"/>
        <v>PTO-0404|MO|2</v>
      </c>
      <c r="N174" s="7">
        <f>IFERROR(VLOOKUP(A174,PARTIDAS!A:F,6,FALSE),0)</f>
        <v>1</v>
      </c>
      <c r="O174" s="7">
        <f t="shared" si="11"/>
        <v>4.7619050000000003E-2</v>
      </c>
      <c r="P174" s="7">
        <f>IFERROR(_xlfn.XLOOKUP(A174,PPTO_GENERADOR!$Q:$Q,PPTO_GENERADOR!$E:$E,"-",0),"-")</f>
        <v>195</v>
      </c>
    </row>
    <row r="175" spans="1:16" x14ac:dyDescent="0.35">
      <c r="A175" s="5" t="s">
        <v>876</v>
      </c>
      <c r="B175" s="5" t="s">
        <v>1202</v>
      </c>
      <c r="C175" s="5"/>
      <c r="D175" s="5" t="s">
        <v>525</v>
      </c>
      <c r="E175" s="7" t="str">
        <f>IFERROR(VLOOKUP(D175,EQUIPOS!A:B,2,FALSE),"?")</f>
        <v>EQUIPO DE ALBAÑILERIA, carpetas, ladrillo</v>
      </c>
      <c r="F175" s="5"/>
      <c r="G175" s="11">
        <v>7.1428569999999997E-2</v>
      </c>
      <c r="H175" s="12">
        <v>0</v>
      </c>
      <c r="I175" s="7">
        <f>IFERROR(VLOOKUP(D175,EQUIPOS!A:C,3,FALSE),0)</f>
        <v>2227.2298000000001</v>
      </c>
      <c r="J175" s="8">
        <f t="shared" si="8"/>
        <v>159.08783967538599</v>
      </c>
      <c r="K175" s="7" t="str">
        <f t="shared" si="9"/>
        <v>PTO-0404|EQ</v>
      </c>
      <c r="L175" s="7">
        <f>COUNTIFS($K$2:K175,K175)</f>
        <v>1</v>
      </c>
      <c r="M175" s="7" t="str">
        <f t="shared" si="10"/>
        <v>PTO-0404|EQ|1</v>
      </c>
      <c r="N175" s="7">
        <f>IFERROR(VLOOKUP(A175,PARTIDAS!A:F,6,FALSE),0)</f>
        <v>1</v>
      </c>
      <c r="O175" s="7">
        <f t="shared" si="11"/>
        <v>0</v>
      </c>
      <c r="P175" s="7">
        <f>IFERROR(_xlfn.XLOOKUP(A175,PPTO_GENERADOR!$Q:$Q,PPTO_GENERADOR!$E:$E,"-",0),"-")</f>
        <v>195</v>
      </c>
    </row>
    <row r="176" spans="1:16" x14ac:dyDescent="0.35">
      <c r="A176" s="5" t="s">
        <v>876</v>
      </c>
      <c r="B176" s="5" t="s">
        <v>1202</v>
      </c>
      <c r="C176" s="5"/>
      <c r="D176" s="5" t="s">
        <v>527</v>
      </c>
      <c r="E176" s="7" t="str">
        <f>IFERROR(VLOOKUP(D176,EQUIPOS!A:B,2,FALSE),"?")</f>
        <v>ANDAMIO TUBULAR DE UNO A TRES CUERPOS</v>
      </c>
      <c r="F176" s="5"/>
      <c r="G176" s="11">
        <v>3.5714290000000003E-2</v>
      </c>
      <c r="H176" s="12">
        <v>0</v>
      </c>
      <c r="I176" s="7">
        <f>IFERROR(VLOOKUP(D176,EQUIPOS!A:C,3,FALSE),0)</f>
        <v>556.21879999999999</v>
      </c>
      <c r="J176" s="8">
        <f t="shared" si="8"/>
        <v>19.864959526652001</v>
      </c>
      <c r="K176" s="7" t="str">
        <f t="shared" si="9"/>
        <v>PTO-0404|EQ</v>
      </c>
      <c r="L176" s="7">
        <f>COUNTIFS($K$2:K176,K176)</f>
        <v>2</v>
      </c>
      <c r="M176" s="7" t="str">
        <f t="shared" si="10"/>
        <v>PTO-0404|EQ|2</v>
      </c>
      <c r="N176" s="7">
        <f>IFERROR(VLOOKUP(A176,PARTIDAS!A:F,6,FALSE),0)</f>
        <v>1</v>
      </c>
      <c r="O176" s="7">
        <f t="shared" si="11"/>
        <v>0</v>
      </c>
      <c r="P176" s="7">
        <f>IFERROR(_xlfn.XLOOKUP(A176,PPTO_GENERADOR!$Q:$Q,PPTO_GENERADOR!$E:$E,"-",0),"-")</f>
        <v>195</v>
      </c>
    </row>
    <row r="177" spans="1:16" x14ac:dyDescent="0.35">
      <c r="A177" s="5" t="s">
        <v>876</v>
      </c>
      <c r="B177" s="5" t="s">
        <v>1202</v>
      </c>
      <c r="C177" s="5"/>
      <c r="D177" s="5" t="s">
        <v>529</v>
      </c>
      <c r="E177" s="7" t="str">
        <f>IFERROR(VLOOKUP(D177,EQUIPOS!A:B,2,FALSE),"?")</f>
        <v>Hormigonera De 150 Litros 1hp Con Rueda Maciza</v>
      </c>
      <c r="F177" s="5"/>
      <c r="G177" s="11">
        <v>7.1428569999999997E-2</v>
      </c>
      <c r="H177" s="12">
        <v>0</v>
      </c>
      <c r="I177" s="7">
        <f>IFERROR(VLOOKUP(D177,EQUIPOS!A:C,3,FALSE),0)</f>
        <v>932.18029999999999</v>
      </c>
      <c r="J177" s="8">
        <f t="shared" si="8"/>
        <v>66.584305811170992</v>
      </c>
      <c r="K177" s="7" t="str">
        <f t="shared" si="9"/>
        <v>PTO-0404|EQ</v>
      </c>
      <c r="L177" s="7">
        <f>COUNTIFS($K$2:K177,K177)</f>
        <v>3</v>
      </c>
      <c r="M177" s="7" t="str">
        <f t="shared" si="10"/>
        <v>PTO-0404|EQ|3</v>
      </c>
      <c r="N177" s="7">
        <f>IFERROR(VLOOKUP(A177,PARTIDAS!A:F,6,FALSE),0)</f>
        <v>1</v>
      </c>
      <c r="O177" s="7">
        <f t="shared" si="11"/>
        <v>0</v>
      </c>
      <c r="P177" s="7">
        <f>IFERROR(_xlfn.XLOOKUP(A177,PPTO_GENERADOR!$Q:$Q,PPTO_GENERADOR!$E:$E,"-",0),"-")</f>
        <v>195</v>
      </c>
    </row>
    <row r="178" spans="1:16" x14ac:dyDescent="0.35">
      <c r="A178" s="5" t="s">
        <v>876</v>
      </c>
      <c r="B178" s="5" t="s">
        <v>1203</v>
      </c>
      <c r="C178" s="5" t="s">
        <v>1204</v>
      </c>
      <c r="D178" s="5" t="s">
        <v>468</v>
      </c>
      <c r="E178" s="7" t="str">
        <f>IFERROR(VLOOKUP(D178,MATERIALES!A:B,2,FALSE),"?")</f>
        <v>Consumibles</v>
      </c>
      <c r="F178" s="5"/>
      <c r="G178" s="11">
        <v>59.203899999999997</v>
      </c>
      <c r="H178" s="12">
        <v>0</v>
      </c>
      <c r="I178" s="7">
        <f>IFERROR(VLOOKUP(D178,MATERIALES!A:D,4,FALSE),0)</f>
        <v>1</v>
      </c>
      <c r="J178" s="8">
        <f t="shared" si="8"/>
        <v>59.203899999999997</v>
      </c>
      <c r="K178" s="7" t="str">
        <f t="shared" si="9"/>
        <v>PTO-0404|MAT</v>
      </c>
      <c r="L178" s="7">
        <f>COUNTIFS($K$2:K178,K178)</f>
        <v>6</v>
      </c>
      <c r="M178" s="7" t="str">
        <f t="shared" si="10"/>
        <v>PTO-0404|MAT|6</v>
      </c>
      <c r="N178" s="7">
        <f>IFERROR(VLOOKUP(A178,PARTIDAS!A:F,6,FALSE),0)</f>
        <v>1</v>
      </c>
      <c r="O178" s="7">
        <f t="shared" si="11"/>
        <v>0</v>
      </c>
      <c r="P178" s="7">
        <f>IFERROR(_xlfn.XLOOKUP(A178,PPTO_GENERADOR!$Q:$Q,PPTO_GENERADOR!$E:$E,"-",0),"-")</f>
        <v>195</v>
      </c>
    </row>
    <row r="179" spans="1:16" x14ac:dyDescent="0.35">
      <c r="A179" s="5" t="s">
        <v>878</v>
      </c>
      <c r="B179" s="5" t="s">
        <v>1203</v>
      </c>
      <c r="C179" s="5" t="s">
        <v>1205</v>
      </c>
      <c r="D179" s="5" t="s">
        <v>140</v>
      </c>
      <c r="E179" s="7" t="str">
        <f>IFERROR(VLOOKUP(D179,MATERIALES!A:B,2,FALSE),"?")</f>
        <v>Cemento Portland x 50kg</v>
      </c>
      <c r="F179" s="5"/>
      <c r="G179" s="11">
        <v>0.22500000000000001</v>
      </c>
      <c r="H179" s="12">
        <v>0.1</v>
      </c>
      <c r="I179" s="7">
        <f>IFERROR(VLOOKUP(D179,MATERIALES!A:D,4,FALSE),0)</f>
        <v>7233.47</v>
      </c>
      <c r="J179" s="8">
        <f t="shared" si="8"/>
        <v>1790.2838250000002</v>
      </c>
      <c r="K179" s="7" t="str">
        <f t="shared" si="9"/>
        <v>PTO-0405|MAT</v>
      </c>
      <c r="L179" s="7">
        <f>COUNTIFS($K$2:K179,K179)</f>
        <v>1</v>
      </c>
      <c r="M179" s="7" t="str">
        <f t="shared" si="10"/>
        <v>PTO-0405|MAT|1</v>
      </c>
      <c r="N179" s="7">
        <f>IFERROR(VLOOKUP(A179,PARTIDAS!A:F,6,FALSE),0)</f>
        <v>1</v>
      </c>
      <c r="O179" s="7">
        <f t="shared" si="11"/>
        <v>0</v>
      </c>
      <c r="P179" s="7">
        <f>IFERROR(_xlfn.XLOOKUP(A179,PPTO_GENERADOR!$Q:$Q,PPTO_GENERADOR!$E:$E,"-",0),"-")</f>
        <v>30.053999999999998</v>
      </c>
    </row>
    <row r="180" spans="1:16" x14ac:dyDescent="0.35">
      <c r="A180" s="5" t="s">
        <v>878</v>
      </c>
      <c r="B180" s="5" t="s">
        <v>1203</v>
      </c>
      <c r="C180" s="5" t="s">
        <v>1205</v>
      </c>
      <c r="D180" s="5" t="s">
        <v>138</v>
      </c>
      <c r="E180" s="7" t="str">
        <f>IFERROR(VLOOKUP(D180,MATERIALES!A:B,2,FALSE),"?")</f>
        <v>Cal Comun x 25kg</v>
      </c>
      <c r="F180" s="5"/>
      <c r="G180" s="11">
        <v>0.45</v>
      </c>
      <c r="H180" s="12">
        <v>0.1</v>
      </c>
      <c r="I180" s="7">
        <f>IFERROR(VLOOKUP(D180,MATERIALES!A:D,4,FALSE),0)</f>
        <v>3532.67</v>
      </c>
      <c r="J180" s="8">
        <f t="shared" si="8"/>
        <v>1748.6716500000002</v>
      </c>
      <c r="K180" s="7" t="str">
        <f t="shared" si="9"/>
        <v>PTO-0405|MAT</v>
      </c>
      <c r="L180" s="7">
        <f>COUNTIFS($K$2:K180,K180)</f>
        <v>2</v>
      </c>
      <c r="M180" s="7" t="str">
        <f t="shared" si="10"/>
        <v>PTO-0405|MAT|2</v>
      </c>
      <c r="N180" s="7">
        <f>IFERROR(VLOOKUP(A180,PARTIDAS!A:F,6,FALSE),0)</f>
        <v>1</v>
      </c>
      <c r="O180" s="7">
        <f t="shared" si="11"/>
        <v>0</v>
      </c>
      <c r="P180" s="7">
        <f>IFERROR(_xlfn.XLOOKUP(A180,PPTO_GENERADOR!$Q:$Q,PPTO_GENERADOR!$E:$E,"-",0),"-")</f>
        <v>30.053999999999998</v>
      </c>
    </row>
    <row r="181" spans="1:16" x14ac:dyDescent="0.35">
      <c r="A181" s="5" t="s">
        <v>878</v>
      </c>
      <c r="B181" s="5" t="s">
        <v>1203</v>
      </c>
      <c r="C181" s="5" t="s">
        <v>1205</v>
      </c>
      <c r="D181" s="5" t="s">
        <v>134</v>
      </c>
      <c r="E181" s="7" t="str">
        <f>IFERROR(VLOOKUP(D181,MATERIALES!A:B,2,FALSE),"?")</f>
        <v>Barra de Acero Aleteado - 6mm x 12m</v>
      </c>
      <c r="F181" s="5"/>
      <c r="G181" s="11">
        <v>0.255</v>
      </c>
      <c r="H181" s="12">
        <v>0.1</v>
      </c>
      <c r="I181" s="7">
        <f>IFERROR(VLOOKUP(D181,MATERIALES!A:D,4,FALSE),0)</f>
        <v>3611.22</v>
      </c>
      <c r="J181" s="8">
        <f t="shared" si="8"/>
        <v>1012.94721</v>
      </c>
      <c r="K181" s="7" t="str">
        <f t="shared" si="9"/>
        <v>PTO-0405|MAT</v>
      </c>
      <c r="L181" s="7">
        <f>COUNTIFS($K$2:K181,K181)</f>
        <v>3</v>
      </c>
      <c r="M181" s="7" t="str">
        <f t="shared" si="10"/>
        <v>PTO-0405|MAT|3</v>
      </c>
      <c r="N181" s="7">
        <f>IFERROR(VLOOKUP(A181,PARTIDAS!A:F,6,FALSE),0)</f>
        <v>1</v>
      </c>
      <c r="O181" s="7">
        <f t="shared" si="11"/>
        <v>0</v>
      </c>
      <c r="P181" s="7">
        <f>IFERROR(_xlfn.XLOOKUP(A181,PPTO_GENERADOR!$Q:$Q,PPTO_GENERADOR!$E:$E,"-",0),"-")</f>
        <v>30.053999999999998</v>
      </c>
    </row>
    <row r="182" spans="1:16" x14ac:dyDescent="0.35">
      <c r="A182" s="5" t="s">
        <v>878</v>
      </c>
      <c r="B182" s="5" t="s">
        <v>1203</v>
      </c>
      <c r="C182" s="5" t="s">
        <v>1205</v>
      </c>
      <c r="D182" s="5" t="s">
        <v>146</v>
      </c>
      <c r="E182" s="7" t="str">
        <f>IFERROR(VLOOKUP(D182,MATERIALES!A:B,2,FALSE),"?")</f>
        <v>Ladrillo Comun 12.5 x 5.5 x 25</v>
      </c>
      <c r="F182" s="5"/>
      <c r="G182" s="11">
        <v>89.999999709999997</v>
      </c>
      <c r="H182" s="12">
        <v>0.05</v>
      </c>
      <c r="I182" s="7">
        <f>IFERROR(VLOOKUP(D182,MATERIALES!A:D,4,FALSE),0)</f>
        <v>115.2</v>
      </c>
      <c r="J182" s="8">
        <f t="shared" si="8"/>
        <v>10886.3999649216</v>
      </c>
      <c r="K182" s="7" t="str">
        <f t="shared" si="9"/>
        <v>PTO-0405|MAT</v>
      </c>
      <c r="L182" s="7">
        <f>COUNTIFS($K$2:K182,K182)</f>
        <v>4</v>
      </c>
      <c r="M182" s="7" t="str">
        <f t="shared" si="10"/>
        <v>PTO-0405|MAT|4</v>
      </c>
      <c r="N182" s="7">
        <f>IFERROR(VLOOKUP(A182,PARTIDAS!A:F,6,FALSE),0)</f>
        <v>1</v>
      </c>
      <c r="O182" s="7">
        <f t="shared" si="11"/>
        <v>0</v>
      </c>
      <c r="P182" s="7">
        <f>IFERROR(_xlfn.XLOOKUP(A182,PPTO_GENERADOR!$Q:$Q,PPTO_GENERADOR!$E:$E,"-",0),"-")</f>
        <v>30.053999999999998</v>
      </c>
    </row>
    <row r="183" spans="1:16" x14ac:dyDescent="0.35">
      <c r="A183" s="5" t="s">
        <v>878</v>
      </c>
      <c r="B183" s="5" t="s">
        <v>1203</v>
      </c>
      <c r="C183" s="5" t="s">
        <v>1205</v>
      </c>
      <c r="D183" s="5" t="s">
        <v>136</v>
      </c>
      <c r="E183" s="7" t="str">
        <f>IFERROR(VLOOKUP(D183,MATERIALES!A:B,2,FALSE),"?")</f>
        <v>ARENA LAVADA</v>
      </c>
      <c r="F183" s="5"/>
      <c r="G183" s="11">
        <v>5.2499999999999998E-2</v>
      </c>
      <c r="H183" s="12">
        <v>0.1</v>
      </c>
      <c r="I183" s="7">
        <f>IFERROR(VLOOKUP(D183,MATERIALES!A:D,4,FALSE),0)</f>
        <v>31265.15</v>
      </c>
      <c r="J183" s="8">
        <f t="shared" si="8"/>
        <v>1805.5624125000002</v>
      </c>
      <c r="K183" s="7" t="str">
        <f t="shared" si="9"/>
        <v>PTO-0405|MAT</v>
      </c>
      <c r="L183" s="7">
        <f>COUNTIFS($K$2:K183,K183)</f>
        <v>5</v>
      </c>
      <c r="M183" s="7" t="str">
        <f t="shared" si="10"/>
        <v>PTO-0405|MAT|5</v>
      </c>
      <c r="N183" s="7">
        <f>IFERROR(VLOOKUP(A183,PARTIDAS!A:F,6,FALSE),0)</f>
        <v>1</v>
      </c>
      <c r="O183" s="7">
        <f t="shared" si="11"/>
        <v>0</v>
      </c>
      <c r="P183" s="7">
        <f>IFERROR(_xlfn.XLOOKUP(A183,PPTO_GENERADOR!$Q:$Q,PPTO_GENERADOR!$E:$E,"-",0),"-")</f>
        <v>30.053999999999998</v>
      </c>
    </row>
    <row r="184" spans="1:16" x14ac:dyDescent="0.35">
      <c r="A184" s="5" t="s">
        <v>878</v>
      </c>
      <c r="B184" s="5" t="s">
        <v>1198</v>
      </c>
      <c r="C184" s="5" t="s">
        <v>1199</v>
      </c>
      <c r="D184" s="5" t="s">
        <v>686</v>
      </c>
      <c r="E184" s="7" t="str">
        <f>IFERROR(VLOOKUP(D184,SUBCONTRATOS_PRY!A:B,2,FALSE),"?")</f>
        <v>OFICIAL ESPECIALIZADO ALBAÑIL</v>
      </c>
      <c r="F184" s="5" t="s">
        <v>1200</v>
      </c>
      <c r="G184" s="11">
        <v>0.14285713999999999</v>
      </c>
      <c r="H184" s="12">
        <v>0</v>
      </c>
      <c r="I184" s="7">
        <f>IFERROR(VLOOKUP(D184,SUBCONTRATOS_PRY!A:D,4,FALSE),0)</f>
        <v>75113.048200000005</v>
      </c>
      <c r="J184" s="8">
        <f t="shared" si="8"/>
        <v>10730.435242534148</v>
      </c>
      <c r="K184" s="7" t="str">
        <f t="shared" si="9"/>
        <v>PTO-0405|MO</v>
      </c>
      <c r="L184" s="7">
        <f>COUNTIFS($K$2:K184,K184)</f>
        <v>1</v>
      </c>
      <c r="M184" s="7" t="str">
        <f t="shared" si="10"/>
        <v>PTO-0405|MO|1</v>
      </c>
      <c r="N184" s="7">
        <f>IFERROR(VLOOKUP(A184,PARTIDAS!A:F,6,FALSE),0)</f>
        <v>1</v>
      </c>
      <c r="O184" s="7">
        <f t="shared" si="11"/>
        <v>0</v>
      </c>
      <c r="P184" s="7">
        <f>IFERROR(_xlfn.XLOOKUP(A184,PPTO_GENERADOR!$Q:$Q,PPTO_GENERADOR!$E:$E,"-",0),"-")</f>
        <v>30.053999999999998</v>
      </c>
    </row>
    <row r="185" spans="1:16" x14ac:dyDescent="0.35">
      <c r="A185" s="5" t="s">
        <v>878</v>
      </c>
      <c r="B185" s="5" t="s">
        <v>1198</v>
      </c>
      <c r="C185" s="5" t="s">
        <v>1199</v>
      </c>
      <c r="D185" s="5" t="s">
        <v>688</v>
      </c>
      <c r="E185" s="7" t="str">
        <f>IFERROR(VLOOKUP(D185,SUBCONTRATOS_PRY!A:B,2,FALSE),"?")</f>
        <v>AYUDANTE ALBAÑIL</v>
      </c>
      <c r="F185" s="5" t="s">
        <v>1200</v>
      </c>
      <c r="G185" s="11">
        <v>0.14285713999999999</v>
      </c>
      <c r="H185" s="12">
        <v>0</v>
      </c>
      <c r="I185" s="7">
        <f>IFERROR(VLOOKUP(D185,SUBCONTRATOS_PRY!A:D,4,FALSE),0)</f>
        <v>49934.237200000003</v>
      </c>
      <c r="J185" s="8">
        <f t="shared" si="8"/>
        <v>7133.4623144736079</v>
      </c>
      <c r="K185" s="7" t="str">
        <f t="shared" si="9"/>
        <v>PTO-0405|MO</v>
      </c>
      <c r="L185" s="7">
        <f>COUNTIFS($K$2:K185,K185)</f>
        <v>2</v>
      </c>
      <c r="M185" s="7" t="str">
        <f t="shared" si="10"/>
        <v>PTO-0405|MO|2</v>
      </c>
      <c r="N185" s="7">
        <f>IFERROR(VLOOKUP(A185,PARTIDAS!A:F,6,FALSE),0)</f>
        <v>1</v>
      </c>
      <c r="O185" s="7">
        <f t="shared" si="11"/>
        <v>0</v>
      </c>
      <c r="P185" s="7">
        <f>IFERROR(_xlfn.XLOOKUP(A185,PPTO_GENERADOR!$Q:$Q,PPTO_GENERADOR!$E:$E,"-",0),"-")</f>
        <v>30.053999999999998</v>
      </c>
    </row>
    <row r="186" spans="1:16" x14ac:dyDescent="0.35">
      <c r="A186" s="5" t="s">
        <v>878</v>
      </c>
      <c r="B186" s="5" t="s">
        <v>1198</v>
      </c>
      <c r="C186" s="5" t="s">
        <v>1201</v>
      </c>
      <c r="D186" s="5" t="s">
        <v>477</v>
      </c>
      <c r="E186" s="7" t="str">
        <f>IFERROR(VLOOKUP(D186,MANO_DE_OBRA!A:B,2,FALSE),"?")</f>
        <v>ESPECIALIZADO</v>
      </c>
      <c r="F186" s="5" t="s">
        <v>1200</v>
      </c>
      <c r="G186" s="11">
        <v>0.14285713999999999</v>
      </c>
      <c r="H186" s="12">
        <v>0</v>
      </c>
      <c r="I186" s="7">
        <f>IFERROR(VLOOKUP(D186,MANO_DE_OBRA!A:C,3,FALSE),0)</f>
        <v>75113.05</v>
      </c>
      <c r="J186" s="8">
        <f t="shared" si="8"/>
        <v>10730.435499677</v>
      </c>
      <c r="K186" s="7" t="str">
        <f t="shared" si="9"/>
        <v>PTO-0405|MO</v>
      </c>
      <c r="L186" s="7">
        <f>COUNTIFS($K$2:K186,K186)</f>
        <v>3</v>
      </c>
      <c r="M186" s="7" t="str">
        <f t="shared" si="10"/>
        <v>PTO-0405|MO|3</v>
      </c>
      <c r="N186" s="7">
        <f>IFERROR(VLOOKUP(A186,PARTIDAS!A:F,6,FALSE),0)</f>
        <v>1</v>
      </c>
      <c r="O186" s="7">
        <f t="shared" si="11"/>
        <v>0.14285713999999999</v>
      </c>
      <c r="P186" s="7">
        <f>IFERROR(_xlfn.XLOOKUP(A186,PPTO_GENERADOR!$Q:$Q,PPTO_GENERADOR!$E:$E,"-",0),"-")</f>
        <v>30.053999999999998</v>
      </c>
    </row>
    <row r="187" spans="1:16" x14ac:dyDescent="0.35">
      <c r="A187" s="5" t="s">
        <v>878</v>
      </c>
      <c r="B187" s="5" t="s">
        <v>1198</v>
      </c>
      <c r="C187" s="5" t="s">
        <v>1201</v>
      </c>
      <c r="D187" s="5" t="s">
        <v>475</v>
      </c>
      <c r="E187" s="7" t="str">
        <f>IFERROR(VLOOKUP(D187,MANO_DE_OBRA!A:B,2,FALSE),"?")</f>
        <v>AYUDANTE</v>
      </c>
      <c r="F187" s="5" t="s">
        <v>1200</v>
      </c>
      <c r="G187" s="11">
        <v>0.14285713999999999</v>
      </c>
      <c r="H187" s="12">
        <v>0</v>
      </c>
      <c r="I187" s="7">
        <f>IFERROR(VLOOKUP(D187,MANO_DE_OBRA!A:C,3,FALSE),0)</f>
        <v>49934.239999999998</v>
      </c>
      <c r="J187" s="8">
        <f t="shared" si="8"/>
        <v>7133.4627144735996</v>
      </c>
      <c r="K187" s="7" t="str">
        <f t="shared" si="9"/>
        <v>PTO-0405|MO</v>
      </c>
      <c r="L187" s="7">
        <f>COUNTIFS($K$2:K187,K187)</f>
        <v>4</v>
      </c>
      <c r="M187" s="7" t="str">
        <f t="shared" si="10"/>
        <v>PTO-0405|MO|4</v>
      </c>
      <c r="N187" s="7">
        <f>IFERROR(VLOOKUP(A187,PARTIDAS!A:F,6,FALSE),0)</f>
        <v>1</v>
      </c>
      <c r="O187" s="7">
        <f t="shared" si="11"/>
        <v>0.14285713999999999</v>
      </c>
      <c r="P187" s="7">
        <f>IFERROR(_xlfn.XLOOKUP(A187,PPTO_GENERADOR!$Q:$Q,PPTO_GENERADOR!$E:$E,"-",0),"-")</f>
        <v>30.053999999999998</v>
      </c>
    </row>
    <row r="188" spans="1:16" x14ac:dyDescent="0.35">
      <c r="A188" s="5" t="s">
        <v>878</v>
      </c>
      <c r="B188" s="5" t="s">
        <v>1202</v>
      </c>
      <c r="C188" s="5"/>
      <c r="D188" s="5" t="s">
        <v>525</v>
      </c>
      <c r="E188" s="7" t="str">
        <f>IFERROR(VLOOKUP(D188,EQUIPOS!A:B,2,FALSE),"?")</f>
        <v>EQUIPO DE ALBAÑILERIA, carpetas, ladrillo</v>
      </c>
      <c r="F188" s="5"/>
      <c r="G188" s="11">
        <v>0.14285713999999999</v>
      </c>
      <c r="H188" s="12">
        <v>0</v>
      </c>
      <c r="I188" s="7">
        <f>IFERROR(VLOOKUP(D188,EQUIPOS!A:C,3,FALSE),0)</f>
        <v>2227.2298000000001</v>
      </c>
      <c r="J188" s="8">
        <f t="shared" si="8"/>
        <v>318.17567935077199</v>
      </c>
      <c r="K188" s="7" t="str">
        <f t="shared" si="9"/>
        <v>PTO-0405|EQ</v>
      </c>
      <c r="L188" s="7">
        <f>COUNTIFS($K$2:K188,K188)</f>
        <v>1</v>
      </c>
      <c r="M188" s="7" t="str">
        <f t="shared" si="10"/>
        <v>PTO-0405|EQ|1</v>
      </c>
      <c r="N188" s="7">
        <f>IFERROR(VLOOKUP(A188,PARTIDAS!A:F,6,FALSE),0)</f>
        <v>1</v>
      </c>
      <c r="O188" s="7">
        <f t="shared" si="11"/>
        <v>0</v>
      </c>
      <c r="P188" s="7">
        <f>IFERROR(_xlfn.XLOOKUP(A188,PPTO_GENERADOR!$Q:$Q,PPTO_GENERADOR!$E:$E,"-",0),"-")</f>
        <v>30.053999999999998</v>
      </c>
    </row>
    <row r="189" spans="1:16" x14ac:dyDescent="0.35">
      <c r="A189" s="5" t="s">
        <v>878</v>
      </c>
      <c r="B189" s="5" t="s">
        <v>1202</v>
      </c>
      <c r="C189" s="5"/>
      <c r="D189" s="5" t="s">
        <v>527</v>
      </c>
      <c r="E189" s="7" t="str">
        <f>IFERROR(VLOOKUP(D189,EQUIPOS!A:B,2,FALSE),"?")</f>
        <v>ANDAMIO TUBULAR DE UNO A TRES CUERPOS</v>
      </c>
      <c r="F189" s="5"/>
      <c r="G189" s="11">
        <v>7.1428569999999997E-2</v>
      </c>
      <c r="H189" s="12">
        <v>0</v>
      </c>
      <c r="I189" s="7">
        <f>IFERROR(VLOOKUP(D189,EQUIPOS!A:C,3,FALSE),0)</f>
        <v>556.21879999999999</v>
      </c>
      <c r="J189" s="8">
        <f t="shared" si="8"/>
        <v>39.729913491115994</v>
      </c>
      <c r="K189" s="7" t="str">
        <f t="shared" si="9"/>
        <v>PTO-0405|EQ</v>
      </c>
      <c r="L189" s="7">
        <f>COUNTIFS($K$2:K189,K189)</f>
        <v>2</v>
      </c>
      <c r="M189" s="7" t="str">
        <f t="shared" si="10"/>
        <v>PTO-0405|EQ|2</v>
      </c>
      <c r="N189" s="7">
        <f>IFERROR(VLOOKUP(A189,PARTIDAS!A:F,6,FALSE),0)</f>
        <v>1</v>
      </c>
      <c r="O189" s="7">
        <f t="shared" si="11"/>
        <v>0</v>
      </c>
      <c r="P189" s="7">
        <f>IFERROR(_xlfn.XLOOKUP(A189,PPTO_GENERADOR!$Q:$Q,PPTO_GENERADOR!$E:$E,"-",0),"-")</f>
        <v>30.053999999999998</v>
      </c>
    </row>
    <row r="190" spans="1:16" x14ac:dyDescent="0.35">
      <c r="A190" s="5" t="s">
        <v>878</v>
      </c>
      <c r="B190" s="5" t="s">
        <v>1202</v>
      </c>
      <c r="C190" s="5"/>
      <c r="D190" s="5" t="s">
        <v>529</v>
      </c>
      <c r="E190" s="7" t="str">
        <f>IFERROR(VLOOKUP(D190,EQUIPOS!A:B,2,FALSE),"?")</f>
        <v>Hormigonera De 150 Litros 1hp Con Rueda Maciza</v>
      </c>
      <c r="F190" s="5"/>
      <c r="G190" s="11">
        <v>0.14285713999999999</v>
      </c>
      <c r="H190" s="12">
        <v>0</v>
      </c>
      <c r="I190" s="7">
        <f>IFERROR(VLOOKUP(D190,EQUIPOS!A:C,3,FALSE),0)</f>
        <v>932.18029999999999</v>
      </c>
      <c r="J190" s="8">
        <f t="shared" si="8"/>
        <v>133.16861162234198</v>
      </c>
      <c r="K190" s="7" t="str">
        <f t="shared" si="9"/>
        <v>PTO-0405|EQ</v>
      </c>
      <c r="L190" s="7">
        <f>COUNTIFS($K$2:K190,K190)</f>
        <v>3</v>
      </c>
      <c r="M190" s="7" t="str">
        <f t="shared" si="10"/>
        <v>PTO-0405|EQ|3</v>
      </c>
      <c r="N190" s="7">
        <f>IFERROR(VLOOKUP(A190,PARTIDAS!A:F,6,FALSE),0)</f>
        <v>1</v>
      </c>
      <c r="O190" s="7">
        <f t="shared" si="11"/>
        <v>0</v>
      </c>
      <c r="P190" s="7">
        <f>IFERROR(_xlfn.XLOOKUP(A190,PPTO_GENERADOR!$Q:$Q,PPTO_GENERADOR!$E:$E,"-",0),"-")</f>
        <v>30.053999999999998</v>
      </c>
    </row>
    <row r="191" spans="1:16" x14ac:dyDescent="0.35">
      <c r="A191" s="5" t="s">
        <v>878</v>
      </c>
      <c r="B191" s="5" t="s">
        <v>1203</v>
      </c>
      <c r="C191" s="5" t="s">
        <v>1204</v>
      </c>
      <c r="D191" s="5" t="s">
        <v>468</v>
      </c>
      <c r="E191" s="7" t="str">
        <f>IFERROR(VLOOKUP(D191,MATERIALES!A:B,2,FALSE),"?")</f>
        <v>Consumibles</v>
      </c>
      <c r="F191" s="5"/>
      <c r="G191" s="11">
        <v>177.61179999999999</v>
      </c>
      <c r="H191" s="12">
        <v>0</v>
      </c>
      <c r="I191" s="7">
        <f>IFERROR(VLOOKUP(D191,MATERIALES!A:D,4,FALSE),0)</f>
        <v>1</v>
      </c>
      <c r="J191" s="8">
        <f t="shared" si="8"/>
        <v>177.61179999999999</v>
      </c>
      <c r="K191" s="7" t="str">
        <f t="shared" si="9"/>
        <v>PTO-0405|MAT</v>
      </c>
      <c r="L191" s="7">
        <f>COUNTIFS($K$2:K191,K191)</f>
        <v>6</v>
      </c>
      <c r="M191" s="7" t="str">
        <f t="shared" si="10"/>
        <v>PTO-0405|MAT|6</v>
      </c>
      <c r="N191" s="7">
        <f>IFERROR(VLOOKUP(A191,PARTIDAS!A:F,6,FALSE),0)</f>
        <v>1</v>
      </c>
      <c r="O191" s="7">
        <f t="shared" si="11"/>
        <v>0</v>
      </c>
      <c r="P191" s="7">
        <f>IFERROR(_xlfn.XLOOKUP(A191,PPTO_GENERADOR!$Q:$Q,PPTO_GENERADOR!$E:$E,"-",0),"-")</f>
        <v>30.053999999999998</v>
      </c>
    </row>
    <row r="192" spans="1:16" x14ac:dyDescent="0.35">
      <c r="A192" s="5" t="s">
        <v>880</v>
      </c>
      <c r="B192" s="5" t="s">
        <v>1203</v>
      </c>
      <c r="C192" s="5" t="s">
        <v>1205</v>
      </c>
      <c r="D192" s="5" t="s">
        <v>148</v>
      </c>
      <c r="E192" s="7" t="str">
        <f>IFERROR(VLOOKUP(D192,MATERIALES!A:B,2,FALSE),"?")</f>
        <v>Bloque de Hormigon 19 x 19 x 39</v>
      </c>
      <c r="F192" s="5"/>
      <c r="G192" s="11">
        <v>25.000000060000001</v>
      </c>
      <c r="H192" s="12">
        <v>0.05</v>
      </c>
      <c r="I192" s="7">
        <f>IFERROR(VLOOKUP(D192,MATERIALES!A:D,4,FALSE),0)</f>
        <v>919.8</v>
      </c>
      <c r="J192" s="8">
        <f t="shared" si="8"/>
        <v>24144.7500579474</v>
      </c>
      <c r="K192" s="7" t="str">
        <f t="shared" si="9"/>
        <v>PTO-0406|MAT</v>
      </c>
      <c r="L192" s="7">
        <f>COUNTIFS($K$2:K192,K192)</f>
        <v>1</v>
      </c>
      <c r="M192" s="7" t="str">
        <f t="shared" si="10"/>
        <v>PTO-0406|MAT|1</v>
      </c>
      <c r="N192" s="7">
        <f>IFERROR(VLOOKUP(A192,PARTIDAS!A:F,6,FALSE),0)</f>
        <v>1</v>
      </c>
      <c r="O192" s="7">
        <f t="shared" si="11"/>
        <v>0</v>
      </c>
      <c r="P192" s="7">
        <f>IFERROR(_xlfn.XLOOKUP(A192,PPTO_GENERADOR!$Q:$Q,PPTO_GENERADOR!$E:$E,"-",0),"-")</f>
        <v>24</v>
      </c>
    </row>
    <row r="193" spans="1:16" x14ac:dyDescent="0.35">
      <c r="A193" s="5" t="s">
        <v>880</v>
      </c>
      <c r="B193" s="5" t="s">
        <v>1203</v>
      </c>
      <c r="C193" s="5" t="s">
        <v>1205</v>
      </c>
      <c r="D193" s="5" t="s">
        <v>134</v>
      </c>
      <c r="E193" s="7" t="str">
        <f>IFERROR(VLOOKUP(D193,MATERIALES!A:B,2,FALSE),"?")</f>
        <v>Barra de Acero Aleteado - 6mm x 12m</v>
      </c>
      <c r="F193" s="5"/>
      <c r="G193" s="11">
        <v>0.34</v>
      </c>
      <c r="H193" s="12">
        <v>0.1</v>
      </c>
      <c r="I193" s="7">
        <f>IFERROR(VLOOKUP(D193,MATERIALES!A:D,4,FALSE),0)</f>
        <v>3611.22</v>
      </c>
      <c r="J193" s="8">
        <f t="shared" si="8"/>
        <v>1350.5962800000002</v>
      </c>
      <c r="K193" s="7" t="str">
        <f t="shared" si="9"/>
        <v>PTO-0406|MAT</v>
      </c>
      <c r="L193" s="7">
        <f>COUNTIFS($K$2:K193,K193)</f>
        <v>2</v>
      </c>
      <c r="M193" s="7" t="str">
        <f t="shared" si="10"/>
        <v>PTO-0406|MAT|2</v>
      </c>
      <c r="N193" s="7">
        <f>IFERROR(VLOOKUP(A193,PARTIDAS!A:F,6,FALSE),0)</f>
        <v>1</v>
      </c>
      <c r="O193" s="7">
        <f t="shared" si="11"/>
        <v>0</v>
      </c>
      <c r="P193" s="7">
        <f>IFERROR(_xlfn.XLOOKUP(A193,PPTO_GENERADOR!$Q:$Q,PPTO_GENERADOR!$E:$E,"-",0),"-")</f>
        <v>24</v>
      </c>
    </row>
    <row r="194" spans="1:16" x14ac:dyDescent="0.35">
      <c r="A194" s="5" t="s">
        <v>880</v>
      </c>
      <c r="B194" s="5" t="s">
        <v>1203</v>
      </c>
      <c r="C194" s="5" t="s">
        <v>1205</v>
      </c>
      <c r="D194" s="5" t="s">
        <v>136</v>
      </c>
      <c r="E194" s="7" t="str">
        <f>IFERROR(VLOOKUP(D194,MATERIALES!A:B,2,FALSE),"?")</f>
        <v>ARENA LAVADA</v>
      </c>
      <c r="F194" s="5"/>
      <c r="G194" s="11">
        <v>2.8799999999999999E-2</v>
      </c>
      <c r="H194" s="12">
        <v>0.1</v>
      </c>
      <c r="I194" s="7">
        <f>IFERROR(VLOOKUP(D194,MATERIALES!A:D,4,FALSE),0)</f>
        <v>31265.15</v>
      </c>
      <c r="J194" s="8">
        <f t="shared" ref="J194:J257" si="12">G194*I194*(1+H194)</f>
        <v>990.47995200000014</v>
      </c>
      <c r="K194" s="7" t="str">
        <f t="shared" ref="K194:K257" si="13">A194&amp;"|"&amp;B194</f>
        <v>PTO-0406|MAT</v>
      </c>
      <c r="L194" s="7">
        <f>COUNTIFS($K$2:K194,K194)</f>
        <v>3</v>
      </c>
      <c r="M194" s="7" t="str">
        <f t="shared" ref="M194:M257" si="14">K194&amp;"|"&amp;L194</f>
        <v>PTO-0406|MAT|3</v>
      </c>
      <c r="N194" s="7">
        <f>IFERROR(VLOOKUP(A194,PARTIDAS!A:F,6,FALSE),0)</f>
        <v>1</v>
      </c>
      <c r="O194" s="7">
        <f t="shared" ref="O194:O257" si="15">IF(C194="ALB",IF(N194=0,0,G194/N194),0)</f>
        <v>0</v>
      </c>
      <c r="P194" s="7">
        <f>IFERROR(_xlfn.XLOOKUP(A194,PPTO_GENERADOR!$Q:$Q,PPTO_GENERADOR!$E:$E,"-",0),"-")</f>
        <v>24</v>
      </c>
    </row>
    <row r="195" spans="1:16" x14ac:dyDescent="0.35">
      <c r="A195" s="5" t="s">
        <v>880</v>
      </c>
      <c r="B195" s="5" t="s">
        <v>1203</v>
      </c>
      <c r="C195" s="5" t="s">
        <v>1205</v>
      </c>
      <c r="D195" s="5" t="s">
        <v>138</v>
      </c>
      <c r="E195" s="7" t="str">
        <f>IFERROR(VLOOKUP(D195,MATERIALES!A:B,2,FALSE),"?")</f>
        <v>Cal Comun x 25kg</v>
      </c>
      <c r="F195" s="5"/>
      <c r="G195" s="11">
        <v>0.24</v>
      </c>
      <c r="H195" s="12">
        <v>0.1</v>
      </c>
      <c r="I195" s="7">
        <f>IFERROR(VLOOKUP(D195,MATERIALES!A:D,4,FALSE),0)</f>
        <v>3532.67</v>
      </c>
      <c r="J195" s="8">
        <f t="shared" si="12"/>
        <v>932.62487999999996</v>
      </c>
      <c r="K195" s="7" t="str">
        <f t="shared" si="13"/>
        <v>PTO-0406|MAT</v>
      </c>
      <c r="L195" s="7">
        <f>COUNTIFS($K$2:K195,K195)</f>
        <v>4</v>
      </c>
      <c r="M195" s="7" t="str">
        <f t="shared" si="14"/>
        <v>PTO-0406|MAT|4</v>
      </c>
      <c r="N195" s="7">
        <f>IFERROR(VLOOKUP(A195,PARTIDAS!A:F,6,FALSE),0)</f>
        <v>1</v>
      </c>
      <c r="O195" s="7">
        <f t="shared" si="15"/>
        <v>0</v>
      </c>
      <c r="P195" s="7">
        <f>IFERROR(_xlfn.XLOOKUP(A195,PPTO_GENERADOR!$Q:$Q,PPTO_GENERADOR!$E:$E,"-",0),"-")</f>
        <v>24</v>
      </c>
    </row>
    <row r="196" spans="1:16" x14ac:dyDescent="0.35">
      <c r="A196" s="5" t="s">
        <v>880</v>
      </c>
      <c r="B196" s="5" t="s">
        <v>1203</v>
      </c>
      <c r="C196" s="5" t="s">
        <v>1205</v>
      </c>
      <c r="D196" s="5" t="s">
        <v>140</v>
      </c>
      <c r="E196" s="7" t="str">
        <f>IFERROR(VLOOKUP(D196,MATERIALES!A:B,2,FALSE),"?")</f>
        <v>Cemento Portland x 50kg</v>
      </c>
      <c r="F196" s="5"/>
      <c r="G196" s="11">
        <v>0.12479999999999999</v>
      </c>
      <c r="H196" s="12">
        <v>0.1</v>
      </c>
      <c r="I196" s="7">
        <f>IFERROR(VLOOKUP(D196,MATERIALES!A:D,4,FALSE),0)</f>
        <v>7233.47</v>
      </c>
      <c r="J196" s="8">
        <f t="shared" si="12"/>
        <v>993.01076160000002</v>
      </c>
      <c r="K196" s="7" t="str">
        <f t="shared" si="13"/>
        <v>PTO-0406|MAT</v>
      </c>
      <c r="L196" s="7">
        <f>COUNTIFS($K$2:K196,K196)</f>
        <v>5</v>
      </c>
      <c r="M196" s="7" t="str">
        <f t="shared" si="14"/>
        <v>PTO-0406|MAT|5</v>
      </c>
      <c r="N196" s="7">
        <f>IFERROR(VLOOKUP(A196,PARTIDAS!A:F,6,FALSE),0)</f>
        <v>1</v>
      </c>
      <c r="O196" s="7">
        <f t="shared" si="15"/>
        <v>0</v>
      </c>
      <c r="P196" s="7">
        <f>IFERROR(_xlfn.XLOOKUP(A196,PPTO_GENERADOR!$Q:$Q,PPTO_GENERADOR!$E:$E,"-",0),"-")</f>
        <v>24</v>
      </c>
    </row>
    <row r="197" spans="1:16" x14ac:dyDescent="0.35">
      <c r="A197" s="5" t="s">
        <v>880</v>
      </c>
      <c r="B197" s="5" t="s">
        <v>1198</v>
      </c>
      <c r="C197" s="5" t="s">
        <v>1199</v>
      </c>
      <c r="D197" s="5" t="s">
        <v>686</v>
      </c>
      <c r="E197" s="7" t="str">
        <f>IFERROR(VLOOKUP(D197,SUBCONTRATOS_PRY!A:B,2,FALSE),"?")</f>
        <v>OFICIAL ESPECIALIZADO ALBAÑIL</v>
      </c>
      <c r="F197" s="5" t="s">
        <v>1200</v>
      </c>
      <c r="G197" s="11">
        <v>4.3478259999999998E-2</v>
      </c>
      <c r="H197" s="12">
        <v>0</v>
      </c>
      <c r="I197" s="7">
        <f>IFERROR(VLOOKUP(D197,SUBCONTRATOS_PRY!A:D,4,FALSE),0)</f>
        <v>75113.048200000005</v>
      </c>
      <c r="J197" s="8">
        <f t="shared" si="12"/>
        <v>3265.784639032132</v>
      </c>
      <c r="K197" s="7" t="str">
        <f t="shared" si="13"/>
        <v>PTO-0406|MO</v>
      </c>
      <c r="L197" s="7">
        <f>COUNTIFS($K$2:K197,K197)</f>
        <v>1</v>
      </c>
      <c r="M197" s="7" t="str">
        <f t="shared" si="14"/>
        <v>PTO-0406|MO|1</v>
      </c>
      <c r="N197" s="7">
        <f>IFERROR(VLOOKUP(A197,PARTIDAS!A:F,6,FALSE),0)</f>
        <v>1</v>
      </c>
      <c r="O197" s="7">
        <f t="shared" si="15"/>
        <v>0</v>
      </c>
      <c r="P197" s="7">
        <f>IFERROR(_xlfn.XLOOKUP(A197,PPTO_GENERADOR!$Q:$Q,PPTO_GENERADOR!$E:$E,"-",0),"-")</f>
        <v>24</v>
      </c>
    </row>
    <row r="198" spans="1:16" x14ac:dyDescent="0.35">
      <c r="A198" s="5" t="s">
        <v>880</v>
      </c>
      <c r="B198" s="5" t="s">
        <v>1198</v>
      </c>
      <c r="C198" s="5" t="s">
        <v>1199</v>
      </c>
      <c r="D198" s="5" t="s">
        <v>688</v>
      </c>
      <c r="E198" s="7" t="str">
        <f>IFERROR(VLOOKUP(D198,SUBCONTRATOS_PRY!A:B,2,FALSE),"?")</f>
        <v>AYUDANTE ALBAÑIL</v>
      </c>
      <c r="F198" s="5" t="s">
        <v>1200</v>
      </c>
      <c r="G198" s="11">
        <v>3.2608699999999997E-2</v>
      </c>
      <c r="H198" s="12">
        <v>0</v>
      </c>
      <c r="I198" s="7">
        <f>IFERROR(VLOOKUP(D198,SUBCONTRATOS_PRY!A:D,4,FALSE),0)</f>
        <v>49934.237200000003</v>
      </c>
      <c r="J198" s="8">
        <f t="shared" si="12"/>
        <v>1628.2905605836399</v>
      </c>
      <c r="K198" s="7" t="str">
        <f t="shared" si="13"/>
        <v>PTO-0406|MO</v>
      </c>
      <c r="L198" s="7">
        <f>COUNTIFS($K$2:K198,K198)</f>
        <v>2</v>
      </c>
      <c r="M198" s="7" t="str">
        <f t="shared" si="14"/>
        <v>PTO-0406|MO|2</v>
      </c>
      <c r="N198" s="7">
        <f>IFERROR(VLOOKUP(A198,PARTIDAS!A:F,6,FALSE),0)</f>
        <v>1</v>
      </c>
      <c r="O198" s="7">
        <f t="shared" si="15"/>
        <v>0</v>
      </c>
      <c r="P198" s="7">
        <f>IFERROR(_xlfn.XLOOKUP(A198,PPTO_GENERADOR!$Q:$Q,PPTO_GENERADOR!$E:$E,"-",0),"-")</f>
        <v>24</v>
      </c>
    </row>
    <row r="199" spans="1:16" x14ac:dyDescent="0.35">
      <c r="A199" s="5" t="s">
        <v>880</v>
      </c>
      <c r="B199" s="5" t="s">
        <v>1198</v>
      </c>
      <c r="C199" s="5" t="s">
        <v>1201</v>
      </c>
      <c r="D199" s="5" t="s">
        <v>477</v>
      </c>
      <c r="E199" s="7" t="str">
        <f>IFERROR(VLOOKUP(D199,MANO_DE_OBRA!A:B,2,FALSE),"?")</f>
        <v>ESPECIALIZADO</v>
      </c>
      <c r="F199" s="5" t="s">
        <v>1200</v>
      </c>
      <c r="G199" s="11">
        <v>8.6956519999999995E-2</v>
      </c>
      <c r="H199" s="12">
        <v>0</v>
      </c>
      <c r="I199" s="7">
        <f>IFERROR(VLOOKUP(D199,MANO_DE_OBRA!A:C,3,FALSE),0)</f>
        <v>75113.05</v>
      </c>
      <c r="J199" s="8">
        <f t="shared" si="12"/>
        <v>6531.5694345860002</v>
      </c>
      <c r="K199" s="7" t="str">
        <f t="shared" si="13"/>
        <v>PTO-0406|MO</v>
      </c>
      <c r="L199" s="7">
        <f>COUNTIFS($K$2:K199,K199)</f>
        <v>3</v>
      </c>
      <c r="M199" s="7" t="str">
        <f t="shared" si="14"/>
        <v>PTO-0406|MO|3</v>
      </c>
      <c r="N199" s="7">
        <f>IFERROR(VLOOKUP(A199,PARTIDAS!A:F,6,FALSE),0)</f>
        <v>1</v>
      </c>
      <c r="O199" s="7">
        <f t="shared" si="15"/>
        <v>8.6956519999999995E-2</v>
      </c>
      <c r="P199" s="7">
        <f>IFERROR(_xlfn.XLOOKUP(A199,PPTO_GENERADOR!$Q:$Q,PPTO_GENERADOR!$E:$E,"-",0),"-")</f>
        <v>24</v>
      </c>
    </row>
    <row r="200" spans="1:16" x14ac:dyDescent="0.35">
      <c r="A200" s="5" t="s">
        <v>880</v>
      </c>
      <c r="B200" s="5" t="s">
        <v>1198</v>
      </c>
      <c r="C200" s="5" t="s">
        <v>1201</v>
      </c>
      <c r="D200" s="5" t="s">
        <v>475</v>
      </c>
      <c r="E200" s="7" t="str">
        <f>IFERROR(VLOOKUP(D200,MANO_DE_OBRA!A:B,2,FALSE),"?")</f>
        <v>AYUDANTE</v>
      </c>
      <c r="F200" s="5" t="s">
        <v>1200</v>
      </c>
      <c r="G200" s="11">
        <v>6.521739E-2</v>
      </c>
      <c r="H200" s="12">
        <v>0</v>
      </c>
      <c r="I200" s="7">
        <f>IFERROR(VLOOKUP(D200,MANO_DE_OBRA!A:C,3,FALSE),0)</f>
        <v>49934.239999999998</v>
      </c>
      <c r="J200" s="8">
        <f t="shared" si="12"/>
        <v>3256.5808044336</v>
      </c>
      <c r="K200" s="7" t="str">
        <f t="shared" si="13"/>
        <v>PTO-0406|MO</v>
      </c>
      <c r="L200" s="7">
        <f>COUNTIFS($K$2:K200,K200)</f>
        <v>4</v>
      </c>
      <c r="M200" s="7" t="str">
        <f t="shared" si="14"/>
        <v>PTO-0406|MO|4</v>
      </c>
      <c r="N200" s="7">
        <f>IFERROR(VLOOKUP(A200,PARTIDAS!A:F,6,FALSE),0)</f>
        <v>1</v>
      </c>
      <c r="O200" s="7">
        <f t="shared" si="15"/>
        <v>6.521739E-2</v>
      </c>
      <c r="P200" s="7">
        <f>IFERROR(_xlfn.XLOOKUP(A200,PPTO_GENERADOR!$Q:$Q,PPTO_GENERADOR!$E:$E,"-",0),"-")</f>
        <v>24</v>
      </c>
    </row>
    <row r="201" spans="1:16" x14ac:dyDescent="0.35">
      <c r="A201" s="5" t="s">
        <v>880</v>
      </c>
      <c r="B201" s="5" t="s">
        <v>1202</v>
      </c>
      <c r="C201" s="5"/>
      <c r="D201" s="5" t="s">
        <v>525</v>
      </c>
      <c r="E201" s="7" t="str">
        <f>IFERROR(VLOOKUP(D201,EQUIPOS!A:B,2,FALSE),"?")</f>
        <v>EQUIPO DE ALBAÑILERIA, carpetas, ladrillo</v>
      </c>
      <c r="F201" s="5"/>
      <c r="G201" s="11">
        <v>8.6956519999999995E-2</v>
      </c>
      <c r="H201" s="12">
        <v>0</v>
      </c>
      <c r="I201" s="7">
        <f>IFERROR(VLOOKUP(D201,EQUIPOS!A:C,3,FALSE),0)</f>
        <v>2227.2298000000001</v>
      </c>
      <c r="J201" s="8">
        <f t="shared" si="12"/>
        <v>193.67215264829599</v>
      </c>
      <c r="K201" s="7" t="str">
        <f t="shared" si="13"/>
        <v>PTO-0406|EQ</v>
      </c>
      <c r="L201" s="7">
        <f>COUNTIFS($K$2:K201,K201)</f>
        <v>1</v>
      </c>
      <c r="M201" s="7" t="str">
        <f t="shared" si="14"/>
        <v>PTO-0406|EQ|1</v>
      </c>
      <c r="N201" s="7">
        <f>IFERROR(VLOOKUP(A201,PARTIDAS!A:F,6,FALSE),0)</f>
        <v>1</v>
      </c>
      <c r="O201" s="7">
        <f t="shared" si="15"/>
        <v>0</v>
      </c>
      <c r="P201" s="7">
        <f>IFERROR(_xlfn.XLOOKUP(A201,PPTO_GENERADOR!$Q:$Q,PPTO_GENERADOR!$E:$E,"-",0),"-")</f>
        <v>24</v>
      </c>
    </row>
    <row r="202" spans="1:16" x14ac:dyDescent="0.35">
      <c r="A202" s="5" t="s">
        <v>880</v>
      </c>
      <c r="B202" s="5" t="s">
        <v>1202</v>
      </c>
      <c r="C202" s="5"/>
      <c r="D202" s="5" t="s">
        <v>527</v>
      </c>
      <c r="E202" s="7" t="str">
        <f>IFERROR(VLOOKUP(D202,EQUIPOS!A:B,2,FALSE),"?")</f>
        <v>ANDAMIO TUBULAR DE UNO A TRES CUERPOS</v>
      </c>
      <c r="F202" s="5"/>
      <c r="G202" s="11">
        <v>4.3478259999999998E-2</v>
      </c>
      <c r="H202" s="12">
        <v>0</v>
      </c>
      <c r="I202" s="7">
        <f>IFERROR(VLOOKUP(D202,EQUIPOS!A:C,3,FALSE),0)</f>
        <v>556.21879999999999</v>
      </c>
      <c r="J202" s="8">
        <f t="shared" si="12"/>
        <v>24.183425603287997</v>
      </c>
      <c r="K202" s="7" t="str">
        <f t="shared" si="13"/>
        <v>PTO-0406|EQ</v>
      </c>
      <c r="L202" s="7">
        <f>COUNTIFS($K$2:K202,K202)</f>
        <v>2</v>
      </c>
      <c r="M202" s="7" t="str">
        <f t="shared" si="14"/>
        <v>PTO-0406|EQ|2</v>
      </c>
      <c r="N202" s="7">
        <f>IFERROR(VLOOKUP(A202,PARTIDAS!A:F,6,FALSE),0)</f>
        <v>1</v>
      </c>
      <c r="O202" s="7">
        <f t="shared" si="15"/>
        <v>0</v>
      </c>
      <c r="P202" s="7">
        <f>IFERROR(_xlfn.XLOOKUP(A202,PPTO_GENERADOR!$Q:$Q,PPTO_GENERADOR!$E:$E,"-",0),"-")</f>
        <v>24</v>
      </c>
    </row>
    <row r="203" spans="1:16" x14ac:dyDescent="0.35">
      <c r="A203" s="5" t="s">
        <v>880</v>
      </c>
      <c r="B203" s="5" t="s">
        <v>1202</v>
      </c>
      <c r="C203" s="5"/>
      <c r="D203" s="5" t="s">
        <v>529</v>
      </c>
      <c r="E203" s="7" t="str">
        <f>IFERROR(VLOOKUP(D203,EQUIPOS!A:B,2,FALSE),"?")</f>
        <v>Hormigonera De 150 Litros 1hp Con Rueda Maciza</v>
      </c>
      <c r="F203" s="5"/>
      <c r="G203" s="11">
        <v>8.6956519999999995E-2</v>
      </c>
      <c r="H203" s="12">
        <v>0</v>
      </c>
      <c r="I203" s="7">
        <f>IFERROR(VLOOKUP(D203,EQUIPOS!A:C,3,FALSE),0)</f>
        <v>932.18029999999999</v>
      </c>
      <c r="J203" s="8">
        <f t="shared" si="12"/>
        <v>81.059154900555995</v>
      </c>
      <c r="K203" s="7" t="str">
        <f t="shared" si="13"/>
        <v>PTO-0406|EQ</v>
      </c>
      <c r="L203" s="7">
        <f>COUNTIFS($K$2:K203,K203)</f>
        <v>3</v>
      </c>
      <c r="M203" s="7" t="str">
        <f t="shared" si="14"/>
        <v>PTO-0406|EQ|3</v>
      </c>
      <c r="N203" s="7">
        <f>IFERROR(VLOOKUP(A203,PARTIDAS!A:F,6,FALSE),0)</f>
        <v>1</v>
      </c>
      <c r="O203" s="7">
        <f t="shared" si="15"/>
        <v>0</v>
      </c>
      <c r="P203" s="7">
        <f>IFERROR(_xlfn.XLOOKUP(A203,PPTO_GENERADOR!$Q:$Q,PPTO_GENERADOR!$E:$E,"-",0),"-")</f>
        <v>24</v>
      </c>
    </row>
    <row r="204" spans="1:16" x14ac:dyDescent="0.35">
      <c r="A204" s="5" t="s">
        <v>880</v>
      </c>
      <c r="B204" s="5" t="s">
        <v>1203</v>
      </c>
      <c r="C204" s="5" t="s">
        <v>1204</v>
      </c>
      <c r="D204" s="5" t="s">
        <v>468</v>
      </c>
      <c r="E204" s="7" t="str">
        <f>IFERROR(VLOOKUP(D204,MATERIALES!A:B,2,FALSE),"?")</f>
        <v>Consumibles</v>
      </c>
      <c r="F204" s="5"/>
      <c r="G204" s="11">
        <v>292.63799999999998</v>
      </c>
      <c r="H204" s="12">
        <v>0</v>
      </c>
      <c r="I204" s="7">
        <f>IFERROR(VLOOKUP(D204,MATERIALES!A:D,4,FALSE),0)</f>
        <v>1</v>
      </c>
      <c r="J204" s="8">
        <f t="shared" si="12"/>
        <v>292.63799999999998</v>
      </c>
      <c r="K204" s="7" t="str">
        <f t="shared" si="13"/>
        <v>PTO-0406|MAT</v>
      </c>
      <c r="L204" s="7">
        <f>COUNTIFS($K$2:K204,K204)</f>
        <v>6</v>
      </c>
      <c r="M204" s="7" t="str">
        <f t="shared" si="14"/>
        <v>PTO-0406|MAT|6</v>
      </c>
      <c r="N204" s="7">
        <f>IFERROR(VLOOKUP(A204,PARTIDAS!A:F,6,FALSE),0)</f>
        <v>1</v>
      </c>
      <c r="O204" s="7">
        <f t="shared" si="15"/>
        <v>0</v>
      </c>
      <c r="P204" s="7">
        <f>IFERROR(_xlfn.XLOOKUP(A204,PPTO_GENERADOR!$Q:$Q,PPTO_GENERADOR!$E:$E,"-",0),"-")</f>
        <v>24</v>
      </c>
    </row>
    <row r="205" spans="1:16" x14ac:dyDescent="0.35">
      <c r="A205" s="5" t="s">
        <v>882</v>
      </c>
      <c r="B205" s="5" t="s">
        <v>1203</v>
      </c>
      <c r="C205" s="5" t="s">
        <v>1199</v>
      </c>
      <c r="D205" s="5" t="s">
        <v>150</v>
      </c>
      <c r="E205" s="7" t="str">
        <f>IFERROR(VLOOKUP(D205,MATERIALES!A:B,2,FALSE),"?")</f>
        <v>Taco quimico Fischer</v>
      </c>
      <c r="F205" s="5"/>
      <c r="G205" s="11">
        <v>9.8765430000000001E-2</v>
      </c>
      <c r="H205" s="12">
        <v>0</v>
      </c>
      <c r="I205" s="7">
        <f>IFERROR(VLOOKUP(D205,MATERIALES!A:D,4,FALSE),0)</f>
        <v>50000</v>
      </c>
      <c r="J205" s="8">
        <f t="shared" si="12"/>
        <v>4938.2714999999998</v>
      </c>
      <c r="K205" s="7" t="str">
        <f t="shared" si="13"/>
        <v>PTO-0407|MAT</v>
      </c>
      <c r="L205" s="7">
        <f>COUNTIFS($K$2:K205,K205)</f>
        <v>1</v>
      </c>
      <c r="M205" s="7" t="str">
        <f t="shared" si="14"/>
        <v>PTO-0407|MAT|1</v>
      </c>
      <c r="N205" s="7">
        <f>IFERROR(VLOOKUP(A205,PARTIDAS!A:F,6,FALSE),0)</f>
        <v>1</v>
      </c>
      <c r="O205" s="7">
        <f t="shared" si="15"/>
        <v>0</v>
      </c>
      <c r="P205" s="7">
        <f>IFERROR(_xlfn.XLOOKUP(A205,PPTO_GENERADOR!$Q:$Q,PPTO_GENERADOR!$E:$E,"-",0),"-")</f>
        <v>81</v>
      </c>
    </row>
    <row r="206" spans="1:16" x14ac:dyDescent="0.35">
      <c r="A206" s="5" t="s">
        <v>882</v>
      </c>
      <c r="B206" s="5" t="s">
        <v>1203</v>
      </c>
      <c r="C206" s="5" t="s">
        <v>1199</v>
      </c>
      <c r="D206" s="5" t="s">
        <v>152</v>
      </c>
      <c r="E206" s="7" t="str">
        <f>IFERROR(VLOOKUP(D206,MATERIALES!A:B,2,FALSE),"?")</f>
        <v>Hierro del 6</v>
      </c>
      <c r="F206" s="5"/>
      <c r="G206" s="11">
        <v>6.6543209900000004</v>
      </c>
      <c r="H206" s="12">
        <v>0</v>
      </c>
      <c r="I206" s="7">
        <f>IFERROR(VLOOKUP(D206,MATERIALES!A:D,4,FALSE),0)</f>
        <v>1416.57</v>
      </c>
      <c r="J206" s="8">
        <f t="shared" si="12"/>
        <v>9426.3114848043006</v>
      </c>
      <c r="K206" s="7" t="str">
        <f t="shared" si="13"/>
        <v>PTO-0407|MAT</v>
      </c>
      <c r="L206" s="7">
        <f>COUNTIFS($K$2:K206,K206)</f>
        <v>2</v>
      </c>
      <c r="M206" s="7" t="str">
        <f t="shared" si="14"/>
        <v>PTO-0407|MAT|2</v>
      </c>
      <c r="N206" s="7">
        <f>IFERROR(VLOOKUP(A206,PARTIDAS!A:F,6,FALSE),0)</f>
        <v>1</v>
      </c>
      <c r="O206" s="7">
        <f t="shared" si="15"/>
        <v>0</v>
      </c>
      <c r="P206" s="7">
        <f>IFERROR(_xlfn.XLOOKUP(A206,PPTO_GENERADOR!$Q:$Q,PPTO_GENERADOR!$E:$E,"-",0),"-")</f>
        <v>81</v>
      </c>
    </row>
    <row r="207" spans="1:16" x14ac:dyDescent="0.35">
      <c r="A207" s="5" t="s">
        <v>882</v>
      </c>
      <c r="B207" s="5" t="s">
        <v>1203</v>
      </c>
      <c r="C207" s="5" t="s">
        <v>1199</v>
      </c>
      <c r="D207" s="5" t="s">
        <v>98</v>
      </c>
      <c r="E207" s="7" t="str">
        <f>IFERROR(VLOOKUP(D207,MATERIALES!A:B,2,FALSE),"?")</f>
        <v>H13 6.20</v>
      </c>
      <c r="F207" s="5"/>
      <c r="G207" s="11">
        <v>1.234568E-2</v>
      </c>
      <c r="H207" s="12">
        <v>0</v>
      </c>
      <c r="I207" s="7">
        <f>IFERROR(VLOOKUP(D207,MATERIALES!A:D,4,FALSE),0)</f>
        <v>115100</v>
      </c>
      <c r="J207" s="8">
        <f t="shared" si="12"/>
        <v>1420.987768</v>
      </c>
      <c r="K207" s="7" t="str">
        <f t="shared" si="13"/>
        <v>PTO-0407|MAT</v>
      </c>
      <c r="L207" s="7">
        <f>COUNTIFS($K$2:K207,K207)</f>
        <v>3</v>
      </c>
      <c r="M207" s="7" t="str">
        <f t="shared" si="14"/>
        <v>PTO-0407|MAT|3</v>
      </c>
      <c r="N207" s="7">
        <f>IFERROR(VLOOKUP(A207,PARTIDAS!A:F,6,FALSE),0)</f>
        <v>1</v>
      </c>
      <c r="O207" s="7">
        <f t="shared" si="15"/>
        <v>0</v>
      </c>
      <c r="P207" s="7">
        <f>IFERROR(_xlfn.XLOOKUP(A207,PPTO_GENERADOR!$Q:$Q,PPTO_GENERADOR!$E:$E,"-",0),"-")</f>
        <v>81</v>
      </c>
    </row>
    <row r="208" spans="1:16" x14ac:dyDescent="0.35">
      <c r="A208" s="5" t="s">
        <v>882</v>
      </c>
      <c r="B208" s="5" t="s">
        <v>1198</v>
      </c>
      <c r="C208" s="5" t="s">
        <v>1201</v>
      </c>
      <c r="D208" s="5" t="s">
        <v>481</v>
      </c>
      <c r="E208" s="7" t="str">
        <f>IFERROR(VLOOKUP(D208,MANO_DE_OBRA!A:B,2,FALSE),"?")</f>
        <v>OFICIAL</v>
      </c>
      <c r="F208" s="5" t="s">
        <v>1200</v>
      </c>
      <c r="G208" s="11">
        <v>4.9382719999999998E-2</v>
      </c>
      <c r="H208" s="12">
        <v>0</v>
      </c>
      <c r="I208" s="7">
        <f>IFERROR(VLOOKUP(D208,MANO_DE_OBRA!A:C,3,FALSE),0)</f>
        <v>65360.25</v>
      </c>
      <c r="J208" s="8">
        <f t="shared" si="12"/>
        <v>3227.6669248799999</v>
      </c>
      <c r="K208" s="7" t="str">
        <f t="shared" si="13"/>
        <v>PTO-0407|MO</v>
      </c>
      <c r="L208" s="7">
        <f>COUNTIFS($K$2:K208,K208)</f>
        <v>1</v>
      </c>
      <c r="M208" s="7" t="str">
        <f t="shared" si="14"/>
        <v>PTO-0407|MO|1</v>
      </c>
      <c r="N208" s="7">
        <f>IFERROR(VLOOKUP(A208,PARTIDAS!A:F,6,FALSE),0)</f>
        <v>1</v>
      </c>
      <c r="O208" s="7">
        <f t="shared" si="15"/>
        <v>4.9382719999999998E-2</v>
      </c>
      <c r="P208" s="7">
        <f>IFERROR(_xlfn.XLOOKUP(A208,PPTO_GENERADOR!$Q:$Q,PPTO_GENERADOR!$E:$E,"-",0),"-")</f>
        <v>81</v>
      </c>
    </row>
    <row r="209" spans="1:16" x14ac:dyDescent="0.35">
      <c r="A209" s="5" t="s">
        <v>882</v>
      </c>
      <c r="B209" s="5" t="s">
        <v>1198</v>
      </c>
      <c r="C209" s="5" t="s">
        <v>1201</v>
      </c>
      <c r="D209" s="5" t="s">
        <v>475</v>
      </c>
      <c r="E209" s="7" t="str">
        <f>IFERROR(VLOOKUP(D209,MANO_DE_OBRA!A:B,2,FALSE),"?")</f>
        <v>AYUDANTE</v>
      </c>
      <c r="F209" s="5" t="s">
        <v>1200</v>
      </c>
      <c r="G209" s="11">
        <v>7.4074070000000006E-2</v>
      </c>
      <c r="H209" s="12">
        <v>0</v>
      </c>
      <c r="I209" s="7">
        <f>IFERROR(VLOOKUP(D209,MANO_DE_OBRA!A:C,3,FALSE),0)</f>
        <v>49934.239999999998</v>
      </c>
      <c r="J209" s="8">
        <f t="shared" si="12"/>
        <v>3698.8323891568002</v>
      </c>
      <c r="K209" s="7" t="str">
        <f t="shared" si="13"/>
        <v>PTO-0407|MO</v>
      </c>
      <c r="L209" s="7">
        <f>COUNTIFS($K$2:K209,K209)</f>
        <v>2</v>
      </c>
      <c r="M209" s="7" t="str">
        <f t="shared" si="14"/>
        <v>PTO-0407|MO|2</v>
      </c>
      <c r="N209" s="7">
        <f>IFERROR(VLOOKUP(A209,PARTIDAS!A:F,6,FALSE),0)</f>
        <v>1</v>
      </c>
      <c r="O209" s="7">
        <f t="shared" si="15"/>
        <v>7.4074070000000006E-2</v>
      </c>
      <c r="P209" s="7">
        <f>IFERROR(_xlfn.XLOOKUP(A209,PPTO_GENERADOR!$Q:$Q,PPTO_GENERADOR!$E:$E,"-",0),"-")</f>
        <v>81</v>
      </c>
    </row>
    <row r="210" spans="1:16" x14ac:dyDescent="0.35">
      <c r="A210" s="5" t="s">
        <v>882</v>
      </c>
      <c r="B210" s="5" t="s">
        <v>1202</v>
      </c>
      <c r="C210" s="5"/>
      <c r="D210" s="5" t="s">
        <v>531</v>
      </c>
      <c r="E210" s="7" t="str">
        <f>IFERROR(VLOOKUP(D210,EQUIPOS!A:B,2,FALSE),"?")</f>
        <v>Herramientas/consumibles - Cordón de hormigón en umbrales carpinter</v>
      </c>
      <c r="F210" s="5"/>
      <c r="G210" s="11">
        <v>1</v>
      </c>
      <c r="H210" s="12">
        <v>0</v>
      </c>
      <c r="I210" s="7">
        <f>IFERROR(VLOOKUP(D210,EQUIPOS!A:C,3,FALSE),0)</f>
        <v>364.35939999999999</v>
      </c>
      <c r="J210" s="8">
        <f t="shared" si="12"/>
        <v>364.35939999999999</v>
      </c>
      <c r="K210" s="7" t="str">
        <f t="shared" si="13"/>
        <v>PTO-0407|EQ</v>
      </c>
      <c r="L210" s="7">
        <f>COUNTIFS($K$2:K210,K210)</f>
        <v>1</v>
      </c>
      <c r="M210" s="7" t="str">
        <f t="shared" si="14"/>
        <v>PTO-0407|EQ|1</v>
      </c>
      <c r="N210" s="7">
        <f>IFERROR(VLOOKUP(A210,PARTIDAS!A:F,6,FALSE),0)</f>
        <v>1</v>
      </c>
      <c r="O210" s="7">
        <f t="shared" si="15"/>
        <v>0</v>
      </c>
      <c r="P210" s="7">
        <f>IFERROR(_xlfn.XLOOKUP(A210,PPTO_GENERADOR!$Q:$Q,PPTO_GENERADOR!$E:$E,"-",0),"-")</f>
        <v>81</v>
      </c>
    </row>
    <row r="211" spans="1:16" x14ac:dyDescent="0.35">
      <c r="A211" s="5" t="s">
        <v>882</v>
      </c>
      <c r="B211" s="5" t="s">
        <v>1203</v>
      </c>
      <c r="C211" s="5" t="s">
        <v>1204</v>
      </c>
      <c r="D211" s="5" t="s">
        <v>468</v>
      </c>
      <c r="E211" s="7" t="str">
        <f>IFERROR(VLOOKUP(D211,MATERIALES!A:B,2,FALSE),"?")</f>
        <v>Consumibles</v>
      </c>
      <c r="F211" s="5"/>
      <c r="G211" s="11">
        <v>1578.5598</v>
      </c>
      <c r="H211" s="12">
        <v>0</v>
      </c>
      <c r="I211" s="7">
        <f>IFERROR(VLOOKUP(D211,MATERIALES!A:D,4,FALSE),0)</f>
        <v>1</v>
      </c>
      <c r="J211" s="8">
        <f t="shared" si="12"/>
        <v>1578.5598</v>
      </c>
      <c r="K211" s="7" t="str">
        <f t="shared" si="13"/>
        <v>PTO-0407|MAT</v>
      </c>
      <c r="L211" s="7">
        <f>COUNTIFS($K$2:K211,K211)</f>
        <v>4</v>
      </c>
      <c r="M211" s="7" t="str">
        <f t="shared" si="14"/>
        <v>PTO-0407|MAT|4</v>
      </c>
      <c r="N211" s="7">
        <f>IFERROR(VLOOKUP(A211,PARTIDAS!A:F,6,FALSE),0)</f>
        <v>1</v>
      </c>
      <c r="O211" s="7">
        <f t="shared" si="15"/>
        <v>0</v>
      </c>
      <c r="P211" s="7">
        <f>IFERROR(_xlfn.XLOOKUP(A211,PPTO_GENERADOR!$Q:$Q,PPTO_GENERADOR!$E:$E,"-",0),"-")</f>
        <v>81</v>
      </c>
    </row>
    <row r="212" spans="1:16" x14ac:dyDescent="0.35">
      <c r="A212" s="5" t="s">
        <v>884</v>
      </c>
      <c r="B212" s="5" t="s">
        <v>1203</v>
      </c>
      <c r="C212" s="5" t="s">
        <v>1199</v>
      </c>
      <c r="D212" s="5" t="s">
        <v>154</v>
      </c>
      <c r="E212" s="7" t="str">
        <f>IFERROR(VLOOKUP(D212,MATERIALES!A:B,2,FALSE),"?")</f>
        <v>H30 6.20</v>
      </c>
      <c r="F212" s="5"/>
      <c r="G212" s="11">
        <v>1.002</v>
      </c>
      <c r="H212" s="12">
        <v>0</v>
      </c>
      <c r="I212" s="7">
        <f>IFERROR(VLOOKUP(D212,MATERIALES!A:D,4,FALSE),0)</f>
        <v>125000</v>
      </c>
      <c r="J212" s="8">
        <f t="shared" si="12"/>
        <v>125250</v>
      </c>
      <c r="K212" s="7" t="str">
        <f t="shared" si="13"/>
        <v>PTO-0408|MAT</v>
      </c>
      <c r="L212" s="7">
        <f>COUNTIFS($K$2:K212,K212)</f>
        <v>1</v>
      </c>
      <c r="M212" s="7" t="str">
        <f t="shared" si="14"/>
        <v>PTO-0408|MAT|1</v>
      </c>
      <c r="N212" s="7">
        <f>IFERROR(VLOOKUP(A212,PARTIDAS!A:F,6,FALSE),0)</f>
        <v>1</v>
      </c>
      <c r="O212" s="7">
        <f t="shared" si="15"/>
        <v>0</v>
      </c>
      <c r="P212" s="7">
        <f>IFERROR(_xlfn.XLOOKUP(A212,PPTO_GENERADOR!$Q:$Q,PPTO_GENERADOR!$E:$E,"-",0),"-")</f>
        <v>1</v>
      </c>
    </row>
    <row r="213" spans="1:16" x14ac:dyDescent="0.35">
      <c r="A213" s="5" t="s">
        <v>884</v>
      </c>
      <c r="B213" s="5" t="s">
        <v>1203</v>
      </c>
      <c r="C213" s="5" t="s">
        <v>1199</v>
      </c>
      <c r="D213" s="5" t="s">
        <v>156</v>
      </c>
      <c r="E213" s="7" t="str">
        <f>IFERROR(VLOOKUP(D213,MATERIALES!A:B,2,FALSE),"?")</f>
        <v>Precio fenolico comun e: 18 mm</v>
      </c>
      <c r="F213" s="5"/>
      <c r="G213" s="11">
        <v>3.0905670500000002</v>
      </c>
      <c r="H213" s="12">
        <v>0</v>
      </c>
      <c r="I213" s="7">
        <f>IFERROR(VLOOKUP(D213,MATERIALES!A:D,4,FALSE),0)</f>
        <v>26322.68</v>
      </c>
      <c r="J213" s="8">
        <f t="shared" si="12"/>
        <v>81352.007475694001</v>
      </c>
      <c r="K213" s="7" t="str">
        <f t="shared" si="13"/>
        <v>PTO-0408|MAT</v>
      </c>
      <c r="L213" s="7">
        <f>COUNTIFS($K$2:K213,K213)</f>
        <v>2</v>
      </c>
      <c r="M213" s="7" t="str">
        <f t="shared" si="14"/>
        <v>PTO-0408|MAT|2</v>
      </c>
      <c r="N213" s="7">
        <f>IFERROR(VLOOKUP(A213,PARTIDAS!A:F,6,FALSE),0)</f>
        <v>1</v>
      </c>
      <c r="O213" s="7">
        <f t="shared" si="15"/>
        <v>0</v>
      </c>
      <c r="P213" s="7">
        <f>IFERROR(_xlfn.XLOOKUP(A213,PPTO_GENERADOR!$Q:$Q,PPTO_GENERADOR!$E:$E,"-",0),"-")</f>
        <v>1</v>
      </c>
    </row>
    <row r="214" spans="1:16" x14ac:dyDescent="0.35">
      <c r="A214" s="5" t="s">
        <v>884</v>
      </c>
      <c r="B214" s="5" t="s">
        <v>1203</v>
      </c>
      <c r="C214" s="5" t="s">
        <v>1199</v>
      </c>
      <c r="D214" s="5" t="s">
        <v>152</v>
      </c>
      <c r="E214" s="7" t="str">
        <f>IFERROR(VLOOKUP(D214,MATERIALES!A:B,2,FALSE),"?")</f>
        <v>Hierro del 6</v>
      </c>
      <c r="F214" s="5"/>
      <c r="G214" s="11">
        <v>90.18</v>
      </c>
      <c r="H214" s="12">
        <v>0</v>
      </c>
      <c r="I214" s="7">
        <f>IFERROR(VLOOKUP(D214,MATERIALES!A:D,4,FALSE),0)</f>
        <v>1416.57</v>
      </c>
      <c r="J214" s="8">
        <f t="shared" si="12"/>
        <v>127746.28260000001</v>
      </c>
      <c r="K214" s="7" t="str">
        <f t="shared" si="13"/>
        <v>PTO-0408|MAT</v>
      </c>
      <c r="L214" s="7">
        <f>COUNTIFS($K$2:K214,K214)</f>
        <v>3</v>
      </c>
      <c r="M214" s="7" t="str">
        <f t="shared" si="14"/>
        <v>PTO-0408|MAT|3</v>
      </c>
      <c r="N214" s="7">
        <f>IFERROR(VLOOKUP(A214,PARTIDAS!A:F,6,FALSE),0)</f>
        <v>1</v>
      </c>
      <c r="O214" s="7">
        <f t="shared" si="15"/>
        <v>0</v>
      </c>
      <c r="P214" s="7">
        <f>IFERROR(_xlfn.XLOOKUP(A214,PPTO_GENERADOR!$Q:$Q,PPTO_GENERADOR!$E:$E,"-",0),"-")</f>
        <v>1</v>
      </c>
    </row>
    <row r="215" spans="1:16" x14ac:dyDescent="0.35">
      <c r="A215" s="5" t="s">
        <v>884</v>
      </c>
      <c r="B215" s="5" t="s">
        <v>1203</v>
      </c>
      <c r="C215" s="5" t="s">
        <v>1199</v>
      </c>
      <c r="D215" s="5" t="s">
        <v>157</v>
      </c>
      <c r="E215" s="7" t="str">
        <f>IFERROR(VLOOKUP(D215,MATERIALES!A:B,2,FALSE),"?")</f>
        <v>Impermeabilizazión - Sika monotop 107</v>
      </c>
      <c r="F215" s="5"/>
      <c r="G215" s="11">
        <v>1</v>
      </c>
      <c r="H215" s="12">
        <v>0</v>
      </c>
      <c r="I215" s="7">
        <f>IFERROR(VLOOKUP(D215,MATERIALES!A:D,4,FALSE),0)</f>
        <v>50000</v>
      </c>
      <c r="J215" s="8">
        <f t="shared" si="12"/>
        <v>50000</v>
      </c>
      <c r="K215" s="7" t="str">
        <f t="shared" si="13"/>
        <v>PTO-0408|MAT</v>
      </c>
      <c r="L215" s="7">
        <f>COUNTIFS($K$2:K215,K215)</f>
        <v>4</v>
      </c>
      <c r="M215" s="7" t="str">
        <f t="shared" si="14"/>
        <v>PTO-0408|MAT|4</v>
      </c>
      <c r="N215" s="7">
        <f>IFERROR(VLOOKUP(A215,PARTIDAS!A:F,6,FALSE),0)</f>
        <v>1</v>
      </c>
      <c r="O215" s="7">
        <f t="shared" si="15"/>
        <v>0</v>
      </c>
      <c r="P215" s="7">
        <f>IFERROR(_xlfn.XLOOKUP(A215,PPTO_GENERADOR!$Q:$Q,PPTO_GENERADOR!$E:$E,"-",0),"-")</f>
        <v>1</v>
      </c>
    </row>
    <row r="216" spans="1:16" x14ac:dyDescent="0.35">
      <c r="A216" s="5" t="s">
        <v>884</v>
      </c>
      <c r="B216" s="5" t="s">
        <v>1198</v>
      </c>
      <c r="C216" s="5" t="s">
        <v>1201</v>
      </c>
      <c r="D216" s="5" t="s">
        <v>481</v>
      </c>
      <c r="E216" s="7" t="str">
        <f>IFERROR(VLOOKUP(D216,MANO_DE_OBRA!A:B,2,FALSE),"?")</f>
        <v>OFICIAL</v>
      </c>
      <c r="F216" s="5" t="s">
        <v>1200</v>
      </c>
      <c r="G216" s="11">
        <v>5</v>
      </c>
      <c r="H216" s="12">
        <v>0</v>
      </c>
      <c r="I216" s="7">
        <f>IFERROR(VLOOKUP(D216,MANO_DE_OBRA!A:C,3,FALSE),0)</f>
        <v>65360.25</v>
      </c>
      <c r="J216" s="8">
        <f t="shared" si="12"/>
        <v>326801.25</v>
      </c>
      <c r="K216" s="7" t="str">
        <f t="shared" si="13"/>
        <v>PTO-0408|MO</v>
      </c>
      <c r="L216" s="7">
        <f>COUNTIFS($K$2:K216,K216)</f>
        <v>1</v>
      </c>
      <c r="M216" s="7" t="str">
        <f t="shared" si="14"/>
        <v>PTO-0408|MO|1</v>
      </c>
      <c r="N216" s="7">
        <f>IFERROR(VLOOKUP(A216,PARTIDAS!A:F,6,FALSE),0)</f>
        <v>1</v>
      </c>
      <c r="O216" s="7">
        <f t="shared" si="15"/>
        <v>5</v>
      </c>
      <c r="P216" s="7">
        <f>IFERROR(_xlfn.XLOOKUP(A216,PPTO_GENERADOR!$Q:$Q,PPTO_GENERADOR!$E:$E,"-",0),"-")</f>
        <v>1</v>
      </c>
    </row>
    <row r="217" spans="1:16" x14ac:dyDescent="0.35">
      <c r="A217" s="5" t="s">
        <v>884</v>
      </c>
      <c r="B217" s="5" t="s">
        <v>1198</v>
      </c>
      <c r="C217" s="5" t="s">
        <v>1201</v>
      </c>
      <c r="D217" s="5" t="s">
        <v>475</v>
      </c>
      <c r="E217" s="7" t="str">
        <f>IFERROR(VLOOKUP(D217,MANO_DE_OBRA!A:B,2,FALSE),"?")</f>
        <v>AYUDANTE</v>
      </c>
      <c r="F217" s="5" t="s">
        <v>1200</v>
      </c>
      <c r="G217" s="11">
        <v>2</v>
      </c>
      <c r="H217" s="12">
        <v>0</v>
      </c>
      <c r="I217" s="7">
        <f>IFERROR(VLOOKUP(D217,MANO_DE_OBRA!A:C,3,FALSE),0)</f>
        <v>49934.239999999998</v>
      </c>
      <c r="J217" s="8">
        <f t="shared" si="12"/>
        <v>99868.479999999996</v>
      </c>
      <c r="K217" s="7" t="str">
        <f t="shared" si="13"/>
        <v>PTO-0408|MO</v>
      </c>
      <c r="L217" s="7">
        <f>COUNTIFS($K$2:K217,K217)</f>
        <v>2</v>
      </c>
      <c r="M217" s="7" t="str">
        <f t="shared" si="14"/>
        <v>PTO-0408|MO|2</v>
      </c>
      <c r="N217" s="7">
        <f>IFERROR(VLOOKUP(A217,PARTIDAS!A:F,6,FALSE),0)</f>
        <v>1</v>
      </c>
      <c r="O217" s="7">
        <f t="shared" si="15"/>
        <v>2</v>
      </c>
      <c r="P217" s="7">
        <f>IFERROR(_xlfn.XLOOKUP(A217,PPTO_GENERADOR!$Q:$Q,PPTO_GENERADOR!$E:$E,"-",0),"-")</f>
        <v>1</v>
      </c>
    </row>
    <row r="218" spans="1:16" x14ac:dyDescent="0.35">
      <c r="A218" s="5" t="s">
        <v>884</v>
      </c>
      <c r="B218" s="5" t="s">
        <v>1202</v>
      </c>
      <c r="C218" s="5"/>
      <c r="D218" s="5" t="s">
        <v>533</v>
      </c>
      <c r="E218" s="7" t="str">
        <f>IFERROR(VLOOKUP(D218,EQUIPOS!A:B,2,FALSE),"?")</f>
        <v>Herramientas/consumibles - Pozo de bombeo pluvial y cloacal</v>
      </c>
      <c r="F218" s="5"/>
      <c r="G218" s="11">
        <v>1</v>
      </c>
      <c r="H218" s="12">
        <v>0</v>
      </c>
      <c r="I218" s="7">
        <f>IFERROR(VLOOKUP(D218,EQUIPOS!A:C,3,FALSE),0)</f>
        <v>13168.315000000001</v>
      </c>
      <c r="J218" s="8">
        <f t="shared" si="12"/>
        <v>13168.315000000001</v>
      </c>
      <c r="K218" s="7" t="str">
        <f t="shared" si="13"/>
        <v>PTO-0408|EQ</v>
      </c>
      <c r="L218" s="7">
        <f>COUNTIFS($K$2:K218,K218)</f>
        <v>1</v>
      </c>
      <c r="M218" s="7" t="str">
        <f t="shared" si="14"/>
        <v>PTO-0408|EQ|1</v>
      </c>
      <c r="N218" s="7">
        <f>IFERROR(VLOOKUP(A218,PARTIDAS!A:F,6,FALSE),0)</f>
        <v>1</v>
      </c>
      <c r="O218" s="7">
        <f t="shared" si="15"/>
        <v>0</v>
      </c>
      <c r="P218" s="7">
        <f>IFERROR(_xlfn.XLOOKUP(A218,PPTO_GENERADOR!$Q:$Q,PPTO_GENERADOR!$E:$E,"-",0),"-")</f>
        <v>1</v>
      </c>
    </row>
    <row r="219" spans="1:16" x14ac:dyDescent="0.35">
      <c r="A219" s="5" t="s">
        <v>884</v>
      </c>
      <c r="B219" s="5" t="s">
        <v>1203</v>
      </c>
      <c r="C219" s="5" t="s">
        <v>1204</v>
      </c>
      <c r="D219" s="5" t="s">
        <v>468</v>
      </c>
      <c r="E219" s="7" t="str">
        <f>IFERROR(VLOOKUP(D219,MATERIALES!A:B,2,FALSE),"?")</f>
        <v>Consumibles</v>
      </c>
      <c r="F219" s="5"/>
      <c r="G219" s="11">
        <v>66869.657999999996</v>
      </c>
      <c r="H219" s="12">
        <v>0</v>
      </c>
      <c r="I219" s="7">
        <f>IFERROR(VLOOKUP(D219,MATERIALES!A:D,4,FALSE),0)</f>
        <v>1</v>
      </c>
      <c r="J219" s="8">
        <f t="shared" si="12"/>
        <v>66869.657999999996</v>
      </c>
      <c r="K219" s="7" t="str">
        <f t="shared" si="13"/>
        <v>PTO-0408|MAT</v>
      </c>
      <c r="L219" s="7">
        <f>COUNTIFS($K$2:K219,K219)</f>
        <v>5</v>
      </c>
      <c r="M219" s="7" t="str">
        <f t="shared" si="14"/>
        <v>PTO-0408|MAT|5</v>
      </c>
      <c r="N219" s="7">
        <f>IFERROR(VLOOKUP(A219,PARTIDAS!A:F,6,FALSE),0)</f>
        <v>1</v>
      </c>
      <c r="O219" s="7">
        <f t="shared" si="15"/>
        <v>0</v>
      </c>
      <c r="P219" s="7">
        <f>IFERROR(_xlfn.XLOOKUP(A219,PPTO_GENERADOR!$Q:$Q,PPTO_GENERADOR!$E:$E,"-",0),"-")</f>
        <v>1</v>
      </c>
    </row>
    <row r="220" spans="1:16" x14ac:dyDescent="0.35">
      <c r="A220" s="5" t="s">
        <v>887</v>
      </c>
      <c r="B220" s="5" t="s">
        <v>1203</v>
      </c>
      <c r="C220" s="5" t="s">
        <v>1205</v>
      </c>
      <c r="D220" s="5" t="s">
        <v>159</v>
      </c>
      <c r="E220" s="7" t="str">
        <f>IFERROR(VLOOKUP(D220,MATERIALES!A:B,2,FALSE),"?")</f>
        <v>Pintura Asfaltica Asfasol x18ts</v>
      </c>
      <c r="F220" s="5"/>
      <c r="G220" s="11">
        <v>2.7777779999999998E-2</v>
      </c>
      <c r="H220" s="12">
        <v>0.1</v>
      </c>
      <c r="I220" s="7">
        <f>IFERROR(VLOOKUP(D220,MATERIALES!A:D,4,FALSE),0)</f>
        <v>32845.78</v>
      </c>
      <c r="J220" s="8">
        <f t="shared" si="12"/>
        <v>1003.6211358452399</v>
      </c>
      <c r="K220" s="7" t="str">
        <f t="shared" si="13"/>
        <v>PTO-0501|MAT</v>
      </c>
      <c r="L220" s="7">
        <f>COUNTIFS($K$2:K220,K220)</f>
        <v>1</v>
      </c>
      <c r="M220" s="7" t="str">
        <f t="shared" si="14"/>
        <v>PTO-0501|MAT|1</v>
      </c>
      <c r="N220" s="7">
        <f>IFERROR(VLOOKUP(A220,PARTIDAS!A:F,6,FALSE),0)</f>
        <v>1</v>
      </c>
      <c r="O220" s="7">
        <f t="shared" si="15"/>
        <v>0</v>
      </c>
      <c r="P220" s="7">
        <f>IFERROR(_xlfn.XLOOKUP(A220,PPTO_GENERADOR!$Q:$Q,PPTO_GENERADOR!$E:$E,"-",0),"-")</f>
        <v>139.05000000000001</v>
      </c>
    </row>
    <row r="221" spans="1:16" x14ac:dyDescent="0.35">
      <c r="A221" s="5" t="s">
        <v>887</v>
      </c>
      <c r="B221" s="5" t="s">
        <v>1203</v>
      </c>
      <c r="C221" s="5" t="s">
        <v>1205</v>
      </c>
      <c r="D221" s="5" t="s">
        <v>161</v>
      </c>
      <c r="E221" s="7" t="str">
        <f>IFERROR(VLOOKUP(D221,MATERIALES!A:B,2,FALSE),"?")</f>
        <v>Membrana Geotextil Ormiflex 4mm - (35kg) x10m</v>
      </c>
      <c r="F221" s="5"/>
      <c r="G221" s="11">
        <v>0.1</v>
      </c>
      <c r="H221" s="12">
        <v>0.1</v>
      </c>
      <c r="I221" s="7">
        <f>IFERROR(VLOOKUP(D221,MATERIALES!A:D,4,FALSE),0)</f>
        <v>70192.210000000006</v>
      </c>
      <c r="J221" s="8">
        <f t="shared" si="12"/>
        <v>7721.1431000000021</v>
      </c>
      <c r="K221" s="7" t="str">
        <f t="shared" si="13"/>
        <v>PTO-0501|MAT</v>
      </c>
      <c r="L221" s="7">
        <f>COUNTIFS($K$2:K221,K221)</f>
        <v>2</v>
      </c>
      <c r="M221" s="7" t="str">
        <f t="shared" si="14"/>
        <v>PTO-0501|MAT|2</v>
      </c>
      <c r="N221" s="7">
        <f>IFERROR(VLOOKUP(A221,PARTIDAS!A:F,6,FALSE),0)</f>
        <v>1</v>
      </c>
      <c r="O221" s="7">
        <f t="shared" si="15"/>
        <v>0</v>
      </c>
      <c r="P221" s="7">
        <f>IFERROR(_xlfn.XLOOKUP(A221,PPTO_GENERADOR!$Q:$Q,PPTO_GENERADOR!$E:$E,"-",0),"-")</f>
        <v>139.05000000000001</v>
      </c>
    </row>
    <row r="222" spans="1:16" x14ac:dyDescent="0.35">
      <c r="A222" s="5" t="s">
        <v>887</v>
      </c>
      <c r="B222" s="5" t="s">
        <v>1203</v>
      </c>
      <c r="C222" s="5" t="s">
        <v>1205</v>
      </c>
      <c r="D222" s="5" t="s">
        <v>163</v>
      </c>
      <c r="E222" s="7" t="str">
        <f>IFERROR(VLOOKUP(D222,MATERIALES!A:B,2,FALSE),"?")</f>
        <v>Rodillo de lana pelo largo N°22 - El Galgo</v>
      </c>
      <c r="F222" s="5"/>
      <c r="G222" s="11">
        <v>0.01</v>
      </c>
      <c r="H222" s="12">
        <v>0.05</v>
      </c>
      <c r="I222" s="7">
        <f>IFERROR(VLOOKUP(D222,MATERIALES!A:D,4,FALSE),0)</f>
        <v>7268.97</v>
      </c>
      <c r="J222" s="8">
        <f t="shared" si="12"/>
        <v>76.324185</v>
      </c>
      <c r="K222" s="7" t="str">
        <f t="shared" si="13"/>
        <v>PTO-0501|MAT</v>
      </c>
      <c r="L222" s="7">
        <f>COUNTIFS($K$2:K222,K222)</f>
        <v>3</v>
      </c>
      <c r="M222" s="7" t="str">
        <f t="shared" si="14"/>
        <v>PTO-0501|MAT|3</v>
      </c>
      <c r="N222" s="7">
        <f>IFERROR(VLOOKUP(A222,PARTIDAS!A:F,6,FALSE),0)</f>
        <v>1</v>
      </c>
      <c r="O222" s="7">
        <f t="shared" si="15"/>
        <v>0</v>
      </c>
      <c r="P222" s="7">
        <f>IFERROR(_xlfn.XLOOKUP(A222,PPTO_GENERADOR!$Q:$Q,PPTO_GENERADOR!$E:$E,"-",0),"-")</f>
        <v>139.05000000000001</v>
      </c>
    </row>
    <row r="223" spans="1:16" x14ac:dyDescent="0.35">
      <c r="A223" s="5" t="s">
        <v>887</v>
      </c>
      <c r="B223" s="5" t="s">
        <v>1203</v>
      </c>
      <c r="C223" s="5" t="s">
        <v>1205</v>
      </c>
      <c r="D223" s="5" t="s">
        <v>165</v>
      </c>
      <c r="E223" s="7" t="str">
        <f>IFERROR(VLOOKUP(D223,MATERIALES!A:B,2,FALSE),"?")</f>
        <v>Pincel N° 20 - El Galgo</v>
      </c>
      <c r="F223" s="5"/>
      <c r="G223" s="11">
        <v>0.02</v>
      </c>
      <c r="H223" s="12">
        <v>0.05</v>
      </c>
      <c r="I223" s="7">
        <f>IFERROR(VLOOKUP(D223,MATERIALES!A:D,4,FALSE),0)</f>
        <v>5452.63</v>
      </c>
      <c r="J223" s="8">
        <f t="shared" si="12"/>
        <v>114.50523</v>
      </c>
      <c r="K223" s="7" t="str">
        <f t="shared" si="13"/>
        <v>PTO-0501|MAT</v>
      </c>
      <c r="L223" s="7">
        <f>COUNTIFS($K$2:K223,K223)</f>
        <v>4</v>
      </c>
      <c r="M223" s="7" t="str">
        <f t="shared" si="14"/>
        <v>PTO-0501|MAT|4</v>
      </c>
      <c r="N223" s="7">
        <f>IFERROR(VLOOKUP(A223,PARTIDAS!A:F,6,FALSE),0)</f>
        <v>1</v>
      </c>
      <c r="O223" s="7">
        <f t="shared" si="15"/>
        <v>0</v>
      </c>
      <c r="P223" s="7">
        <f>IFERROR(_xlfn.XLOOKUP(A223,PPTO_GENERADOR!$Q:$Q,PPTO_GENERADOR!$E:$E,"-",0),"-")</f>
        <v>139.05000000000001</v>
      </c>
    </row>
    <row r="224" spans="1:16" x14ac:dyDescent="0.35">
      <c r="A224" s="5" t="s">
        <v>887</v>
      </c>
      <c r="B224" s="5" t="s">
        <v>1203</v>
      </c>
      <c r="C224" s="5" t="s">
        <v>1205</v>
      </c>
      <c r="D224" s="5" t="s">
        <v>167</v>
      </c>
      <c r="E224" s="7" t="str">
        <f>IFERROR(VLOOKUP(D224,MATERIALES!A:B,2,FALSE),"?")</f>
        <v>Aguarras Hydrarras Hydra x 18lts</v>
      </c>
      <c r="F224" s="5"/>
      <c r="G224" s="11">
        <v>0.01</v>
      </c>
      <c r="H224" s="12">
        <v>0.05</v>
      </c>
      <c r="I224" s="7">
        <f>IFERROR(VLOOKUP(D224,MATERIALES!A:D,4,FALSE),0)</f>
        <v>29726.19</v>
      </c>
      <c r="J224" s="8">
        <f t="shared" si="12"/>
        <v>312.12499499999996</v>
      </c>
      <c r="K224" s="7" t="str">
        <f t="shared" si="13"/>
        <v>PTO-0501|MAT</v>
      </c>
      <c r="L224" s="7">
        <f>COUNTIFS($K$2:K224,K224)</f>
        <v>5</v>
      </c>
      <c r="M224" s="7" t="str">
        <f t="shared" si="14"/>
        <v>PTO-0501|MAT|5</v>
      </c>
      <c r="N224" s="7">
        <f>IFERROR(VLOOKUP(A224,PARTIDAS!A:F,6,FALSE),0)</f>
        <v>1</v>
      </c>
      <c r="O224" s="7">
        <f t="shared" si="15"/>
        <v>0</v>
      </c>
      <c r="P224" s="7">
        <f>IFERROR(_xlfn.XLOOKUP(A224,PPTO_GENERADOR!$Q:$Q,PPTO_GENERADOR!$E:$E,"-",0),"-")</f>
        <v>139.05000000000001</v>
      </c>
    </row>
    <row r="225" spans="1:16" x14ac:dyDescent="0.35">
      <c r="A225" s="5" t="s">
        <v>887</v>
      </c>
      <c r="B225" s="5" t="s">
        <v>1203</v>
      </c>
      <c r="C225" s="5" t="s">
        <v>1205</v>
      </c>
      <c r="D225" s="5" t="s">
        <v>169</v>
      </c>
      <c r="E225" s="7" t="str">
        <f>IFERROR(VLOOKUP(D225,MATERIALES!A:B,2,FALSE),"?")</f>
        <v>Trapo</v>
      </c>
      <c r="F225" s="5"/>
      <c r="G225" s="11">
        <v>0.02</v>
      </c>
      <c r="H225" s="12">
        <v>0.05</v>
      </c>
      <c r="I225" s="7">
        <f>IFERROR(VLOOKUP(D225,MATERIALES!A:D,4,FALSE),0)</f>
        <v>784.06</v>
      </c>
      <c r="J225" s="8">
        <f t="shared" si="12"/>
        <v>16.465260000000001</v>
      </c>
      <c r="K225" s="7" t="str">
        <f t="shared" si="13"/>
        <v>PTO-0501|MAT</v>
      </c>
      <c r="L225" s="7">
        <f>COUNTIFS($K$2:K225,K225)</f>
        <v>6</v>
      </c>
      <c r="M225" s="7" t="str">
        <f t="shared" si="14"/>
        <v>PTO-0501|MAT|6</v>
      </c>
      <c r="N225" s="7">
        <f>IFERROR(VLOOKUP(A225,PARTIDAS!A:F,6,FALSE),0)</f>
        <v>1</v>
      </c>
      <c r="O225" s="7">
        <f t="shared" si="15"/>
        <v>0</v>
      </c>
      <c r="P225" s="7">
        <f>IFERROR(_xlfn.XLOOKUP(A225,PPTO_GENERADOR!$Q:$Q,PPTO_GENERADOR!$E:$E,"-",0),"-")</f>
        <v>139.05000000000001</v>
      </c>
    </row>
    <row r="226" spans="1:16" x14ac:dyDescent="0.35">
      <c r="A226" s="5" t="s">
        <v>887</v>
      </c>
      <c r="B226" s="5" t="s">
        <v>1203</v>
      </c>
      <c r="C226" s="5" t="s">
        <v>1205</v>
      </c>
      <c r="D226" s="5" t="s">
        <v>171</v>
      </c>
      <c r="E226" s="7" t="str">
        <f>IFERROR(VLOOKUP(D226,MATERIALES!A:B,2,FALSE),"?")</f>
        <v>Guante vaqueta medio paseo</v>
      </c>
      <c r="F226" s="5"/>
      <c r="G226" s="11">
        <v>0.06</v>
      </c>
      <c r="H226" s="12">
        <v>0.05</v>
      </c>
      <c r="I226" s="7">
        <f>IFERROR(VLOOKUP(D226,MATERIALES!A:D,4,FALSE),0)</f>
        <v>4842</v>
      </c>
      <c r="J226" s="8">
        <f t="shared" si="12"/>
        <v>305.04599999999999</v>
      </c>
      <c r="K226" s="7" t="str">
        <f t="shared" si="13"/>
        <v>PTO-0501|MAT</v>
      </c>
      <c r="L226" s="7">
        <f>COUNTIFS($K$2:K226,K226)</f>
        <v>7</v>
      </c>
      <c r="M226" s="7" t="str">
        <f t="shared" si="14"/>
        <v>PTO-0501|MAT|7</v>
      </c>
      <c r="N226" s="7">
        <f>IFERROR(VLOOKUP(A226,PARTIDAS!A:F,6,FALSE),0)</f>
        <v>1</v>
      </c>
      <c r="O226" s="7">
        <f t="shared" si="15"/>
        <v>0</v>
      </c>
      <c r="P226" s="7">
        <f>IFERROR(_xlfn.XLOOKUP(A226,PPTO_GENERADOR!$Q:$Q,PPTO_GENERADOR!$E:$E,"-",0),"-")</f>
        <v>139.05000000000001</v>
      </c>
    </row>
    <row r="227" spans="1:16" x14ac:dyDescent="0.35">
      <c r="A227" s="5" t="s">
        <v>887</v>
      </c>
      <c r="B227" s="5" t="s">
        <v>1203</v>
      </c>
      <c r="C227" s="5" t="s">
        <v>1205</v>
      </c>
      <c r="D227" s="5" t="s">
        <v>173</v>
      </c>
      <c r="E227" s="7" t="str">
        <f>IFERROR(VLOOKUP(D227,MATERIALES!A:B,2,FALSE),"?")</f>
        <v>Recarga de garrafa</v>
      </c>
      <c r="F227" s="5"/>
      <c r="G227" s="11">
        <v>0.02</v>
      </c>
      <c r="H227" s="12">
        <v>0.05</v>
      </c>
      <c r="I227" s="7">
        <f>IFERROR(VLOOKUP(D227,MATERIALES!A:D,4,FALSE),0)</f>
        <v>12396.6942</v>
      </c>
      <c r="J227" s="8">
        <f t="shared" si="12"/>
        <v>260.33057819999999</v>
      </c>
      <c r="K227" s="7" t="str">
        <f t="shared" si="13"/>
        <v>PTO-0501|MAT</v>
      </c>
      <c r="L227" s="7">
        <f>COUNTIFS($K$2:K227,K227)</f>
        <v>8</v>
      </c>
      <c r="M227" s="7" t="str">
        <f t="shared" si="14"/>
        <v>PTO-0501|MAT|8</v>
      </c>
      <c r="N227" s="7">
        <f>IFERROR(VLOOKUP(A227,PARTIDAS!A:F,6,FALSE),0)</f>
        <v>1</v>
      </c>
      <c r="O227" s="7">
        <f t="shared" si="15"/>
        <v>0</v>
      </c>
      <c r="P227" s="7">
        <f>IFERROR(_xlfn.XLOOKUP(A227,PPTO_GENERADOR!$Q:$Q,PPTO_GENERADOR!$E:$E,"-",0),"-")</f>
        <v>139.05000000000001</v>
      </c>
    </row>
    <row r="228" spans="1:16" x14ac:dyDescent="0.35">
      <c r="A228" s="5" t="s">
        <v>887</v>
      </c>
      <c r="B228" s="5" t="s">
        <v>1198</v>
      </c>
      <c r="C228" s="5" t="s">
        <v>1199</v>
      </c>
      <c r="D228" s="5" t="s">
        <v>688</v>
      </c>
      <c r="E228" s="7" t="str">
        <f>IFERROR(VLOOKUP(D228,SUBCONTRATOS_PRY!A:B,2,FALSE),"?")</f>
        <v>AYUDANTE ALBAÑIL</v>
      </c>
      <c r="F228" s="5" t="s">
        <v>1200</v>
      </c>
      <c r="G228" s="11">
        <v>0.02</v>
      </c>
      <c r="H228" s="12">
        <v>0</v>
      </c>
      <c r="I228" s="7">
        <f>IFERROR(VLOOKUP(D228,SUBCONTRATOS_PRY!A:D,4,FALSE),0)</f>
        <v>49934.237200000003</v>
      </c>
      <c r="J228" s="8">
        <f t="shared" si="12"/>
        <v>998.68474400000014</v>
      </c>
      <c r="K228" s="7" t="str">
        <f t="shared" si="13"/>
        <v>PTO-0501|MO</v>
      </c>
      <c r="L228" s="7">
        <f>COUNTIFS($K$2:K228,K228)</f>
        <v>1</v>
      </c>
      <c r="M228" s="7" t="str">
        <f t="shared" si="14"/>
        <v>PTO-0501|MO|1</v>
      </c>
      <c r="N228" s="7">
        <f>IFERROR(VLOOKUP(A228,PARTIDAS!A:F,6,FALSE),0)</f>
        <v>1</v>
      </c>
      <c r="O228" s="7">
        <f t="shared" si="15"/>
        <v>0</v>
      </c>
      <c r="P228" s="7">
        <f>IFERROR(_xlfn.XLOOKUP(A228,PPTO_GENERADOR!$Q:$Q,PPTO_GENERADOR!$E:$E,"-",0),"-")</f>
        <v>139.05000000000001</v>
      </c>
    </row>
    <row r="229" spans="1:16" x14ac:dyDescent="0.35">
      <c r="A229" s="5" t="s">
        <v>887</v>
      </c>
      <c r="B229" s="5" t="s">
        <v>1198</v>
      </c>
      <c r="C229" s="5" t="s">
        <v>1199</v>
      </c>
      <c r="D229" s="5" t="s">
        <v>686</v>
      </c>
      <c r="E229" s="7" t="str">
        <f>IFERROR(VLOOKUP(D229,SUBCONTRATOS_PRY!A:B,2,FALSE),"?")</f>
        <v>OFICIAL ESPECIALIZADO ALBAÑIL</v>
      </c>
      <c r="F229" s="5" t="s">
        <v>1200</v>
      </c>
      <c r="G229" s="11">
        <v>0.02</v>
      </c>
      <c r="H229" s="12">
        <v>0</v>
      </c>
      <c r="I229" s="7">
        <f>IFERROR(VLOOKUP(D229,SUBCONTRATOS_PRY!A:D,4,FALSE),0)</f>
        <v>75113.048200000005</v>
      </c>
      <c r="J229" s="8">
        <f t="shared" si="12"/>
        <v>1502.2609640000001</v>
      </c>
      <c r="K229" s="7" t="str">
        <f t="shared" si="13"/>
        <v>PTO-0501|MO</v>
      </c>
      <c r="L229" s="7">
        <f>COUNTIFS($K$2:K229,K229)</f>
        <v>2</v>
      </c>
      <c r="M229" s="7" t="str">
        <f t="shared" si="14"/>
        <v>PTO-0501|MO|2</v>
      </c>
      <c r="N229" s="7">
        <f>IFERROR(VLOOKUP(A229,PARTIDAS!A:F,6,FALSE),0)</f>
        <v>1</v>
      </c>
      <c r="O229" s="7">
        <f t="shared" si="15"/>
        <v>0</v>
      </c>
      <c r="P229" s="7">
        <f>IFERROR(_xlfn.XLOOKUP(A229,PPTO_GENERADOR!$Q:$Q,PPTO_GENERADOR!$E:$E,"-",0),"-")</f>
        <v>139.05000000000001</v>
      </c>
    </row>
    <row r="230" spans="1:16" x14ac:dyDescent="0.35">
      <c r="A230" s="5" t="s">
        <v>887</v>
      </c>
      <c r="B230" s="5" t="s">
        <v>1198</v>
      </c>
      <c r="C230" s="5" t="s">
        <v>1201</v>
      </c>
      <c r="D230" s="5" t="s">
        <v>475</v>
      </c>
      <c r="E230" s="7" t="str">
        <f>IFERROR(VLOOKUP(D230,MANO_DE_OBRA!A:B,2,FALSE),"?")</f>
        <v>AYUDANTE</v>
      </c>
      <c r="F230" s="5" t="s">
        <v>1200</v>
      </c>
      <c r="G230" s="11">
        <v>0.04</v>
      </c>
      <c r="H230" s="12">
        <v>0</v>
      </c>
      <c r="I230" s="7">
        <f>IFERROR(VLOOKUP(D230,MANO_DE_OBRA!A:C,3,FALSE),0)</f>
        <v>49934.239999999998</v>
      </c>
      <c r="J230" s="8">
        <f t="shared" si="12"/>
        <v>1997.3696</v>
      </c>
      <c r="K230" s="7" t="str">
        <f t="shared" si="13"/>
        <v>PTO-0501|MO</v>
      </c>
      <c r="L230" s="7">
        <f>COUNTIFS($K$2:K230,K230)</f>
        <v>3</v>
      </c>
      <c r="M230" s="7" t="str">
        <f t="shared" si="14"/>
        <v>PTO-0501|MO|3</v>
      </c>
      <c r="N230" s="7">
        <f>IFERROR(VLOOKUP(A230,PARTIDAS!A:F,6,FALSE),0)</f>
        <v>1</v>
      </c>
      <c r="O230" s="7">
        <f t="shared" si="15"/>
        <v>0.04</v>
      </c>
      <c r="P230" s="7">
        <f>IFERROR(_xlfn.XLOOKUP(A230,PPTO_GENERADOR!$Q:$Q,PPTO_GENERADOR!$E:$E,"-",0),"-")</f>
        <v>139.05000000000001</v>
      </c>
    </row>
    <row r="231" spans="1:16" x14ac:dyDescent="0.35">
      <c r="A231" s="5" t="s">
        <v>887</v>
      </c>
      <c r="B231" s="5" t="s">
        <v>1198</v>
      </c>
      <c r="C231" s="5" t="s">
        <v>1201</v>
      </c>
      <c r="D231" s="5" t="s">
        <v>477</v>
      </c>
      <c r="E231" s="7" t="str">
        <f>IFERROR(VLOOKUP(D231,MANO_DE_OBRA!A:B,2,FALSE),"?")</f>
        <v>ESPECIALIZADO</v>
      </c>
      <c r="F231" s="5" t="s">
        <v>1200</v>
      </c>
      <c r="G231" s="11">
        <v>0.04</v>
      </c>
      <c r="H231" s="12">
        <v>0</v>
      </c>
      <c r="I231" s="7">
        <f>IFERROR(VLOOKUP(D231,MANO_DE_OBRA!A:C,3,FALSE),0)</f>
        <v>75113.05</v>
      </c>
      <c r="J231" s="8">
        <f t="shared" si="12"/>
        <v>3004.5220000000004</v>
      </c>
      <c r="K231" s="7" t="str">
        <f t="shared" si="13"/>
        <v>PTO-0501|MO</v>
      </c>
      <c r="L231" s="7">
        <f>COUNTIFS($K$2:K231,K231)</f>
        <v>4</v>
      </c>
      <c r="M231" s="7" t="str">
        <f t="shared" si="14"/>
        <v>PTO-0501|MO|4</v>
      </c>
      <c r="N231" s="7">
        <f>IFERROR(VLOOKUP(A231,PARTIDAS!A:F,6,FALSE),0)</f>
        <v>1</v>
      </c>
      <c r="O231" s="7">
        <f t="shared" si="15"/>
        <v>0.04</v>
      </c>
      <c r="P231" s="7">
        <f>IFERROR(_xlfn.XLOOKUP(A231,PPTO_GENERADOR!$Q:$Q,PPTO_GENERADOR!$E:$E,"-",0),"-")</f>
        <v>139.05000000000001</v>
      </c>
    </row>
    <row r="232" spans="1:16" x14ac:dyDescent="0.35">
      <c r="A232" s="5" t="s">
        <v>887</v>
      </c>
      <c r="B232" s="5" t="s">
        <v>1202</v>
      </c>
      <c r="C232" s="5"/>
      <c r="D232" s="5" t="s">
        <v>535</v>
      </c>
      <c r="E232" s="7" t="str">
        <f>IFERROR(VLOOKUP(D232,EQUIPOS!A:B,2,FALSE),"?")</f>
        <v>Soldador Soplete A Gas Techista Membrana 10 Kg Boca 50mm</v>
      </c>
      <c r="F232" s="5"/>
      <c r="G232" s="11">
        <v>0.04</v>
      </c>
      <c r="H232" s="12">
        <v>0</v>
      </c>
      <c r="I232" s="7">
        <f>IFERROR(VLOOKUP(D232,EQUIPOS!A:C,3,FALSE),0)</f>
        <v>783.43359999999996</v>
      </c>
      <c r="J232" s="8">
        <f t="shared" si="12"/>
        <v>31.337343999999998</v>
      </c>
      <c r="K232" s="7" t="str">
        <f t="shared" si="13"/>
        <v>PTO-0501|EQ</v>
      </c>
      <c r="L232" s="7">
        <f>COUNTIFS($K$2:K232,K232)</f>
        <v>1</v>
      </c>
      <c r="M232" s="7" t="str">
        <f t="shared" si="14"/>
        <v>PTO-0501|EQ|1</v>
      </c>
      <c r="N232" s="7">
        <f>IFERROR(VLOOKUP(A232,PARTIDAS!A:F,6,FALSE),0)</f>
        <v>1</v>
      </c>
      <c r="O232" s="7">
        <f t="shared" si="15"/>
        <v>0</v>
      </c>
      <c r="P232" s="7">
        <f>IFERROR(_xlfn.XLOOKUP(A232,PPTO_GENERADOR!$Q:$Q,PPTO_GENERADOR!$E:$E,"-",0),"-")</f>
        <v>139.05000000000001</v>
      </c>
    </row>
    <row r="233" spans="1:16" x14ac:dyDescent="0.35">
      <c r="A233" s="5" t="s">
        <v>889</v>
      </c>
      <c r="B233" s="5" t="s">
        <v>1203</v>
      </c>
      <c r="C233" s="5" t="s">
        <v>1205</v>
      </c>
      <c r="D233" s="5" t="s">
        <v>136</v>
      </c>
      <c r="E233" s="7" t="str">
        <f>IFERROR(VLOOKUP(D233,MATERIALES!A:B,2,FALSE),"?")</f>
        <v>ARENA LAVADA</v>
      </c>
      <c r="F233" s="5"/>
      <c r="G233" s="11">
        <v>6.0000000000000001E-3</v>
      </c>
      <c r="H233" s="12">
        <v>0.1</v>
      </c>
      <c r="I233" s="7">
        <f>IFERROR(VLOOKUP(D233,MATERIALES!A:D,4,FALSE),0)</f>
        <v>31265.15</v>
      </c>
      <c r="J233" s="8">
        <f t="shared" si="12"/>
        <v>206.34999000000002</v>
      </c>
      <c r="K233" s="7" t="str">
        <f t="shared" si="13"/>
        <v>PTO-0502|MAT</v>
      </c>
      <c r="L233" s="7">
        <f>COUNTIFS($K$2:K233,K233)</f>
        <v>1</v>
      </c>
      <c r="M233" s="7" t="str">
        <f t="shared" si="14"/>
        <v>PTO-0502|MAT|1</v>
      </c>
      <c r="N233" s="7">
        <f>IFERROR(VLOOKUP(A233,PARTIDAS!A:F,6,FALSE),0)</f>
        <v>1</v>
      </c>
      <c r="O233" s="7">
        <f t="shared" si="15"/>
        <v>0</v>
      </c>
      <c r="P233" s="7">
        <f>IFERROR(_xlfn.XLOOKUP(A233,PPTO_GENERADOR!$Q:$Q,PPTO_GENERADOR!$E:$E,"-",0),"-")</f>
        <v>300</v>
      </c>
    </row>
    <row r="234" spans="1:16" x14ac:dyDescent="0.35">
      <c r="A234" s="5" t="s">
        <v>889</v>
      </c>
      <c r="B234" s="5" t="s">
        <v>1203</v>
      </c>
      <c r="C234" s="5" t="s">
        <v>1205</v>
      </c>
      <c r="D234" s="5" t="s">
        <v>175</v>
      </c>
      <c r="E234" s="7" t="str">
        <f>IFERROR(VLOOKUP(D234,MATERIALES!A:B,2,FALSE),"?")</f>
        <v>Aditivo Hidrofugo en pasta - Ceresita x 1kg</v>
      </c>
      <c r="F234" s="5"/>
      <c r="G234" s="11">
        <v>0.1</v>
      </c>
      <c r="H234" s="12">
        <v>0.05</v>
      </c>
      <c r="I234" s="7">
        <f>IFERROR(VLOOKUP(D234,MATERIALES!A:D,4,FALSE),0)</f>
        <v>1162.7550000000001</v>
      </c>
      <c r="J234" s="8">
        <f t="shared" si="12"/>
        <v>122.08927500000003</v>
      </c>
      <c r="K234" s="7" t="str">
        <f t="shared" si="13"/>
        <v>PTO-0502|MAT</v>
      </c>
      <c r="L234" s="7">
        <f>COUNTIFS($K$2:K234,K234)</f>
        <v>2</v>
      </c>
      <c r="M234" s="7" t="str">
        <f t="shared" si="14"/>
        <v>PTO-0502|MAT|2</v>
      </c>
      <c r="N234" s="7">
        <f>IFERROR(VLOOKUP(A234,PARTIDAS!A:F,6,FALSE),0)</f>
        <v>1</v>
      </c>
      <c r="O234" s="7">
        <f t="shared" si="15"/>
        <v>0</v>
      </c>
      <c r="P234" s="7">
        <f>IFERROR(_xlfn.XLOOKUP(A234,PPTO_GENERADOR!$Q:$Q,PPTO_GENERADOR!$E:$E,"-",0),"-")</f>
        <v>300</v>
      </c>
    </row>
    <row r="235" spans="1:16" x14ac:dyDescent="0.35">
      <c r="A235" s="5" t="s">
        <v>889</v>
      </c>
      <c r="B235" s="5" t="s">
        <v>1203</v>
      </c>
      <c r="C235" s="5" t="s">
        <v>1205</v>
      </c>
      <c r="D235" s="5" t="s">
        <v>140</v>
      </c>
      <c r="E235" s="7" t="str">
        <f>IFERROR(VLOOKUP(D235,MATERIALES!A:B,2,FALSE),"?")</f>
        <v>Cemento Portland x 50kg</v>
      </c>
      <c r="F235" s="5"/>
      <c r="G235" s="11">
        <v>5.3999999999999999E-2</v>
      </c>
      <c r="H235" s="12">
        <v>0.1</v>
      </c>
      <c r="I235" s="7">
        <f>IFERROR(VLOOKUP(D235,MATERIALES!A:D,4,FALSE),0)</f>
        <v>7233.47</v>
      </c>
      <c r="J235" s="8">
        <f t="shared" si="12"/>
        <v>429.66811800000005</v>
      </c>
      <c r="K235" s="7" t="str">
        <f t="shared" si="13"/>
        <v>PTO-0502|MAT</v>
      </c>
      <c r="L235" s="7">
        <f>COUNTIFS($K$2:K235,K235)</f>
        <v>3</v>
      </c>
      <c r="M235" s="7" t="str">
        <f t="shared" si="14"/>
        <v>PTO-0502|MAT|3</v>
      </c>
      <c r="N235" s="7">
        <f>IFERROR(VLOOKUP(A235,PARTIDAS!A:F,6,FALSE),0)</f>
        <v>1</v>
      </c>
      <c r="O235" s="7">
        <f t="shared" si="15"/>
        <v>0</v>
      </c>
      <c r="P235" s="7">
        <f>IFERROR(_xlfn.XLOOKUP(A235,PPTO_GENERADOR!$Q:$Q,PPTO_GENERADOR!$E:$E,"-",0),"-")</f>
        <v>300</v>
      </c>
    </row>
    <row r="236" spans="1:16" x14ac:dyDescent="0.35">
      <c r="A236" s="5" t="s">
        <v>889</v>
      </c>
      <c r="B236" s="5" t="s">
        <v>1198</v>
      </c>
      <c r="C236" s="5" t="s">
        <v>1201</v>
      </c>
      <c r="D236" s="5" t="s">
        <v>475</v>
      </c>
      <c r="E236" s="7" t="str">
        <f>IFERROR(VLOOKUP(D236,MANO_DE_OBRA!A:B,2,FALSE),"?")</f>
        <v>AYUDANTE</v>
      </c>
      <c r="F236" s="5" t="s">
        <v>1200</v>
      </c>
      <c r="G236" s="11">
        <v>1.428571E-2</v>
      </c>
      <c r="H236" s="12">
        <v>0</v>
      </c>
      <c r="I236" s="7">
        <f>IFERROR(VLOOKUP(D236,MANO_DE_OBRA!A:C,3,FALSE),0)</f>
        <v>49934.239999999998</v>
      </c>
      <c r="J236" s="8">
        <f t="shared" si="12"/>
        <v>713.3460717104</v>
      </c>
      <c r="K236" s="7" t="str">
        <f t="shared" si="13"/>
        <v>PTO-0502|MO</v>
      </c>
      <c r="L236" s="7">
        <f>COUNTIFS($K$2:K236,K236)</f>
        <v>1</v>
      </c>
      <c r="M236" s="7" t="str">
        <f t="shared" si="14"/>
        <v>PTO-0502|MO|1</v>
      </c>
      <c r="N236" s="7">
        <f>IFERROR(VLOOKUP(A236,PARTIDAS!A:F,6,FALSE),0)</f>
        <v>1</v>
      </c>
      <c r="O236" s="7">
        <f t="shared" si="15"/>
        <v>1.428571E-2</v>
      </c>
      <c r="P236" s="7">
        <f>IFERROR(_xlfn.XLOOKUP(A236,PPTO_GENERADOR!$Q:$Q,PPTO_GENERADOR!$E:$E,"-",0),"-")</f>
        <v>300</v>
      </c>
    </row>
    <row r="237" spans="1:16" x14ac:dyDescent="0.35">
      <c r="A237" s="5" t="s">
        <v>889</v>
      </c>
      <c r="B237" s="5" t="s">
        <v>1198</v>
      </c>
      <c r="C237" s="5" t="s">
        <v>1201</v>
      </c>
      <c r="D237" s="5" t="s">
        <v>477</v>
      </c>
      <c r="E237" s="7" t="str">
        <f>IFERROR(VLOOKUP(D237,MANO_DE_OBRA!A:B,2,FALSE),"?")</f>
        <v>ESPECIALIZADO</v>
      </c>
      <c r="F237" s="5" t="s">
        <v>1200</v>
      </c>
      <c r="G237" s="11">
        <v>3.5714290000000003E-2</v>
      </c>
      <c r="H237" s="12">
        <v>0</v>
      </c>
      <c r="I237" s="7">
        <f>IFERROR(VLOOKUP(D237,MANO_DE_OBRA!A:C,3,FALSE),0)</f>
        <v>75113.05</v>
      </c>
      <c r="J237" s="8">
        <f t="shared" si="12"/>
        <v>2682.6092504845001</v>
      </c>
      <c r="K237" s="7" t="str">
        <f t="shared" si="13"/>
        <v>PTO-0502|MO</v>
      </c>
      <c r="L237" s="7">
        <f>COUNTIFS($K$2:K237,K237)</f>
        <v>2</v>
      </c>
      <c r="M237" s="7" t="str">
        <f t="shared" si="14"/>
        <v>PTO-0502|MO|2</v>
      </c>
      <c r="N237" s="7">
        <f>IFERROR(VLOOKUP(A237,PARTIDAS!A:F,6,FALSE),0)</f>
        <v>1</v>
      </c>
      <c r="O237" s="7">
        <f t="shared" si="15"/>
        <v>3.5714290000000003E-2</v>
      </c>
      <c r="P237" s="7">
        <f>IFERROR(_xlfn.XLOOKUP(A237,PPTO_GENERADOR!$Q:$Q,PPTO_GENERADOR!$E:$E,"-",0),"-")</f>
        <v>300</v>
      </c>
    </row>
    <row r="238" spans="1:16" x14ac:dyDescent="0.35">
      <c r="A238" s="5" t="s">
        <v>889</v>
      </c>
      <c r="B238" s="5" t="s">
        <v>1202</v>
      </c>
      <c r="C238" s="5"/>
      <c r="D238" s="5" t="s">
        <v>527</v>
      </c>
      <c r="E238" s="7" t="str">
        <f>IFERROR(VLOOKUP(D238,EQUIPOS!A:B,2,FALSE),"?")</f>
        <v>ANDAMIO TUBULAR DE UNO A TRES CUERPOS</v>
      </c>
      <c r="F238" s="5"/>
      <c r="G238" s="11">
        <v>1.7857140000000001E-2</v>
      </c>
      <c r="H238" s="12">
        <v>0</v>
      </c>
      <c r="I238" s="7">
        <f>IFERROR(VLOOKUP(D238,EQUIPOS!A:C,3,FALSE),0)</f>
        <v>556.21879999999999</v>
      </c>
      <c r="J238" s="8">
        <f t="shared" si="12"/>
        <v>9.932476982232</v>
      </c>
      <c r="K238" s="7" t="str">
        <f t="shared" si="13"/>
        <v>PTO-0502|EQ</v>
      </c>
      <c r="L238" s="7">
        <f>COUNTIFS($K$2:K238,K238)</f>
        <v>1</v>
      </c>
      <c r="M238" s="7" t="str">
        <f t="shared" si="14"/>
        <v>PTO-0502|EQ|1</v>
      </c>
      <c r="N238" s="7">
        <f>IFERROR(VLOOKUP(A238,PARTIDAS!A:F,6,FALSE),0)</f>
        <v>1</v>
      </c>
      <c r="O238" s="7">
        <f t="shared" si="15"/>
        <v>0</v>
      </c>
      <c r="P238" s="7">
        <f>IFERROR(_xlfn.XLOOKUP(A238,PPTO_GENERADOR!$Q:$Q,PPTO_GENERADOR!$E:$E,"-",0),"-")</f>
        <v>300</v>
      </c>
    </row>
    <row r="239" spans="1:16" x14ac:dyDescent="0.35">
      <c r="A239" s="5" t="s">
        <v>889</v>
      </c>
      <c r="B239" s="5" t="s">
        <v>1202</v>
      </c>
      <c r="C239" s="5"/>
      <c r="D239" s="5" t="s">
        <v>525</v>
      </c>
      <c r="E239" s="7" t="str">
        <f>IFERROR(VLOOKUP(D239,EQUIPOS!A:B,2,FALSE),"?")</f>
        <v>EQUIPO DE ALBAÑILERIA, carpetas, ladrillo</v>
      </c>
      <c r="F239" s="5"/>
      <c r="G239" s="11">
        <v>3.5714290000000003E-2</v>
      </c>
      <c r="H239" s="12">
        <v>0</v>
      </c>
      <c r="I239" s="7">
        <f>IFERROR(VLOOKUP(D239,EQUIPOS!A:C,3,FALSE),0)</f>
        <v>2227.2298000000001</v>
      </c>
      <c r="J239" s="8">
        <f t="shared" si="12"/>
        <v>79.543930973842009</v>
      </c>
      <c r="K239" s="7" t="str">
        <f t="shared" si="13"/>
        <v>PTO-0502|EQ</v>
      </c>
      <c r="L239" s="7">
        <f>COUNTIFS($K$2:K239,K239)</f>
        <v>2</v>
      </c>
      <c r="M239" s="7" t="str">
        <f t="shared" si="14"/>
        <v>PTO-0502|EQ|2</v>
      </c>
      <c r="N239" s="7">
        <f>IFERROR(VLOOKUP(A239,PARTIDAS!A:F,6,FALSE),0)</f>
        <v>1</v>
      </c>
      <c r="O239" s="7">
        <f t="shared" si="15"/>
        <v>0</v>
      </c>
      <c r="P239" s="7">
        <f>IFERROR(_xlfn.XLOOKUP(A239,PPTO_GENERADOR!$Q:$Q,PPTO_GENERADOR!$E:$E,"-",0),"-")</f>
        <v>300</v>
      </c>
    </row>
    <row r="240" spans="1:16" x14ac:dyDescent="0.35">
      <c r="A240" s="5" t="s">
        <v>889</v>
      </c>
      <c r="B240" s="5" t="s">
        <v>1202</v>
      </c>
      <c r="C240" s="5"/>
      <c r="D240" s="5" t="s">
        <v>529</v>
      </c>
      <c r="E240" s="7" t="str">
        <f>IFERROR(VLOOKUP(D240,EQUIPOS!A:B,2,FALSE),"?")</f>
        <v>Hormigonera De 150 Litros 1hp Con Rueda Maciza</v>
      </c>
      <c r="F240" s="5"/>
      <c r="G240" s="11">
        <v>3.5714290000000003E-2</v>
      </c>
      <c r="H240" s="12">
        <v>0</v>
      </c>
      <c r="I240" s="7">
        <f>IFERROR(VLOOKUP(D240,EQUIPOS!A:C,3,FALSE),0)</f>
        <v>932.18029999999999</v>
      </c>
      <c r="J240" s="8">
        <f t="shared" si="12"/>
        <v>33.292157566486999</v>
      </c>
      <c r="K240" s="7" t="str">
        <f t="shared" si="13"/>
        <v>PTO-0502|EQ</v>
      </c>
      <c r="L240" s="7">
        <f>COUNTIFS($K$2:K240,K240)</f>
        <v>3</v>
      </c>
      <c r="M240" s="7" t="str">
        <f t="shared" si="14"/>
        <v>PTO-0502|EQ|3</v>
      </c>
      <c r="N240" s="7">
        <f>IFERROR(VLOOKUP(A240,PARTIDAS!A:F,6,FALSE),0)</f>
        <v>1</v>
      </c>
      <c r="O240" s="7">
        <f t="shared" si="15"/>
        <v>0</v>
      </c>
      <c r="P240" s="7">
        <f>IFERROR(_xlfn.XLOOKUP(A240,PPTO_GENERADOR!$Q:$Q,PPTO_GENERADOR!$E:$E,"-",0),"-")</f>
        <v>300</v>
      </c>
    </row>
    <row r="241" spans="1:16" x14ac:dyDescent="0.35">
      <c r="A241" s="5" t="s">
        <v>891</v>
      </c>
      <c r="B241" s="5" t="s">
        <v>1203</v>
      </c>
      <c r="C241" s="5" t="s">
        <v>1205</v>
      </c>
      <c r="D241" s="5" t="s">
        <v>136</v>
      </c>
      <c r="E241" s="7" t="str">
        <f>IFERROR(VLOOKUP(D241,MATERIALES!A:B,2,FALSE),"?")</f>
        <v>ARENA LAVADA</v>
      </c>
      <c r="F241" s="5"/>
      <c r="G241" s="11">
        <v>6.0000000000000001E-3</v>
      </c>
      <c r="H241" s="12">
        <v>0.1</v>
      </c>
      <c r="I241" s="7">
        <f>IFERROR(VLOOKUP(D241,MATERIALES!A:D,4,FALSE),0)</f>
        <v>31265.15</v>
      </c>
      <c r="J241" s="8">
        <f t="shared" si="12"/>
        <v>206.34999000000002</v>
      </c>
      <c r="K241" s="7" t="str">
        <f t="shared" si="13"/>
        <v>PTO-0503|MAT</v>
      </c>
      <c r="L241" s="7">
        <f>COUNTIFS($K$2:K241,K241)</f>
        <v>1</v>
      </c>
      <c r="M241" s="7" t="str">
        <f t="shared" si="14"/>
        <v>PTO-0503|MAT|1</v>
      </c>
      <c r="N241" s="7">
        <f>IFERROR(VLOOKUP(A241,PARTIDAS!A:F,6,FALSE),0)</f>
        <v>1</v>
      </c>
      <c r="O241" s="7">
        <f t="shared" si="15"/>
        <v>0</v>
      </c>
      <c r="P241" s="7">
        <f>IFERROR(_xlfn.XLOOKUP(A241,PPTO_GENERADOR!$Q:$Q,PPTO_GENERADOR!$E:$E,"-",0),"-")</f>
        <v>48</v>
      </c>
    </row>
    <row r="242" spans="1:16" x14ac:dyDescent="0.35">
      <c r="A242" s="5" t="s">
        <v>891</v>
      </c>
      <c r="B242" s="5" t="s">
        <v>1203</v>
      </c>
      <c r="C242" s="5" t="s">
        <v>1205</v>
      </c>
      <c r="D242" s="5" t="s">
        <v>175</v>
      </c>
      <c r="E242" s="7" t="str">
        <f>IFERROR(VLOOKUP(D242,MATERIALES!A:B,2,FALSE),"?")</f>
        <v>Aditivo Hidrofugo en pasta - Ceresita x 1kg</v>
      </c>
      <c r="F242" s="5"/>
      <c r="G242" s="11">
        <v>0.1</v>
      </c>
      <c r="H242" s="12">
        <v>0.05</v>
      </c>
      <c r="I242" s="7">
        <f>IFERROR(VLOOKUP(D242,MATERIALES!A:D,4,FALSE),0)</f>
        <v>1162.7550000000001</v>
      </c>
      <c r="J242" s="8">
        <f t="shared" si="12"/>
        <v>122.08927500000003</v>
      </c>
      <c r="K242" s="7" t="str">
        <f t="shared" si="13"/>
        <v>PTO-0503|MAT</v>
      </c>
      <c r="L242" s="7">
        <f>COUNTIFS($K$2:K242,K242)</f>
        <v>2</v>
      </c>
      <c r="M242" s="7" t="str">
        <f t="shared" si="14"/>
        <v>PTO-0503|MAT|2</v>
      </c>
      <c r="N242" s="7">
        <f>IFERROR(VLOOKUP(A242,PARTIDAS!A:F,6,FALSE),0)</f>
        <v>1</v>
      </c>
      <c r="O242" s="7">
        <f t="shared" si="15"/>
        <v>0</v>
      </c>
      <c r="P242" s="7">
        <f>IFERROR(_xlfn.XLOOKUP(A242,PPTO_GENERADOR!$Q:$Q,PPTO_GENERADOR!$E:$E,"-",0),"-")</f>
        <v>48</v>
      </c>
    </row>
    <row r="243" spans="1:16" x14ac:dyDescent="0.35">
      <c r="A243" s="5" t="s">
        <v>891</v>
      </c>
      <c r="B243" s="5" t="s">
        <v>1203</v>
      </c>
      <c r="C243" s="5" t="s">
        <v>1205</v>
      </c>
      <c r="D243" s="5" t="s">
        <v>140</v>
      </c>
      <c r="E243" s="7" t="str">
        <f>IFERROR(VLOOKUP(D243,MATERIALES!A:B,2,FALSE),"?")</f>
        <v>Cemento Portland x 50kg</v>
      </c>
      <c r="F243" s="5"/>
      <c r="G243" s="11">
        <v>5.3999999999999999E-2</v>
      </c>
      <c r="H243" s="12">
        <v>0.1</v>
      </c>
      <c r="I243" s="7">
        <f>IFERROR(VLOOKUP(D243,MATERIALES!A:D,4,FALSE),0)</f>
        <v>7233.47</v>
      </c>
      <c r="J243" s="8">
        <f t="shared" si="12"/>
        <v>429.66811800000005</v>
      </c>
      <c r="K243" s="7" t="str">
        <f t="shared" si="13"/>
        <v>PTO-0503|MAT</v>
      </c>
      <c r="L243" s="7">
        <f>COUNTIFS($K$2:K243,K243)</f>
        <v>3</v>
      </c>
      <c r="M243" s="7" t="str">
        <f t="shared" si="14"/>
        <v>PTO-0503|MAT|3</v>
      </c>
      <c r="N243" s="7">
        <f>IFERROR(VLOOKUP(A243,PARTIDAS!A:F,6,FALSE),0)</f>
        <v>1</v>
      </c>
      <c r="O243" s="7">
        <f t="shared" si="15"/>
        <v>0</v>
      </c>
      <c r="P243" s="7">
        <f>IFERROR(_xlfn.XLOOKUP(A243,PPTO_GENERADOR!$Q:$Q,PPTO_GENERADOR!$E:$E,"-",0),"-")</f>
        <v>48</v>
      </c>
    </row>
    <row r="244" spans="1:16" x14ac:dyDescent="0.35">
      <c r="A244" s="5" t="s">
        <v>891</v>
      </c>
      <c r="B244" s="5" t="s">
        <v>1198</v>
      </c>
      <c r="C244" s="5" t="s">
        <v>1201</v>
      </c>
      <c r="D244" s="5" t="s">
        <v>475</v>
      </c>
      <c r="E244" s="7" t="str">
        <f>IFERROR(VLOOKUP(D244,MANO_DE_OBRA!A:B,2,FALSE),"?")</f>
        <v>AYUDANTE</v>
      </c>
      <c r="F244" s="5" t="s">
        <v>1200</v>
      </c>
      <c r="G244" s="11">
        <v>1.428571E-2</v>
      </c>
      <c r="H244" s="12">
        <v>0</v>
      </c>
      <c r="I244" s="7">
        <f>IFERROR(VLOOKUP(D244,MANO_DE_OBRA!A:C,3,FALSE),0)</f>
        <v>49934.239999999998</v>
      </c>
      <c r="J244" s="8">
        <f t="shared" si="12"/>
        <v>713.3460717104</v>
      </c>
      <c r="K244" s="7" t="str">
        <f t="shared" si="13"/>
        <v>PTO-0503|MO</v>
      </c>
      <c r="L244" s="7">
        <f>COUNTIFS($K$2:K244,K244)</f>
        <v>1</v>
      </c>
      <c r="M244" s="7" t="str">
        <f t="shared" si="14"/>
        <v>PTO-0503|MO|1</v>
      </c>
      <c r="N244" s="7">
        <f>IFERROR(VLOOKUP(A244,PARTIDAS!A:F,6,FALSE),0)</f>
        <v>1</v>
      </c>
      <c r="O244" s="7">
        <f t="shared" si="15"/>
        <v>1.428571E-2</v>
      </c>
      <c r="P244" s="7">
        <f>IFERROR(_xlfn.XLOOKUP(A244,PPTO_GENERADOR!$Q:$Q,PPTO_GENERADOR!$E:$E,"-",0),"-")</f>
        <v>48</v>
      </c>
    </row>
    <row r="245" spans="1:16" x14ac:dyDescent="0.35">
      <c r="A245" s="5" t="s">
        <v>891</v>
      </c>
      <c r="B245" s="5" t="s">
        <v>1198</v>
      </c>
      <c r="C245" s="5" t="s">
        <v>1201</v>
      </c>
      <c r="D245" s="5" t="s">
        <v>477</v>
      </c>
      <c r="E245" s="7" t="str">
        <f>IFERROR(VLOOKUP(D245,MANO_DE_OBRA!A:B,2,FALSE),"?")</f>
        <v>ESPECIALIZADO</v>
      </c>
      <c r="F245" s="5" t="s">
        <v>1200</v>
      </c>
      <c r="G245" s="11">
        <v>3.5714290000000003E-2</v>
      </c>
      <c r="H245" s="12">
        <v>0</v>
      </c>
      <c r="I245" s="7">
        <f>IFERROR(VLOOKUP(D245,MANO_DE_OBRA!A:C,3,FALSE),0)</f>
        <v>75113.05</v>
      </c>
      <c r="J245" s="8">
        <f t="shared" si="12"/>
        <v>2682.6092504845001</v>
      </c>
      <c r="K245" s="7" t="str">
        <f t="shared" si="13"/>
        <v>PTO-0503|MO</v>
      </c>
      <c r="L245" s="7">
        <f>COUNTIFS($K$2:K245,K245)</f>
        <v>2</v>
      </c>
      <c r="M245" s="7" t="str">
        <f t="shared" si="14"/>
        <v>PTO-0503|MO|2</v>
      </c>
      <c r="N245" s="7">
        <f>IFERROR(VLOOKUP(A245,PARTIDAS!A:F,6,FALSE),0)</f>
        <v>1</v>
      </c>
      <c r="O245" s="7">
        <f t="shared" si="15"/>
        <v>3.5714290000000003E-2</v>
      </c>
      <c r="P245" s="7">
        <f>IFERROR(_xlfn.XLOOKUP(A245,PPTO_GENERADOR!$Q:$Q,PPTO_GENERADOR!$E:$E,"-",0),"-")</f>
        <v>48</v>
      </c>
    </row>
    <row r="246" spans="1:16" x14ac:dyDescent="0.35">
      <c r="A246" s="5" t="s">
        <v>891</v>
      </c>
      <c r="B246" s="5" t="s">
        <v>1202</v>
      </c>
      <c r="C246" s="5"/>
      <c r="D246" s="5" t="s">
        <v>527</v>
      </c>
      <c r="E246" s="7" t="str">
        <f>IFERROR(VLOOKUP(D246,EQUIPOS!A:B,2,FALSE),"?")</f>
        <v>ANDAMIO TUBULAR DE UNO A TRES CUERPOS</v>
      </c>
      <c r="F246" s="5"/>
      <c r="G246" s="11">
        <v>1.7857140000000001E-2</v>
      </c>
      <c r="H246" s="12">
        <v>0</v>
      </c>
      <c r="I246" s="7">
        <f>IFERROR(VLOOKUP(D246,EQUIPOS!A:C,3,FALSE),0)</f>
        <v>556.21879999999999</v>
      </c>
      <c r="J246" s="8">
        <f t="shared" si="12"/>
        <v>9.932476982232</v>
      </c>
      <c r="K246" s="7" t="str">
        <f t="shared" si="13"/>
        <v>PTO-0503|EQ</v>
      </c>
      <c r="L246" s="7">
        <f>COUNTIFS($K$2:K246,K246)</f>
        <v>1</v>
      </c>
      <c r="M246" s="7" t="str">
        <f t="shared" si="14"/>
        <v>PTO-0503|EQ|1</v>
      </c>
      <c r="N246" s="7">
        <f>IFERROR(VLOOKUP(A246,PARTIDAS!A:F,6,FALSE),0)</f>
        <v>1</v>
      </c>
      <c r="O246" s="7">
        <f t="shared" si="15"/>
        <v>0</v>
      </c>
      <c r="P246" s="7">
        <f>IFERROR(_xlfn.XLOOKUP(A246,PPTO_GENERADOR!$Q:$Q,PPTO_GENERADOR!$E:$E,"-",0),"-")</f>
        <v>48</v>
      </c>
    </row>
    <row r="247" spans="1:16" x14ac:dyDescent="0.35">
      <c r="A247" s="5" t="s">
        <v>891</v>
      </c>
      <c r="B247" s="5" t="s">
        <v>1202</v>
      </c>
      <c r="C247" s="5"/>
      <c r="D247" s="5" t="s">
        <v>525</v>
      </c>
      <c r="E247" s="7" t="str">
        <f>IFERROR(VLOOKUP(D247,EQUIPOS!A:B,2,FALSE),"?")</f>
        <v>EQUIPO DE ALBAÑILERIA, carpetas, ladrillo</v>
      </c>
      <c r="F247" s="5"/>
      <c r="G247" s="11">
        <v>3.5714290000000003E-2</v>
      </c>
      <c r="H247" s="12">
        <v>0</v>
      </c>
      <c r="I247" s="7">
        <f>IFERROR(VLOOKUP(D247,EQUIPOS!A:C,3,FALSE),0)</f>
        <v>2227.2298000000001</v>
      </c>
      <c r="J247" s="8">
        <f t="shared" si="12"/>
        <v>79.543930973842009</v>
      </c>
      <c r="K247" s="7" t="str">
        <f t="shared" si="13"/>
        <v>PTO-0503|EQ</v>
      </c>
      <c r="L247" s="7">
        <f>COUNTIFS($K$2:K247,K247)</f>
        <v>2</v>
      </c>
      <c r="M247" s="7" t="str">
        <f t="shared" si="14"/>
        <v>PTO-0503|EQ|2</v>
      </c>
      <c r="N247" s="7">
        <f>IFERROR(VLOOKUP(A247,PARTIDAS!A:F,6,FALSE),0)</f>
        <v>1</v>
      </c>
      <c r="O247" s="7">
        <f t="shared" si="15"/>
        <v>0</v>
      </c>
      <c r="P247" s="7">
        <f>IFERROR(_xlfn.XLOOKUP(A247,PPTO_GENERADOR!$Q:$Q,PPTO_GENERADOR!$E:$E,"-",0),"-")</f>
        <v>48</v>
      </c>
    </row>
    <row r="248" spans="1:16" x14ac:dyDescent="0.35">
      <c r="A248" s="5" t="s">
        <v>891</v>
      </c>
      <c r="B248" s="5" t="s">
        <v>1202</v>
      </c>
      <c r="C248" s="5"/>
      <c r="D248" s="5" t="s">
        <v>529</v>
      </c>
      <c r="E248" s="7" t="str">
        <f>IFERROR(VLOOKUP(D248,EQUIPOS!A:B,2,FALSE),"?")</f>
        <v>Hormigonera De 150 Litros 1hp Con Rueda Maciza</v>
      </c>
      <c r="F248" s="5"/>
      <c r="G248" s="11">
        <v>3.5714290000000003E-2</v>
      </c>
      <c r="H248" s="12">
        <v>0</v>
      </c>
      <c r="I248" s="7">
        <f>IFERROR(VLOOKUP(D248,EQUIPOS!A:C,3,FALSE),0)</f>
        <v>932.18029999999999</v>
      </c>
      <c r="J248" s="8">
        <f t="shared" si="12"/>
        <v>33.292157566486999</v>
      </c>
      <c r="K248" s="7" t="str">
        <f t="shared" si="13"/>
        <v>PTO-0503|EQ</v>
      </c>
      <c r="L248" s="7">
        <f>COUNTIFS($K$2:K248,K248)</f>
        <v>3</v>
      </c>
      <c r="M248" s="7" t="str">
        <f t="shared" si="14"/>
        <v>PTO-0503|EQ|3</v>
      </c>
      <c r="N248" s="7">
        <f>IFERROR(VLOOKUP(A248,PARTIDAS!A:F,6,FALSE),0)</f>
        <v>1</v>
      </c>
      <c r="O248" s="7">
        <f t="shared" si="15"/>
        <v>0</v>
      </c>
      <c r="P248" s="7">
        <f>IFERROR(_xlfn.XLOOKUP(A248,PPTO_GENERADOR!$Q:$Q,PPTO_GENERADOR!$E:$E,"-",0),"-")</f>
        <v>48</v>
      </c>
    </row>
    <row r="249" spans="1:16" x14ac:dyDescent="0.35">
      <c r="A249" s="5" t="s">
        <v>893</v>
      </c>
      <c r="B249" s="5" t="s">
        <v>1203</v>
      </c>
      <c r="C249" s="5" t="s">
        <v>1205</v>
      </c>
      <c r="D249" s="5" t="s">
        <v>177</v>
      </c>
      <c r="E249" s="7" t="str">
        <f>IFERROR(VLOOKUP(D249,MATERIALES!A:B,2,FALSE),"?")</f>
        <v>Telgopor 1 x 1 x 20 mm densidad 20 kg</v>
      </c>
      <c r="F249" s="5"/>
      <c r="G249" s="11">
        <v>1</v>
      </c>
      <c r="H249" s="12">
        <v>0</v>
      </c>
      <c r="I249" s="7">
        <f>IFERROR(VLOOKUP(D249,MATERIALES!A:D,4,FALSE),0)</f>
        <v>3502.8</v>
      </c>
      <c r="J249" s="8">
        <f t="shared" si="12"/>
        <v>3502.8</v>
      </c>
      <c r="K249" s="7" t="str">
        <f t="shared" si="13"/>
        <v>PTO-0504|MAT</v>
      </c>
      <c r="L249" s="7">
        <f>COUNTIFS($K$2:K249,K249)</f>
        <v>1</v>
      </c>
      <c r="M249" s="7" t="str">
        <f t="shared" si="14"/>
        <v>PTO-0504|MAT|1</v>
      </c>
      <c r="N249" s="7">
        <f>IFERROR(VLOOKUP(A249,PARTIDAS!A:F,6,FALSE),0)</f>
        <v>1</v>
      </c>
      <c r="O249" s="7">
        <f t="shared" si="15"/>
        <v>0</v>
      </c>
      <c r="P249" s="7">
        <f>IFERROR(_xlfn.XLOOKUP(A249,PPTO_GENERADOR!$Q:$Q,PPTO_GENERADOR!$E:$E,"-",0),"-")</f>
        <v>262</v>
      </c>
    </row>
    <row r="250" spans="1:16" x14ac:dyDescent="0.35">
      <c r="A250" s="5" t="s">
        <v>895</v>
      </c>
      <c r="B250" s="5" t="s">
        <v>1203</v>
      </c>
      <c r="C250" s="5" t="s">
        <v>1205</v>
      </c>
      <c r="D250" s="5" t="s">
        <v>159</v>
      </c>
      <c r="E250" s="7" t="str">
        <f>IFERROR(VLOOKUP(D250,MATERIALES!A:B,2,FALSE),"?")</f>
        <v>Pintura Asfaltica Asfasol x18ts</v>
      </c>
      <c r="F250" s="5"/>
      <c r="G250" s="11">
        <v>2.7777779999999998E-2</v>
      </c>
      <c r="H250" s="12">
        <v>0.1</v>
      </c>
      <c r="I250" s="7">
        <f>IFERROR(VLOOKUP(D250,MATERIALES!A:D,4,FALSE),0)</f>
        <v>32845.78</v>
      </c>
      <c r="J250" s="8">
        <f t="shared" si="12"/>
        <v>1003.6211358452399</v>
      </c>
      <c r="K250" s="7" t="str">
        <f t="shared" si="13"/>
        <v>PTO-0505|MAT</v>
      </c>
      <c r="L250" s="7">
        <f>COUNTIFS($K$2:K250,K250)</f>
        <v>1</v>
      </c>
      <c r="M250" s="7" t="str">
        <f t="shared" si="14"/>
        <v>PTO-0505|MAT|1</v>
      </c>
      <c r="N250" s="7">
        <f>IFERROR(VLOOKUP(A250,PARTIDAS!A:F,6,FALSE),0)</f>
        <v>1</v>
      </c>
      <c r="O250" s="7">
        <f t="shared" si="15"/>
        <v>0</v>
      </c>
      <c r="P250" s="7">
        <f>IFERROR(_xlfn.XLOOKUP(A250,PPTO_GENERADOR!$Q:$Q,PPTO_GENERADOR!$E:$E,"-",0),"-")</f>
        <v>510</v>
      </c>
    </row>
    <row r="251" spans="1:16" x14ac:dyDescent="0.35">
      <c r="A251" s="5" t="s">
        <v>895</v>
      </c>
      <c r="B251" s="5" t="s">
        <v>1203</v>
      </c>
      <c r="C251" s="5" t="s">
        <v>1205</v>
      </c>
      <c r="D251" s="5" t="s">
        <v>163</v>
      </c>
      <c r="E251" s="7" t="str">
        <f>IFERROR(VLOOKUP(D251,MATERIALES!A:B,2,FALSE),"?")</f>
        <v>Rodillo de lana pelo largo N°22 - El Galgo</v>
      </c>
      <c r="F251" s="5"/>
      <c r="G251" s="11">
        <v>0.01</v>
      </c>
      <c r="H251" s="12">
        <v>0.05</v>
      </c>
      <c r="I251" s="7">
        <f>IFERROR(VLOOKUP(D251,MATERIALES!A:D,4,FALSE),0)</f>
        <v>7268.97</v>
      </c>
      <c r="J251" s="8">
        <f t="shared" si="12"/>
        <v>76.324185</v>
      </c>
      <c r="K251" s="7" t="str">
        <f t="shared" si="13"/>
        <v>PTO-0505|MAT</v>
      </c>
      <c r="L251" s="7">
        <f>COUNTIFS($K$2:K251,K251)</f>
        <v>2</v>
      </c>
      <c r="M251" s="7" t="str">
        <f t="shared" si="14"/>
        <v>PTO-0505|MAT|2</v>
      </c>
      <c r="N251" s="7">
        <f>IFERROR(VLOOKUP(A251,PARTIDAS!A:F,6,FALSE),0)</f>
        <v>1</v>
      </c>
      <c r="O251" s="7">
        <f t="shared" si="15"/>
        <v>0</v>
      </c>
      <c r="P251" s="7">
        <f>IFERROR(_xlfn.XLOOKUP(A251,PPTO_GENERADOR!$Q:$Q,PPTO_GENERADOR!$E:$E,"-",0),"-")</f>
        <v>510</v>
      </c>
    </row>
    <row r="252" spans="1:16" x14ac:dyDescent="0.35">
      <c r="A252" s="5" t="s">
        <v>895</v>
      </c>
      <c r="B252" s="5" t="s">
        <v>1203</v>
      </c>
      <c r="C252" s="5" t="s">
        <v>1205</v>
      </c>
      <c r="D252" s="5" t="s">
        <v>165</v>
      </c>
      <c r="E252" s="7" t="str">
        <f>IFERROR(VLOOKUP(D252,MATERIALES!A:B,2,FALSE),"?")</f>
        <v>Pincel N° 20 - El Galgo</v>
      </c>
      <c r="F252" s="5"/>
      <c r="G252" s="11">
        <v>0.02</v>
      </c>
      <c r="H252" s="12">
        <v>0.05</v>
      </c>
      <c r="I252" s="7">
        <f>IFERROR(VLOOKUP(D252,MATERIALES!A:D,4,FALSE),0)</f>
        <v>5452.63</v>
      </c>
      <c r="J252" s="8">
        <f t="shared" si="12"/>
        <v>114.50523</v>
      </c>
      <c r="K252" s="7" t="str">
        <f t="shared" si="13"/>
        <v>PTO-0505|MAT</v>
      </c>
      <c r="L252" s="7">
        <f>COUNTIFS($K$2:K252,K252)</f>
        <v>3</v>
      </c>
      <c r="M252" s="7" t="str">
        <f t="shared" si="14"/>
        <v>PTO-0505|MAT|3</v>
      </c>
      <c r="N252" s="7">
        <f>IFERROR(VLOOKUP(A252,PARTIDAS!A:F,6,FALSE),0)</f>
        <v>1</v>
      </c>
      <c r="O252" s="7">
        <f t="shared" si="15"/>
        <v>0</v>
      </c>
      <c r="P252" s="7">
        <f>IFERROR(_xlfn.XLOOKUP(A252,PPTO_GENERADOR!$Q:$Q,PPTO_GENERADOR!$E:$E,"-",0),"-")</f>
        <v>510</v>
      </c>
    </row>
    <row r="253" spans="1:16" x14ac:dyDescent="0.35">
      <c r="A253" s="5" t="s">
        <v>895</v>
      </c>
      <c r="B253" s="5" t="s">
        <v>1203</v>
      </c>
      <c r="C253" s="5" t="s">
        <v>1205</v>
      </c>
      <c r="D253" s="5" t="s">
        <v>167</v>
      </c>
      <c r="E253" s="7" t="str">
        <f>IFERROR(VLOOKUP(D253,MATERIALES!A:B,2,FALSE),"?")</f>
        <v>Aguarras Hydrarras Hydra x 18lts</v>
      </c>
      <c r="F253" s="5"/>
      <c r="G253" s="11">
        <v>2E-3</v>
      </c>
      <c r="H253" s="12">
        <v>0.05</v>
      </c>
      <c r="I253" s="7">
        <f>IFERROR(VLOOKUP(D253,MATERIALES!A:D,4,FALSE),0)</f>
        <v>29726.19</v>
      </c>
      <c r="J253" s="8">
        <f t="shared" si="12"/>
        <v>62.424999</v>
      </c>
      <c r="K253" s="7" t="str">
        <f t="shared" si="13"/>
        <v>PTO-0505|MAT</v>
      </c>
      <c r="L253" s="7">
        <f>COUNTIFS($K$2:K253,K253)</f>
        <v>4</v>
      </c>
      <c r="M253" s="7" t="str">
        <f t="shared" si="14"/>
        <v>PTO-0505|MAT|4</v>
      </c>
      <c r="N253" s="7">
        <f>IFERROR(VLOOKUP(A253,PARTIDAS!A:F,6,FALSE),0)</f>
        <v>1</v>
      </c>
      <c r="O253" s="7">
        <f t="shared" si="15"/>
        <v>0</v>
      </c>
      <c r="P253" s="7">
        <f>IFERROR(_xlfn.XLOOKUP(A253,PPTO_GENERADOR!$Q:$Q,PPTO_GENERADOR!$E:$E,"-",0),"-")</f>
        <v>510</v>
      </c>
    </row>
    <row r="254" spans="1:16" x14ac:dyDescent="0.35">
      <c r="A254" s="5" t="s">
        <v>895</v>
      </c>
      <c r="B254" s="5" t="s">
        <v>1203</v>
      </c>
      <c r="C254" s="5" t="s">
        <v>1205</v>
      </c>
      <c r="D254" s="5" t="s">
        <v>169</v>
      </c>
      <c r="E254" s="7" t="str">
        <f>IFERROR(VLOOKUP(D254,MATERIALES!A:B,2,FALSE),"?")</f>
        <v>Trapo</v>
      </c>
      <c r="F254" s="5"/>
      <c r="G254" s="11">
        <v>0.02</v>
      </c>
      <c r="H254" s="12">
        <v>0.05</v>
      </c>
      <c r="I254" s="7">
        <f>IFERROR(VLOOKUP(D254,MATERIALES!A:D,4,FALSE),0)</f>
        <v>784.06</v>
      </c>
      <c r="J254" s="8">
        <f t="shared" si="12"/>
        <v>16.465260000000001</v>
      </c>
      <c r="K254" s="7" t="str">
        <f t="shared" si="13"/>
        <v>PTO-0505|MAT</v>
      </c>
      <c r="L254" s="7">
        <f>COUNTIFS($K$2:K254,K254)</f>
        <v>5</v>
      </c>
      <c r="M254" s="7" t="str">
        <f t="shared" si="14"/>
        <v>PTO-0505|MAT|5</v>
      </c>
      <c r="N254" s="7">
        <f>IFERROR(VLOOKUP(A254,PARTIDAS!A:F,6,FALSE),0)</f>
        <v>1</v>
      </c>
      <c r="O254" s="7">
        <f t="shared" si="15"/>
        <v>0</v>
      </c>
      <c r="P254" s="7">
        <f>IFERROR(_xlfn.XLOOKUP(A254,PPTO_GENERADOR!$Q:$Q,PPTO_GENERADOR!$E:$E,"-",0),"-")</f>
        <v>510</v>
      </c>
    </row>
    <row r="255" spans="1:16" x14ac:dyDescent="0.35">
      <c r="A255" s="5" t="s">
        <v>895</v>
      </c>
      <c r="B255" s="5" t="s">
        <v>1198</v>
      </c>
      <c r="C255" s="5" t="s">
        <v>1201</v>
      </c>
      <c r="D255" s="5" t="s">
        <v>475</v>
      </c>
      <c r="E255" s="7" t="str">
        <f>IFERROR(VLOOKUP(D255,MANO_DE_OBRA!A:B,2,FALSE),"?")</f>
        <v>AYUDANTE</v>
      </c>
      <c r="F255" s="5" t="s">
        <v>1200</v>
      </c>
      <c r="G255" s="11">
        <v>1.2500000000000001E-2</v>
      </c>
      <c r="H255" s="12">
        <v>0</v>
      </c>
      <c r="I255" s="7">
        <f>IFERROR(VLOOKUP(D255,MANO_DE_OBRA!A:C,3,FALSE),0)</f>
        <v>49934.239999999998</v>
      </c>
      <c r="J255" s="8">
        <f t="shared" si="12"/>
        <v>624.178</v>
      </c>
      <c r="K255" s="7" t="str">
        <f t="shared" si="13"/>
        <v>PTO-0505|MO</v>
      </c>
      <c r="L255" s="7">
        <f>COUNTIFS($K$2:K255,K255)</f>
        <v>1</v>
      </c>
      <c r="M255" s="7" t="str">
        <f t="shared" si="14"/>
        <v>PTO-0505|MO|1</v>
      </c>
      <c r="N255" s="7">
        <f>IFERROR(VLOOKUP(A255,PARTIDAS!A:F,6,FALSE),0)</f>
        <v>1</v>
      </c>
      <c r="O255" s="7">
        <f t="shared" si="15"/>
        <v>1.2500000000000001E-2</v>
      </c>
      <c r="P255" s="7">
        <f>IFERROR(_xlfn.XLOOKUP(A255,PPTO_GENERADOR!$Q:$Q,PPTO_GENERADOR!$E:$E,"-",0),"-")</f>
        <v>510</v>
      </c>
    </row>
    <row r="256" spans="1:16" x14ac:dyDescent="0.35">
      <c r="A256" s="5" t="s">
        <v>895</v>
      </c>
      <c r="B256" s="5" t="s">
        <v>1198</v>
      </c>
      <c r="C256" s="5" t="s">
        <v>1201</v>
      </c>
      <c r="D256" s="5" t="s">
        <v>477</v>
      </c>
      <c r="E256" s="7" t="str">
        <f>IFERROR(VLOOKUP(D256,MANO_DE_OBRA!A:B,2,FALSE),"?")</f>
        <v>ESPECIALIZADO</v>
      </c>
      <c r="F256" s="5" t="s">
        <v>1200</v>
      </c>
      <c r="G256" s="11">
        <v>1.2500000000000001E-2</v>
      </c>
      <c r="H256" s="12">
        <v>0</v>
      </c>
      <c r="I256" s="7">
        <f>IFERROR(VLOOKUP(D256,MANO_DE_OBRA!A:C,3,FALSE),0)</f>
        <v>75113.05</v>
      </c>
      <c r="J256" s="8">
        <f t="shared" si="12"/>
        <v>938.91312500000004</v>
      </c>
      <c r="K256" s="7" t="str">
        <f t="shared" si="13"/>
        <v>PTO-0505|MO</v>
      </c>
      <c r="L256" s="7">
        <f>COUNTIFS($K$2:K256,K256)</f>
        <v>2</v>
      </c>
      <c r="M256" s="7" t="str">
        <f t="shared" si="14"/>
        <v>PTO-0505|MO|2</v>
      </c>
      <c r="N256" s="7">
        <f>IFERROR(VLOOKUP(A256,PARTIDAS!A:F,6,FALSE),0)</f>
        <v>1</v>
      </c>
      <c r="O256" s="7">
        <f t="shared" si="15"/>
        <v>1.2500000000000001E-2</v>
      </c>
      <c r="P256" s="7">
        <f>IFERROR(_xlfn.XLOOKUP(A256,PPTO_GENERADOR!$Q:$Q,PPTO_GENERADOR!$E:$E,"-",0),"-")</f>
        <v>510</v>
      </c>
    </row>
    <row r="257" spans="1:16" x14ac:dyDescent="0.35">
      <c r="A257" s="5" t="s">
        <v>895</v>
      </c>
      <c r="B257" s="5" t="s">
        <v>1202</v>
      </c>
      <c r="C257" s="5"/>
      <c r="D257" s="5" t="s">
        <v>535</v>
      </c>
      <c r="E257" s="7" t="str">
        <f>IFERROR(VLOOKUP(D257,EQUIPOS!A:B,2,FALSE),"?")</f>
        <v>Soldador Soplete A Gas Techista Membrana 10 Kg Boca 50mm</v>
      </c>
      <c r="F257" s="5"/>
      <c r="G257" s="11">
        <v>1.2500000000000001E-2</v>
      </c>
      <c r="H257" s="12">
        <v>0</v>
      </c>
      <c r="I257" s="7">
        <f>IFERROR(VLOOKUP(D257,EQUIPOS!A:C,3,FALSE),0)</f>
        <v>783.43359999999996</v>
      </c>
      <c r="J257" s="8">
        <f t="shared" si="12"/>
        <v>9.7929200000000005</v>
      </c>
      <c r="K257" s="7" t="str">
        <f t="shared" si="13"/>
        <v>PTO-0505|EQ</v>
      </c>
      <c r="L257" s="7">
        <f>COUNTIFS($K$2:K257,K257)</f>
        <v>1</v>
      </c>
      <c r="M257" s="7" t="str">
        <f t="shared" si="14"/>
        <v>PTO-0505|EQ|1</v>
      </c>
      <c r="N257" s="7">
        <f>IFERROR(VLOOKUP(A257,PARTIDAS!A:F,6,FALSE),0)</f>
        <v>1</v>
      </c>
      <c r="O257" s="7">
        <f t="shared" si="15"/>
        <v>0</v>
      </c>
      <c r="P257" s="7">
        <f>IFERROR(_xlfn.XLOOKUP(A257,PPTO_GENERADOR!$Q:$Q,PPTO_GENERADOR!$E:$E,"-",0),"-")</f>
        <v>510</v>
      </c>
    </row>
    <row r="258" spans="1:16" x14ac:dyDescent="0.35">
      <c r="A258" s="5" t="s">
        <v>897</v>
      </c>
      <c r="B258" s="5" t="s">
        <v>1203</v>
      </c>
      <c r="C258" s="5" t="s">
        <v>1205</v>
      </c>
      <c r="D258" s="5" t="s">
        <v>159</v>
      </c>
      <c r="E258" s="7" t="str">
        <f>IFERROR(VLOOKUP(D258,MATERIALES!A:B,2,FALSE),"?")</f>
        <v>Pintura Asfaltica Asfasol x18ts</v>
      </c>
      <c r="F258" s="5"/>
      <c r="G258" s="11">
        <v>2.7777779999999998E-2</v>
      </c>
      <c r="H258" s="12">
        <v>0.1</v>
      </c>
      <c r="I258" s="7">
        <f>IFERROR(VLOOKUP(D258,MATERIALES!A:D,4,FALSE),0)</f>
        <v>32845.78</v>
      </c>
      <c r="J258" s="8">
        <f t="shared" ref="J258:J321" si="16">G258*I258*(1+H258)</f>
        <v>1003.6211358452399</v>
      </c>
      <c r="K258" s="7" t="str">
        <f t="shared" ref="K258:K321" si="17">A258&amp;"|"&amp;B258</f>
        <v>PTO-0506|MAT</v>
      </c>
      <c r="L258" s="7">
        <f>COUNTIFS($K$2:K258,K258)</f>
        <v>1</v>
      </c>
      <c r="M258" s="7" t="str">
        <f t="shared" ref="M258:M321" si="18">K258&amp;"|"&amp;L258</f>
        <v>PTO-0506|MAT|1</v>
      </c>
      <c r="N258" s="7">
        <f>IFERROR(VLOOKUP(A258,PARTIDAS!A:F,6,FALSE),0)</f>
        <v>1</v>
      </c>
      <c r="O258" s="7">
        <f t="shared" ref="O258:O321" si="19">IF(C258="ALB",IF(N258=0,0,G258/N258),0)</f>
        <v>0</v>
      </c>
      <c r="P258" s="7">
        <f>IFERROR(_xlfn.XLOOKUP(A258,PPTO_GENERADOR!$Q:$Q,PPTO_GENERADOR!$E:$E,"-",0),"-")</f>
        <v>510</v>
      </c>
    </row>
    <row r="259" spans="1:16" x14ac:dyDescent="0.35">
      <c r="A259" s="5" t="s">
        <v>897</v>
      </c>
      <c r="B259" s="5" t="s">
        <v>1203</v>
      </c>
      <c r="C259" s="5" t="s">
        <v>1205</v>
      </c>
      <c r="D259" s="5" t="s">
        <v>161</v>
      </c>
      <c r="E259" s="7" t="str">
        <f>IFERROR(VLOOKUP(D259,MATERIALES!A:B,2,FALSE),"?")</f>
        <v>Membrana Geotextil Ormiflex 4mm - (35kg) x10m</v>
      </c>
      <c r="F259" s="5"/>
      <c r="G259" s="11">
        <v>0.1</v>
      </c>
      <c r="H259" s="12">
        <v>0.1</v>
      </c>
      <c r="I259" s="7">
        <f>IFERROR(VLOOKUP(D259,MATERIALES!A:D,4,FALSE),0)</f>
        <v>70192.210000000006</v>
      </c>
      <c r="J259" s="8">
        <f t="shared" si="16"/>
        <v>7721.1431000000021</v>
      </c>
      <c r="K259" s="7" t="str">
        <f t="shared" si="17"/>
        <v>PTO-0506|MAT</v>
      </c>
      <c r="L259" s="7">
        <f>COUNTIFS($K$2:K259,K259)</f>
        <v>2</v>
      </c>
      <c r="M259" s="7" t="str">
        <f t="shared" si="18"/>
        <v>PTO-0506|MAT|2</v>
      </c>
      <c r="N259" s="7">
        <f>IFERROR(VLOOKUP(A259,PARTIDAS!A:F,6,FALSE),0)</f>
        <v>1</v>
      </c>
      <c r="O259" s="7">
        <f t="shared" si="19"/>
        <v>0</v>
      </c>
      <c r="P259" s="7">
        <f>IFERROR(_xlfn.XLOOKUP(A259,PPTO_GENERADOR!$Q:$Q,PPTO_GENERADOR!$E:$E,"-",0),"-")</f>
        <v>510</v>
      </c>
    </row>
    <row r="260" spans="1:16" x14ac:dyDescent="0.35">
      <c r="A260" s="5" t="s">
        <v>897</v>
      </c>
      <c r="B260" s="5" t="s">
        <v>1203</v>
      </c>
      <c r="C260" s="5" t="s">
        <v>1205</v>
      </c>
      <c r="D260" s="5" t="s">
        <v>163</v>
      </c>
      <c r="E260" s="7" t="str">
        <f>IFERROR(VLOOKUP(D260,MATERIALES!A:B,2,FALSE),"?")</f>
        <v>Rodillo de lana pelo largo N°22 - El Galgo</v>
      </c>
      <c r="F260" s="5"/>
      <c r="G260" s="11">
        <v>0.01</v>
      </c>
      <c r="H260" s="12">
        <v>0.05</v>
      </c>
      <c r="I260" s="7">
        <f>IFERROR(VLOOKUP(D260,MATERIALES!A:D,4,FALSE),0)</f>
        <v>7268.97</v>
      </c>
      <c r="J260" s="8">
        <f t="shared" si="16"/>
        <v>76.324185</v>
      </c>
      <c r="K260" s="7" t="str">
        <f t="shared" si="17"/>
        <v>PTO-0506|MAT</v>
      </c>
      <c r="L260" s="7">
        <f>COUNTIFS($K$2:K260,K260)</f>
        <v>3</v>
      </c>
      <c r="M260" s="7" t="str">
        <f t="shared" si="18"/>
        <v>PTO-0506|MAT|3</v>
      </c>
      <c r="N260" s="7">
        <f>IFERROR(VLOOKUP(A260,PARTIDAS!A:F,6,FALSE),0)</f>
        <v>1</v>
      </c>
      <c r="O260" s="7">
        <f t="shared" si="19"/>
        <v>0</v>
      </c>
      <c r="P260" s="7">
        <f>IFERROR(_xlfn.XLOOKUP(A260,PPTO_GENERADOR!$Q:$Q,PPTO_GENERADOR!$E:$E,"-",0),"-")</f>
        <v>510</v>
      </c>
    </row>
    <row r="261" spans="1:16" x14ac:dyDescent="0.35">
      <c r="A261" s="5" t="s">
        <v>897</v>
      </c>
      <c r="B261" s="5" t="s">
        <v>1203</v>
      </c>
      <c r="C261" s="5" t="s">
        <v>1205</v>
      </c>
      <c r="D261" s="5" t="s">
        <v>165</v>
      </c>
      <c r="E261" s="7" t="str">
        <f>IFERROR(VLOOKUP(D261,MATERIALES!A:B,2,FALSE),"?")</f>
        <v>Pincel N° 20 - El Galgo</v>
      </c>
      <c r="F261" s="5"/>
      <c r="G261" s="11">
        <v>0.02</v>
      </c>
      <c r="H261" s="12">
        <v>0.05</v>
      </c>
      <c r="I261" s="7">
        <f>IFERROR(VLOOKUP(D261,MATERIALES!A:D,4,FALSE),0)</f>
        <v>5452.63</v>
      </c>
      <c r="J261" s="8">
        <f t="shared" si="16"/>
        <v>114.50523</v>
      </c>
      <c r="K261" s="7" t="str">
        <f t="shared" si="17"/>
        <v>PTO-0506|MAT</v>
      </c>
      <c r="L261" s="7">
        <f>COUNTIFS($K$2:K261,K261)</f>
        <v>4</v>
      </c>
      <c r="M261" s="7" t="str">
        <f t="shared" si="18"/>
        <v>PTO-0506|MAT|4</v>
      </c>
      <c r="N261" s="7">
        <f>IFERROR(VLOOKUP(A261,PARTIDAS!A:F,6,FALSE),0)</f>
        <v>1</v>
      </c>
      <c r="O261" s="7">
        <f t="shared" si="19"/>
        <v>0</v>
      </c>
      <c r="P261" s="7">
        <f>IFERROR(_xlfn.XLOOKUP(A261,PPTO_GENERADOR!$Q:$Q,PPTO_GENERADOR!$E:$E,"-",0),"-")</f>
        <v>510</v>
      </c>
    </row>
    <row r="262" spans="1:16" x14ac:dyDescent="0.35">
      <c r="A262" s="5" t="s">
        <v>897</v>
      </c>
      <c r="B262" s="5" t="s">
        <v>1203</v>
      </c>
      <c r="C262" s="5" t="s">
        <v>1205</v>
      </c>
      <c r="D262" s="5" t="s">
        <v>167</v>
      </c>
      <c r="E262" s="7" t="str">
        <f>IFERROR(VLOOKUP(D262,MATERIALES!A:B,2,FALSE),"?")</f>
        <v>Aguarras Hydrarras Hydra x 18lts</v>
      </c>
      <c r="F262" s="5"/>
      <c r="G262" s="11">
        <v>0.01</v>
      </c>
      <c r="H262" s="12">
        <v>0.05</v>
      </c>
      <c r="I262" s="7">
        <f>IFERROR(VLOOKUP(D262,MATERIALES!A:D,4,FALSE),0)</f>
        <v>29726.19</v>
      </c>
      <c r="J262" s="8">
        <f t="shared" si="16"/>
        <v>312.12499499999996</v>
      </c>
      <c r="K262" s="7" t="str">
        <f t="shared" si="17"/>
        <v>PTO-0506|MAT</v>
      </c>
      <c r="L262" s="7">
        <f>COUNTIFS($K$2:K262,K262)</f>
        <v>5</v>
      </c>
      <c r="M262" s="7" t="str">
        <f t="shared" si="18"/>
        <v>PTO-0506|MAT|5</v>
      </c>
      <c r="N262" s="7">
        <f>IFERROR(VLOOKUP(A262,PARTIDAS!A:F,6,FALSE),0)</f>
        <v>1</v>
      </c>
      <c r="O262" s="7">
        <f t="shared" si="19"/>
        <v>0</v>
      </c>
      <c r="P262" s="7">
        <f>IFERROR(_xlfn.XLOOKUP(A262,PPTO_GENERADOR!$Q:$Q,PPTO_GENERADOR!$E:$E,"-",0),"-")</f>
        <v>510</v>
      </c>
    </row>
    <row r="263" spans="1:16" x14ac:dyDescent="0.35">
      <c r="A263" s="5" t="s">
        <v>897</v>
      </c>
      <c r="B263" s="5" t="s">
        <v>1203</v>
      </c>
      <c r="C263" s="5" t="s">
        <v>1205</v>
      </c>
      <c r="D263" s="5" t="s">
        <v>169</v>
      </c>
      <c r="E263" s="7" t="str">
        <f>IFERROR(VLOOKUP(D263,MATERIALES!A:B,2,FALSE),"?")</f>
        <v>Trapo</v>
      </c>
      <c r="F263" s="5"/>
      <c r="G263" s="11">
        <v>0.02</v>
      </c>
      <c r="H263" s="12">
        <v>0.05</v>
      </c>
      <c r="I263" s="7">
        <f>IFERROR(VLOOKUP(D263,MATERIALES!A:D,4,FALSE),0)</f>
        <v>784.06</v>
      </c>
      <c r="J263" s="8">
        <f t="shared" si="16"/>
        <v>16.465260000000001</v>
      </c>
      <c r="K263" s="7" t="str">
        <f t="shared" si="17"/>
        <v>PTO-0506|MAT</v>
      </c>
      <c r="L263" s="7">
        <f>COUNTIFS($K$2:K263,K263)</f>
        <v>6</v>
      </c>
      <c r="M263" s="7" t="str">
        <f t="shared" si="18"/>
        <v>PTO-0506|MAT|6</v>
      </c>
      <c r="N263" s="7">
        <f>IFERROR(VLOOKUP(A263,PARTIDAS!A:F,6,FALSE),0)</f>
        <v>1</v>
      </c>
      <c r="O263" s="7">
        <f t="shared" si="19"/>
        <v>0</v>
      </c>
      <c r="P263" s="7">
        <f>IFERROR(_xlfn.XLOOKUP(A263,PPTO_GENERADOR!$Q:$Q,PPTO_GENERADOR!$E:$E,"-",0),"-")</f>
        <v>510</v>
      </c>
    </row>
    <row r="264" spans="1:16" x14ac:dyDescent="0.35">
      <c r="A264" s="5" t="s">
        <v>897</v>
      </c>
      <c r="B264" s="5" t="s">
        <v>1203</v>
      </c>
      <c r="C264" s="5" t="s">
        <v>1205</v>
      </c>
      <c r="D264" s="5" t="s">
        <v>171</v>
      </c>
      <c r="E264" s="7" t="str">
        <f>IFERROR(VLOOKUP(D264,MATERIALES!A:B,2,FALSE),"?")</f>
        <v>Guante vaqueta medio paseo</v>
      </c>
      <c r="F264" s="5"/>
      <c r="G264" s="11">
        <v>0.06</v>
      </c>
      <c r="H264" s="12">
        <v>0.05</v>
      </c>
      <c r="I264" s="7">
        <f>IFERROR(VLOOKUP(D264,MATERIALES!A:D,4,FALSE),0)</f>
        <v>4842</v>
      </c>
      <c r="J264" s="8">
        <f t="shared" si="16"/>
        <v>305.04599999999999</v>
      </c>
      <c r="K264" s="7" t="str">
        <f t="shared" si="17"/>
        <v>PTO-0506|MAT</v>
      </c>
      <c r="L264" s="7">
        <f>COUNTIFS($K$2:K264,K264)</f>
        <v>7</v>
      </c>
      <c r="M264" s="7" t="str">
        <f t="shared" si="18"/>
        <v>PTO-0506|MAT|7</v>
      </c>
      <c r="N264" s="7">
        <f>IFERROR(VLOOKUP(A264,PARTIDAS!A:F,6,FALSE),0)</f>
        <v>1</v>
      </c>
      <c r="O264" s="7">
        <f t="shared" si="19"/>
        <v>0</v>
      </c>
      <c r="P264" s="7">
        <f>IFERROR(_xlfn.XLOOKUP(A264,PPTO_GENERADOR!$Q:$Q,PPTO_GENERADOR!$E:$E,"-",0),"-")</f>
        <v>510</v>
      </c>
    </row>
    <row r="265" spans="1:16" x14ac:dyDescent="0.35">
      <c r="A265" s="5" t="s">
        <v>897</v>
      </c>
      <c r="B265" s="5" t="s">
        <v>1203</v>
      </c>
      <c r="C265" s="5" t="s">
        <v>1205</v>
      </c>
      <c r="D265" s="5" t="s">
        <v>173</v>
      </c>
      <c r="E265" s="7" t="str">
        <f>IFERROR(VLOOKUP(D265,MATERIALES!A:B,2,FALSE),"?")</f>
        <v>Recarga de garrafa</v>
      </c>
      <c r="F265" s="5"/>
      <c r="G265" s="11">
        <v>0.02</v>
      </c>
      <c r="H265" s="12">
        <v>0.05</v>
      </c>
      <c r="I265" s="7">
        <f>IFERROR(VLOOKUP(D265,MATERIALES!A:D,4,FALSE),0)</f>
        <v>12396.6942</v>
      </c>
      <c r="J265" s="8">
        <f t="shared" si="16"/>
        <v>260.33057819999999</v>
      </c>
      <c r="K265" s="7" t="str">
        <f t="shared" si="17"/>
        <v>PTO-0506|MAT</v>
      </c>
      <c r="L265" s="7">
        <f>COUNTIFS($K$2:K265,K265)</f>
        <v>8</v>
      </c>
      <c r="M265" s="7" t="str">
        <f t="shared" si="18"/>
        <v>PTO-0506|MAT|8</v>
      </c>
      <c r="N265" s="7">
        <f>IFERROR(VLOOKUP(A265,PARTIDAS!A:F,6,FALSE),0)</f>
        <v>1</v>
      </c>
      <c r="O265" s="7">
        <f t="shared" si="19"/>
        <v>0</v>
      </c>
      <c r="P265" s="7">
        <f>IFERROR(_xlfn.XLOOKUP(A265,PPTO_GENERADOR!$Q:$Q,PPTO_GENERADOR!$E:$E,"-",0),"-")</f>
        <v>510</v>
      </c>
    </row>
    <row r="266" spans="1:16" x14ac:dyDescent="0.35">
      <c r="A266" s="5" t="s">
        <v>897</v>
      </c>
      <c r="B266" s="5" t="s">
        <v>1198</v>
      </c>
      <c r="C266" s="5" t="s">
        <v>1199</v>
      </c>
      <c r="D266" s="5" t="s">
        <v>688</v>
      </c>
      <c r="E266" s="7" t="str">
        <f>IFERROR(VLOOKUP(D266,SUBCONTRATOS_PRY!A:B,2,FALSE),"?")</f>
        <v>AYUDANTE ALBAÑIL</v>
      </c>
      <c r="F266" s="5" t="s">
        <v>1200</v>
      </c>
      <c r="G266" s="11">
        <v>0.02</v>
      </c>
      <c r="H266" s="12">
        <v>0</v>
      </c>
      <c r="I266" s="7">
        <f>IFERROR(VLOOKUP(D266,SUBCONTRATOS_PRY!A:D,4,FALSE),0)</f>
        <v>49934.237200000003</v>
      </c>
      <c r="J266" s="8">
        <f t="shared" si="16"/>
        <v>998.68474400000014</v>
      </c>
      <c r="K266" s="7" t="str">
        <f t="shared" si="17"/>
        <v>PTO-0506|MO</v>
      </c>
      <c r="L266" s="7">
        <f>COUNTIFS($K$2:K266,K266)</f>
        <v>1</v>
      </c>
      <c r="M266" s="7" t="str">
        <f t="shared" si="18"/>
        <v>PTO-0506|MO|1</v>
      </c>
      <c r="N266" s="7">
        <f>IFERROR(VLOOKUP(A266,PARTIDAS!A:F,6,FALSE),0)</f>
        <v>1</v>
      </c>
      <c r="O266" s="7">
        <f t="shared" si="19"/>
        <v>0</v>
      </c>
      <c r="P266" s="7">
        <f>IFERROR(_xlfn.XLOOKUP(A266,PPTO_GENERADOR!$Q:$Q,PPTO_GENERADOR!$E:$E,"-",0),"-")</f>
        <v>510</v>
      </c>
    </row>
    <row r="267" spans="1:16" x14ac:dyDescent="0.35">
      <c r="A267" s="5" t="s">
        <v>897</v>
      </c>
      <c r="B267" s="5" t="s">
        <v>1198</v>
      </c>
      <c r="C267" s="5" t="s">
        <v>1199</v>
      </c>
      <c r="D267" s="5" t="s">
        <v>686</v>
      </c>
      <c r="E267" s="7" t="str">
        <f>IFERROR(VLOOKUP(D267,SUBCONTRATOS_PRY!A:B,2,FALSE),"?")</f>
        <v>OFICIAL ESPECIALIZADO ALBAÑIL</v>
      </c>
      <c r="F267" s="5" t="s">
        <v>1200</v>
      </c>
      <c r="G267" s="11">
        <v>0.02</v>
      </c>
      <c r="H267" s="12">
        <v>0</v>
      </c>
      <c r="I267" s="7">
        <f>IFERROR(VLOOKUP(D267,SUBCONTRATOS_PRY!A:D,4,FALSE),0)</f>
        <v>75113.048200000005</v>
      </c>
      <c r="J267" s="8">
        <f t="shared" si="16"/>
        <v>1502.2609640000001</v>
      </c>
      <c r="K267" s="7" t="str">
        <f t="shared" si="17"/>
        <v>PTO-0506|MO</v>
      </c>
      <c r="L267" s="7">
        <f>COUNTIFS($K$2:K267,K267)</f>
        <v>2</v>
      </c>
      <c r="M267" s="7" t="str">
        <f t="shared" si="18"/>
        <v>PTO-0506|MO|2</v>
      </c>
      <c r="N267" s="7">
        <f>IFERROR(VLOOKUP(A267,PARTIDAS!A:F,6,FALSE),0)</f>
        <v>1</v>
      </c>
      <c r="O267" s="7">
        <f t="shared" si="19"/>
        <v>0</v>
      </c>
      <c r="P267" s="7">
        <f>IFERROR(_xlfn.XLOOKUP(A267,PPTO_GENERADOR!$Q:$Q,PPTO_GENERADOR!$E:$E,"-",0),"-")</f>
        <v>510</v>
      </c>
    </row>
    <row r="268" spans="1:16" x14ac:dyDescent="0.35">
      <c r="A268" s="5" t="s">
        <v>897</v>
      </c>
      <c r="B268" s="5" t="s">
        <v>1198</v>
      </c>
      <c r="C268" s="5" t="s">
        <v>1201</v>
      </c>
      <c r="D268" s="5" t="s">
        <v>475</v>
      </c>
      <c r="E268" s="7" t="str">
        <f>IFERROR(VLOOKUP(D268,MANO_DE_OBRA!A:B,2,FALSE),"?")</f>
        <v>AYUDANTE</v>
      </c>
      <c r="F268" s="5" t="s">
        <v>1200</v>
      </c>
      <c r="G268" s="11">
        <v>0.04</v>
      </c>
      <c r="H268" s="12">
        <v>0</v>
      </c>
      <c r="I268" s="7">
        <f>IFERROR(VLOOKUP(D268,MANO_DE_OBRA!A:C,3,FALSE),0)</f>
        <v>49934.239999999998</v>
      </c>
      <c r="J268" s="8">
        <f t="shared" si="16"/>
        <v>1997.3696</v>
      </c>
      <c r="K268" s="7" t="str">
        <f t="shared" si="17"/>
        <v>PTO-0506|MO</v>
      </c>
      <c r="L268" s="7">
        <f>COUNTIFS($K$2:K268,K268)</f>
        <v>3</v>
      </c>
      <c r="M268" s="7" t="str">
        <f t="shared" si="18"/>
        <v>PTO-0506|MO|3</v>
      </c>
      <c r="N268" s="7">
        <f>IFERROR(VLOOKUP(A268,PARTIDAS!A:F,6,FALSE),0)</f>
        <v>1</v>
      </c>
      <c r="O268" s="7">
        <f t="shared" si="19"/>
        <v>0.04</v>
      </c>
      <c r="P268" s="7">
        <f>IFERROR(_xlfn.XLOOKUP(A268,PPTO_GENERADOR!$Q:$Q,PPTO_GENERADOR!$E:$E,"-",0),"-")</f>
        <v>510</v>
      </c>
    </row>
    <row r="269" spans="1:16" x14ac:dyDescent="0.35">
      <c r="A269" s="5" t="s">
        <v>897</v>
      </c>
      <c r="B269" s="5" t="s">
        <v>1198</v>
      </c>
      <c r="C269" s="5" t="s">
        <v>1201</v>
      </c>
      <c r="D269" s="5" t="s">
        <v>477</v>
      </c>
      <c r="E269" s="7" t="str">
        <f>IFERROR(VLOOKUP(D269,MANO_DE_OBRA!A:B,2,FALSE),"?")</f>
        <v>ESPECIALIZADO</v>
      </c>
      <c r="F269" s="5" t="s">
        <v>1200</v>
      </c>
      <c r="G269" s="11">
        <v>0.04</v>
      </c>
      <c r="H269" s="12">
        <v>0</v>
      </c>
      <c r="I269" s="7">
        <f>IFERROR(VLOOKUP(D269,MANO_DE_OBRA!A:C,3,FALSE),0)</f>
        <v>75113.05</v>
      </c>
      <c r="J269" s="8">
        <f t="shared" si="16"/>
        <v>3004.5220000000004</v>
      </c>
      <c r="K269" s="7" t="str">
        <f t="shared" si="17"/>
        <v>PTO-0506|MO</v>
      </c>
      <c r="L269" s="7">
        <f>COUNTIFS($K$2:K269,K269)</f>
        <v>4</v>
      </c>
      <c r="M269" s="7" t="str">
        <f t="shared" si="18"/>
        <v>PTO-0506|MO|4</v>
      </c>
      <c r="N269" s="7">
        <f>IFERROR(VLOOKUP(A269,PARTIDAS!A:F,6,FALSE),0)</f>
        <v>1</v>
      </c>
      <c r="O269" s="7">
        <f t="shared" si="19"/>
        <v>0.04</v>
      </c>
      <c r="P269" s="7">
        <f>IFERROR(_xlfn.XLOOKUP(A269,PPTO_GENERADOR!$Q:$Q,PPTO_GENERADOR!$E:$E,"-",0),"-")</f>
        <v>510</v>
      </c>
    </row>
    <row r="270" spans="1:16" x14ac:dyDescent="0.35">
      <c r="A270" s="5" t="s">
        <v>897</v>
      </c>
      <c r="B270" s="5" t="s">
        <v>1202</v>
      </c>
      <c r="C270" s="5"/>
      <c r="D270" s="5" t="s">
        <v>535</v>
      </c>
      <c r="E270" s="7" t="str">
        <f>IFERROR(VLOOKUP(D270,EQUIPOS!A:B,2,FALSE),"?")</f>
        <v>Soldador Soplete A Gas Techista Membrana 10 Kg Boca 50mm</v>
      </c>
      <c r="F270" s="5"/>
      <c r="G270" s="11">
        <v>0.04</v>
      </c>
      <c r="H270" s="12">
        <v>0</v>
      </c>
      <c r="I270" s="7">
        <f>IFERROR(VLOOKUP(D270,EQUIPOS!A:C,3,FALSE),0)</f>
        <v>783.43359999999996</v>
      </c>
      <c r="J270" s="8">
        <f t="shared" si="16"/>
        <v>31.337343999999998</v>
      </c>
      <c r="K270" s="7" t="str">
        <f t="shared" si="17"/>
        <v>PTO-0506|EQ</v>
      </c>
      <c r="L270" s="7">
        <f>COUNTIFS($K$2:K270,K270)</f>
        <v>1</v>
      </c>
      <c r="M270" s="7" t="str">
        <f t="shared" si="18"/>
        <v>PTO-0506|EQ|1</v>
      </c>
      <c r="N270" s="7">
        <f>IFERROR(VLOOKUP(A270,PARTIDAS!A:F,6,FALSE),0)</f>
        <v>1</v>
      </c>
      <c r="O270" s="7">
        <f t="shared" si="19"/>
        <v>0</v>
      </c>
      <c r="P270" s="7">
        <f>IFERROR(_xlfn.XLOOKUP(A270,PPTO_GENERADOR!$Q:$Q,PPTO_GENERADOR!$E:$E,"-",0),"-")</f>
        <v>510</v>
      </c>
    </row>
    <row r="271" spans="1:16" x14ac:dyDescent="0.35">
      <c r="A271" s="5" t="s">
        <v>898</v>
      </c>
      <c r="B271" s="5" t="s">
        <v>1198</v>
      </c>
      <c r="C271" s="5" t="s">
        <v>1199</v>
      </c>
      <c r="D271" s="5" t="s">
        <v>690</v>
      </c>
      <c r="E271" s="7" t="str">
        <f>IFERROR(VLOOKUP(D271,SUBCONTRATOS_PRY!A:B,2,FALSE),"?")</f>
        <v>Impermeabilización de subsuelo</v>
      </c>
      <c r="F271" s="5" t="s">
        <v>1200</v>
      </c>
      <c r="G271" s="11">
        <v>1</v>
      </c>
      <c r="H271" s="12">
        <v>0</v>
      </c>
      <c r="I271" s="7">
        <f>IFERROR(VLOOKUP(D271,SUBCONTRATOS_PRY!A:D,4,FALSE),0)</f>
        <v>13500000</v>
      </c>
      <c r="J271" s="8">
        <f t="shared" si="16"/>
        <v>13500000</v>
      </c>
      <c r="K271" s="7" t="str">
        <f t="shared" si="17"/>
        <v>PTO-0507|MO</v>
      </c>
      <c r="L271" s="7">
        <f>COUNTIFS($K$2:K271,K271)</f>
        <v>1</v>
      </c>
      <c r="M271" s="7" t="str">
        <f t="shared" si="18"/>
        <v>PTO-0507|MO|1</v>
      </c>
      <c r="N271" s="7">
        <f>IFERROR(VLOOKUP(A271,PARTIDAS!A:F,6,FALSE),0)</f>
        <v>1</v>
      </c>
      <c r="O271" s="7">
        <f t="shared" si="19"/>
        <v>0</v>
      </c>
      <c r="P271" s="7">
        <f>IFERROR(_xlfn.XLOOKUP(A271,PPTO_GENERADOR!$Q:$Q,PPTO_GENERADOR!$E:$E,"-",0),"-")</f>
        <v>1</v>
      </c>
    </row>
    <row r="272" spans="1:16" x14ac:dyDescent="0.35">
      <c r="A272" s="5" t="s">
        <v>901</v>
      </c>
      <c r="B272" s="5" t="s">
        <v>1203</v>
      </c>
      <c r="C272" s="5" t="s">
        <v>1199</v>
      </c>
      <c r="D272" s="5" t="s">
        <v>179</v>
      </c>
      <c r="E272" s="7" t="str">
        <f>IFERROR(VLOOKUP(D272,MATERIALES!A:B,2,FALSE),"?")</f>
        <v>Babeta</v>
      </c>
      <c r="F272" s="5"/>
      <c r="G272" s="11">
        <v>0.46666667000000001</v>
      </c>
      <c r="H272" s="12">
        <v>0</v>
      </c>
      <c r="I272" s="7">
        <f>IFERROR(VLOOKUP(D272,MATERIALES!A:D,4,FALSE),0)</f>
        <v>16528.925599999999</v>
      </c>
      <c r="J272" s="8">
        <f t="shared" si="16"/>
        <v>7713.4986684297519</v>
      </c>
      <c r="K272" s="7" t="str">
        <f t="shared" si="17"/>
        <v>PTO-0602|MAT</v>
      </c>
      <c r="L272" s="7">
        <f>COUNTIFS($K$2:K272,K272)</f>
        <v>1</v>
      </c>
      <c r="M272" s="7" t="str">
        <f t="shared" si="18"/>
        <v>PTO-0602|MAT|1</v>
      </c>
      <c r="N272" s="7">
        <f>IFERROR(VLOOKUP(A272,PARTIDAS!A:F,6,FALSE),0)</f>
        <v>1</v>
      </c>
      <c r="O272" s="7">
        <f t="shared" si="19"/>
        <v>0</v>
      </c>
      <c r="P272" s="7">
        <f>IFERROR(_xlfn.XLOOKUP(A272,PPTO_GENERADOR!$Q:$Q,PPTO_GENERADOR!$E:$E,"-",0),"-")</f>
        <v>60</v>
      </c>
    </row>
    <row r="273" spans="1:16" x14ac:dyDescent="0.35">
      <c r="A273" s="5" t="s">
        <v>901</v>
      </c>
      <c r="B273" s="5" t="s">
        <v>1203</v>
      </c>
      <c r="C273" s="5" t="s">
        <v>1199</v>
      </c>
      <c r="D273" s="5" t="s">
        <v>181</v>
      </c>
      <c r="E273" s="7" t="str">
        <f>IFERROR(VLOOKUP(D273,MATERIALES!A:B,2,FALSE),"?")</f>
        <v>Sellador / Silicona (rinde 5 mts)</v>
      </c>
      <c r="F273" s="5"/>
      <c r="G273" s="11">
        <v>0.2</v>
      </c>
      <c r="H273" s="12">
        <v>0</v>
      </c>
      <c r="I273" s="7">
        <f>IFERROR(VLOOKUP(D273,MATERIALES!A:D,4,FALSE),0)</f>
        <v>24793.3884</v>
      </c>
      <c r="J273" s="8">
        <f t="shared" si="16"/>
        <v>4958.6776800000007</v>
      </c>
      <c r="K273" s="7" t="str">
        <f t="shared" si="17"/>
        <v>PTO-0602|MAT</v>
      </c>
      <c r="L273" s="7">
        <f>COUNTIFS($K$2:K273,K273)</f>
        <v>2</v>
      </c>
      <c r="M273" s="7" t="str">
        <f t="shared" si="18"/>
        <v>PTO-0602|MAT|2</v>
      </c>
      <c r="N273" s="7">
        <f>IFERROR(VLOOKUP(A273,PARTIDAS!A:F,6,FALSE),0)</f>
        <v>1</v>
      </c>
      <c r="O273" s="7">
        <f t="shared" si="19"/>
        <v>0</v>
      </c>
      <c r="P273" s="7">
        <f>IFERROR(_xlfn.XLOOKUP(A273,PPTO_GENERADOR!$Q:$Q,PPTO_GENERADOR!$E:$E,"-",0),"-")</f>
        <v>60</v>
      </c>
    </row>
    <row r="274" spans="1:16" x14ac:dyDescent="0.35">
      <c r="A274" s="5" t="s">
        <v>901</v>
      </c>
      <c r="B274" s="5" t="s">
        <v>1198</v>
      </c>
      <c r="C274" s="5" t="s">
        <v>1201</v>
      </c>
      <c r="D274" s="5" t="s">
        <v>477</v>
      </c>
      <c r="E274" s="7" t="str">
        <f>IFERROR(VLOOKUP(D274,MANO_DE_OBRA!A:B,2,FALSE),"?")</f>
        <v>ESPECIALIZADO</v>
      </c>
      <c r="F274" s="5" t="s">
        <v>1200</v>
      </c>
      <c r="G274" s="11">
        <v>3.3333330000000001E-2</v>
      </c>
      <c r="H274" s="12">
        <v>0</v>
      </c>
      <c r="I274" s="7">
        <f>IFERROR(VLOOKUP(D274,MANO_DE_OBRA!A:C,3,FALSE),0)</f>
        <v>75113.05</v>
      </c>
      <c r="J274" s="8">
        <f t="shared" si="16"/>
        <v>2503.7680829565002</v>
      </c>
      <c r="K274" s="7" t="str">
        <f t="shared" si="17"/>
        <v>PTO-0602|MO</v>
      </c>
      <c r="L274" s="7">
        <f>COUNTIFS($K$2:K274,K274)</f>
        <v>1</v>
      </c>
      <c r="M274" s="7" t="str">
        <f t="shared" si="18"/>
        <v>PTO-0602|MO|1</v>
      </c>
      <c r="N274" s="7">
        <f>IFERROR(VLOOKUP(A274,PARTIDAS!A:F,6,FALSE),0)</f>
        <v>1</v>
      </c>
      <c r="O274" s="7">
        <f t="shared" si="19"/>
        <v>3.3333330000000001E-2</v>
      </c>
      <c r="P274" s="7">
        <f>IFERROR(_xlfn.XLOOKUP(A274,PPTO_GENERADOR!$Q:$Q,PPTO_GENERADOR!$E:$E,"-",0),"-")</f>
        <v>60</v>
      </c>
    </row>
    <row r="275" spans="1:16" x14ac:dyDescent="0.35">
      <c r="A275" s="5" t="s">
        <v>901</v>
      </c>
      <c r="B275" s="5" t="s">
        <v>1198</v>
      </c>
      <c r="C275" s="5" t="s">
        <v>1201</v>
      </c>
      <c r="D275" s="5" t="s">
        <v>479</v>
      </c>
      <c r="E275" s="7" t="str">
        <f>IFERROR(VLOOKUP(D275,MANO_DE_OBRA!A:B,2,FALSE),"?")</f>
        <v>MEDIO OFICIAL</v>
      </c>
      <c r="F275" s="5" t="s">
        <v>1200</v>
      </c>
      <c r="G275" s="11">
        <v>3.3333330000000001E-2</v>
      </c>
      <c r="H275" s="12">
        <v>0</v>
      </c>
      <c r="I275" s="7">
        <f>IFERROR(VLOOKUP(D275,MANO_DE_OBRA!A:C,3,FALSE),0)</f>
        <v>54784.07</v>
      </c>
      <c r="J275" s="8">
        <f t="shared" si="16"/>
        <v>1826.1354840531001</v>
      </c>
      <c r="K275" s="7" t="str">
        <f t="shared" si="17"/>
        <v>PTO-0602|MO</v>
      </c>
      <c r="L275" s="7">
        <f>COUNTIFS($K$2:K275,K275)</f>
        <v>2</v>
      </c>
      <c r="M275" s="7" t="str">
        <f t="shared" si="18"/>
        <v>PTO-0602|MO|2</v>
      </c>
      <c r="N275" s="7">
        <f>IFERROR(VLOOKUP(A275,PARTIDAS!A:F,6,FALSE),0)</f>
        <v>1</v>
      </c>
      <c r="O275" s="7">
        <f t="shared" si="19"/>
        <v>3.3333330000000001E-2</v>
      </c>
      <c r="P275" s="7">
        <f>IFERROR(_xlfn.XLOOKUP(A275,PPTO_GENERADOR!$Q:$Q,PPTO_GENERADOR!$E:$E,"-",0),"-")</f>
        <v>60</v>
      </c>
    </row>
    <row r="276" spans="1:16" x14ac:dyDescent="0.35">
      <c r="A276" s="5" t="s">
        <v>901</v>
      </c>
      <c r="B276" s="5" t="s">
        <v>1202</v>
      </c>
      <c r="C276" s="5"/>
      <c r="D276" s="5" t="s">
        <v>537</v>
      </c>
      <c r="E276" s="7" t="str">
        <f>IFERROR(VLOOKUP(D276,EQUIPOS!A:B,2,FALSE),"?")</f>
        <v>Herramientas/consumibles - Babeta de chapa galvanizada en medianera</v>
      </c>
      <c r="F276" s="5"/>
      <c r="G276" s="11">
        <v>1</v>
      </c>
      <c r="H276" s="12">
        <v>0</v>
      </c>
      <c r="I276" s="7">
        <f>IFERROR(VLOOKUP(D276,EQUIPOS!A:C,3,FALSE),0)</f>
        <v>14004.342500000001</v>
      </c>
      <c r="J276" s="8">
        <f t="shared" si="16"/>
        <v>14004.342500000001</v>
      </c>
      <c r="K276" s="7" t="str">
        <f t="shared" si="17"/>
        <v>PTO-0602|EQ</v>
      </c>
      <c r="L276" s="7">
        <f>COUNTIFS($K$2:K276,K276)</f>
        <v>1</v>
      </c>
      <c r="M276" s="7" t="str">
        <f t="shared" si="18"/>
        <v>PTO-0602|EQ|1</v>
      </c>
      <c r="N276" s="7">
        <f>IFERROR(VLOOKUP(A276,PARTIDAS!A:F,6,FALSE),0)</f>
        <v>1</v>
      </c>
      <c r="O276" s="7">
        <f t="shared" si="19"/>
        <v>0</v>
      </c>
      <c r="P276" s="7">
        <f>IFERROR(_xlfn.XLOOKUP(A276,PPTO_GENERADOR!$Q:$Q,PPTO_GENERADOR!$E:$E,"-",0),"-")</f>
        <v>60</v>
      </c>
    </row>
    <row r="277" spans="1:16" x14ac:dyDescent="0.35">
      <c r="A277" s="5" t="s">
        <v>901</v>
      </c>
      <c r="B277" s="5" t="s">
        <v>1203</v>
      </c>
      <c r="C277" s="5" t="s">
        <v>1204</v>
      </c>
      <c r="D277" s="5" t="s">
        <v>468</v>
      </c>
      <c r="E277" s="7" t="str">
        <f>IFERROR(VLOOKUP(D277,MATERIALES!A:B,2,FALSE),"?")</f>
        <v>Consumibles</v>
      </c>
      <c r="F277" s="5"/>
      <c r="G277" s="11">
        <v>1267.2202</v>
      </c>
      <c r="H277" s="12">
        <v>0</v>
      </c>
      <c r="I277" s="7">
        <f>IFERROR(VLOOKUP(D277,MATERIALES!A:D,4,FALSE),0)</f>
        <v>1</v>
      </c>
      <c r="J277" s="8">
        <f t="shared" si="16"/>
        <v>1267.2202</v>
      </c>
      <c r="K277" s="7" t="str">
        <f t="shared" si="17"/>
        <v>PTO-0602|MAT</v>
      </c>
      <c r="L277" s="7">
        <f>COUNTIFS($K$2:K277,K277)</f>
        <v>3</v>
      </c>
      <c r="M277" s="7" t="str">
        <f t="shared" si="18"/>
        <v>PTO-0602|MAT|3</v>
      </c>
      <c r="N277" s="7">
        <f>IFERROR(VLOOKUP(A277,PARTIDAS!A:F,6,FALSE),0)</f>
        <v>1</v>
      </c>
      <c r="O277" s="7">
        <f t="shared" si="19"/>
        <v>0</v>
      </c>
      <c r="P277" s="7">
        <f>IFERROR(_xlfn.XLOOKUP(A277,PPTO_GENERADOR!$Q:$Q,PPTO_GENERADOR!$E:$E,"-",0),"-")</f>
        <v>60</v>
      </c>
    </row>
    <row r="278" spans="1:16" x14ac:dyDescent="0.35">
      <c r="A278" s="5" t="s">
        <v>904</v>
      </c>
      <c r="B278" s="5" t="s">
        <v>1203</v>
      </c>
      <c r="C278" s="5" t="s">
        <v>1205</v>
      </c>
      <c r="D278" s="5" t="s">
        <v>136</v>
      </c>
      <c r="E278" s="7" t="str">
        <f>IFERROR(VLOOKUP(D278,MATERIALES!A:B,2,FALSE),"?")</f>
        <v>ARENA LAVADA</v>
      </c>
      <c r="F278" s="5"/>
      <c r="G278" s="11">
        <v>2.5999999999999999E-2</v>
      </c>
      <c r="H278" s="12">
        <v>0.1</v>
      </c>
      <c r="I278" s="7">
        <f>IFERROR(VLOOKUP(D278,MATERIALES!A:D,4,FALSE),0)</f>
        <v>31265.15</v>
      </c>
      <c r="J278" s="8">
        <f t="shared" si="16"/>
        <v>894.18329000000006</v>
      </c>
      <c r="K278" s="7" t="str">
        <f t="shared" si="17"/>
        <v>PTO-0701|MAT</v>
      </c>
      <c r="L278" s="7">
        <f>COUNTIFS($K$2:K278,K278)</f>
        <v>1</v>
      </c>
      <c r="M278" s="7" t="str">
        <f t="shared" si="18"/>
        <v>PTO-0701|MAT|1</v>
      </c>
      <c r="N278" s="7">
        <f>IFERROR(VLOOKUP(A278,PARTIDAS!A:F,6,FALSE),0)</f>
        <v>1</v>
      </c>
      <c r="O278" s="7">
        <f t="shared" si="19"/>
        <v>0</v>
      </c>
      <c r="P278" s="7">
        <f>IFERROR(_xlfn.XLOOKUP(A278,PPTO_GENERADOR!$Q:$Q,PPTO_GENERADOR!$E:$E,"-",0),"-")</f>
        <v>678.25199999999995</v>
      </c>
    </row>
    <row r="279" spans="1:16" x14ac:dyDescent="0.35">
      <c r="A279" s="5" t="s">
        <v>904</v>
      </c>
      <c r="B279" s="5" t="s">
        <v>1203</v>
      </c>
      <c r="C279" s="5" t="s">
        <v>1205</v>
      </c>
      <c r="D279" s="5" t="s">
        <v>175</v>
      </c>
      <c r="E279" s="7" t="str">
        <f>IFERROR(VLOOKUP(D279,MATERIALES!A:B,2,FALSE),"?")</f>
        <v>Aditivo Hidrofugo en pasta - Ceresita x 1kg</v>
      </c>
      <c r="F279" s="5"/>
      <c r="G279" s="11">
        <v>0.1</v>
      </c>
      <c r="H279" s="12">
        <v>0.05</v>
      </c>
      <c r="I279" s="7">
        <f>IFERROR(VLOOKUP(D279,MATERIALES!A:D,4,FALSE),0)</f>
        <v>1162.7550000000001</v>
      </c>
      <c r="J279" s="8">
        <f t="shared" si="16"/>
        <v>122.08927500000003</v>
      </c>
      <c r="K279" s="7" t="str">
        <f t="shared" si="17"/>
        <v>PTO-0701|MAT</v>
      </c>
      <c r="L279" s="7">
        <f>COUNTIFS($K$2:K279,K279)</f>
        <v>2</v>
      </c>
      <c r="M279" s="7" t="str">
        <f t="shared" si="18"/>
        <v>PTO-0701|MAT|2</v>
      </c>
      <c r="N279" s="7">
        <f>IFERROR(VLOOKUP(A279,PARTIDAS!A:F,6,FALSE),0)</f>
        <v>1</v>
      </c>
      <c r="O279" s="7">
        <f t="shared" si="19"/>
        <v>0</v>
      </c>
      <c r="P279" s="7">
        <f>IFERROR(_xlfn.XLOOKUP(A279,PPTO_GENERADOR!$Q:$Q,PPTO_GENERADOR!$E:$E,"-",0),"-")</f>
        <v>678.25199999999995</v>
      </c>
    </row>
    <row r="280" spans="1:16" x14ac:dyDescent="0.35">
      <c r="A280" s="5" t="s">
        <v>904</v>
      </c>
      <c r="B280" s="5" t="s">
        <v>1203</v>
      </c>
      <c r="C280" s="5" t="s">
        <v>1205</v>
      </c>
      <c r="D280" s="5" t="s">
        <v>140</v>
      </c>
      <c r="E280" s="7" t="str">
        <f>IFERROR(VLOOKUP(D280,MATERIALES!A:B,2,FALSE),"?")</f>
        <v>Cemento Portland x 50kg</v>
      </c>
      <c r="F280" s="5"/>
      <c r="G280" s="11">
        <v>0.314</v>
      </c>
      <c r="H280" s="12">
        <v>0.1</v>
      </c>
      <c r="I280" s="7">
        <f>IFERROR(VLOOKUP(D280,MATERIALES!A:D,4,FALSE),0)</f>
        <v>7233.47</v>
      </c>
      <c r="J280" s="8">
        <f t="shared" si="16"/>
        <v>2498.4405380000003</v>
      </c>
      <c r="K280" s="7" t="str">
        <f t="shared" si="17"/>
        <v>PTO-0701|MAT</v>
      </c>
      <c r="L280" s="7">
        <f>COUNTIFS($K$2:K280,K280)</f>
        <v>3</v>
      </c>
      <c r="M280" s="7" t="str">
        <f t="shared" si="18"/>
        <v>PTO-0701|MAT|3</v>
      </c>
      <c r="N280" s="7">
        <f>IFERROR(VLOOKUP(A280,PARTIDAS!A:F,6,FALSE),0)</f>
        <v>1</v>
      </c>
      <c r="O280" s="7">
        <f t="shared" si="19"/>
        <v>0</v>
      </c>
      <c r="P280" s="7">
        <f>IFERROR(_xlfn.XLOOKUP(A280,PPTO_GENERADOR!$Q:$Q,PPTO_GENERADOR!$E:$E,"-",0),"-")</f>
        <v>678.25199999999995</v>
      </c>
    </row>
    <row r="281" spans="1:16" x14ac:dyDescent="0.35">
      <c r="A281" s="5" t="s">
        <v>904</v>
      </c>
      <c r="B281" s="5" t="s">
        <v>1203</v>
      </c>
      <c r="C281" s="5" t="s">
        <v>1205</v>
      </c>
      <c r="D281" s="5" t="s">
        <v>138</v>
      </c>
      <c r="E281" s="7" t="str">
        <f>IFERROR(VLOOKUP(D281,MATERIALES!A:B,2,FALSE),"?")</f>
        <v>Cal Comun x 25kg</v>
      </c>
      <c r="F281" s="5"/>
      <c r="G281" s="11">
        <v>0.06</v>
      </c>
      <c r="H281" s="12">
        <v>0.1</v>
      </c>
      <c r="I281" s="7">
        <f>IFERROR(VLOOKUP(D281,MATERIALES!A:D,4,FALSE),0)</f>
        <v>3532.67</v>
      </c>
      <c r="J281" s="8">
        <f t="shared" si="16"/>
        <v>233.15621999999999</v>
      </c>
      <c r="K281" s="7" t="str">
        <f t="shared" si="17"/>
        <v>PTO-0701|MAT</v>
      </c>
      <c r="L281" s="7">
        <f>COUNTIFS($K$2:K281,K281)</f>
        <v>4</v>
      </c>
      <c r="M281" s="7" t="str">
        <f t="shared" si="18"/>
        <v>PTO-0701|MAT|4</v>
      </c>
      <c r="N281" s="7">
        <f>IFERROR(VLOOKUP(A281,PARTIDAS!A:F,6,FALSE),0)</f>
        <v>1</v>
      </c>
      <c r="O281" s="7">
        <f t="shared" si="19"/>
        <v>0</v>
      </c>
      <c r="P281" s="7">
        <f>IFERROR(_xlfn.XLOOKUP(A281,PPTO_GENERADOR!$Q:$Q,PPTO_GENERADOR!$E:$E,"-",0),"-")</f>
        <v>678.25199999999995</v>
      </c>
    </row>
    <row r="282" spans="1:16" x14ac:dyDescent="0.35">
      <c r="A282" s="5" t="s">
        <v>904</v>
      </c>
      <c r="B282" s="5" t="s">
        <v>1198</v>
      </c>
      <c r="C282" s="5" t="s">
        <v>1201</v>
      </c>
      <c r="D282" s="5" t="s">
        <v>477</v>
      </c>
      <c r="E282" s="7" t="str">
        <f>IFERROR(VLOOKUP(D282,MANO_DE_OBRA!A:B,2,FALSE),"?")</f>
        <v>ESPECIALIZADO</v>
      </c>
      <c r="F282" s="5" t="s">
        <v>1200</v>
      </c>
      <c r="G282" s="11">
        <v>8.6956519999999995E-2</v>
      </c>
      <c r="H282" s="12">
        <v>0</v>
      </c>
      <c r="I282" s="7">
        <f>IFERROR(VLOOKUP(D282,MANO_DE_OBRA!A:C,3,FALSE),0)</f>
        <v>75113.05</v>
      </c>
      <c r="J282" s="8">
        <f t="shared" si="16"/>
        <v>6531.5694345860002</v>
      </c>
      <c r="K282" s="7" t="str">
        <f t="shared" si="17"/>
        <v>PTO-0701|MO</v>
      </c>
      <c r="L282" s="7">
        <f>COUNTIFS($K$2:K282,K282)</f>
        <v>1</v>
      </c>
      <c r="M282" s="7" t="str">
        <f t="shared" si="18"/>
        <v>PTO-0701|MO|1</v>
      </c>
      <c r="N282" s="7">
        <f>IFERROR(VLOOKUP(A282,PARTIDAS!A:F,6,FALSE),0)</f>
        <v>1</v>
      </c>
      <c r="O282" s="7">
        <f t="shared" si="19"/>
        <v>8.6956519999999995E-2</v>
      </c>
      <c r="P282" s="7">
        <f>IFERROR(_xlfn.XLOOKUP(A282,PPTO_GENERADOR!$Q:$Q,PPTO_GENERADOR!$E:$E,"-",0),"-")</f>
        <v>678.25199999999995</v>
      </c>
    </row>
    <row r="283" spans="1:16" x14ac:dyDescent="0.35">
      <c r="A283" s="5" t="s">
        <v>904</v>
      </c>
      <c r="B283" s="5" t="s">
        <v>1198</v>
      </c>
      <c r="C283" s="5" t="s">
        <v>1201</v>
      </c>
      <c r="D283" s="5" t="s">
        <v>475</v>
      </c>
      <c r="E283" s="7" t="str">
        <f>IFERROR(VLOOKUP(D283,MANO_DE_OBRA!A:B,2,FALSE),"?")</f>
        <v>AYUDANTE</v>
      </c>
      <c r="F283" s="5" t="s">
        <v>1200</v>
      </c>
      <c r="G283" s="11">
        <v>5.2173909999999997E-2</v>
      </c>
      <c r="H283" s="12">
        <v>0</v>
      </c>
      <c r="I283" s="7">
        <f>IFERROR(VLOOKUP(D283,MANO_DE_OBRA!A:C,3,FALSE),0)</f>
        <v>49934.239999999998</v>
      </c>
      <c r="J283" s="8">
        <f t="shared" si="16"/>
        <v>2605.2645436783996</v>
      </c>
      <c r="K283" s="7" t="str">
        <f t="shared" si="17"/>
        <v>PTO-0701|MO</v>
      </c>
      <c r="L283" s="7">
        <f>COUNTIFS($K$2:K283,K283)</f>
        <v>2</v>
      </c>
      <c r="M283" s="7" t="str">
        <f t="shared" si="18"/>
        <v>PTO-0701|MO|2</v>
      </c>
      <c r="N283" s="7">
        <f>IFERROR(VLOOKUP(A283,PARTIDAS!A:F,6,FALSE),0)</f>
        <v>1</v>
      </c>
      <c r="O283" s="7">
        <f t="shared" si="19"/>
        <v>5.2173909999999997E-2</v>
      </c>
      <c r="P283" s="7">
        <f>IFERROR(_xlfn.XLOOKUP(A283,PPTO_GENERADOR!$Q:$Q,PPTO_GENERADOR!$E:$E,"-",0),"-")</f>
        <v>678.25199999999995</v>
      </c>
    </row>
    <row r="284" spans="1:16" x14ac:dyDescent="0.35">
      <c r="A284" s="5" t="s">
        <v>904</v>
      </c>
      <c r="B284" s="5" t="s">
        <v>1202</v>
      </c>
      <c r="C284" s="5"/>
      <c r="D284" s="5" t="s">
        <v>527</v>
      </c>
      <c r="E284" s="7" t="str">
        <f>IFERROR(VLOOKUP(D284,EQUIPOS!A:B,2,FALSE),"?")</f>
        <v>ANDAMIO TUBULAR DE UNO A TRES CUERPOS</v>
      </c>
      <c r="F284" s="5"/>
      <c r="G284" s="11">
        <v>4.3478259999999998E-2</v>
      </c>
      <c r="H284" s="12">
        <v>0</v>
      </c>
      <c r="I284" s="7">
        <f>IFERROR(VLOOKUP(D284,EQUIPOS!A:C,3,FALSE),0)</f>
        <v>556.21879999999999</v>
      </c>
      <c r="J284" s="8">
        <f t="shared" si="16"/>
        <v>24.183425603287997</v>
      </c>
      <c r="K284" s="7" t="str">
        <f t="shared" si="17"/>
        <v>PTO-0701|EQ</v>
      </c>
      <c r="L284" s="7">
        <f>COUNTIFS($K$2:K284,K284)</f>
        <v>1</v>
      </c>
      <c r="M284" s="7" t="str">
        <f t="shared" si="18"/>
        <v>PTO-0701|EQ|1</v>
      </c>
      <c r="N284" s="7">
        <f>IFERROR(VLOOKUP(A284,PARTIDAS!A:F,6,FALSE),0)</f>
        <v>1</v>
      </c>
      <c r="O284" s="7">
        <f t="shared" si="19"/>
        <v>0</v>
      </c>
      <c r="P284" s="7">
        <f>IFERROR(_xlfn.XLOOKUP(A284,PPTO_GENERADOR!$Q:$Q,PPTO_GENERADOR!$E:$E,"-",0),"-")</f>
        <v>678.25199999999995</v>
      </c>
    </row>
    <row r="285" spans="1:16" x14ac:dyDescent="0.35">
      <c r="A285" s="5" t="s">
        <v>904</v>
      </c>
      <c r="B285" s="5" t="s">
        <v>1202</v>
      </c>
      <c r="C285" s="5"/>
      <c r="D285" s="5" t="s">
        <v>525</v>
      </c>
      <c r="E285" s="7" t="str">
        <f>IFERROR(VLOOKUP(D285,EQUIPOS!A:B,2,FALSE),"?")</f>
        <v>EQUIPO DE ALBAÑILERIA, carpetas, ladrillo</v>
      </c>
      <c r="F285" s="5"/>
      <c r="G285" s="11">
        <v>8.6956519999999995E-2</v>
      </c>
      <c r="H285" s="12">
        <v>0</v>
      </c>
      <c r="I285" s="7">
        <f>IFERROR(VLOOKUP(D285,EQUIPOS!A:C,3,FALSE),0)</f>
        <v>2227.2298000000001</v>
      </c>
      <c r="J285" s="8">
        <f t="shared" si="16"/>
        <v>193.67215264829599</v>
      </c>
      <c r="K285" s="7" t="str">
        <f t="shared" si="17"/>
        <v>PTO-0701|EQ</v>
      </c>
      <c r="L285" s="7">
        <f>COUNTIFS($K$2:K285,K285)</f>
        <v>2</v>
      </c>
      <c r="M285" s="7" t="str">
        <f t="shared" si="18"/>
        <v>PTO-0701|EQ|2</v>
      </c>
      <c r="N285" s="7">
        <f>IFERROR(VLOOKUP(A285,PARTIDAS!A:F,6,FALSE),0)</f>
        <v>1</v>
      </c>
      <c r="O285" s="7">
        <f t="shared" si="19"/>
        <v>0</v>
      </c>
      <c r="P285" s="7">
        <f>IFERROR(_xlfn.XLOOKUP(A285,PPTO_GENERADOR!$Q:$Q,PPTO_GENERADOR!$E:$E,"-",0),"-")</f>
        <v>678.25199999999995</v>
      </c>
    </row>
    <row r="286" spans="1:16" x14ac:dyDescent="0.35">
      <c r="A286" s="5" t="s">
        <v>904</v>
      </c>
      <c r="B286" s="5" t="s">
        <v>1202</v>
      </c>
      <c r="C286" s="5"/>
      <c r="D286" s="5" t="s">
        <v>529</v>
      </c>
      <c r="E286" s="7" t="str">
        <f>IFERROR(VLOOKUP(D286,EQUIPOS!A:B,2,FALSE),"?")</f>
        <v>Hormigonera De 150 Litros 1hp Con Rueda Maciza</v>
      </c>
      <c r="F286" s="5"/>
      <c r="G286" s="11">
        <v>8.6956519999999995E-2</v>
      </c>
      <c r="H286" s="12">
        <v>0</v>
      </c>
      <c r="I286" s="7">
        <f>IFERROR(VLOOKUP(D286,EQUIPOS!A:C,3,FALSE),0)</f>
        <v>932.18029999999999</v>
      </c>
      <c r="J286" s="8">
        <f t="shared" si="16"/>
        <v>81.059154900555995</v>
      </c>
      <c r="K286" s="7" t="str">
        <f t="shared" si="17"/>
        <v>PTO-0701|EQ</v>
      </c>
      <c r="L286" s="7">
        <f>COUNTIFS($K$2:K286,K286)</f>
        <v>3</v>
      </c>
      <c r="M286" s="7" t="str">
        <f t="shared" si="18"/>
        <v>PTO-0701|EQ|3</v>
      </c>
      <c r="N286" s="7">
        <f>IFERROR(VLOOKUP(A286,PARTIDAS!A:F,6,FALSE),0)</f>
        <v>1</v>
      </c>
      <c r="O286" s="7">
        <f t="shared" si="19"/>
        <v>0</v>
      </c>
      <c r="P286" s="7">
        <f>IFERROR(_xlfn.XLOOKUP(A286,PPTO_GENERADOR!$Q:$Q,PPTO_GENERADOR!$E:$E,"-",0),"-")</f>
        <v>678.25199999999995</v>
      </c>
    </row>
    <row r="287" spans="1:16" x14ac:dyDescent="0.35">
      <c r="A287" s="5" t="s">
        <v>906</v>
      </c>
      <c r="B287" s="5" t="s">
        <v>1203</v>
      </c>
      <c r="C287" s="5" t="s">
        <v>1205</v>
      </c>
      <c r="D287" s="5" t="s">
        <v>136</v>
      </c>
      <c r="E287" s="7" t="str">
        <f>IFERROR(VLOOKUP(D287,MATERIALES!A:B,2,FALSE),"?")</f>
        <v>ARENA LAVADA</v>
      </c>
      <c r="F287" s="5"/>
      <c r="G287" s="11">
        <v>2.5999999999999999E-2</v>
      </c>
      <c r="H287" s="12">
        <v>0.1</v>
      </c>
      <c r="I287" s="7">
        <f>IFERROR(VLOOKUP(D287,MATERIALES!A:D,4,FALSE),0)</f>
        <v>31265.15</v>
      </c>
      <c r="J287" s="8">
        <f t="shared" si="16"/>
        <v>894.18329000000006</v>
      </c>
      <c r="K287" s="7" t="str">
        <f t="shared" si="17"/>
        <v>PTO-0702|MAT</v>
      </c>
      <c r="L287" s="7">
        <f>COUNTIFS($K$2:K287,K287)</f>
        <v>1</v>
      </c>
      <c r="M287" s="7" t="str">
        <f t="shared" si="18"/>
        <v>PTO-0702|MAT|1</v>
      </c>
      <c r="N287" s="7">
        <f>IFERROR(VLOOKUP(A287,PARTIDAS!A:F,6,FALSE),0)</f>
        <v>1</v>
      </c>
      <c r="O287" s="7">
        <f t="shared" si="19"/>
        <v>0</v>
      </c>
      <c r="P287" s="7">
        <f>IFERROR(_xlfn.XLOOKUP(A287,PPTO_GENERADOR!$Q:$Q,PPTO_GENERADOR!$E:$E,"-",0),"-")</f>
        <v>876.08119999999985</v>
      </c>
    </row>
    <row r="288" spans="1:16" x14ac:dyDescent="0.35">
      <c r="A288" s="5" t="s">
        <v>906</v>
      </c>
      <c r="B288" s="5" t="s">
        <v>1203</v>
      </c>
      <c r="C288" s="5" t="s">
        <v>1205</v>
      </c>
      <c r="D288" s="5" t="s">
        <v>175</v>
      </c>
      <c r="E288" s="7" t="str">
        <f>IFERROR(VLOOKUP(D288,MATERIALES!A:B,2,FALSE),"?")</f>
        <v>Aditivo Hidrofugo en pasta - Ceresita x 1kg</v>
      </c>
      <c r="F288" s="5"/>
      <c r="G288" s="11">
        <v>0.1</v>
      </c>
      <c r="H288" s="12">
        <v>0.05</v>
      </c>
      <c r="I288" s="7">
        <f>IFERROR(VLOOKUP(D288,MATERIALES!A:D,4,FALSE),0)</f>
        <v>1162.7550000000001</v>
      </c>
      <c r="J288" s="8">
        <f t="shared" si="16"/>
        <v>122.08927500000003</v>
      </c>
      <c r="K288" s="7" t="str">
        <f t="shared" si="17"/>
        <v>PTO-0702|MAT</v>
      </c>
      <c r="L288" s="7">
        <f>COUNTIFS($K$2:K288,K288)</f>
        <v>2</v>
      </c>
      <c r="M288" s="7" t="str">
        <f t="shared" si="18"/>
        <v>PTO-0702|MAT|2</v>
      </c>
      <c r="N288" s="7">
        <f>IFERROR(VLOOKUP(A288,PARTIDAS!A:F,6,FALSE),0)</f>
        <v>1</v>
      </c>
      <c r="O288" s="7">
        <f t="shared" si="19"/>
        <v>0</v>
      </c>
      <c r="P288" s="7">
        <f>IFERROR(_xlfn.XLOOKUP(A288,PPTO_GENERADOR!$Q:$Q,PPTO_GENERADOR!$E:$E,"-",0),"-")</f>
        <v>876.08119999999985</v>
      </c>
    </row>
    <row r="289" spans="1:16" x14ac:dyDescent="0.35">
      <c r="A289" s="5" t="s">
        <v>906</v>
      </c>
      <c r="B289" s="5" t="s">
        <v>1203</v>
      </c>
      <c r="C289" s="5" t="s">
        <v>1205</v>
      </c>
      <c r="D289" s="5" t="s">
        <v>140</v>
      </c>
      <c r="E289" s="7" t="str">
        <f>IFERROR(VLOOKUP(D289,MATERIALES!A:B,2,FALSE),"?")</f>
        <v>Cemento Portland x 50kg</v>
      </c>
      <c r="F289" s="5"/>
      <c r="G289" s="11">
        <v>0.314</v>
      </c>
      <c r="H289" s="12">
        <v>0.1</v>
      </c>
      <c r="I289" s="7">
        <f>IFERROR(VLOOKUP(D289,MATERIALES!A:D,4,FALSE),0)</f>
        <v>7233.47</v>
      </c>
      <c r="J289" s="8">
        <f t="shared" si="16"/>
        <v>2498.4405380000003</v>
      </c>
      <c r="K289" s="7" t="str">
        <f t="shared" si="17"/>
        <v>PTO-0702|MAT</v>
      </c>
      <c r="L289" s="7">
        <f>COUNTIFS($K$2:K289,K289)</f>
        <v>3</v>
      </c>
      <c r="M289" s="7" t="str">
        <f t="shared" si="18"/>
        <v>PTO-0702|MAT|3</v>
      </c>
      <c r="N289" s="7">
        <f>IFERROR(VLOOKUP(A289,PARTIDAS!A:F,6,FALSE),0)</f>
        <v>1</v>
      </c>
      <c r="O289" s="7">
        <f t="shared" si="19"/>
        <v>0</v>
      </c>
      <c r="P289" s="7">
        <f>IFERROR(_xlfn.XLOOKUP(A289,PPTO_GENERADOR!$Q:$Q,PPTO_GENERADOR!$E:$E,"-",0),"-")</f>
        <v>876.08119999999985</v>
      </c>
    </row>
    <row r="290" spans="1:16" x14ac:dyDescent="0.35">
      <c r="A290" s="5" t="s">
        <v>906</v>
      </c>
      <c r="B290" s="5" t="s">
        <v>1203</v>
      </c>
      <c r="C290" s="5" t="s">
        <v>1205</v>
      </c>
      <c r="D290" s="5" t="s">
        <v>138</v>
      </c>
      <c r="E290" s="7" t="str">
        <f>IFERROR(VLOOKUP(D290,MATERIALES!A:B,2,FALSE),"?")</f>
        <v>Cal Comun x 25kg</v>
      </c>
      <c r="F290" s="5"/>
      <c r="G290" s="11">
        <v>0.06</v>
      </c>
      <c r="H290" s="12">
        <v>0.1</v>
      </c>
      <c r="I290" s="7">
        <f>IFERROR(VLOOKUP(D290,MATERIALES!A:D,4,FALSE),0)</f>
        <v>3532.67</v>
      </c>
      <c r="J290" s="8">
        <f t="shared" si="16"/>
        <v>233.15621999999999</v>
      </c>
      <c r="K290" s="7" t="str">
        <f t="shared" si="17"/>
        <v>PTO-0702|MAT</v>
      </c>
      <c r="L290" s="7">
        <f>COUNTIFS($K$2:K290,K290)</f>
        <v>4</v>
      </c>
      <c r="M290" s="7" t="str">
        <f t="shared" si="18"/>
        <v>PTO-0702|MAT|4</v>
      </c>
      <c r="N290" s="7">
        <f>IFERROR(VLOOKUP(A290,PARTIDAS!A:F,6,FALSE),0)</f>
        <v>1</v>
      </c>
      <c r="O290" s="7">
        <f t="shared" si="19"/>
        <v>0</v>
      </c>
      <c r="P290" s="7">
        <f>IFERROR(_xlfn.XLOOKUP(A290,PPTO_GENERADOR!$Q:$Q,PPTO_GENERADOR!$E:$E,"-",0),"-")</f>
        <v>876.08119999999985</v>
      </c>
    </row>
    <row r="291" spans="1:16" x14ac:dyDescent="0.35">
      <c r="A291" s="5" t="s">
        <v>906</v>
      </c>
      <c r="B291" s="5" t="s">
        <v>1198</v>
      </c>
      <c r="C291" s="5" t="s">
        <v>1201</v>
      </c>
      <c r="D291" s="5" t="s">
        <v>477</v>
      </c>
      <c r="E291" s="7" t="str">
        <f>IFERROR(VLOOKUP(D291,MANO_DE_OBRA!A:B,2,FALSE),"?")</f>
        <v>ESPECIALIZADO</v>
      </c>
      <c r="F291" s="5" t="s">
        <v>1200</v>
      </c>
      <c r="G291" s="11">
        <v>0.125</v>
      </c>
      <c r="H291" s="12">
        <v>0</v>
      </c>
      <c r="I291" s="7">
        <f>IFERROR(VLOOKUP(D291,MANO_DE_OBRA!A:C,3,FALSE),0)</f>
        <v>75113.05</v>
      </c>
      <c r="J291" s="8">
        <f t="shared" si="16"/>
        <v>9389.1312500000004</v>
      </c>
      <c r="K291" s="7" t="str">
        <f t="shared" si="17"/>
        <v>PTO-0702|MO</v>
      </c>
      <c r="L291" s="7">
        <f>COUNTIFS($K$2:K291,K291)</f>
        <v>1</v>
      </c>
      <c r="M291" s="7" t="str">
        <f t="shared" si="18"/>
        <v>PTO-0702|MO|1</v>
      </c>
      <c r="N291" s="7">
        <f>IFERROR(VLOOKUP(A291,PARTIDAS!A:F,6,FALSE),0)</f>
        <v>1</v>
      </c>
      <c r="O291" s="7">
        <f t="shared" si="19"/>
        <v>0.125</v>
      </c>
      <c r="P291" s="7">
        <f>IFERROR(_xlfn.XLOOKUP(A291,PPTO_GENERADOR!$Q:$Q,PPTO_GENERADOR!$E:$E,"-",0),"-")</f>
        <v>876.08119999999985</v>
      </c>
    </row>
    <row r="292" spans="1:16" x14ac:dyDescent="0.35">
      <c r="A292" s="5" t="s">
        <v>906</v>
      </c>
      <c r="B292" s="5" t="s">
        <v>1198</v>
      </c>
      <c r="C292" s="5" t="s">
        <v>1201</v>
      </c>
      <c r="D292" s="5" t="s">
        <v>475</v>
      </c>
      <c r="E292" s="7" t="str">
        <f>IFERROR(VLOOKUP(D292,MANO_DE_OBRA!A:B,2,FALSE),"?")</f>
        <v>AYUDANTE</v>
      </c>
      <c r="F292" s="5" t="s">
        <v>1200</v>
      </c>
      <c r="G292" s="11">
        <v>7.4999999999999997E-2</v>
      </c>
      <c r="H292" s="12">
        <v>0</v>
      </c>
      <c r="I292" s="7">
        <f>IFERROR(VLOOKUP(D292,MANO_DE_OBRA!A:C,3,FALSE),0)</f>
        <v>49934.239999999998</v>
      </c>
      <c r="J292" s="8">
        <f t="shared" si="16"/>
        <v>3745.0679999999998</v>
      </c>
      <c r="K292" s="7" t="str">
        <f t="shared" si="17"/>
        <v>PTO-0702|MO</v>
      </c>
      <c r="L292" s="7">
        <f>COUNTIFS($K$2:K292,K292)</f>
        <v>2</v>
      </c>
      <c r="M292" s="7" t="str">
        <f t="shared" si="18"/>
        <v>PTO-0702|MO|2</v>
      </c>
      <c r="N292" s="7">
        <f>IFERROR(VLOOKUP(A292,PARTIDAS!A:F,6,FALSE),0)</f>
        <v>1</v>
      </c>
      <c r="O292" s="7">
        <f t="shared" si="19"/>
        <v>7.4999999999999997E-2</v>
      </c>
      <c r="P292" s="7">
        <f>IFERROR(_xlfn.XLOOKUP(A292,PPTO_GENERADOR!$Q:$Q,PPTO_GENERADOR!$E:$E,"-",0),"-")</f>
        <v>876.08119999999985</v>
      </c>
    </row>
    <row r="293" spans="1:16" x14ac:dyDescent="0.35">
      <c r="A293" s="5" t="s">
        <v>906</v>
      </c>
      <c r="B293" s="5" t="s">
        <v>1202</v>
      </c>
      <c r="C293" s="5"/>
      <c r="D293" s="5" t="s">
        <v>539</v>
      </c>
      <c r="E293" s="7" t="str">
        <f>IFERROR(VLOOKUP(D293,EQUIPOS!A:B,2,FALSE),"?")</f>
        <v>Balancin</v>
      </c>
      <c r="F293" s="5"/>
      <c r="G293" s="11">
        <v>0.125</v>
      </c>
      <c r="H293" s="12">
        <v>0</v>
      </c>
      <c r="I293" s="7">
        <f>IFERROR(VLOOKUP(D293,EQUIPOS!A:C,3,FALSE),0)</f>
        <v>2971.8723</v>
      </c>
      <c r="J293" s="8">
        <f t="shared" si="16"/>
        <v>371.4840375</v>
      </c>
      <c r="K293" s="7" t="str">
        <f t="shared" si="17"/>
        <v>PTO-0702|EQ</v>
      </c>
      <c r="L293" s="7">
        <f>COUNTIFS($K$2:K293,K293)</f>
        <v>1</v>
      </c>
      <c r="M293" s="7" t="str">
        <f t="shared" si="18"/>
        <v>PTO-0702|EQ|1</v>
      </c>
      <c r="N293" s="7">
        <f>IFERROR(VLOOKUP(A293,PARTIDAS!A:F,6,FALSE),0)</f>
        <v>1</v>
      </c>
      <c r="O293" s="7">
        <f t="shared" si="19"/>
        <v>0</v>
      </c>
      <c r="P293" s="7">
        <f>IFERROR(_xlfn.XLOOKUP(A293,PPTO_GENERADOR!$Q:$Q,PPTO_GENERADOR!$E:$E,"-",0),"-")</f>
        <v>876.08119999999985</v>
      </c>
    </row>
    <row r="294" spans="1:16" x14ac:dyDescent="0.35">
      <c r="A294" s="5" t="s">
        <v>906</v>
      </c>
      <c r="B294" s="5" t="s">
        <v>1202</v>
      </c>
      <c r="C294" s="5"/>
      <c r="D294" s="5" t="s">
        <v>525</v>
      </c>
      <c r="E294" s="7" t="str">
        <f>IFERROR(VLOOKUP(D294,EQUIPOS!A:B,2,FALSE),"?")</f>
        <v>EQUIPO DE ALBAÑILERIA, carpetas, ladrillo</v>
      </c>
      <c r="F294" s="5"/>
      <c r="G294" s="11">
        <v>0.125</v>
      </c>
      <c r="H294" s="12">
        <v>0</v>
      </c>
      <c r="I294" s="7">
        <f>IFERROR(VLOOKUP(D294,EQUIPOS!A:C,3,FALSE),0)</f>
        <v>2227.2298000000001</v>
      </c>
      <c r="J294" s="8">
        <f t="shared" si="16"/>
        <v>278.40372500000001</v>
      </c>
      <c r="K294" s="7" t="str">
        <f t="shared" si="17"/>
        <v>PTO-0702|EQ</v>
      </c>
      <c r="L294" s="7">
        <f>COUNTIFS($K$2:K294,K294)</f>
        <v>2</v>
      </c>
      <c r="M294" s="7" t="str">
        <f t="shared" si="18"/>
        <v>PTO-0702|EQ|2</v>
      </c>
      <c r="N294" s="7">
        <f>IFERROR(VLOOKUP(A294,PARTIDAS!A:F,6,FALSE),0)</f>
        <v>1</v>
      </c>
      <c r="O294" s="7">
        <f t="shared" si="19"/>
        <v>0</v>
      </c>
      <c r="P294" s="7">
        <f>IFERROR(_xlfn.XLOOKUP(A294,PPTO_GENERADOR!$Q:$Q,PPTO_GENERADOR!$E:$E,"-",0),"-")</f>
        <v>876.08119999999985</v>
      </c>
    </row>
    <row r="295" spans="1:16" x14ac:dyDescent="0.35">
      <c r="A295" s="5" t="s">
        <v>906</v>
      </c>
      <c r="B295" s="5" t="s">
        <v>1202</v>
      </c>
      <c r="C295" s="5"/>
      <c r="D295" s="5" t="s">
        <v>529</v>
      </c>
      <c r="E295" s="7" t="str">
        <f>IFERROR(VLOOKUP(D295,EQUIPOS!A:B,2,FALSE),"?")</f>
        <v>Hormigonera De 150 Litros 1hp Con Rueda Maciza</v>
      </c>
      <c r="F295" s="5"/>
      <c r="G295" s="11">
        <v>0.125</v>
      </c>
      <c r="H295" s="12">
        <v>0</v>
      </c>
      <c r="I295" s="7">
        <f>IFERROR(VLOOKUP(D295,EQUIPOS!A:C,3,FALSE),0)</f>
        <v>932.18029999999999</v>
      </c>
      <c r="J295" s="8">
        <f t="shared" si="16"/>
        <v>116.5225375</v>
      </c>
      <c r="K295" s="7" t="str">
        <f t="shared" si="17"/>
        <v>PTO-0702|EQ</v>
      </c>
      <c r="L295" s="7">
        <f>COUNTIFS($K$2:K295,K295)</f>
        <v>3</v>
      </c>
      <c r="M295" s="7" t="str">
        <f t="shared" si="18"/>
        <v>PTO-0702|EQ|3</v>
      </c>
      <c r="N295" s="7">
        <f>IFERROR(VLOOKUP(A295,PARTIDAS!A:F,6,FALSE),0)</f>
        <v>1</v>
      </c>
      <c r="O295" s="7">
        <f t="shared" si="19"/>
        <v>0</v>
      </c>
      <c r="P295" s="7">
        <f>IFERROR(_xlfn.XLOOKUP(A295,PPTO_GENERADOR!$Q:$Q,PPTO_GENERADOR!$E:$E,"-",0),"-")</f>
        <v>876.08119999999985</v>
      </c>
    </row>
    <row r="296" spans="1:16" x14ac:dyDescent="0.35">
      <c r="A296" s="5" t="s">
        <v>907</v>
      </c>
      <c r="B296" s="5" t="s">
        <v>1198</v>
      </c>
      <c r="C296" s="5" t="s">
        <v>1199</v>
      </c>
      <c r="D296" s="5" t="s">
        <v>692</v>
      </c>
      <c r="E296" s="7" t="str">
        <f>IFERROR(VLOOKUP(D296,SUBCONTRATOS_PRY!A:B,2,FALSE),"?")</f>
        <v>Buña en revoque</v>
      </c>
      <c r="F296" s="5" t="s">
        <v>1200</v>
      </c>
      <c r="G296" s="11">
        <v>1</v>
      </c>
      <c r="H296" s="12">
        <v>0</v>
      </c>
      <c r="I296" s="7">
        <f>IFERROR(VLOOKUP(D296,SUBCONTRATOS_PRY!A:D,4,FALSE),0)</f>
        <v>8597.4064999999991</v>
      </c>
      <c r="J296" s="8">
        <f t="shared" si="16"/>
        <v>8597.4064999999991</v>
      </c>
      <c r="K296" s="7" t="str">
        <f t="shared" si="17"/>
        <v>PTO-0703|MO</v>
      </c>
      <c r="L296" s="7">
        <f>COUNTIFS($K$2:K296,K296)</f>
        <v>1</v>
      </c>
      <c r="M296" s="7" t="str">
        <f t="shared" si="18"/>
        <v>PTO-0703|MO|1</v>
      </c>
      <c r="N296" s="7">
        <f>IFERROR(VLOOKUP(A296,PARTIDAS!A:F,6,FALSE),0)</f>
        <v>1</v>
      </c>
      <c r="O296" s="7">
        <f t="shared" si="19"/>
        <v>0</v>
      </c>
      <c r="P296" s="7">
        <f>IFERROR(_xlfn.XLOOKUP(A296,PPTO_GENERADOR!$Q:$Q,PPTO_GENERADOR!$E:$E,"-",0),"-")</f>
        <v>182</v>
      </c>
    </row>
    <row r="297" spans="1:16" x14ac:dyDescent="0.35">
      <c r="A297" s="5" t="s">
        <v>909</v>
      </c>
      <c r="B297" s="5" t="s">
        <v>1203</v>
      </c>
      <c r="C297" s="5" t="s">
        <v>1205</v>
      </c>
      <c r="D297" s="5" t="s">
        <v>136</v>
      </c>
      <c r="E297" s="7" t="str">
        <f>IFERROR(VLOOKUP(D297,MATERIALES!A:B,2,FALSE),"?")</f>
        <v>ARENA LAVADA</v>
      </c>
      <c r="F297" s="5"/>
      <c r="G297" s="11">
        <v>2.7E-2</v>
      </c>
      <c r="H297" s="12">
        <v>0.1</v>
      </c>
      <c r="I297" s="7">
        <f>IFERROR(VLOOKUP(D297,MATERIALES!A:D,4,FALSE),0)</f>
        <v>31265.15</v>
      </c>
      <c r="J297" s="8">
        <f t="shared" si="16"/>
        <v>928.57495500000005</v>
      </c>
      <c r="K297" s="7" t="str">
        <f t="shared" si="17"/>
        <v>PTO-0704|MAT</v>
      </c>
      <c r="L297" s="7">
        <f>COUNTIFS($K$2:K297,K297)</f>
        <v>1</v>
      </c>
      <c r="M297" s="7" t="str">
        <f t="shared" si="18"/>
        <v>PTO-0704|MAT|1</v>
      </c>
      <c r="N297" s="7">
        <f>IFERROR(VLOOKUP(A297,PARTIDAS!A:F,6,FALSE),0)</f>
        <v>1</v>
      </c>
      <c r="O297" s="7">
        <f t="shared" si="19"/>
        <v>0</v>
      </c>
      <c r="P297" s="7">
        <f>IFERROR(_xlfn.XLOOKUP(A297,PPTO_GENERADOR!$Q:$Q,PPTO_GENERADOR!$E:$E,"-",0),"-")</f>
        <v>995.85109999999997</v>
      </c>
    </row>
    <row r="298" spans="1:16" x14ac:dyDescent="0.35">
      <c r="A298" s="5" t="s">
        <v>909</v>
      </c>
      <c r="B298" s="5" t="s">
        <v>1203</v>
      </c>
      <c r="C298" s="5" t="s">
        <v>1205</v>
      </c>
      <c r="D298" s="5" t="s">
        <v>138</v>
      </c>
      <c r="E298" s="7" t="str">
        <f>IFERROR(VLOOKUP(D298,MATERIALES!A:B,2,FALSE),"?")</f>
        <v>Cal Comun x 25kg</v>
      </c>
      <c r="F298" s="5"/>
      <c r="G298" s="11">
        <v>0.14399999999999999</v>
      </c>
      <c r="H298" s="12">
        <v>0.1</v>
      </c>
      <c r="I298" s="7">
        <f>IFERROR(VLOOKUP(D298,MATERIALES!A:D,4,FALSE),0)</f>
        <v>3532.67</v>
      </c>
      <c r="J298" s="8">
        <f t="shared" si="16"/>
        <v>559.574928</v>
      </c>
      <c r="K298" s="7" t="str">
        <f t="shared" si="17"/>
        <v>PTO-0704|MAT</v>
      </c>
      <c r="L298" s="7">
        <f>COUNTIFS($K$2:K298,K298)</f>
        <v>2</v>
      </c>
      <c r="M298" s="7" t="str">
        <f t="shared" si="18"/>
        <v>PTO-0704|MAT|2</v>
      </c>
      <c r="N298" s="7">
        <f>IFERROR(VLOOKUP(A298,PARTIDAS!A:F,6,FALSE),0)</f>
        <v>1</v>
      </c>
      <c r="O298" s="7">
        <f t="shared" si="19"/>
        <v>0</v>
      </c>
      <c r="P298" s="7">
        <f>IFERROR(_xlfn.XLOOKUP(A298,PPTO_GENERADOR!$Q:$Q,PPTO_GENERADOR!$E:$E,"-",0),"-")</f>
        <v>995.85109999999997</v>
      </c>
    </row>
    <row r="299" spans="1:16" x14ac:dyDescent="0.35">
      <c r="A299" s="5" t="s">
        <v>909</v>
      </c>
      <c r="B299" s="5" t="s">
        <v>1203</v>
      </c>
      <c r="C299" s="5" t="s">
        <v>1205</v>
      </c>
      <c r="D299" s="5" t="s">
        <v>140</v>
      </c>
      <c r="E299" s="7" t="str">
        <f>IFERROR(VLOOKUP(D299,MATERIALES!A:B,2,FALSE),"?")</f>
        <v>Cemento Portland x 50kg</v>
      </c>
      <c r="F299" s="5"/>
      <c r="G299" s="11">
        <v>4.5999999999999999E-2</v>
      </c>
      <c r="H299" s="12">
        <v>0.1</v>
      </c>
      <c r="I299" s="7">
        <f>IFERROR(VLOOKUP(D299,MATERIALES!A:D,4,FALSE),0)</f>
        <v>7233.47</v>
      </c>
      <c r="J299" s="8">
        <f t="shared" si="16"/>
        <v>366.01358200000004</v>
      </c>
      <c r="K299" s="7" t="str">
        <f t="shared" si="17"/>
        <v>PTO-0704|MAT</v>
      </c>
      <c r="L299" s="7">
        <f>COUNTIFS($K$2:K299,K299)</f>
        <v>3</v>
      </c>
      <c r="M299" s="7" t="str">
        <f t="shared" si="18"/>
        <v>PTO-0704|MAT|3</v>
      </c>
      <c r="N299" s="7">
        <f>IFERROR(VLOOKUP(A299,PARTIDAS!A:F,6,FALSE),0)</f>
        <v>1</v>
      </c>
      <c r="O299" s="7">
        <f t="shared" si="19"/>
        <v>0</v>
      </c>
      <c r="P299" s="7">
        <f>IFERROR(_xlfn.XLOOKUP(A299,PPTO_GENERADOR!$Q:$Q,PPTO_GENERADOR!$E:$E,"-",0),"-")</f>
        <v>995.85109999999997</v>
      </c>
    </row>
    <row r="300" spans="1:16" x14ac:dyDescent="0.35">
      <c r="A300" s="5" t="s">
        <v>909</v>
      </c>
      <c r="B300" s="5" t="s">
        <v>1203</v>
      </c>
      <c r="C300" s="5" t="s">
        <v>1205</v>
      </c>
      <c r="D300" s="5" t="s">
        <v>183</v>
      </c>
      <c r="E300" s="7" t="str">
        <f>IFERROR(VLOOKUP(D300,MATERIALES!A:B,2,FALSE),"?")</f>
        <v>cal milagro</v>
      </c>
      <c r="F300" s="5"/>
      <c r="G300" s="11">
        <v>6.4000000000000001E-2</v>
      </c>
      <c r="H300" s="12">
        <v>0.1</v>
      </c>
      <c r="I300" s="7">
        <f>IFERROR(VLOOKUP(D300,MATERIALES!A:D,4,FALSE),0)</f>
        <v>10680.57</v>
      </c>
      <c r="J300" s="8">
        <f t="shared" si="16"/>
        <v>751.91212800000005</v>
      </c>
      <c r="K300" s="7" t="str">
        <f t="shared" si="17"/>
        <v>PTO-0704|MAT</v>
      </c>
      <c r="L300" s="7">
        <f>COUNTIFS($K$2:K300,K300)</f>
        <v>4</v>
      </c>
      <c r="M300" s="7" t="str">
        <f t="shared" si="18"/>
        <v>PTO-0704|MAT|4</v>
      </c>
      <c r="N300" s="7">
        <f>IFERROR(VLOOKUP(A300,PARTIDAS!A:F,6,FALSE),0)</f>
        <v>1</v>
      </c>
      <c r="O300" s="7">
        <f t="shared" si="19"/>
        <v>0</v>
      </c>
      <c r="P300" s="7">
        <f>IFERROR(_xlfn.XLOOKUP(A300,PPTO_GENERADOR!$Q:$Q,PPTO_GENERADOR!$E:$E,"-",0),"-")</f>
        <v>995.85109999999997</v>
      </c>
    </row>
    <row r="301" spans="1:16" x14ac:dyDescent="0.35">
      <c r="A301" s="5" t="s">
        <v>909</v>
      </c>
      <c r="B301" s="5" t="s">
        <v>1198</v>
      </c>
      <c r="C301" s="5" t="s">
        <v>1201</v>
      </c>
      <c r="D301" s="5" t="s">
        <v>475</v>
      </c>
      <c r="E301" s="7" t="str">
        <f>IFERROR(VLOOKUP(D301,MANO_DE_OBRA!A:B,2,FALSE),"?")</f>
        <v>AYUDANTE</v>
      </c>
      <c r="F301" s="5" t="s">
        <v>1200</v>
      </c>
      <c r="G301" s="11">
        <v>0.10833333000000001</v>
      </c>
      <c r="H301" s="12">
        <v>0</v>
      </c>
      <c r="I301" s="7">
        <f>IFERROR(VLOOKUP(D301,MANO_DE_OBRA!A:C,3,FALSE),0)</f>
        <v>49934.239999999998</v>
      </c>
      <c r="J301" s="8">
        <f t="shared" si="16"/>
        <v>5409.5425002191996</v>
      </c>
      <c r="K301" s="7" t="str">
        <f t="shared" si="17"/>
        <v>PTO-0704|MO</v>
      </c>
      <c r="L301" s="7">
        <f>COUNTIFS($K$2:K301,K301)</f>
        <v>1</v>
      </c>
      <c r="M301" s="7" t="str">
        <f t="shared" si="18"/>
        <v>PTO-0704|MO|1</v>
      </c>
      <c r="N301" s="7">
        <f>IFERROR(VLOOKUP(A301,PARTIDAS!A:F,6,FALSE),0)</f>
        <v>1</v>
      </c>
      <c r="O301" s="7">
        <f t="shared" si="19"/>
        <v>0.10833333000000001</v>
      </c>
      <c r="P301" s="7">
        <f>IFERROR(_xlfn.XLOOKUP(A301,PPTO_GENERADOR!$Q:$Q,PPTO_GENERADOR!$E:$E,"-",0),"-")</f>
        <v>995.85109999999997</v>
      </c>
    </row>
    <row r="302" spans="1:16" x14ac:dyDescent="0.35">
      <c r="A302" s="5" t="s">
        <v>909</v>
      </c>
      <c r="B302" s="5" t="s">
        <v>1198</v>
      </c>
      <c r="C302" s="5" t="s">
        <v>1201</v>
      </c>
      <c r="D302" s="5" t="s">
        <v>477</v>
      </c>
      <c r="E302" s="7" t="str">
        <f>IFERROR(VLOOKUP(D302,MANO_DE_OBRA!A:B,2,FALSE),"?")</f>
        <v>ESPECIALIZADO</v>
      </c>
      <c r="F302" s="5" t="s">
        <v>1200</v>
      </c>
      <c r="G302" s="11">
        <v>0.16666666999999999</v>
      </c>
      <c r="H302" s="12">
        <v>0</v>
      </c>
      <c r="I302" s="7">
        <f>IFERROR(VLOOKUP(D302,MANO_DE_OBRA!A:C,3,FALSE),0)</f>
        <v>75113.05</v>
      </c>
      <c r="J302" s="8">
        <f t="shared" si="16"/>
        <v>12518.841917043499</v>
      </c>
      <c r="K302" s="7" t="str">
        <f t="shared" si="17"/>
        <v>PTO-0704|MO</v>
      </c>
      <c r="L302" s="7">
        <f>COUNTIFS($K$2:K302,K302)</f>
        <v>2</v>
      </c>
      <c r="M302" s="7" t="str">
        <f t="shared" si="18"/>
        <v>PTO-0704|MO|2</v>
      </c>
      <c r="N302" s="7">
        <f>IFERROR(VLOOKUP(A302,PARTIDAS!A:F,6,FALSE),0)</f>
        <v>1</v>
      </c>
      <c r="O302" s="7">
        <f t="shared" si="19"/>
        <v>0.16666666999999999</v>
      </c>
      <c r="P302" s="7">
        <f>IFERROR(_xlfn.XLOOKUP(A302,PPTO_GENERADOR!$Q:$Q,PPTO_GENERADOR!$E:$E,"-",0),"-")</f>
        <v>995.85109999999997</v>
      </c>
    </row>
    <row r="303" spans="1:16" x14ac:dyDescent="0.35">
      <c r="A303" s="5" t="s">
        <v>909</v>
      </c>
      <c r="B303" s="5" t="s">
        <v>1202</v>
      </c>
      <c r="C303" s="5"/>
      <c r="D303" s="5" t="s">
        <v>527</v>
      </c>
      <c r="E303" s="7" t="str">
        <f>IFERROR(VLOOKUP(D303,EQUIPOS!A:B,2,FALSE),"?")</f>
        <v>ANDAMIO TUBULAR DE UNO A TRES CUERPOS</v>
      </c>
      <c r="F303" s="5"/>
      <c r="G303" s="11">
        <v>8.3333329999999997E-2</v>
      </c>
      <c r="H303" s="12">
        <v>0</v>
      </c>
      <c r="I303" s="7">
        <f>IFERROR(VLOOKUP(D303,EQUIPOS!A:C,3,FALSE),0)</f>
        <v>556.21879999999999</v>
      </c>
      <c r="J303" s="8">
        <f t="shared" si="16"/>
        <v>46.351564812603996</v>
      </c>
      <c r="K303" s="7" t="str">
        <f t="shared" si="17"/>
        <v>PTO-0704|EQ</v>
      </c>
      <c r="L303" s="7">
        <f>COUNTIFS($K$2:K303,K303)</f>
        <v>1</v>
      </c>
      <c r="M303" s="7" t="str">
        <f t="shared" si="18"/>
        <v>PTO-0704|EQ|1</v>
      </c>
      <c r="N303" s="7">
        <f>IFERROR(VLOOKUP(A303,PARTIDAS!A:F,6,FALSE),0)</f>
        <v>1</v>
      </c>
      <c r="O303" s="7">
        <f t="shared" si="19"/>
        <v>0</v>
      </c>
      <c r="P303" s="7">
        <f>IFERROR(_xlfn.XLOOKUP(A303,PPTO_GENERADOR!$Q:$Q,PPTO_GENERADOR!$E:$E,"-",0),"-")</f>
        <v>995.85109999999997</v>
      </c>
    </row>
    <row r="304" spans="1:16" x14ac:dyDescent="0.35">
      <c r="A304" s="5" t="s">
        <v>909</v>
      </c>
      <c r="B304" s="5" t="s">
        <v>1202</v>
      </c>
      <c r="C304" s="5"/>
      <c r="D304" s="5" t="s">
        <v>525</v>
      </c>
      <c r="E304" s="7" t="str">
        <f>IFERROR(VLOOKUP(D304,EQUIPOS!A:B,2,FALSE),"?")</f>
        <v>EQUIPO DE ALBAÑILERIA, carpetas, ladrillo</v>
      </c>
      <c r="F304" s="5"/>
      <c r="G304" s="11">
        <v>0.16666666999999999</v>
      </c>
      <c r="H304" s="12">
        <v>0</v>
      </c>
      <c r="I304" s="7">
        <f>IFERROR(VLOOKUP(D304,EQUIPOS!A:C,3,FALSE),0)</f>
        <v>2227.2298000000001</v>
      </c>
      <c r="J304" s="8">
        <f t="shared" si="16"/>
        <v>371.20497409076597</v>
      </c>
      <c r="K304" s="7" t="str">
        <f t="shared" si="17"/>
        <v>PTO-0704|EQ</v>
      </c>
      <c r="L304" s="7">
        <f>COUNTIFS($K$2:K304,K304)</f>
        <v>2</v>
      </c>
      <c r="M304" s="7" t="str">
        <f t="shared" si="18"/>
        <v>PTO-0704|EQ|2</v>
      </c>
      <c r="N304" s="7">
        <f>IFERROR(VLOOKUP(A304,PARTIDAS!A:F,6,FALSE),0)</f>
        <v>1</v>
      </c>
      <c r="O304" s="7">
        <f t="shared" si="19"/>
        <v>0</v>
      </c>
      <c r="P304" s="7">
        <f>IFERROR(_xlfn.XLOOKUP(A304,PPTO_GENERADOR!$Q:$Q,PPTO_GENERADOR!$E:$E,"-",0),"-")</f>
        <v>995.85109999999997</v>
      </c>
    </row>
    <row r="305" spans="1:16" x14ac:dyDescent="0.35">
      <c r="A305" s="5" t="s">
        <v>909</v>
      </c>
      <c r="B305" s="5" t="s">
        <v>1202</v>
      </c>
      <c r="C305" s="5"/>
      <c r="D305" s="5" t="s">
        <v>529</v>
      </c>
      <c r="E305" s="7" t="str">
        <f>IFERROR(VLOOKUP(D305,EQUIPOS!A:B,2,FALSE),"?")</f>
        <v>Hormigonera De 150 Litros 1hp Con Rueda Maciza</v>
      </c>
      <c r="F305" s="5"/>
      <c r="G305" s="11">
        <v>0.16666666999999999</v>
      </c>
      <c r="H305" s="12">
        <v>0</v>
      </c>
      <c r="I305" s="7">
        <f>IFERROR(VLOOKUP(D305,EQUIPOS!A:C,3,FALSE),0)</f>
        <v>932.18029999999999</v>
      </c>
      <c r="J305" s="8">
        <f t="shared" si="16"/>
        <v>155.36338644060098</v>
      </c>
      <c r="K305" s="7" t="str">
        <f t="shared" si="17"/>
        <v>PTO-0704|EQ</v>
      </c>
      <c r="L305" s="7">
        <f>COUNTIFS($K$2:K305,K305)</f>
        <v>3</v>
      </c>
      <c r="M305" s="7" t="str">
        <f t="shared" si="18"/>
        <v>PTO-0704|EQ|3</v>
      </c>
      <c r="N305" s="7">
        <f>IFERROR(VLOOKUP(A305,PARTIDAS!A:F,6,FALSE),0)</f>
        <v>1</v>
      </c>
      <c r="O305" s="7">
        <f t="shared" si="19"/>
        <v>0</v>
      </c>
      <c r="P305" s="7">
        <f>IFERROR(_xlfn.XLOOKUP(A305,PPTO_GENERADOR!$Q:$Q,PPTO_GENERADOR!$E:$E,"-",0),"-")</f>
        <v>995.85109999999997</v>
      </c>
    </row>
    <row r="306" spans="1:16" x14ac:dyDescent="0.35">
      <c r="A306" s="5" t="s">
        <v>911</v>
      </c>
      <c r="B306" s="5" t="s">
        <v>1203</v>
      </c>
      <c r="C306" s="5" t="s">
        <v>1205</v>
      </c>
      <c r="D306" s="5" t="s">
        <v>185</v>
      </c>
      <c r="E306" s="7" t="str">
        <f>IFERROR(VLOOKUP(D306,MATERIALES!A:B,2,FALSE),"?")</f>
        <v>Yeso Knauf MP 40/75 Proyectable x 25 kg</v>
      </c>
      <c r="F306" s="5"/>
      <c r="G306" s="11">
        <v>0.71414456000000004</v>
      </c>
      <c r="H306" s="12">
        <v>0</v>
      </c>
      <c r="I306" s="7">
        <f>IFERROR(VLOOKUP(D306,MATERIALES!A:D,4,FALSE),0)</f>
        <v>6694.38</v>
      </c>
      <c r="J306" s="8">
        <f t="shared" si="16"/>
        <v>4780.7550595728007</v>
      </c>
      <c r="K306" s="7" t="str">
        <f t="shared" si="17"/>
        <v>PTO-0705|MAT</v>
      </c>
      <c r="L306" s="7">
        <f>COUNTIFS($K$2:K306,K306)</f>
        <v>1</v>
      </c>
      <c r="M306" s="7" t="str">
        <f t="shared" si="18"/>
        <v>PTO-0705|MAT|1</v>
      </c>
      <c r="N306" s="7">
        <f>IFERROR(VLOOKUP(A306,PARTIDAS!A:F,6,FALSE),0)</f>
        <v>1</v>
      </c>
      <c r="O306" s="7">
        <f t="shared" si="19"/>
        <v>0</v>
      </c>
      <c r="P306" s="7">
        <f>IFERROR(_xlfn.XLOOKUP(A306,PPTO_GENERADOR!$Q:$Q,PPTO_GENERADOR!$E:$E,"-",0),"-")</f>
        <v>2514.8970000000008</v>
      </c>
    </row>
    <row r="307" spans="1:16" x14ac:dyDescent="0.35">
      <c r="A307" s="5" t="s">
        <v>911</v>
      </c>
      <c r="B307" s="5" t="s">
        <v>1203</v>
      </c>
      <c r="C307" s="5" t="s">
        <v>1205</v>
      </c>
      <c r="D307" s="5" t="s">
        <v>187</v>
      </c>
      <c r="E307" s="7" t="str">
        <f>IFERROR(VLOOKUP(D307,MATERIALES!A:B,2,FALSE),"?")</f>
        <v>PA-MAX PUENTE DE ADHERENCIA 20LT</v>
      </c>
      <c r="F307" s="5"/>
      <c r="G307" s="11">
        <v>1.59052E-3</v>
      </c>
      <c r="H307" s="12">
        <v>0</v>
      </c>
      <c r="I307" s="7">
        <f>IFERROR(VLOOKUP(D307,MATERIALES!A:D,4,FALSE),0)</f>
        <v>124738</v>
      </c>
      <c r="J307" s="8">
        <f t="shared" si="16"/>
        <v>198.39828376</v>
      </c>
      <c r="K307" s="7" t="str">
        <f t="shared" si="17"/>
        <v>PTO-0705|MAT</v>
      </c>
      <c r="L307" s="7">
        <f>COUNTIFS($K$2:K307,K307)</f>
        <v>2</v>
      </c>
      <c r="M307" s="7" t="str">
        <f t="shared" si="18"/>
        <v>PTO-0705|MAT|2</v>
      </c>
      <c r="N307" s="7">
        <f>IFERROR(VLOOKUP(A307,PARTIDAS!A:F,6,FALSE),0)</f>
        <v>1</v>
      </c>
      <c r="O307" s="7">
        <f t="shared" si="19"/>
        <v>0</v>
      </c>
      <c r="P307" s="7">
        <f>IFERROR(_xlfn.XLOOKUP(A307,PPTO_GENERADOR!$Q:$Q,PPTO_GENERADOR!$E:$E,"-",0),"-")</f>
        <v>2514.8970000000008</v>
      </c>
    </row>
    <row r="308" spans="1:16" x14ac:dyDescent="0.35">
      <c r="A308" s="5" t="s">
        <v>911</v>
      </c>
      <c r="B308" s="5" t="s">
        <v>1203</v>
      </c>
      <c r="C308" s="5" t="s">
        <v>1205</v>
      </c>
      <c r="D308" s="5" t="s">
        <v>189</v>
      </c>
      <c r="E308" s="7" t="str">
        <f>IFERROR(VLOOKUP(D308,MATERIALES!A:B,2,FALSE),"?")</f>
        <v>Malla de fibra 5 x 5 90 gr, rollo 1 x 50 mts</v>
      </c>
      <c r="F308" s="5"/>
      <c r="G308" s="11">
        <v>4.3739399999999998E-3</v>
      </c>
      <c r="H308" s="12">
        <v>0</v>
      </c>
      <c r="I308" s="7">
        <f>IFERROR(VLOOKUP(D308,MATERIALES!A:D,4,FALSE),0)</f>
        <v>35708.400000000001</v>
      </c>
      <c r="J308" s="8">
        <f t="shared" si="16"/>
        <v>156.186399096</v>
      </c>
      <c r="K308" s="7" t="str">
        <f t="shared" si="17"/>
        <v>PTO-0705|MAT</v>
      </c>
      <c r="L308" s="7">
        <f>COUNTIFS($K$2:K308,K308)</f>
        <v>3</v>
      </c>
      <c r="M308" s="7" t="str">
        <f t="shared" si="18"/>
        <v>PTO-0705|MAT|3</v>
      </c>
      <c r="N308" s="7">
        <f>IFERROR(VLOOKUP(A308,PARTIDAS!A:F,6,FALSE),0)</f>
        <v>1</v>
      </c>
      <c r="O308" s="7">
        <f t="shared" si="19"/>
        <v>0</v>
      </c>
      <c r="P308" s="7">
        <f>IFERROR(_xlfn.XLOOKUP(A308,PPTO_GENERADOR!$Q:$Q,PPTO_GENERADOR!$E:$E,"-",0),"-")</f>
        <v>2514.8970000000008</v>
      </c>
    </row>
    <row r="309" spans="1:16" x14ac:dyDescent="0.35">
      <c r="A309" s="5" t="s">
        <v>911</v>
      </c>
      <c r="B309" s="5" t="s">
        <v>1198</v>
      </c>
      <c r="C309" s="5" t="s">
        <v>1199</v>
      </c>
      <c r="D309" s="5" t="s">
        <v>694</v>
      </c>
      <c r="E309" s="7" t="str">
        <f>IFERROR(VLOOKUP(D309,SUBCONTRATOS_PRY!A:B,2,FALSE),"?")</f>
        <v>Yeso</v>
      </c>
      <c r="F309" s="5" t="s">
        <v>1200</v>
      </c>
      <c r="G309" s="11">
        <v>1</v>
      </c>
      <c r="H309" s="12">
        <v>0</v>
      </c>
      <c r="I309" s="7">
        <f>IFERROR(VLOOKUP(D309,SUBCONTRATOS_PRY!A:D,4,FALSE),0)</f>
        <v>12817.951499999999</v>
      </c>
      <c r="J309" s="8">
        <f t="shared" si="16"/>
        <v>12817.951499999999</v>
      </c>
      <c r="K309" s="7" t="str">
        <f t="shared" si="17"/>
        <v>PTO-0705|MO</v>
      </c>
      <c r="L309" s="7">
        <f>COUNTIFS($K$2:K309,K309)</f>
        <v>1</v>
      </c>
      <c r="M309" s="7" t="str">
        <f t="shared" si="18"/>
        <v>PTO-0705|MO|1</v>
      </c>
      <c r="N309" s="7">
        <f>IFERROR(VLOOKUP(A309,PARTIDAS!A:F,6,FALSE),0)</f>
        <v>1</v>
      </c>
      <c r="O309" s="7">
        <f t="shared" si="19"/>
        <v>0</v>
      </c>
      <c r="P309" s="7">
        <f>IFERROR(_xlfn.XLOOKUP(A309,PPTO_GENERADOR!$Q:$Q,PPTO_GENERADOR!$E:$E,"-",0),"-")</f>
        <v>2514.8970000000008</v>
      </c>
    </row>
    <row r="310" spans="1:16" x14ac:dyDescent="0.35">
      <c r="A310" s="5" t="s">
        <v>913</v>
      </c>
      <c r="B310" s="5" t="s">
        <v>1198</v>
      </c>
      <c r="C310" s="5" t="s">
        <v>1199</v>
      </c>
      <c r="D310" s="5" t="s">
        <v>696</v>
      </c>
      <c r="E310" s="7" t="str">
        <f>IFERROR(VLOOKUP(D310,SUBCONTRATOS_PRY!A:B,2,FALSE),"?")</f>
        <v>Arista / Buña</v>
      </c>
      <c r="F310" s="5" t="s">
        <v>1200</v>
      </c>
      <c r="G310" s="11">
        <v>1</v>
      </c>
      <c r="H310" s="12">
        <v>0</v>
      </c>
      <c r="I310" s="7">
        <f>IFERROR(VLOOKUP(D310,SUBCONTRATOS_PRY!A:D,4,FALSE),0)</f>
        <v>10160.5713</v>
      </c>
      <c r="J310" s="8">
        <f t="shared" si="16"/>
        <v>10160.5713</v>
      </c>
      <c r="K310" s="7" t="str">
        <f t="shared" si="17"/>
        <v>PTO-0706|MO</v>
      </c>
      <c r="L310" s="7">
        <f>COUNTIFS($K$2:K310,K310)</f>
        <v>1</v>
      </c>
      <c r="M310" s="7" t="str">
        <f t="shared" si="18"/>
        <v>PTO-0706|MO|1</v>
      </c>
      <c r="N310" s="7">
        <f>IFERROR(VLOOKUP(A310,PARTIDAS!A:F,6,FALSE),0)</f>
        <v>1</v>
      </c>
      <c r="O310" s="7">
        <f t="shared" si="19"/>
        <v>0</v>
      </c>
      <c r="P310" s="7">
        <f>IFERROR(_xlfn.XLOOKUP(A310,PPTO_GENERADOR!$Q:$Q,PPTO_GENERADOR!$E:$E,"-",0),"-")</f>
        <v>509.9</v>
      </c>
    </row>
    <row r="311" spans="1:16" x14ac:dyDescent="0.35">
      <c r="A311" s="5" t="s">
        <v>915</v>
      </c>
      <c r="B311" s="5" t="s">
        <v>1203</v>
      </c>
      <c r="C311" s="5" t="s">
        <v>1205</v>
      </c>
      <c r="D311" s="5" t="s">
        <v>191</v>
      </c>
      <c r="E311" s="7" t="str">
        <f>IFERROR(VLOOKUP(D311,MATERIALES!A:B,2,FALSE),"?")</f>
        <v>Guardacanto yesero 2 mts</v>
      </c>
      <c r="F311" s="5"/>
      <c r="G311" s="11">
        <v>1.0505050499999999</v>
      </c>
      <c r="H311" s="12">
        <v>0</v>
      </c>
      <c r="I311" s="7">
        <f>IFERROR(VLOOKUP(D311,MATERIALES!A:D,4,FALSE),0)</f>
        <v>1159.2</v>
      </c>
      <c r="J311" s="8">
        <f t="shared" si="16"/>
        <v>1217.7454539600001</v>
      </c>
      <c r="K311" s="7" t="str">
        <f t="shared" si="17"/>
        <v>PTO-0707|MAT</v>
      </c>
      <c r="L311" s="7">
        <f>COUNTIFS($K$2:K311,K311)</f>
        <v>1</v>
      </c>
      <c r="M311" s="7" t="str">
        <f t="shared" si="18"/>
        <v>PTO-0707|MAT|1</v>
      </c>
      <c r="N311" s="7">
        <f>IFERROR(VLOOKUP(A311,PARTIDAS!A:F,6,FALSE),0)</f>
        <v>1</v>
      </c>
      <c r="O311" s="7">
        <f t="shared" si="19"/>
        <v>0</v>
      </c>
      <c r="P311" s="7">
        <f>IFERROR(_xlfn.XLOOKUP(A311,PPTO_GENERADOR!$Q:$Q,PPTO_GENERADOR!$E:$E,"-",0),"-")</f>
        <v>198</v>
      </c>
    </row>
    <row r="312" spans="1:16" x14ac:dyDescent="0.35">
      <c r="A312" s="5" t="s">
        <v>915</v>
      </c>
      <c r="B312" s="5" t="s">
        <v>1198</v>
      </c>
      <c r="C312" s="5" t="s">
        <v>1199</v>
      </c>
      <c r="D312" s="5" t="s">
        <v>698</v>
      </c>
      <c r="E312" s="7" t="str">
        <f>IFERROR(VLOOKUP(D312,SUBCONTRATOS_PRY!A:B,2,FALSE),"?")</f>
        <v>Cantonera</v>
      </c>
      <c r="F312" s="5" t="s">
        <v>1200</v>
      </c>
      <c r="G312" s="11">
        <v>1.0505050499999999</v>
      </c>
      <c r="H312" s="12">
        <v>0</v>
      </c>
      <c r="I312" s="7">
        <f>IFERROR(VLOOKUP(D312,SUBCONTRATOS_PRY!A:D,4,FALSE),0)</f>
        <v>10160.5713</v>
      </c>
      <c r="J312" s="8">
        <f t="shared" si="16"/>
        <v>10673.731461535064</v>
      </c>
      <c r="K312" s="7" t="str">
        <f t="shared" si="17"/>
        <v>PTO-0707|MO</v>
      </c>
      <c r="L312" s="7">
        <f>COUNTIFS($K$2:K312,K312)</f>
        <v>1</v>
      </c>
      <c r="M312" s="7" t="str">
        <f t="shared" si="18"/>
        <v>PTO-0707|MO|1</v>
      </c>
      <c r="N312" s="7">
        <f>IFERROR(VLOOKUP(A312,PARTIDAS!A:F,6,FALSE),0)</f>
        <v>1</v>
      </c>
      <c r="O312" s="7">
        <f t="shared" si="19"/>
        <v>0</v>
      </c>
      <c r="P312" s="7">
        <f>IFERROR(_xlfn.XLOOKUP(A312,PPTO_GENERADOR!$Q:$Q,PPTO_GENERADOR!$E:$E,"-",0),"-")</f>
        <v>198</v>
      </c>
    </row>
    <row r="313" spans="1:16" x14ac:dyDescent="0.35">
      <c r="A313" s="5" t="s">
        <v>917</v>
      </c>
      <c r="B313" s="5" t="s">
        <v>1203</v>
      </c>
      <c r="C313" s="5" t="s">
        <v>1205</v>
      </c>
      <c r="D313" s="5" t="s">
        <v>136</v>
      </c>
      <c r="E313" s="7" t="str">
        <f>IFERROR(VLOOKUP(D313,MATERIALES!A:B,2,FALSE),"?")</f>
        <v>ARENA LAVADA</v>
      </c>
      <c r="F313" s="5"/>
      <c r="G313" s="11">
        <v>2.5999999999999999E-2</v>
      </c>
      <c r="H313" s="12">
        <v>0.1</v>
      </c>
      <c r="I313" s="7">
        <f>IFERROR(VLOOKUP(D313,MATERIALES!A:D,4,FALSE),0)</f>
        <v>31265.15</v>
      </c>
      <c r="J313" s="8">
        <f t="shared" si="16"/>
        <v>894.18329000000006</v>
      </c>
      <c r="K313" s="7" t="str">
        <f t="shared" si="17"/>
        <v>PTO-0708|MAT</v>
      </c>
      <c r="L313" s="7">
        <f>COUNTIFS($K$2:K313,K313)</f>
        <v>1</v>
      </c>
      <c r="M313" s="7" t="str">
        <f t="shared" si="18"/>
        <v>PTO-0708|MAT|1</v>
      </c>
      <c r="N313" s="7">
        <f>IFERROR(VLOOKUP(A313,PARTIDAS!A:F,6,FALSE),0)</f>
        <v>1</v>
      </c>
      <c r="O313" s="7">
        <f t="shared" si="19"/>
        <v>0</v>
      </c>
      <c r="P313" s="7">
        <f>IFERROR(_xlfn.XLOOKUP(A313,PPTO_GENERADOR!$Q:$Q,PPTO_GENERADOR!$E:$E,"-",0),"-")</f>
        <v>670.322</v>
      </c>
    </row>
    <row r="314" spans="1:16" x14ac:dyDescent="0.35">
      <c r="A314" s="5" t="s">
        <v>917</v>
      </c>
      <c r="B314" s="5" t="s">
        <v>1203</v>
      </c>
      <c r="C314" s="5" t="s">
        <v>1205</v>
      </c>
      <c r="D314" s="5" t="s">
        <v>175</v>
      </c>
      <c r="E314" s="7" t="str">
        <f>IFERROR(VLOOKUP(D314,MATERIALES!A:B,2,FALSE),"?")</f>
        <v>Aditivo Hidrofugo en pasta - Ceresita x 1kg</v>
      </c>
      <c r="F314" s="5"/>
      <c r="G314" s="11">
        <v>0.1</v>
      </c>
      <c r="H314" s="12">
        <v>0.05</v>
      </c>
      <c r="I314" s="7">
        <f>IFERROR(VLOOKUP(D314,MATERIALES!A:D,4,FALSE),0)</f>
        <v>1162.7550000000001</v>
      </c>
      <c r="J314" s="8">
        <f t="shared" si="16"/>
        <v>122.08927500000003</v>
      </c>
      <c r="K314" s="7" t="str">
        <f t="shared" si="17"/>
        <v>PTO-0708|MAT</v>
      </c>
      <c r="L314" s="7">
        <f>COUNTIFS($K$2:K314,K314)</f>
        <v>2</v>
      </c>
      <c r="M314" s="7" t="str">
        <f t="shared" si="18"/>
        <v>PTO-0708|MAT|2</v>
      </c>
      <c r="N314" s="7">
        <f>IFERROR(VLOOKUP(A314,PARTIDAS!A:F,6,FALSE),0)</f>
        <v>1</v>
      </c>
      <c r="O314" s="7">
        <f t="shared" si="19"/>
        <v>0</v>
      </c>
      <c r="P314" s="7">
        <f>IFERROR(_xlfn.XLOOKUP(A314,PPTO_GENERADOR!$Q:$Q,PPTO_GENERADOR!$E:$E,"-",0),"-")</f>
        <v>670.322</v>
      </c>
    </row>
    <row r="315" spans="1:16" x14ac:dyDescent="0.35">
      <c r="A315" s="5" t="s">
        <v>917</v>
      </c>
      <c r="B315" s="5" t="s">
        <v>1203</v>
      </c>
      <c r="C315" s="5" t="s">
        <v>1205</v>
      </c>
      <c r="D315" s="5" t="s">
        <v>140</v>
      </c>
      <c r="E315" s="7" t="str">
        <f>IFERROR(VLOOKUP(D315,MATERIALES!A:B,2,FALSE),"?")</f>
        <v>Cemento Portland x 50kg</v>
      </c>
      <c r="F315" s="5"/>
      <c r="G315" s="11">
        <v>0.314</v>
      </c>
      <c r="H315" s="12">
        <v>0.1</v>
      </c>
      <c r="I315" s="7">
        <f>IFERROR(VLOOKUP(D315,MATERIALES!A:D,4,FALSE),0)</f>
        <v>7233.47</v>
      </c>
      <c r="J315" s="8">
        <f t="shared" si="16"/>
        <v>2498.4405380000003</v>
      </c>
      <c r="K315" s="7" t="str">
        <f t="shared" si="17"/>
        <v>PTO-0708|MAT</v>
      </c>
      <c r="L315" s="7">
        <f>COUNTIFS($K$2:K315,K315)</f>
        <v>3</v>
      </c>
      <c r="M315" s="7" t="str">
        <f t="shared" si="18"/>
        <v>PTO-0708|MAT|3</v>
      </c>
      <c r="N315" s="7">
        <f>IFERROR(VLOOKUP(A315,PARTIDAS!A:F,6,FALSE),0)</f>
        <v>1</v>
      </c>
      <c r="O315" s="7">
        <f t="shared" si="19"/>
        <v>0</v>
      </c>
      <c r="P315" s="7">
        <f>IFERROR(_xlfn.XLOOKUP(A315,PPTO_GENERADOR!$Q:$Q,PPTO_GENERADOR!$E:$E,"-",0),"-")</f>
        <v>670.322</v>
      </c>
    </row>
    <row r="316" spans="1:16" x14ac:dyDescent="0.35">
      <c r="A316" s="5" t="s">
        <v>917</v>
      </c>
      <c r="B316" s="5" t="s">
        <v>1203</v>
      </c>
      <c r="C316" s="5" t="s">
        <v>1205</v>
      </c>
      <c r="D316" s="5" t="s">
        <v>138</v>
      </c>
      <c r="E316" s="7" t="str">
        <f>IFERROR(VLOOKUP(D316,MATERIALES!A:B,2,FALSE),"?")</f>
        <v>Cal Comun x 25kg</v>
      </c>
      <c r="F316" s="5"/>
      <c r="G316" s="11">
        <v>0.06</v>
      </c>
      <c r="H316" s="12">
        <v>0.1</v>
      </c>
      <c r="I316" s="7">
        <f>IFERROR(VLOOKUP(D316,MATERIALES!A:D,4,FALSE),0)</f>
        <v>3532.67</v>
      </c>
      <c r="J316" s="8">
        <f t="shared" si="16"/>
        <v>233.15621999999999</v>
      </c>
      <c r="K316" s="7" t="str">
        <f t="shared" si="17"/>
        <v>PTO-0708|MAT</v>
      </c>
      <c r="L316" s="7">
        <f>COUNTIFS($K$2:K316,K316)</f>
        <v>4</v>
      </c>
      <c r="M316" s="7" t="str">
        <f t="shared" si="18"/>
        <v>PTO-0708|MAT|4</v>
      </c>
      <c r="N316" s="7">
        <f>IFERROR(VLOOKUP(A316,PARTIDAS!A:F,6,FALSE),0)</f>
        <v>1</v>
      </c>
      <c r="O316" s="7">
        <f t="shared" si="19"/>
        <v>0</v>
      </c>
      <c r="P316" s="7">
        <f>IFERROR(_xlfn.XLOOKUP(A316,PPTO_GENERADOR!$Q:$Q,PPTO_GENERADOR!$E:$E,"-",0),"-")</f>
        <v>670.322</v>
      </c>
    </row>
    <row r="317" spans="1:16" x14ac:dyDescent="0.35">
      <c r="A317" s="5" t="s">
        <v>917</v>
      </c>
      <c r="B317" s="5" t="s">
        <v>1198</v>
      </c>
      <c r="C317" s="5" t="s">
        <v>1201</v>
      </c>
      <c r="D317" s="5" t="s">
        <v>477</v>
      </c>
      <c r="E317" s="7" t="str">
        <f>IFERROR(VLOOKUP(D317,MANO_DE_OBRA!A:B,2,FALSE),"?")</f>
        <v>ESPECIALIZADO</v>
      </c>
      <c r="F317" s="5" t="s">
        <v>1200</v>
      </c>
      <c r="G317" s="11">
        <v>8.6956519999999995E-2</v>
      </c>
      <c r="H317" s="12">
        <v>0</v>
      </c>
      <c r="I317" s="7">
        <f>IFERROR(VLOOKUP(D317,MANO_DE_OBRA!A:C,3,FALSE),0)</f>
        <v>75113.05</v>
      </c>
      <c r="J317" s="8">
        <f t="shared" si="16"/>
        <v>6531.5694345860002</v>
      </c>
      <c r="K317" s="7" t="str">
        <f t="shared" si="17"/>
        <v>PTO-0708|MO</v>
      </c>
      <c r="L317" s="7">
        <f>COUNTIFS($K$2:K317,K317)</f>
        <v>1</v>
      </c>
      <c r="M317" s="7" t="str">
        <f t="shared" si="18"/>
        <v>PTO-0708|MO|1</v>
      </c>
      <c r="N317" s="7">
        <f>IFERROR(VLOOKUP(A317,PARTIDAS!A:F,6,FALSE),0)</f>
        <v>1</v>
      </c>
      <c r="O317" s="7">
        <f t="shared" si="19"/>
        <v>8.6956519999999995E-2</v>
      </c>
      <c r="P317" s="7">
        <f>IFERROR(_xlfn.XLOOKUP(A317,PPTO_GENERADOR!$Q:$Q,PPTO_GENERADOR!$E:$E,"-",0),"-")</f>
        <v>670.322</v>
      </c>
    </row>
    <row r="318" spans="1:16" x14ac:dyDescent="0.35">
      <c r="A318" s="5" t="s">
        <v>917</v>
      </c>
      <c r="B318" s="5" t="s">
        <v>1198</v>
      </c>
      <c r="C318" s="5" t="s">
        <v>1201</v>
      </c>
      <c r="D318" s="5" t="s">
        <v>475</v>
      </c>
      <c r="E318" s="7" t="str">
        <f>IFERROR(VLOOKUP(D318,MANO_DE_OBRA!A:B,2,FALSE),"?")</f>
        <v>AYUDANTE</v>
      </c>
      <c r="F318" s="5" t="s">
        <v>1200</v>
      </c>
      <c r="G318" s="11">
        <v>5.2173909999999997E-2</v>
      </c>
      <c r="H318" s="12">
        <v>0</v>
      </c>
      <c r="I318" s="7">
        <f>IFERROR(VLOOKUP(D318,MANO_DE_OBRA!A:C,3,FALSE),0)</f>
        <v>49934.239999999998</v>
      </c>
      <c r="J318" s="8">
        <f t="shared" si="16"/>
        <v>2605.2645436783996</v>
      </c>
      <c r="K318" s="7" t="str">
        <f t="shared" si="17"/>
        <v>PTO-0708|MO</v>
      </c>
      <c r="L318" s="7">
        <f>COUNTIFS($K$2:K318,K318)</f>
        <v>2</v>
      </c>
      <c r="M318" s="7" t="str">
        <f t="shared" si="18"/>
        <v>PTO-0708|MO|2</v>
      </c>
      <c r="N318" s="7">
        <f>IFERROR(VLOOKUP(A318,PARTIDAS!A:F,6,FALSE),0)</f>
        <v>1</v>
      </c>
      <c r="O318" s="7">
        <f t="shared" si="19"/>
        <v>5.2173909999999997E-2</v>
      </c>
      <c r="P318" s="7">
        <f>IFERROR(_xlfn.XLOOKUP(A318,PPTO_GENERADOR!$Q:$Q,PPTO_GENERADOR!$E:$E,"-",0),"-")</f>
        <v>670.322</v>
      </c>
    </row>
    <row r="319" spans="1:16" x14ac:dyDescent="0.35">
      <c r="A319" s="5" t="s">
        <v>917</v>
      </c>
      <c r="B319" s="5" t="s">
        <v>1202</v>
      </c>
      <c r="C319" s="5"/>
      <c r="D319" s="5" t="s">
        <v>527</v>
      </c>
      <c r="E319" s="7" t="str">
        <f>IFERROR(VLOOKUP(D319,EQUIPOS!A:B,2,FALSE),"?")</f>
        <v>ANDAMIO TUBULAR DE UNO A TRES CUERPOS</v>
      </c>
      <c r="F319" s="5"/>
      <c r="G319" s="11">
        <v>4.3478259999999998E-2</v>
      </c>
      <c r="H319" s="12">
        <v>0</v>
      </c>
      <c r="I319" s="7">
        <f>IFERROR(VLOOKUP(D319,EQUIPOS!A:C,3,FALSE),0)</f>
        <v>556.21879999999999</v>
      </c>
      <c r="J319" s="8">
        <f t="shared" si="16"/>
        <v>24.183425603287997</v>
      </c>
      <c r="K319" s="7" t="str">
        <f t="shared" si="17"/>
        <v>PTO-0708|EQ</v>
      </c>
      <c r="L319" s="7">
        <f>COUNTIFS($K$2:K319,K319)</f>
        <v>1</v>
      </c>
      <c r="M319" s="7" t="str">
        <f t="shared" si="18"/>
        <v>PTO-0708|EQ|1</v>
      </c>
      <c r="N319" s="7">
        <f>IFERROR(VLOOKUP(A319,PARTIDAS!A:F,6,FALSE),0)</f>
        <v>1</v>
      </c>
      <c r="O319" s="7">
        <f t="shared" si="19"/>
        <v>0</v>
      </c>
      <c r="P319" s="7">
        <f>IFERROR(_xlfn.XLOOKUP(A319,PPTO_GENERADOR!$Q:$Q,PPTO_GENERADOR!$E:$E,"-",0),"-")</f>
        <v>670.322</v>
      </c>
    </row>
    <row r="320" spans="1:16" x14ac:dyDescent="0.35">
      <c r="A320" s="5" t="s">
        <v>917</v>
      </c>
      <c r="B320" s="5" t="s">
        <v>1202</v>
      </c>
      <c r="C320" s="5"/>
      <c r="D320" s="5" t="s">
        <v>525</v>
      </c>
      <c r="E320" s="7" t="str">
        <f>IFERROR(VLOOKUP(D320,EQUIPOS!A:B,2,FALSE),"?")</f>
        <v>EQUIPO DE ALBAÑILERIA, carpetas, ladrillo</v>
      </c>
      <c r="F320" s="5"/>
      <c r="G320" s="11">
        <v>8.6956519999999995E-2</v>
      </c>
      <c r="H320" s="12">
        <v>0</v>
      </c>
      <c r="I320" s="7">
        <f>IFERROR(VLOOKUP(D320,EQUIPOS!A:C,3,FALSE),0)</f>
        <v>2227.2298000000001</v>
      </c>
      <c r="J320" s="8">
        <f t="shared" si="16"/>
        <v>193.67215264829599</v>
      </c>
      <c r="K320" s="7" t="str">
        <f t="shared" si="17"/>
        <v>PTO-0708|EQ</v>
      </c>
      <c r="L320" s="7">
        <f>COUNTIFS($K$2:K320,K320)</f>
        <v>2</v>
      </c>
      <c r="M320" s="7" t="str">
        <f t="shared" si="18"/>
        <v>PTO-0708|EQ|2</v>
      </c>
      <c r="N320" s="7">
        <f>IFERROR(VLOOKUP(A320,PARTIDAS!A:F,6,FALSE),0)</f>
        <v>1</v>
      </c>
      <c r="O320" s="7">
        <f t="shared" si="19"/>
        <v>0</v>
      </c>
      <c r="P320" s="7">
        <f>IFERROR(_xlfn.XLOOKUP(A320,PPTO_GENERADOR!$Q:$Q,PPTO_GENERADOR!$E:$E,"-",0),"-")</f>
        <v>670.322</v>
      </c>
    </row>
    <row r="321" spans="1:16" x14ac:dyDescent="0.35">
      <c r="A321" s="5" t="s">
        <v>917</v>
      </c>
      <c r="B321" s="5" t="s">
        <v>1202</v>
      </c>
      <c r="C321" s="5"/>
      <c r="D321" s="5" t="s">
        <v>529</v>
      </c>
      <c r="E321" s="7" t="str">
        <f>IFERROR(VLOOKUP(D321,EQUIPOS!A:B,2,FALSE),"?")</f>
        <v>Hormigonera De 150 Litros 1hp Con Rueda Maciza</v>
      </c>
      <c r="F321" s="5"/>
      <c r="G321" s="11">
        <v>8.6956519999999995E-2</v>
      </c>
      <c r="H321" s="12">
        <v>0</v>
      </c>
      <c r="I321" s="7">
        <f>IFERROR(VLOOKUP(D321,EQUIPOS!A:C,3,FALSE),0)</f>
        <v>932.18029999999999</v>
      </c>
      <c r="J321" s="8">
        <f t="shared" si="16"/>
        <v>81.059154900555995</v>
      </c>
      <c r="K321" s="7" t="str">
        <f t="shared" si="17"/>
        <v>PTO-0708|EQ</v>
      </c>
      <c r="L321" s="7">
        <f>COUNTIFS($K$2:K321,K321)</f>
        <v>3</v>
      </c>
      <c r="M321" s="7" t="str">
        <f t="shared" si="18"/>
        <v>PTO-0708|EQ|3</v>
      </c>
      <c r="N321" s="7">
        <f>IFERROR(VLOOKUP(A321,PARTIDAS!A:F,6,FALSE),0)</f>
        <v>1</v>
      </c>
      <c r="O321" s="7">
        <f t="shared" si="19"/>
        <v>0</v>
      </c>
      <c r="P321" s="7">
        <f>IFERROR(_xlfn.XLOOKUP(A321,PPTO_GENERADOR!$Q:$Q,PPTO_GENERADOR!$E:$E,"-",0),"-")</f>
        <v>670.322</v>
      </c>
    </row>
    <row r="322" spans="1:16" x14ac:dyDescent="0.35">
      <c r="A322" s="5" t="s">
        <v>920</v>
      </c>
      <c r="B322" s="5" t="s">
        <v>1203</v>
      </c>
      <c r="C322" s="5" t="s">
        <v>1205</v>
      </c>
      <c r="D322" s="5" t="s">
        <v>140</v>
      </c>
      <c r="E322" s="7" t="str">
        <f>IFERROR(VLOOKUP(D322,MATERIALES!A:B,2,FALSE),"?")</f>
        <v>Cemento Portland x 50kg</v>
      </c>
      <c r="F322" s="5"/>
      <c r="G322" s="11">
        <v>0.11219999999999999</v>
      </c>
      <c r="H322" s="12">
        <v>0.1</v>
      </c>
      <c r="I322" s="7">
        <f>IFERROR(VLOOKUP(D322,MATERIALES!A:D,4,FALSE),0)</f>
        <v>7233.47</v>
      </c>
      <c r="J322" s="8">
        <f t="shared" ref="J322:J385" si="20">G322*I322*(1+H322)</f>
        <v>892.75486740000008</v>
      </c>
      <c r="K322" s="7" t="str">
        <f t="shared" ref="K322:K385" si="21">A322&amp;"|"&amp;B322</f>
        <v>PTO-0801|MAT</v>
      </c>
      <c r="L322" s="7">
        <f>COUNTIFS($K$2:K322,K322)</f>
        <v>1</v>
      </c>
      <c r="M322" s="7" t="str">
        <f t="shared" ref="M322:M385" si="22">K322&amp;"|"&amp;L322</f>
        <v>PTO-0801|MAT|1</v>
      </c>
      <c r="N322" s="7">
        <f>IFERROR(VLOOKUP(A322,PARTIDAS!A:F,6,FALSE),0)</f>
        <v>1</v>
      </c>
      <c r="O322" s="7">
        <f t="shared" ref="O322:O385" si="23">IF(C322="ALB",IF(N322=0,0,G322/N322),0)</f>
        <v>0</v>
      </c>
      <c r="P322" s="7">
        <f>IFERROR(_xlfn.XLOOKUP(A322,PPTO_GENERADOR!$Q:$Q,PPTO_GENERADOR!$E:$E,"-",0),"-")</f>
        <v>104</v>
      </c>
    </row>
    <row r="323" spans="1:16" x14ac:dyDescent="0.35">
      <c r="A323" s="5" t="s">
        <v>920</v>
      </c>
      <c r="B323" s="5" t="s">
        <v>1203</v>
      </c>
      <c r="C323" s="5" t="s">
        <v>1205</v>
      </c>
      <c r="D323" s="5" t="s">
        <v>138</v>
      </c>
      <c r="E323" s="7" t="str">
        <f>IFERROR(VLOOKUP(D323,MATERIALES!A:B,2,FALSE),"?")</f>
        <v>Cal Comun x 25kg</v>
      </c>
      <c r="F323" s="5"/>
      <c r="G323" s="11">
        <v>0.48599999999999999</v>
      </c>
      <c r="H323" s="12">
        <v>0.1</v>
      </c>
      <c r="I323" s="7">
        <f>IFERROR(VLOOKUP(D323,MATERIALES!A:D,4,FALSE),0)</f>
        <v>3532.67</v>
      </c>
      <c r="J323" s="8">
        <f t="shared" si="20"/>
        <v>1888.5653820000002</v>
      </c>
      <c r="K323" s="7" t="str">
        <f t="shared" si="21"/>
        <v>PTO-0801|MAT</v>
      </c>
      <c r="L323" s="7">
        <f>COUNTIFS($K$2:K323,K323)</f>
        <v>2</v>
      </c>
      <c r="M323" s="7" t="str">
        <f t="shared" si="22"/>
        <v>PTO-0801|MAT|2</v>
      </c>
      <c r="N323" s="7">
        <f>IFERROR(VLOOKUP(A323,PARTIDAS!A:F,6,FALSE),0)</f>
        <v>1</v>
      </c>
      <c r="O323" s="7">
        <f t="shared" si="23"/>
        <v>0</v>
      </c>
      <c r="P323" s="7">
        <f>IFERROR(_xlfn.XLOOKUP(A323,PPTO_GENERADOR!$Q:$Q,PPTO_GENERADOR!$E:$E,"-",0),"-")</f>
        <v>104</v>
      </c>
    </row>
    <row r="324" spans="1:16" x14ac:dyDescent="0.35">
      <c r="A324" s="5" t="s">
        <v>920</v>
      </c>
      <c r="B324" s="5" t="s">
        <v>1203</v>
      </c>
      <c r="C324" s="5" t="s">
        <v>1205</v>
      </c>
      <c r="D324" s="5" t="s">
        <v>193</v>
      </c>
      <c r="E324" s="7" t="str">
        <f>IFERROR(VLOOKUP(D324,MATERIALES!A:B,2,FALSE),"?")</f>
        <v>Cascote</v>
      </c>
      <c r="F324" s="5"/>
      <c r="G324" s="11">
        <v>0.11550000000000001</v>
      </c>
      <c r="H324" s="12">
        <v>0.1</v>
      </c>
      <c r="I324" s="7">
        <f>IFERROR(VLOOKUP(D324,MATERIALES!A:D,4,FALSE),0)</f>
        <v>34045.199999999997</v>
      </c>
      <c r="J324" s="8">
        <f t="shared" si="20"/>
        <v>4325.4426599999997</v>
      </c>
      <c r="K324" s="7" t="str">
        <f t="shared" si="21"/>
        <v>PTO-0801|MAT</v>
      </c>
      <c r="L324" s="7">
        <f>COUNTIFS($K$2:K324,K324)</f>
        <v>3</v>
      </c>
      <c r="M324" s="7" t="str">
        <f t="shared" si="22"/>
        <v>PTO-0801|MAT|3</v>
      </c>
      <c r="N324" s="7">
        <f>IFERROR(VLOOKUP(A324,PARTIDAS!A:F,6,FALSE),0)</f>
        <v>1</v>
      </c>
      <c r="O324" s="7">
        <f t="shared" si="23"/>
        <v>0</v>
      </c>
      <c r="P324" s="7">
        <f>IFERROR(_xlfn.XLOOKUP(A324,PPTO_GENERADOR!$Q:$Q,PPTO_GENERADOR!$E:$E,"-",0),"-")</f>
        <v>104</v>
      </c>
    </row>
    <row r="325" spans="1:16" x14ac:dyDescent="0.35">
      <c r="A325" s="5" t="s">
        <v>920</v>
      </c>
      <c r="B325" s="5" t="s">
        <v>1203</v>
      </c>
      <c r="C325" s="5" t="s">
        <v>1205</v>
      </c>
      <c r="D325" s="5" t="s">
        <v>136</v>
      </c>
      <c r="E325" s="7" t="str">
        <f>IFERROR(VLOOKUP(D325,MATERIALES!A:B,2,FALSE),"?")</f>
        <v>ARENA LAVADA</v>
      </c>
      <c r="F325" s="5"/>
      <c r="G325" s="11">
        <v>7.7249999999999999E-2</v>
      </c>
      <c r="H325" s="12">
        <v>0.1</v>
      </c>
      <c r="I325" s="7">
        <f>IFERROR(VLOOKUP(D325,MATERIALES!A:D,4,FALSE),0)</f>
        <v>31265.15</v>
      </c>
      <c r="J325" s="8">
        <f t="shared" si="20"/>
        <v>2656.7561212500004</v>
      </c>
      <c r="K325" s="7" t="str">
        <f t="shared" si="21"/>
        <v>PTO-0801|MAT</v>
      </c>
      <c r="L325" s="7">
        <f>COUNTIFS($K$2:K325,K325)</f>
        <v>4</v>
      </c>
      <c r="M325" s="7" t="str">
        <f t="shared" si="22"/>
        <v>PTO-0801|MAT|4</v>
      </c>
      <c r="N325" s="7">
        <f>IFERROR(VLOOKUP(A325,PARTIDAS!A:F,6,FALSE),0)</f>
        <v>1</v>
      </c>
      <c r="O325" s="7">
        <f t="shared" si="23"/>
        <v>0</v>
      </c>
      <c r="P325" s="7">
        <f>IFERROR(_xlfn.XLOOKUP(A325,PPTO_GENERADOR!$Q:$Q,PPTO_GENERADOR!$E:$E,"-",0),"-")</f>
        <v>104</v>
      </c>
    </row>
    <row r="326" spans="1:16" x14ac:dyDescent="0.35">
      <c r="A326" s="5" t="s">
        <v>920</v>
      </c>
      <c r="B326" s="5" t="s">
        <v>1198</v>
      </c>
      <c r="C326" s="5" t="s">
        <v>1201</v>
      </c>
      <c r="D326" s="5" t="s">
        <v>475</v>
      </c>
      <c r="E326" s="7" t="str">
        <f>IFERROR(VLOOKUP(D326,MANO_DE_OBRA!A:B,2,FALSE),"?")</f>
        <v>AYUDANTE</v>
      </c>
      <c r="F326" s="5" t="s">
        <v>1200</v>
      </c>
      <c r="G326" s="11">
        <v>0.14285713999999999</v>
      </c>
      <c r="H326" s="12">
        <v>0</v>
      </c>
      <c r="I326" s="7">
        <f>IFERROR(VLOOKUP(D326,MANO_DE_OBRA!A:C,3,FALSE),0)</f>
        <v>49934.239999999998</v>
      </c>
      <c r="J326" s="8">
        <f t="shared" si="20"/>
        <v>7133.4627144735996</v>
      </c>
      <c r="K326" s="7" t="str">
        <f t="shared" si="21"/>
        <v>PTO-0801|MO</v>
      </c>
      <c r="L326" s="7">
        <f>COUNTIFS($K$2:K326,K326)</f>
        <v>1</v>
      </c>
      <c r="M326" s="7" t="str">
        <f t="shared" si="22"/>
        <v>PTO-0801|MO|1</v>
      </c>
      <c r="N326" s="7">
        <f>IFERROR(VLOOKUP(A326,PARTIDAS!A:F,6,FALSE),0)</f>
        <v>1</v>
      </c>
      <c r="O326" s="7">
        <f t="shared" si="23"/>
        <v>0.14285713999999999</v>
      </c>
      <c r="P326" s="7">
        <f>IFERROR(_xlfn.XLOOKUP(A326,PPTO_GENERADOR!$Q:$Q,PPTO_GENERADOR!$E:$E,"-",0),"-")</f>
        <v>104</v>
      </c>
    </row>
    <row r="327" spans="1:16" x14ac:dyDescent="0.35">
      <c r="A327" s="5" t="s">
        <v>920</v>
      </c>
      <c r="B327" s="5" t="s">
        <v>1198</v>
      </c>
      <c r="C327" s="5" t="s">
        <v>1201</v>
      </c>
      <c r="D327" s="5" t="s">
        <v>477</v>
      </c>
      <c r="E327" s="7" t="str">
        <f>IFERROR(VLOOKUP(D327,MANO_DE_OBRA!A:B,2,FALSE),"?")</f>
        <v>ESPECIALIZADO</v>
      </c>
      <c r="F327" s="5" t="s">
        <v>1200</v>
      </c>
      <c r="G327" s="11">
        <v>0.10714286000000001</v>
      </c>
      <c r="H327" s="12">
        <v>0</v>
      </c>
      <c r="I327" s="7">
        <f>IFERROR(VLOOKUP(D327,MANO_DE_OBRA!A:C,3,FALSE),0)</f>
        <v>75113.05</v>
      </c>
      <c r="J327" s="8">
        <f t="shared" si="20"/>
        <v>8047.8270003230009</v>
      </c>
      <c r="K327" s="7" t="str">
        <f t="shared" si="21"/>
        <v>PTO-0801|MO</v>
      </c>
      <c r="L327" s="7">
        <f>COUNTIFS($K$2:K327,K327)</f>
        <v>2</v>
      </c>
      <c r="M327" s="7" t="str">
        <f t="shared" si="22"/>
        <v>PTO-0801|MO|2</v>
      </c>
      <c r="N327" s="7">
        <f>IFERROR(VLOOKUP(A327,PARTIDAS!A:F,6,FALSE),0)</f>
        <v>1</v>
      </c>
      <c r="O327" s="7">
        <f t="shared" si="23"/>
        <v>0.10714286000000001</v>
      </c>
      <c r="P327" s="7">
        <f>IFERROR(_xlfn.XLOOKUP(A327,PPTO_GENERADOR!$Q:$Q,PPTO_GENERADOR!$E:$E,"-",0),"-")</f>
        <v>104</v>
      </c>
    </row>
    <row r="328" spans="1:16" x14ac:dyDescent="0.35">
      <c r="A328" s="5" t="s">
        <v>920</v>
      </c>
      <c r="B328" s="5" t="s">
        <v>1202</v>
      </c>
      <c r="C328" s="5"/>
      <c r="D328" s="5" t="s">
        <v>529</v>
      </c>
      <c r="E328" s="7" t="str">
        <f>IFERROR(VLOOKUP(D328,EQUIPOS!A:B,2,FALSE),"?")</f>
        <v>Hormigonera De 150 Litros 1hp Con Rueda Maciza</v>
      </c>
      <c r="F328" s="5"/>
      <c r="G328" s="11">
        <v>0.14285713999999999</v>
      </c>
      <c r="H328" s="12">
        <v>0</v>
      </c>
      <c r="I328" s="7">
        <f>IFERROR(VLOOKUP(D328,EQUIPOS!A:C,3,FALSE),0)</f>
        <v>932.18029999999999</v>
      </c>
      <c r="J328" s="8">
        <f t="shared" si="20"/>
        <v>133.16861162234198</v>
      </c>
      <c r="K328" s="7" t="str">
        <f t="shared" si="21"/>
        <v>PTO-0801|EQ</v>
      </c>
      <c r="L328" s="7">
        <f>COUNTIFS($K$2:K328,K328)</f>
        <v>1</v>
      </c>
      <c r="M328" s="7" t="str">
        <f t="shared" si="22"/>
        <v>PTO-0801|EQ|1</v>
      </c>
      <c r="N328" s="7">
        <f>IFERROR(VLOOKUP(A328,PARTIDAS!A:F,6,FALSE),0)</f>
        <v>1</v>
      </c>
      <c r="O328" s="7">
        <f t="shared" si="23"/>
        <v>0</v>
      </c>
      <c r="P328" s="7">
        <f>IFERROR(_xlfn.XLOOKUP(A328,PPTO_GENERADOR!$Q:$Q,PPTO_GENERADOR!$E:$E,"-",0),"-")</f>
        <v>104</v>
      </c>
    </row>
    <row r="329" spans="1:16" x14ac:dyDescent="0.35">
      <c r="A329" s="5" t="s">
        <v>920</v>
      </c>
      <c r="B329" s="5" t="s">
        <v>1202</v>
      </c>
      <c r="C329" s="5"/>
      <c r="D329" s="5" t="s">
        <v>525</v>
      </c>
      <c r="E329" s="7" t="str">
        <f>IFERROR(VLOOKUP(D329,EQUIPOS!A:B,2,FALSE),"?")</f>
        <v>EQUIPO DE ALBAÑILERIA, carpetas, ladrillo</v>
      </c>
      <c r="F329" s="5"/>
      <c r="G329" s="11">
        <v>0.14285713999999999</v>
      </c>
      <c r="H329" s="12">
        <v>0</v>
      </c>
      <c r="I329" s="7">
        <f>IFERROR(VLOOKUP(D329,EQUIPOS!A:C,3,FALSE),0)</f>
        <v>2227.2298000000001</v>
      </c>
      <c r="J329" s="8">
        <f t="shared" si="20"/>
        <v>318.17567935077199</v>
      </c>
      <c r="K329" s="7" t="str">
        <f t="shared" si="21"/>
        <v>PTO-0801|EQ</v>
      </c>
      <c r="L329" s="7">
        <f>COUNTIFS($K$2:K329,K329)</f>
        <v>2</v>
      </c>
      <c r="M329" s="7" t="str">
        <f t="shared" si="22"/>
        <v>PTO-0801|EQ|2</v>
      </c>
      <c r="N329" s="7">
        <f>IFERROR(VLOOKUP(A329,PARTIDAS!A:F,6,FALSE),0)</f>
        <v>1</v>
      </c>
      <c r="O329" s="7">
        <f t="shared" si="23"/>
        <v>0</v>
      </c>
      <c r="P329" s="7">
        <f>IFERROR(_xlfn.XLOOKUP(A329,PPTO_GENERADOR!$Q:$Q,PPTO_GENERADOR!$E:$E,"-",0),"-")</f>
        <v>104</v>
      </c>
    </row>
    <row r="330" spans="1:16" x14ac:dyDescent="0.35">
      <c r="A330" s="5" t="s">
        <v>921</v>
      </c>
      <c r="B330" s="5" t="s">
        <v>1203</v>
      </c>
      <c r="C330" s="5" t="s">
        <v>1199</v>
      </c>
      <c r="D330" s="5" t="s">
        <v>195</v>
      </c>
      <c r="E330" s="7" t="str">
        <f>IFERROR(VLOOKUP(D330,MATERIALES!A:B,2,FALSE),"?")</f>
        <v>Contrapiso de cascote s/terreno natural e: 20 cm - Incluye film de polietileno</v>
      </c>
      <c r="F330" s="5"/>
      <c r="G330" s="11">
        <v>1</v>
      </c>
      <c r="H330" s="12">
        <v>0</v>
      </c>
      <c r="I330" s="7">
        <f>IFERROR(VLOOKUP(D330,MATERIALES!A:D,4,FALSE),0)</f>
        <v>500</v>
      </c>
      <c r="J330" s="8">
        <f t="shared" si="20"/>
        <v>500</v>
      </c>
      <c r="K330" s="7" t="str">
        <f t="shared" si="21"/>
        <v>PTO-0802|MAT</v>
      </c>
      <c r="L330" s="7">
        <f>COUNTIFS($K$2:K330,K330)</f>
        <v>1</v>
      </c>
      <c r="M330" s="7" t="str">
        <f t="shared" si="22"/>
        <v>PTO-0802|MAT|1</v>
      </c>
      <c r="N330" s="7">
        <f>IFERROR(VLOOKUP(A330,PARTIDAS!A:F,6,FALSE),0)</f>
        <v>1</v>
      </c>
      <c r="O330" s="7">
        <f t="shared" si="23"/>
        <v>0</v>
      </c>
      <c r="P330" s="7">
        <f>IFERROR(_xlfn.XLOOKUP(A330,PPTO_GENERADOR!$Q:$Q,PPTO_GENERADOR!$E:$E,"-",0),"-")</f>
        <v>48</v>
      </c>
    </row>
    <row r="331" spans="1:16" x14ac:dyDescent="0.35">
      <c r="A331" s="5" t="s">
        <v>921</v>
      </c>
      <c r="B331" s="5" t="s">
        <v>1203</v>
      </c>
      <c r="C331" s="5" t="s">
        <v>1205</v>
      </c>
      <c r="D331" s="5" t="s">
        <v>140</v>
      </c>
      <c r="E331" s="7" t="str">
        <f>IFERROR(VLOOKUP(D331,MATERIALES!A:B,2,FALSE),"?")</f>
        <v>Cemento Portland x 50kg</v>
      </c>
      <c r="F331" s="5"/>
      <c r="G331" s="11">
        <v>0.14960000000000001</v>
      </c>
      <c r="H331" s="12">
        <v>0.1</v>
      </c>
      <c r="I331" s="7">
        <f>IFERROR(VLOOKUP(D331,MATERIALES!A:D,4,FALSE),0)</f>
        <v>7233.47</v>
      </c>
      <c r="J331" s="8">
        <f t="shared" si="20"/>
        <v>1190.3398232000002</v>
      </c>
      <c r="K331" s="7" t="str">
        <f t="shared" si="21"/>
        <v>PTO-0802|MAT</v>
      </c>
      <c r="L331" s="7">
        <f>COUNTIFS($K$2:K331,K331)</f>
        <v>2</v>
      </c>
      <c r="M331" s="7" t="str">
        <f t="shared" si="22"/>
        <v>PTO-0802|MAT|2</v>
      </c>
      <c r="N331" s="7">
        <f>IFERROR(VLOOKUP(A331,PARTIDAS!A:F,6,FALSE),0)</f>
        <v>1</v>
      </c>
      <c r="O331" s="7">
        <f t="shared" si="23"/>
        <v>0</v>
      </c>
      <c r="P331" s="7">
        <f>IFERROR(_xlfn.XLOOKUP(A331,PPTO_GENERADOR!$Q:$Q,PPTO_GENERADOR!$E:$E,"-",0),"-")</f>
        <v>48</v>
      </c>
    </row>
    <row r="332" spans="1:16" x14ac:dyDescent="0.35">
      <c r="A332" s="5" t="s">
        <v>921</v>
      </c>
      <c r="B332" s="5" t="s">
        <v>1203</v>
      </c>
      <c r="C332" s="5" t="s">
        <v>1205</v>
      </c>
      <c r="D332" s="5" t="s">
        <v>138</v>
      </c>
      <c r="E332" s="7" t="str">
        <f>IFERROR(VLOOKUP(D332,MATERIALES!A:B,2,FALSE),"?")</f>
        <v>Cal Comun x 25kg</v>
      </c>
      <c r="F332" s="5"/>
      <c r="G332" s="11">
        <v>0.64800000000000002</v>
      </c>
      <c r="H332" s="12">
        <v>0.1</v>
      </c>
      <c r="I332" s="7">
        <f>IFERROR(VLOOKUP(D332,MATERIALES!A:D,4,FALSE),0)</f>
        <v>3532.67</v>
      </c>
      <c r="J332" s="8">
        <f t="shared" si="20"/>
        <v>2518.0871760000005</v>
      </c>
      <c r="K332" s="7" t="str">
        <f t="shared" si="21"/>
        <v>PTO-0802|MAT</v>
      </c>
      <c r="L332" s="7">
        <f>COUNTIFS($K$2:K332,K332)</f>
        <v>3</v>
      </c>
      <c r="M332" s="7" t="str">
        <f t="shared" si="22"/>
        <v>PTO-0802|MAT|3</v>
      </c>
      <c r="N332" s="7">
        <f>IFERROR(VLOOKUP(A332,PARTIDAS!A:F,6,FALSE),0)</f>
        <v>1</v>
      </c>
      <c r="O332" s="7">
        <f t="shared" si="23"/>
        <v>0</v>
      </c>
      <c r="P332" s="7">
        <f>IFERROR(_xlfn.XLOOKUP(A332,PPTO_GENERADOR!$Q:$Q,PPTO_GENERADOR!$E:$E,"-",0),"-")</f>
        <v>48</v>
      </c>
    </row>
    <row r="333" spans="1:16" x14ac:dyDescent="0.35">
      <c r="A333" s="5" t="s">
        <v>921</v>
      </c>
      <c r="B333" s="5" t="s">
        <v>1203</v>
      </c>
      <c r="C333" s="5" t="s">
        <v>1205</v>
      </c>
      <c r="D333" s="5" t="s">
        <v>193</v>
      </c>
      <c r="E333" s="7" t="str">
        <f>IFERROR(VLOOKUP(D333,MATERIALES!A:B,2,FALSE),"?")</f>
        <v>Cascote</v>
      </c>
      <c r="F333" s="5"/>
      <c r="G333" s="11">
        <v>0.154</v>
      </c>
      <c r="H333" s="12">
        <v>0.1</v>
      </c>
      <c r="I333" s="7">
        <f>IFERROR(VLOOKUP(D333,MATERIALES!A:D,4,FALSE),0)</f>
        <v>34045.199999999997</v>
      </c>
      <c r="J333" s="8">
        <f t="shared" si="20"/>
        <v>5767.2568799999999</v>
      </c>
      <c r="K333" s="7" t="str">
        <f t="shared" si="21"/>
        <v>PTO-0802|MAT</v>
      </c>
      <c r="L333" s="7">
        <f>COUNTIFS($K$2:K333,K333)</f>
        <v>4</v>
      </c>
      <c r="M333" s="7" t="str">
        <f t="shared" si="22"/>
        <v>PTO-0802|MAT|4</v>
      </c>
      <c r="N333" s="7">
        <f>IFERROR(VLOOKUP(A333,PARTIDAS!A:F,6,FALSE),0)</f>
        <v>1</v>
      </c>
      <c r="O333" s="7">
        <f t="shared" si="23"/>
        <v>0</v>
      </c>
      <c r="P333" s="7">
        <f>IFERROR(_xlfn.XLOOKUP(A333,PPTO_GENERADOR!$Q:$Q,PPTO_GENERADOR!$E:$E,"-",0),"-")</f>
        <v>48</v>
      </c>
    </row>
    <row r="334" spans="1:16" x14ac:dyDescent="0.35">
      <c r="A334" s="5" t="s">
        <v>921</v>
      </c>
      <c r="B334" s="5" t="s">
        <v>1203</v>
      </c>
      <c r="C334" s="5" t="s">
        <v>1205</v>
      </c>
      <c r="D334" s="5" t="s">
        <v>136</v>
      </c>
      <c r="E334" s="7" t="str">
        <f>IFERROR(VLOOKUP(D334,MATERIALES!A:B,2,FALSE),"?")</f>
        <v>ARENA LAVADA</v>
      </c>
      <c r="F334" s="5"/>
      <c r="G334" s="11">
        <v>0.10299999999999999</v>
      </c>
      <c r="H334" s="12">
        <v>0.1</v>
      </c>
      <c r="I334" s="7">
        <f>IFERROR(VLOOKUP(D334,MATERIALES!A:D,4,FALSE),0)</f>
        <v>31265.15</v>
      </c>
      <c r="J334" s="8">
        <f t="shared" si="20"/>
        <v>3542.3414950000001</v>
      </c>
      <c r="K334" s="7" t="str">
        <f t="shared" si="21"/>
        <v>PTO-0802|MAT</v>
      </c>
      <c r="L334" s="7">
        <f>COUNTIFS($K$2:K334,K334)</f>
        <v>5</v>
      </c>
      <c r="M334" s="7" t="str">
        <f t="shared" si="22"/>
        <v>PTO-0802|MAT|5</v>
      </c>
      <c r="N334" s="7">
        <f>IFERROR(VLOOKUP(A334,PARTIDAS!A:F,6,FALSE),0)</f>
        <v>1</v>
      </c>
      <c r="O334" s="7">
        <f t="shared" si="23"/>
        <v>0</v>
      </c>
      <c r="P334" s="7">
        <f>IFERROR(_xlfn.XLOOKUP(A334,PPTO_GENERADOR!$Q:$Q,PPTO_GENERADOR!$E:$E,"-",0),"-")</f>
        <v>48</v>
      </c>
    </row>
    <row r="335" spans="1:16" x14ac:dyDescent="0.35">
      <c r="A335" s="5" t="s">
        <v>921</v>
      </c>
      <c r="B335" s="5" t="s">
        <v>1198</v>
      </c>
      <c r="C335" s="5" t="s">
        <v>1199</v>
      </c>
      <c r="D335" s="5" t="s">
        <v>700</v>
      </c>
      <c r="E335" s="7" t="str">
        <f>IFERROR(VLOOKUP(D335,SUBCONTRATOS_PRY!A:B,2,FALSE),"?")</f>
        <v>Contrapiso de cascote s/terreno natural e: 20 cm - Incluye film de polietileno</v>
      </c>
      <c r="F335" s="5" t="s">
        <v>1200</v>
      </c>
      <c r="G335" s="11">
        <v>1</v>
      </c>
      <c r="H335" s="12">
        <v>0</v>
      </c>
      <c r="I335" s="7">
        <f>IFERROR(VLOOKUP(D335,SUBCONTRATOS_PRY!A:D,4,FALSE),0)</f>
        <v>500</v>
      </c>
      <c r="J335" s="8">
        <f t="shared" si="20"/>
        <v>500</v>
      </c>
      <c r="K335" s="7" t="str">
        <f t="shared" si="21"/>
        <v>PTO-0802|MO</v>
      </c>
      <c r="L335" s="7">
        <f>COUNTIFS($K$2:K335,K335)</f>
        <v>1</v>
      </c>
      <c r="M335" s="7" t="str">
        <f t="shared" si="22"/>
        <v>PTO-0802|MO|1</v>
      </c>
      <c r="N335" s="7">
        <f>IFERROR(VLOOKUP(A335,PARTIDAS!A:F,6,FALSE),0)</f>
        <v>1</v>
      </c>
      <c r="O335" s="7">
        <f t="shared" si="23"/>
        <v>0</v>
      </c>
      <c r="P335" s="7">
        <f>IFERROR(_xlfn.XLOOKUP(A335,PPTO_GENERADOR!$Q:$Q,PPTO_GENERADOR!$E:$E,"-",0),"-")</f>
        <v>48</v>
      </c>
    </row>
    <row r="336" spans="1:16" x14ac:dyDescent="0.35">
      <c r="A336" s="5" t="s">
        <v>921</v>
      </c>
      <c r="B336" s="5" t="s">
        <v>1198</v>
      </c>
      <c r="C336" s="5" t="s">
        <v>1201</v>
      </c>
      <c r="D336" s="5" t="s">
        <v>475</v>
      </c>
      <c r="E336" s="7" t="str">
        <f>IFERROR(VLOOKUP(D336,MANO_DE_OBRA!A:B,2,FALSE),"?")</f>
        <v>AYUDANTE</v>
      </c>
      <c r="F336" s="5" t="s">
        <v>1200</v>
      </c>
      <c r="G336" s="11">
        <v>0.14285713999999999</v>
      </c>
      <c r="H336" s="12">
        <v>0</v>
      </c>
      <c r="I336" s="7">
        <f>IFERROR(VLOOKUP(D336,MANO_DE_OBRA!A:C,3,FALSE),0)</f>
        <v>49934.239999999998</v>
      </c>
      <c r="J336" s="8">
        <f t="shared" si="20"/>
        <v>7133.4627144735996</v>
      </c>
      <c r="K336" s="7" t="str">
        <f t="shared" si="21"/>
        <v>PTO-0802|MO</v>
      </c>
      <c r="L336" s="7">
        <f>COUNTIFS($K$2:K336,K336)</f>
        <v>2</v>
      </c>
      <c r="M336" s="7" t="str">
        <f t="shared" si="22"/>
        <v>PTO-0802|MO|2</v>
      </c>
      <c r="N336" s="7">
        <f>IFERROR(VLOOKUP(A336,PARTIDAS!A:F,6,FALSE),0)</f>
        <v>1</v>
      </c>
      <c r="O336" s="7">
        <f t="shared" si="23"/>
        <v>0.14285713999999999</v>
      </c>
      <c r="P336" s="7">
        <f>IFERROR(_xlfn.XLOOKUP(A336,PPTO_GENERADOR!$Q:$Q,PPTO_GENERADOR!$E:$E,"-",0),"-")</f>
        <v>48</v>
      </c>
    </row>
    <row r="337" spans="1:16" x14ac:dyDescent="0.35">
      <c r="A337" s="5" t="s">
        <v>921</v>
      </c>
      <c r="B337" s="5" t="s">
        <v>1198</v>
      </c>
      <c r="C337" s="5" t="s">
        <v>1201</v>
      </c>
      <c r="D337" s="5" t="s">
        <v>477</v>
      </c>
      <c r="E337" s="7" t="str">
        <f>IFERROR(VLOOKUP(D337,MANO_DE_OBRA!A:B,2,FALSE),"?")</f>
        <v>ESPECIALIZADO</v>
      </c>
      <c r="F337" s="5" t="s">
        <v>1200</v>
      </c>
      <c r="G337" s="11">
        <v>0.10714286000000001</v>
      </c>
      <c r="H337" s="12">
        <v>0</v>
      </c>
      <c r="I337" s="7">
        <f>IFERROR(VLOOKUP(D337,MANO_DE_OBRA!A:C,3,FALSE),0)</f>
        <v>75113.05</v>
      </c>
      <c r="J337" s="8">
        <f t="shared" si="20"/>
        <v>8047.8270003230009</v>
      </c>
      <c r="K337" s="7" t="str">
        <f t="shared" si="21"/>
        <v>PTO-0802|MO</v>
      </c>
      <c r="L337" s="7">
        <f>COUNTIFS($K$2:K337,K337)</f>
        <v>3</v>
      </c>
      <c r="M337" s="7" t="str">
        <f t="shared" si="22"/>
        <v>PTO-0802|MO|3</v>
      </c>
      <c r="N337" s="7">
        <f>IFERROR(VLOOKUP(A337,PARTIDAS!A:F,6,FALSE),0)</f>
        <v>1</v>
      </c>
      <c r="O337" s="7">
        <f t="shared" si="23"/>
        <v>0.10714286000000001</v>
      </c>
      <c r="P337" s="7">
        <f>IFERROR(_xlfn.XLOOKUP(A337,PPTO_GENERADOR!$Q:$Q,PPTO_GENERADOR!$E:$E,"-",0),"-")</f>
        <v>48</v>
      </c>
    </row>
    <row r="338" spans="1:16" x14ac:dyDescent="0.35">
      <c r="A338" s="5" t="s">
        <v>921</v>
      </c>
      <c r="B338" s="5" t="s">
        <v>1202</v>
      </c>
      <c r="C338" s="5"/>
      <c r="D338" s="5" t="s">
        <v>529</v>
      </c>
      <c r="E338" s="7" t="str">
        <f>IFERROR(VLOOKUP(D338,EQUIPOS!A:B,2,FALSE),"?")</f>
        <v>Hormigonera De 150 Litros 1hp Con Rueda Maciza</v>
      </c>
      <c r="F338" s="5"/>
      <c r="G338" s="11">
        <v>0.14285713999999999</v>
      </c>
      <c r="H338" s="12">
        <v>0</v>
      </c>
      <c r="I338" s="7">
        <f>IFERROR(VLOOKUP(D338,EQUIPOS!A:C,3,FALSE),0)</f>
        <v>932.18029999999999</v>
      </c>
      <c r="J338" s="8">
        <f t="shared" si="20"/>
        <v>133.16861162234198</v>
      </c>
      <c r="K338" s="7" t="str">
        <f t="shared" si="21"/>
        <v>PTO-0802|EQ</v>
      </c>
      <c r="L338" s="7">
        <f>COUNTIFS($K$2:K338,K338)</f>
        <v>1</v>
      </c>
      <c r="M338" s="7" t="str">
        <f t="shared" si="22"/>
        <v>PTO-0802|EQ|1</v>
      </c>
      <c r="N338" s="7">
        <f>IFERROR(VLOOKUP(A338,PARTIDAS!A:F,6,FALSE),0)</f>
        <v>1</v>
      </c>
      <c r="O338" s="7">
        <f t="shared" si="23"/>
        <v>0</v>
      </c>
      <c r="P338" s="7">
        <f>IFERROR(_xlfn.XLOOKUP(A338,PPTO_GENERADOR!$Q:$Q,PPTO_GENERADOR!$E:$E,"-",0),"-")</f>
        <v>48</v>
      </c>
    </row>
    <row r="339" spans="1:16" x14ac:dyDescent="0.35">
      <c r="A339" s="5" t="s">
        <v>921</v>
      </c>
      <c r="B339" s="5" t="s">
        <v>1202</v>
      </c>
      <c r="C339" s="5"/>
      <c r="D339" s="5" t="s">
        <v>525</v>
      </c>
      <c r="E339" s="7" t="str">
        <f>IFERROR(VLOOKUP(D339,EQUIPOS!A:B,2,FALSE),"?")</f>
        <v>EQUIPO DE ALBAÑILERIA, carpetas, ladrillo</v>
      </c>
      <c r="F339" s="5"/>
      <c r="G339" s="11">
        <v>0.14285713999999999</v>
      </c>
      <c r="H339" s="12">
        <v>0</v>
      </c>
      <c r="I339" s="7">
        <f>IFERROR(VLOOKUP(D339,EQUIPOS!A:C,3,FALSE),0)</f>
        <v>2227.2298000000001</v>
      </c>
      <c r="J339" s="8">
        <f t="shared" si="20"/>
        <v>318.17567935077199</v>
      </c>
      <c r="K339" s="7" t="str">
        <f t="shared" si="21"/>
        <v>PTO-0802|EQ</v>
      </c>
      <c r="L339" s="7">
        <f>COUNTIFS($K$2:K339,K339)</f>
        <v>2</v>
      </c>
      <c r="M339" s="7" t="str">
        <f t="shared" si="22"/>
        <v>PTO-0802|EQ|2</v>
      </c>
      <c r="N339" s="7">
        <f>IFERROR(VLOOKUP(A339,PARTIDAS!A:F,6,FALSE),0)</f>
        <v>1</v>
      </c>
      <c r="O339" s="7">
        <f t="shared" si="23"/>
        <v>0</v>
      </c>
      <c r="P339" s="7">
        <f>IFERROR(_xlfn.XLOOKUP(A339,PPTO_GENERADOR!$Q:$Q,PPTO_GENERADOR!$E:$E,"-",0),"-")</f>
        <v>48</v>
      </c>
    </row>
    <row r="340" spans="1:16" x14ac:dyDescent="0.35">
      <c r="A340" s="5" t="s">
        <v>923</v>
      </c>
      <c r="B340" s="5" t="s">
        <v>1203</v>
      </c>
      <c r="C340" s="5" t="s">
        <v>1205</v>
      </c>
      <c r="D340" s="5" t="s">
        <v>140</v>
      </c>
      <c r="E340" s="7" t="str">
        <f>IFERROR(VLOOKUP(D340,MATERIALES!A:B,2,FALSE),"?")</f>
        <v>Cemento Portland x 50kg</v>
      </c>
      <c r="F340" s="5"/>
      <c r="G340" s="11">
        <v>0.13464000000000001</v>
      </c>
      <c r="H340" s="12">
        <v>0.1</v>
      </c>
      <c r="I340" s="7">
        <f>IFERROR(VLOOKUP(D340,MATERIALES!A:D,4,FALSE),0)</f>
        <v>7233.47</v>
      </c>
      <c r="J340" s="8">
        <f t="shared" si="20"/>
        <v>1071.3058408800002</v>
      </c>
      <c r="K340" s="7" t="str">
        <f t="shared" si="21"/>
        <v>PTO-0803|MAT</v>
      </c>
      <c r="L340" s="7">
        <f>COUNTIFS($K$2:K340,K340)</f>
        <v>1</v>
      </c>
      <c r="M340" s="7" t="str">
        <f t="shared" si="22"/>
        <v>PTO-0803|MAT|1</v>
      </c>
      <c r="N340" s="7">
        <f>IFERROR(VLOOKUP(A340,PARTIDAS!A:F,6,FALSE),0)</f>
        <v>1</v>
      </c>
      <c r="O340" s="7">
        <f t="shared" si="23"/>
        <v>0</v>
      </c>
      <c r="P340" s="7">
        <f>IFERROR(_xlfn.XLOOKUP(A340,PPTO_GENERADOR!$Q:$Q,PPTO_GENERADOR!$E:$E,"-",0),"-")</f>
        <v>235</v>
      </c>
    </row>
    <row r="341" spans="1:16" x14ac:dyDescent="0.35">
      <c r="A341" s="5" t="s">
        <v>923</v>
      </c>
      <c r="B341" s="5" t="s">
        <v>1203</v>
      </c>
      <c r="C341" s="5" t="s">
        <v>1205</v>
      </c>
      <c r="D341" s="5" t="s">
        <v>138</v>
      </c>
      <c r="E341" s="7" t="str">
        <f>IFERROR(VLOOKUP(D341,MATERIALES!A:B,2,FALSE),"?")</f>
        <v>Cal Comun x 25kg</v>
      </c>
      <c r="F341" s="5"/>
      <c r="G341" s="11">
        <v>0.58320000000000005</v>
      </c>
      <c r="H341" s="12">
        <v>0.1</v>
      </c>
      <c r="I341" s="7">
        <f>IFERROR(VLOOKUP(D341,MATERIALES!A:D,4,FALSE),0)</f>
        <v>3532.67</v>
      </c>
      <c r="J341" s="8">
        <f t="shared" si="20"/>
        <v>2266.2784584000005</v>
      </c>
      <c r="K341" s="7" t="str">
        <f t="shared" si="21"/>
        <v>PTO-0803|MAT</v>
      </c>
      <c r="L341" s="7">
        <f>COUNTIFS($K$2:K341,K341)</f>
        <v>2</v>
      </c>
      <c r="M341" s="7" t="str">
        <f t="shared" si="22"/>
        <v>PTO-0803|MAT|2</v>
      </c>
      <c r="N341" s="7">
        <f>IFERROR(VLOOKUP(A341,PARTIDAS!A:F,6,FALSE),0)</f>
        <v>1</v>
      </c>
      <c r="O341" s="7">
        <f t="shared" si="23"/>
        <v>0</v>
      </c>
      <c r="P341" s="7">
        <f>IFERROR(_xlfn.XLOOKUP(A341,PPTO_GENERADOR!$Q:$Q,PPTO_GENERADOR!$E:$E,"-",0),"-")</f>
        <v>235</v>
      </c>
    </row>
    <row r="342" spans="1:16" x14ac:dyDescent="0.35">
      <c r="A342" s="5" t="s">
        <v>923</v>
      </c>
      <c r="B342" s="5" t="s">
        <v>1203</v>
      </c>
      <c r="C342" s="5" t="s">
        <v>1205</v>
      </c>
      <c r="D342" s="5" t="s">
        <v>193</v>
      </c>
      <c r="E342" s="7" t="str">
        <f>IFERROR(VLOOKUP(D342,MATERIALES!A:B,2,FALSE),"?")</f>
        <v>Cascote</v>
      </c>
      <c r="F342" s="5"/>
      <c r="G342" s="11">
        <v>0.1386</v>
      </c>
      <c r="H342" s="12">
        <v>0.1</v>
      </c>
      <c r="I342" s="7">
        <f>IFERROR(VLOOKUP(D342,MATERIALES!A:D,4,FALSE),0)</f>
        <v>34045.199999999997</v>
      </c>
      <c r="J342" s="8">
        <f t="shared" si="20"/>
        <v>5190.5311920000004</v>
      </c>
      <c r="K342" s="7" t="str">
        <f t="shared" si="21"/>
        <v>PTO-0803|MAT</v>
      </c>
      <c r="L342" s="7">
        <f>COUNTIFS($K$2:K342,K342)</f>
        <v>3</v>
      </c>
      <c r="M342" s="7" t="str">
        <f t="shared" si="22"/>
        <v>PTO-0803|MAT|3</v>
      </c>
      <c r="N342" s="7">
        <f>IFERROR(VLOOKUP(A342,PARTIDAS!A:F,6,FALSE),0)</f>
        <v>1</v>
      </c>
      <c r="O342" s="7">
        <f t="shared" si="23"/>
        <v>0</v>
      </c>
      <c r="P342" s="7">
        <f>IFERROR(_xlfn.XLOOKUP(A342,PPTO_GENERADOR!$Q:$Q,PPTO_GENERADOR!$E:$E,"-",0),"-")</f>
        <v>235</v>
      </c>
    </row>
    <row r="343" spans="1:16" x14ac:dyDescent="0.35">
      <c r="A343" s="5" t="s">
        <v>923</v>
      </c>
      <c r="B343" s="5" t="s">
        <v>1203</v>
      </c>
      <c r="C343" s="5" t="s">
        <v>1205</v>
      </c>
      <c r="D343" s="5" t="s">
        <v>136</v>
      </c>
      <c r="E343" s="7" t="str">
        <f>IFERROR(VLOOKUP(D343,MATERIALES!A:B,2,FALSE),"?")</f>
        <v>ARENA LAVADA</v>
      </c>
      <c r="F343" s="5"/>
      <c r="G343" s="11">
        <v>9.2700000000000005E-2</v>
      </c>
      <c r="H343" s="12">
        <v>0.1</v>
      </c>
      <c r="I343" s="7">
        <f>IFERROR(VLOOKUP(D343,MATERIALES!A:D,4,FALSE),0)</f>
        <v>31265.15</v>
      </c>
      <c r="J343" s="8">
        <f t="shared" si="20"/>
        <v>3188.1073455000005</v>
      </c>
      <c r="K343" s="7" t="str">
        <f t="shared" si="21"/>
        <v>PTO-0803|MAT</v>
      </c>
      <c r="L343" s="7">
        <f>COUNTIFS($K$2:K343,K343)</f>
        <v>4</v>
      </c>
      <c r="M343" s="7" t="str">
        <f t="shared" si="22"/>
        <v>PTO-0803|MAT|4</v>
      </c>
      <c r="N343" s="7">
        <f>IFERROR(VLOOKUP(A343,PARTIDAS!A:F,6,FALSE),0)</f>
        <v>1</v>
      </c>
      <c r="O343" s="7">
        <f t="shared" si="23"/>
        <v>0</v>
      </c>
      <c r="P343" s="7">
        <f>IFERROR(_xlfn.XLOOKUP(A343,PPTO_GENERADOR!$Q:$Q,PPTO_GENERADOR!$E:$E,"-",0),"-")</f>
        <v>235</v>
      </c>
    </row>
    <row r="344" spans="1:16" x14ac:dyDescent="0.35">
      <c r="A344" s="5" t="s">
        <v>923</v>
      </c>
      <c r="B344" s="5" t="s">
        <v>1198</v>
      </c>
      <c r="C344" s="5" t="s">
        <v>1201</v>
      </c>
      <c r="D344" s="5" t="s">
        <v>475</v>
      </c>
      <c r="E344" s="7" t="str">
        <f>IFERROR(VLOOKUP(D344,MANO_DE_OBRA!A:B,2,FALSE),"?")</f>
        <v>AYUDANTE</v>
      </c>
      <c r="F344" s="5" t="s">
        <v>1200</v>
      </c>
      <c r="G344" s="11">
        <v>0.12857142999999999</v>
      </c>
      <c r="H344" s="12">
        <v>0</v>
      </c>
      <c r="I344" s="7">
        <f>IFERROR(VLOOKUP(D344,MANO_DE_OBRA!A:C,3,FALSE),0)</f>
        <v>49934.239999999998</v>
      </c>
      <c r="J344" s="8">
        <f t="shared" si="20"/>
        <v>6420.1166427631988</v>
      </c>
      <c r="K344" s="7" t="str">
        <f t="shared" si="21"/>
        <v>PTO-0803|MO</v>
      </c>
      <c r="L344" s="7">
        <f>COUNTIFS($K$2:K344,K344)</f>
        <v>1</v>
      </c>
      <c r="M344" s="7" t="str">
        <f t="shared" si="22"/>
        <v>PTO-0803|MO|1</v>
      </c>
      <c r="N344" s="7">
        <f>IFERROR(VLOOKUP(A344,PARTIDAS!A:F,6,FALSE),0)</f>
        <v>1</v>
      </c>
      <c r="O344" s="7">
        <f t="shared" si="23"/>
        <v>0.12857142999999999</v>
      </c>
      <c r="P344" s="7">
        <f>IFERROR(_xlfn.XLOOKUP(A344,PPTO_GENERADOR!$Q:$Q,PPTO_GENERADOR!$E:$E,"-",0),"-")</f>
        <v>235</v>
      </c>
    </row>
    <row r="345" spans="1:16" x14ac:dyDescent="0.35">
      <c r="A345" s="5" t="s">
        <v>923</v>
      </c>
      <c r="B345" s="5" t="s">
        <v>1198</v>
      </c>
      <c r="C345" s="5" t="s">
        <v>1201</v>
      </c>
      <c r="D345" s="5" t="s">
        <v>477</v>
      </c>
      <c r="E345" s="7" t="str">
        <f>IFERROR(VLOOKUP(D345,MANO_DE_OBRA!A:B,2,FALSE),"?")</f>
        <v>ESPECIALIZADO</v>
      </c>
      <c r="F345" s="5" t="s">
        <v>1200</v>
      </c>
      <c r="G345" s="11">
        <v>9.6428570000000005E-2</v>
      </c>
      <c r="H345" s="12">
        <v>0</v>
      </c>
      <c r="I345" s="7">
        <f>IFERROR(VLOOKUP(D345,MANO_DE_OBRA!A:C,3,FALSE),0)</f>
        <v>75113.05</v>
      </c>
      <c r="J345" s="8">
        <f t="shared" si="20"/>
        <v>7243.0439998385009</v>
      </c>
      <c r="K345" s="7" t="str">
        <f t="shared" si="21"/>
        <v>PTO-0803|MO</v>
      </c>
      <c r="L345" s="7">
        <f>COUNTIFS($K$2:K345,K345)</f>
        <v>2</v>
      </c>
      <c r="M345" s="7" t="str">
        <f t="shared" si="22"/>
        <v>PTO-0803|MO|2</v>
      </c>
      <c r="N345" s="7">
        <f>IFERROR(VLOOKUP(A345,PARTIDAS!A:F,6,FALSE),0)</f>
        <v>1</v>
      </c>
      <c r="O345" s="7">
        <f t="shared" si="23"/>
        <v>9.6428570000000005E-2</v>
      </c>
      <c r="P345" s="7">
        <f>IFERROR(_xlfn.XLOOKUP(A345,PPTO_GENERADOR!$Q:$Q,PPTO_GENERADOR!$E:$E,"-",0),"-")</f>
        <v>235</v>
      </c>
    </row>
    <row r="346" spans="1:16" x14ac:dyDescent="0.35">
      <c r="A346" s="5" t="s">
        <v>923</v>
      </c>
      <c r="B346" s="5" t="s">
        <v>1202</v>
      </c>
      <c r="C346" s="5"/>
      <c r="D346" s="5" t="s">
        <v>529</v>
      </c>
      <c r="E346" s="7" t="str">
        <f>IFERROR(VLOOKUP(D346,EQUIPOS!A:B,2,FALSE),"?")</f>
        <v>Hormigonera De 150 Litros 1hp Con Rueda Maciza</v>
      </c>
      <c r="F346" s="5"/>
      <c r="G346" s="11">
        <v>0.12857142999999999</v>
      </c>
      <c r="H346" s="12">
        <v>0</v>
      </c>
      <c r="I346" s="7">
        <f>IFERROR(VLOOKUP(D346,EQUIPOS!A:C,3,FALSE),0)</f>
        <v>932.18029999999999</v>
      </c>
      <c r="J346" s="8">
        <f t="shared" si="20"/>
        <v>119.85175418882899</v>
      </c>
      <c r="K346" s="7" t="str">
        <f t="shared" si="21"/>
        <v>PTO-0803|EQ</v>
      </c>
      <c r="L346" s="7">
        <f>COUNTIFS($K$2:K346,K346)</f>
        <v>1</v>
      </c>
      <c r="M346" s="7" t="str">
        <f t="shared" si="22"/>
        <v>PTO-0803|EQ|1</v>
      </c>
      <c r="N346" s="7">
        <f>IFERROR(VLOOKUP(A346,PARTIDAS!A:F,6,FALSE),0)</f>
        <v>1</v>
      </c>
      <c r="O346" s="7">
        <f t="shared" si="23"/>
        <v>0</v>
      </c>
      <c r="P346" s="7">
        <f>IFERROR(_xlfn.XLOOKUP(A346,PPTO_GENERADOR!$Q:$Q,PPTO_GENERADOR!$E:$E,"-",0),"-")</f>
        <v>235</v>
      </c>
    </row>
    <row r="347" spans="1:16" x14ac:dyDescent="0.35">
      <c r="A347" s="5" t="s">
        <v>923</v>
      </c>
      <c r="B347" s="5" t="s">
        <v>1202</v>
      </c>
      <c r="C347" s="5"/>
      <c r="D347" s="5" t="s">
        <v>525</v>
      </c>
      <c r="E347" s="7" t="str">
        <f>IFERROR(VLOOKUP(D347,EQUIPOS!A:B,2,FALSE),"?")</f>
        <v>EQUIPO DE ALBAÑILERIA, carpetas, ladrillo</v>
      </c>
      <c r="F347" s="5"/>
      <c r="G347" s="11">
        <v>0.12857142999999999</v>
      </c>
      <c r="H347" s="12">
        <v>0</v>
      </c>
      <c r="I347" s="7">
        <f>IFERROR(VLOOKUP(D347,EQUIPOS!A:C,3,FALSE),0)</f>
        <v>2227.2298000000001</v>
      </c>
      <c r="J347" s="8">
        <f t="shared" si="20"/>
        <v>286.35812032461399</v>
      </c>
      <c r="K347" s="7" t="str">
        <f t="shared" si="21"/>
        <v>PTO-0803|EQ</v>
      </c>
      <c r="L347" s="7">
        <f>COUNTIFS($K$2:K347,K347)</f>
        <v>2</v>
      </c>
      <c r="M347" s="7" t="str">
        <f t="shared" si="22"/>
        <v>PTO-0803|EQ|2</v>
      </c>
      <c r="N347" s="7">
        <f>IFERROR(VLOOKUP(A347,PARTIDAS!A:F,6,FALSE),0)</f>
        <v>1</v>
      </c>
      <c r="O347" s="7">
        <f t="shared" si="23"/>
        <v>0</v>
      </c>
      <c r="P347" s="7">
        <f>IFERROR(_xlfn.XLOOKUP(A347,PPTO_GENERADOR!$Q:$Q,PPTO_GENERADOR!$E:$E,"-",0),"-")</f>
        <v>235</v>
      </c>
    </row>
    <row r="348" spans="1:16" x14ac:dyDescent="0.35">
      <c r="A348" s="5" t="s">
        <v>925</v>
      </c>
      <c r="B348" s="5" t="s">
        <v>1203</v>
      </c>
      <c r="C348" s="5" t="s">
        <v>1205</v>
      </c>
      <c r="D348" s="5" t="s">
        <v>136</v>
      </c>
      <c r="E348" s="7" t="str">
        <f>IFERROR(VLOOKUP(D348,MATERIALES!A:B,2,FALSE),"?")</f>
        <v>ARENA LAVADA</v>
      </c>
      <c r="F348" s="5"/>
      <c r="G348" s="11">
        <v>5.9499999999999997E-2</v>
      </c>
      <c r="H348" s="12">
        <v>0.1</v>
      </c>
      <c r="I348" s="7">
        <f>IFERROR(VLOOKUP(D348,MATERIALES!A:D,4,FALSE),0)</f>
        <v>31265.15</v>
      </c>
      <c r="J348" s="8">
        <f t="shared" si="20"/>
        <v>2046.3040675000002</v>
      </c>
      <c r="K348" s="7" t="str">
        <f t="shared" si="21"/>
        <v>PTO-0804|MAT</v>
      </c>
      <c r="L348" s="7">
        <f>COUNTIFS($K$2:K348,K348)</f>
        <v>1</v>
      </c>
      <c r="M348" s="7" t="str">
        <f t="shared" si="22"/>
        <v>PTO-0804|MAT|1</v>
      </c>
      <c r="N348" s="7">
        <f>IFERROR(VLOOKUP(A348,PARTIDAS!A:F,6,FALSE),0)</f>
        <v>1</v>
      </c>
      <c r="O348" s="7">
        <f t="shared" si="23"/>
        <v>0</v>
      </c>
      <c r="P348" s="7">
        <f>IFERROR(_xlfn.XLOOKUP(A348,PPTO_GENERADOR!$Q:$Q,PPTO_GENERADOR!$E:$E,"-",0),"-")</f>
        <v>878</v>
      </c>
    </row>
    <row r="349" spans="1:16" x14ac:dyDescent="0.35">
      <c r="A349" s="5" t="s">
        <v>925</v>
      </c>
      <c r="B349" s="5" t="s">
        <v>1203</v>
      </c>
      <c r="C349" s="5" t="s">
        <v>1205</v>
      </c>
      <c r="D349" s="5" t="s">
        <v>140</v>
      </c>
      <c r="E349" s="7" t="str">
        <f>IFERROR(VLOOKUP(D349,MATERIALES!A:B,2,FALSE),"?")</f>
        <v>Cemento Portland x 50kg</v>
      </c>
      <c r="F349" s="5"/>
      <c r="G349" s="11">
        <v>0.42</v>
      </c>
      <c r="H349" s="12">
        <v>0.1</v>
      </c>
      <c r="I349" s="7">
        <f>IFERROR(VLOOKUP(D349,MATERIALES!A:D,4,FALSE),0)</f>
        <v>7233.47</v>
      </c>
      <c r="J349" s="8">
        <f t="shared" si="20"/>
        <v>3341.8631400000004</v>
      </c>
      <c r="K349" s="7" t="str">
        <f t="shared" si="21"/>
        <v>PTO-0804|MAT</v>
      </c>
      <c r="L349" s="7">
        <f>COUNTIFS($K$2:K349,K349)</f>
        <v>2</v>
      </c>
      <c r="M349" s="7" t="str">
        <f t="shared" si="22"/>
        <v>PTO-0804|MAT|2</v>
      </c>
      <c r="N349" s="7">
        <f>IFERROR(VLOOKUP(A349,PARTIDAS!A:F,6,FALSE),0)</f>
        <v>1</v>
      </c>
      <c r="O349" s="7">
        <f t="shared" si="23"/>
        <v>0</v>
      </c>
      <c r="P349" s="7">
        <f>IFERROR(_xlfn.XLOOKUP(A349,PPTO_GENERADOR!$Q:$Q,PPTO_GENERADOR!$E:$E,"-",0),"-")</f>
        <v>878</v>
      </c>
    </row>
    <row r="350" spans="1:16" x14ac:dyDescent="0.35">
      <c r="A350" s="5" t="s">
        <v>925</v>
      </c>
      <c r="B350" s="5" t="s">
        <v>1203</v>
      </c>
      <c r="C350" s="5" t="s">
        <v>1205</v>
      </c>
      <c r="D350" s="5" t="s">
        <v>138</v>
      </c>
      <c r="E350" s="7" t="str">
        <f>IFERROR(VLOOKUP(D350,MATERIALES!A:B,2,FALSE),"?")</f>
        <v>Cal Comun x 25kg</v>
      </c>
      <c r="F350" s="5"/>
      <c r="G350" s="11">
        <v>0.14000000000000001</v>
      </c>
      <c r="H350" s="12">
        <v>0.1</v>
      </c>
      <c r="I350" s="7">
        <f>IFERROR(VLOOKUP(D350,MATERIALES!A:D,4,FALSE),0)</f>
        <v>3532.67</v>
      </c>
      <c r="J350" s="8">
        <f t="shared" si="20"/>
        <v>544.03118000000006</v>
      </c>
      <c r="K350" s="7" t="str">
        <f t="shared" si="21"/>
        <v>PTO-0804|MAT</v>
      </c>
      <c r="L350" s="7">
        <f>COUNTIFS($K$2:K350,K350)</f>
        <v>3</v>
      </c>
      <c r="M350" s="7" t="str">
        <f t="shared" si="22"/>
        <v>PTO-0804|MAT|3</v>
      </c>
      <c r="N350" s="7">
        <f>IFERROR(VLOOKUP(A350,PARTIDAS!A:F,6,FALSE),0)</f>
        <v>1</v>
      </c>
      <c r="O350" s="7">
        <f t="shared" si="23"/>
        <v>0</v>
      </c>
      <c r="P350" s="7">
        <f>IFERROR(_xlfn.XLOOKUP(A350,PPTO_GENERADOR!$Q:$Q,PPTO_GENERADOR!$E:$E,"-",0),"-")</f>
        <v>878</v>
      </c>
    </row>
    <row r="351" spans="1:16" x14ac:dyDescent="0.35">
      <c r="A351" s="5" t="s">
        <v>925</v>
      </c>
      <c r="B351" s="5" t="s">
        <v>1203</v>
      </c>
      <c r="C351" s="5" t="s">
        <v>1205</v>
      </c>
      <c r="D351" s="5" t="s">
        <v>197</v>
      </c>
      <c r="E351" s="7" t="str">
        <f>IFERROR(VLOOKUP(D351,MATERIALES!A:B,2,FALSE),"?")</f>
        <v>Sika Poro Plus x 10 kg</v>
      </c>
      <c r="F351" s="5"/>
      <c r="G351" s="11">
        <v>2.4499999999999999E-3</v>
      </c>
      <c r="H351" s="12">
        <v>0.05</v>
      </c>
      <c r="I351" s="7">
        <f>IFERROR(VLOOKUP(D351,MATERIALES!A:D,4,FALSE),0)</f>
        <v>194214.87599999999</v>
      </c>
      <c r="J351" s="8">
        <f t="shared" si="20"/>
        <v>499.61776850999996</v>
      </c>
      <c r="K351" s="7" t="str">
        <f t="shared" si="21"/>
        <v>PTO-0804|MAT</v>
      </c>
      <c r="L351" s="7">
        <f>COUNTIFS($K$2:K351,K351)</f>
        <v>4</v>
      </c>
      <c r="M351" s="7" t="str">
        <f t="shared" si="22"/>
        <v>PTO-0804|MAT|4</v>
      </c>
      <c r="N351" s="7">
        <f>IFERROR(VLOOKUP(A351,PARTIDAS!A:F,6,FALSE),0)</f>
        <v>1</v>
      </c>
      <c r="O351" s="7">
        <f t="shared" si="23"/>
        <v>0</v>
      </c>
      <c r="P351" s="7">
        <f>IFERROR(_xlfn.XLOOKUP(A351,PPTO_GENERADOR!$Q:$Q,PPTO_GENERADOR!$E:$E,"-",0),"-")</f>
        <v>878</v>
      </c>
    </row>
    <row r="352" spans="1:16" x14ac:dyDescent="0.35">
      <c r="A352" s="5" t="s">
        <v>925</v>
      </c>
      <c r="B352" s="5" t="s">
        <v>1198</v>
      </c>
      <c r="C352" s="5" t="s">
        <v>1201</v>
      </c>
      <c r="D352" s="5" t="s">
        <v>475</v>
      </c>
      <c r="E352" s="7" t="str">
        <f>IFERROR(VLOOKUP(D352,MANO_DE_OBRA!A:B,2,FALSE),"?")</f>
        <v>AYUDANTE</v>
      </c>
      <c r="F352" s="5" t="s">
        <v>1200</v>
      </c>
      <c r="G352" s="11">
        <v>8.5714289999999999E-2</v>
      </c>
      <c r="H352" s="12">
        <v>0</v>
      </c>
      <c r="I352" s="7">
        <f>IFERROR(VLOOKUP(D352,MANO_DE_OBRA!A:C,3,FALSE),0)</f>
        <v>49934.239999999998</v>
      </c>
      <c r="J352" s="8">
        <f t="shared" si="20"/>
        <v>4280.0779282896001</v>
      </c>
      <c r="K352" s="7" t="str">
        <f t="shared" si="21"/>
        <v>PTO-0804|MO</v>
      </c>
      <c r="L352" s="7">
        <f>COUNTIFS($K$2:K352,K352)</f>
        <v>1</v>
      </c>
      <c r="M352" s="7" t="str">
        <f t="shared" si="22"/>
        <v>PTO-0804|MO|1</v>
      </c>
      <c r="N352" s="7">
        <f>IFERROR(VLOOKUP(A352,PARTIDAS!A:F,6,FALSE),0)</f>
        <v>1</v>
      </c>
      <c r="O352" s="7">
        <f t="shared" si="23"/>
        <v>8.5714289999999999E-2</v>
      </c>
      <c r="P352" s="7">
        <f>IFERROR(_xlfn.XLOOKUP(A352,PPTO_GENERADOR!$Q:$Q,PPTO_GENERADOR!$E:$E,"-",0),"-")</f>
        <v>878</v>
      </c>
    </row>
    <row r="353" spans="1:16" x14ac:dyDescent="0.35">
      <c r="A353" s="5" t="s">
        <v>925</v>
      </c>
      <c r="B353" s="5" t="s">
        <v>1198</v>
      </c>
      <c r="C353" s="5" t="s">
        <v>1201</v>
      </c>
      <c r="D353" s="5" t="s">
        <v>477</v>
      </c>
      <c r="E353" s="7" t="str">
        <f>IFERROR(VLOOKUP(D353,MANO_DE_OBRA!A:B,2,FALSE),"?")</f>
        <v>ESPECIALIZADO</v>
      </c>
      <c r="F353" s="5" t="s">
        <v>1200</v>
      </c>
      <c r="G353" s="11">
        <v>5.7142859999999997E-2</v>
      </c>
      <c r="H353" s="12">
        <v>0</v>
      </c>
      <c r="I353" s="7">
        <f>IFERROR(VLOOKUP(D353,MANO_DE_OBRA!A:C,3,FALSE),0)</f>
        <v>75113.05</v>
      </c>
      <c r="J353" s="8">
        <f t="shared" si="20"/>
        <v>4292.1745003229998</v>
      </c>
      <c r="K353" s="7" t="str">
        <f t="shared" si="21"/>
        <v>PTO-0804|MO</v>
      </c>
      <c r="L353" s="7">
        <f>COUNTIFS($K$2:K353,K353)</f>
        <v>2</v>
      </c>
      <c r="M353" s="7" t="str">
        <f t="shared" si="22"/>
        <v>PTO-0804|MO|2</v>
      </c>
      <c r="N353" s="7">
        <f>IFERROR(VLOOKUP(A353,PARTIDAS!A:F,6,FALSE),0)</f>
        <v>1</v>
      </c>
      <c r="O353" s="7">
        <f t="shared" si="23"/>
        <v>5.7142859999999997E-2</v>
      </c>
      <c r="P353" s="7">
        <f>IFERROR(_xlfn.XLOOKUP(A353,PPTO_GENERADOR!$Q:$Q,PPTO_GENERADOR!$E:$E,"-",0),"-")</f>
        <v>878</v>
      </c>
    </row>
    <row r="354" spans="1:16" x14ac:dyDescent="0.35">
      <c r="A354" s="5" t="s">
        <v>925</v>
      </c>
      <c r="B354" s="5" t="s">
        <v>1202</v>
      </c>
      <c r="C354" s="5"/>
      <c r="D354" s="5" t="s">
        <v>529</v>
      </c>
      <c r="E354" s="7" t="str">
        <f>IFERROR(VLOOKUP(D354,EQUIPOS!A:B,2,FALSE),"?")</f>
        <v>Hormigonera De 150 Litros 1hp Con Rueda Maciza</v>
      </c>
      <c r="F354" s="5"/>
      <c r="G354" s="11">
        <v>5.7142859999999997E-2</v>
      </c>
      <c r="H354" s="12">
        <v>0</v>
      </c>
      <c r="I354" s="7">
        <f>IFERROR(VLOOKUP(D354,EQUIPOS!A:C,3,FALSE),0)</f>
        <v>932.18029999999999</v>
      </c>
      <c r="J354" s="8">
        <f t="shared" si="20"/>
        <v>53.267448377657999</v>
      </c>
      <c r="K354" s="7" t="str">
        <f t="shared" si="21"/>
        <v>PTO-0804|EQ</v>
      </c>
      <c r="L354" s="7">
        <f>COUNTIFS($K$2:K354,K354)</f>
        <v>1</v>
      </c>
      <c r="M354" s="7" t="str">
        <f t="shared" si="22"/>
        <v>PTO-0804|EQ|1</v>
      </c>
      <c r="N354" s="7">
        <f>IFERROR(VLOOKUP(A354,PARTIDAS!A:F,6,FALSE),0)</f>
        <v>1</v>
      </c>
      <c r="O354" s="7">
        <f t="shared" si="23"/>
        <v>0</v>
      </c>
      <c r="P354" s="7">
        <f>IFERROR(_xlfn.XLOOKUP(A354,PPTO_GENERADOR!$Q:$Q,PPTO_GENERADOR!$E:$E,"-",0),"-")</f>
        <v>878</v>
      </c>
    </row>
    <row r="355" spans="1:16" x14ac:dyDescent="0.35">
      <c r="A355" s="5" t="s">
        <v>925</v>
      </c>
      <c r="B355" s="5" t="s">
        <v>1202</v>
      </c>
      <c r="C355" s="5"/>
      <c r="D355" s="5" t="s">
        <v>525</v>
      </c>
      <c r="E355" s="7" t="str">
        <f>IFERROR(VLOOKUP(D355,EQUIPOS!A:B,2,FALSE),"?")</f>
        <v>EQUIPO DE ALBAÑILERIA, carpetas, ladrillo</v>
      </c>
      <c r="F355" s="5"/>
      <c r="G355" s="11">
        <v>2.8571429999999998E-2</v>
      </c>
      <c r="H355" s="12">
        <v>0</v>
      </c>
      <c r="I355" s="7">
        <f>IFERROR(VLOOKUP(D355,EQUIPOS!A:C,3,FALSE),0)</f>
        <v>2227.2298000000001</v>
      </c>
      <c r="J355" s="8">
        <f t="shared" si="20"/>
        <v>63.635140324613999</v>
      </c>
      <c r="K355" s="7" t="str">
        <f t="shared" si="21"/>
        <v>PTO-0804|EQ</v>
      </c>
      <c r="L355" s="7">
        <f>COUNTIFS($K$2:K355,K355)</f>
        <v>2</v>
      </c>
      <c r="M355" s="7" t="str">
        <f t="shared" si="22"/>
        <v>PTO-0804|EQ|2</v>
      </c>
      <c r="N355" s="7">
        <f>IFERROR(VLOOKUP(A355,PARTIDAS!A:F,6,FALSE),0)</f>
        <v>1</v>
      </c>
      <c r="O355" s="7">
        <f t="shared" si="23"/>
        <v>0</v>
      </c>
      <c r="P355" s="7">
        <f>IFERROR(_xlfn.XLOOKUP(A355,PPTO_GENERADOR!$Q:$Q,PPTO_GENERADOR!$E:$E,"-",0),"-")</f>
        <v>878</v>
      </c>
    </row>
    <row r="356" spans="1:16" x14ac:dyDescent="0.35">
      <c r="A356" s="5" t="s">
        <v>927</v>
      </c>
      <c r="B356" s="5" t="s">
        <v>1203</v>
      </c>
      <c r="C356" s="5" t="s">
        <v>1205</v>
      </c>
      <c r="D356" s="5" t="s">
        <v>140</v>
      </c>
      <c r="E356" s="7" t="str">
        <f>IFERROR(VLOOKUP(D356,MATERIALES!A:B,2,FALSE),"?")</f>
        <v>Cemento Portland x 50kg</v>
      </c>
      <c r="F356" s="5"/>
      <c r="G356" s="11">
        <v>0.27</v>
      </c>
      <c r="H356" s="12">
        <v>0.1</v>
      </c>
      <c r="I356" s="7">
        <f>IFERROR(VLOOKUP(D356,MATERIALES!A:D,4,FALSE),0)</f>
        <v>7233.47</v>
      </c>
      <c r="J356" s="8">
        <f t="shared" si="20"/>
        <v>2148.3405900000007</v>
      </c>
      <c r="K356" s="7" t="str">
        <f t="shared" si="21"/>
        <v>PTO-0805|MAT</v>
      </c>
      <c r="L356" s="7">
        <f>COUNTIFS($K$2:K356,K356)</f>
        <v>1</v>
      </c>
      <c r="M356" s="7" t="str">
        <f t="shared" si="22"/>
        <v>PTO-0805|MAT|1</v>
      </c>
      <c r="N356" s="7">
        <f>IFERROR(VLOOKUP(A356,PARTIDAS!A:F,6,FALSE),0)</f>
        <v>1</v>
      </c>
      <c r="O356" s="7">
        <f t="shared" si="23"/>
        <v>0</v>
      </c>
      <c r="P356" s="7">
        <f>IFERROR(_xlfn.XLOOKUP(A356,PPTO_GENERADOR!$Q:$Q,PPTO_GENERADOR!$E:$E,"-",0),"-")</f>
        <v>564</v>
      </c>
    </row>
    <row r="357" spans="1:16" x14ac:dyDescent="0.35">
      <c r="A357" s="5" t="s">
        <v>927</v>
      </c>
      <c r="B357" s="5" t="s">
        <v>1203</v>
      </c>
      <c r="C357" s="5" t="s">
        <v>1205</v>
      </c>
      <c r="D357" s="5" t="s">
        <v>136</v>
      </c>
      <c r="E357" s="7" t="str">
        <f>IFERROR(VLOOKUP(D357,MATERIALES!A:B,2,FALSE),"?")</f>
        <v>ARENA LAVADA</v>
      </c>
      <c r="F357" s="5"/>
      <c r="G357" s="11">
        <v>0.03</v>
      </c>
      <c r="H357" s="12">
        <v>0.1</v>
      </c>
      <c r="I357" s="7">
        <f>IFERROR(VLOOKUP(D357,MATERIALES!A:D,4,FALSE),0)</f>
        <v>31265.15</v>
      </c>
      <c r="J357" s="8">
        <f t="shared" si="20"/>
        <v>1031.7499500000001</v>
      </c>
      <c r="K357" s="7" t="str">
        <f t="shared" si="21"/>
        <v>PTO-0805|MAT</v>
      </c>
      <c r="L357" s="7">
        <f>COUNTIFS($K$2:K357,K357)</f>
        <v>2</v>
      </c>
      <c r="M357" s="7" t="str">
        <f t="shared" si="22"/>
        <v>PTO-0805|MAT|2</v>
      </c>
      <c r="N357" s="7">
        <f>IFERROR(VLOOKUP(A357,PARTIDAS!A:F,6,FALSE),0)</f>
        <v>1</v>
      </c>
      <c r="O357" s="7">
        <f t="shared" si="23"/>
        <v>0</v>
      </c>
      <c r="P357" s="7">
        <f>IFERROR(_xlfn.XLOOKUP(A357,PPTO_GENERADOR!$Q:$Q,PPTO_GENERADOR!$E:$E,"-",0),"-")</f>
        <v>564</v>
      </c>
    </row>
    <row r="358" spans="1:16" x14ac:dyDescent="0.35">
      <c r="A358" s="5" t="s">
        <v>927</v>
      </c>
      <c r="B358" s="5" t="s">
        <v>1198</v>
      </c>
      <c r="C358" s="5" t="s">
        <v>1201</v>
      </c>
      <c r="D358" s="5" t="s">
        <v>475</v>
      </c>
      <c r="E358" s="7" t="str">
        <f>IFERROR(VLOOKUP(D358,MANO_DE_OBRA!A:B,2,FALSE),"?")</f>
        <v>AYUDANTE</v>
      </c>
      <c r="F358" s="5" t="s">
        <v>1200</v>
      </c>
      <c r="G358" s="11">
        <v>0.03</v>
      </c>
      <c r="H358" s="12">
        <v>0</v>
      </c>
      <c r="I358" s="7">
        <f>IFERROR(VLOOKUP(D358,MANO_DE_OBRA!A:C,3,FALSE),0)</f>
        <v>49934.239999999998</v>
      </c>
      <c r="J358" s="8">
        <f t="shared" si="20"/>
        <v>1498.0272</v>
      </c>
      <c r="K358" s="7" t="str">
        <f t="shared" si="21"/>
        <v>PTO-0805|MO</v>
      </c>
      <c r="L358" s="7">
        <f>COUNTIFS($K$2:K358,K358)</f>
        <v>1</v>
      </c>
      <c r="M358" s="7" t="str">
        <f t="shared" si="22"/>
        <v>PTO-0805|MO|1</v>
      </c>
      <c r="N358" s="7">
        <f>IFERROR(VLOOKUP(A358,PARTIDAS!A:F,6,FALSE),0)</f>
        <v>1</v>
      </c>
      <c r="O358" s="7">
        <f t="shared" si="23"/>
        <v>0.03</v>
      </c>
      <c r="P358" s="7">
        <f>IFERROR(_xlfn.XLOOKUP(A358,PPTO_GENERADOR!$Q:$Q,PPTO_GENERADOR!$E:$E,"-",0),"-")</f>
        <v>564</v>
      </c>
    </row>
    <row r="359" spans="1:16" x14ac:dyDescent="0.35">
      <c r="A359" s="5" t="s">
        <v>927</v>
      </c>
      <c r="B359" s="5" t="s">
        <v>1198</v>
      </c>
      <c r="C359" s="5" t="s">
        <v>1201</v>
      </c>
      <c r="D359" s="5" t="s">
        <v>477</v>
      </c>
      <c r="E359" s="7" t="str">
        <f>IFERROR(VLOOKUP(D359,MANO_DE_OBRA!A:B,2,FALSE),"?")</f>
        <v>ESPECIALIZADO</v>
      </c>
      <c r="F359" s="5" t="s">
        <v>1200</v>
      </c>
      <c r="G359" s="11">
        <v>6.6666669999999997E-2</v>
      </c>
      <c r="H359" s="12">
        <v>0</v>
      </c>
      <c r="I359" s="7">
        <f>IFERROR(VLOOKUP(D359,MANO_DE_OBRA!A:C,3,FALSE),0)</f>
        <v>75113.05</v>
      </c>
      <c r="J359" s="8">
        <f t="shared" si="20"/>
        <v>5007.5369170434997</v>
      </c>
      <c r="K359" s="7" t="str">
        <f t="shared" si="21"/>
        <v>PTO-0805|MO</v>
      </c>
      <c r="L359" s="7">
        <f>COUNTIFS($K$2:K359,K359)</f>
        <v>2</v>
      </c>
      <c r="M359" s="7" t="str">
        <f t="shared" si="22"/>
        <v>PTO-0805|MO|2</v>
      </c>
      <c r="N359" s="7">
        <f>IFERROR(VLOOKUP(A359,PARTIDAS!A:F,6,FALSE),0)</f>
        <v>1</v>
      </c>
      <c r="O359" s="7">
        <f t="shared" si="23"/>
        <v>6.6666669999999997E-2</v>
      </c>
      <c r="P359" s="7">
        <f>IFERROR(_xlfn.XLOOKUP(A359,PPTO_GENERADOR!$Q:$Q,PPTO_GENERADOR!$E:$E,"-",0),"-")</f>
        <v>564</v>
      </c>
    </row>
    <row r="360" spans="1:16" x14ac:dyDescent="0.35">
      <c r="A360" s="5" t="s">
        <v>927</v>
      </c>
      <c r="B360" s="5" t="s">
        <v>1202</v>
      </c>
      <c r="C360" s="5"/>
      <c r="D360" s="5" t="s">
        <v>529</v>
      </c>
      <c r="E360" s="7" t="str">
        <f>IFERROR(VLOOKUP(D360,EQUIPOS!A:B,2,FALSE),"?")</f>
        <v>Hormigonera De 150 Litros 1hp Con Rueda Maciza</v>
      </c>
      <c r="F360" s="5"/>
      <c r="G360" s="11">
        <v>6.6666669999999997E-2</v>
      </c>
      <c r="H360" s="12">
        <v>0</v>
      </c>
      <c r="I360" s="7">
        <f>IFERROR(VLOOKUP(D360,EQUIPOS!A:C,3,FALSE),0)</f>
        <v>932.18029999999999</v>
      </c>
      <c r="J360" s="8">
        <f t="shared" si="20"/>
        <v>62.145356440600999</v>
      </c>
      <c r="K360" s="7" t="str">
        <f t="shared" si="21"/>
        <v>PTO-0805|EQ</v>
      </c>
      <c r="L360" s="7">
        <f>COUNTIFS($K$2:K360,K360)</f>
        <v>1</v>
      </c>
      <c r="M360" s="7" t="str">
        <f t="shared" si="22"/>
        <v>PTO-0805|EQ|1</v>
      </c>
      <c r="N360" s="7">
        <f>IFERROR(VLOOKUP(A360,PARTIDAS!A:F,6,FALSE),0)</f>
        <v>1</v>
      </c>
      <c r="O360" s="7">
        <f t="shared" si="23"/>
        <v>0</v>
      </c>
      <c r="P360" s="7">
        <f>IFERROR(_xlfn.XLOOKUP(A360,PPTO_GENERADOR!$Q:$Q,PPTO_GENERADOR!$E:$E,"-",0),"-")</f>
        <v>564</v>
      </c>
    </row>
    <row r="361" spans="1:16" x14ac:dyDescent="0.35">
      <c r="A361" s="5" t="s">
        <v>927</v>
      </c>
      <c r="B361" s="5" t="s">
        <v>1202</v>
      </c>
      <c r="C361" s="5"/>
      <c r="D361" s="5" t="s">
        <v>525</v>
      </c>
      <c r="E361" s="7" t="str">
        <f>IFERROR(VLOOKUP(D361,EQUIPOS!A:B,2,FALSE),"?")</f>
        <v>EQUIPO DE ALBAÑILERIA, carpetas, ladrillo</v>
      </c>
      <c r="F361" s="5"/>
      <c r="G361" s="11">
        <v>6.6666669999999997E-2</v>
      </c>
      <c r="H361" s="12">
        <v>0</v>
      </c>
      <c r="I361" s="7">
        <f>IFERROR(VLOOKUP(D361,EQUIPOS!A:C,3,FALSE),0)</f>
        <v>2227.2298000000001</v>
      </c>
      <c r="J361" s="8">
        <f t="shared" si="20"/>
        <v>148.48199409076599</v>
      </c>
      <c r="K361" s="7" t="str">
        <f t="shared" si="21"/>
        <v>PTO-0805|EQ</v>
      </c>
      <c r="L361" s="7">
        <f>COUNTIFS($K$2:K361,K361)</f>
        <v>2</v>
      </c>
      <c r="M361" s="7" t="str">
        <f t="shared" si="22"/>
        <v>PTO-0805|EQ|2</v>
      </c>
      <c r="N361" s="7">
        <f>IFERROR(VLOOKUP(A361,PARTIDAS!A:F,6,FALSE),0)</f>
        <v>1</v>
      </c>
      <c r="O361" s="7">
        <f t="shared" si="23"/>
        <v>0</v>
      </c>
      <c r="P361" s="7">
        <f>IFERROR(_xlfn.XLOOKUP(A361,PPTO_GENERADOR!$Q:$Q,PPTO_GENERADOR!$E:$E,"-",0),"-")</f>
        <v>564</v>
      </c>
    </row>
    <row r="362" spans="1:16" x14ac:dyDescent="0.35">
      <c r="A362" s="5" t="s">
        <v>929</v>
      </c>
      <c r="B362" s="5" t="s">
        <v>1203</v>
      </c>
      <c r="C362" s="5" t="s">
        <v>1205</v>
      </c>
      <c r="D362" s="5" t="s">
        <v>140</v>
      </c>
      <c r="E362" s="7" t="str">
        <f>IFERROR(VLOOKUP(D362,MATERIALES!A:B,2,FALSE),"?")</f>
        <v>Cemento Portland x 50kg</v>
      </c>
      <c r="F362" s="5"/>
      <c r="G362" s="11">
        <v>0.27</v>
      </c>
      <c r="H362" s="12">
        <v>0.1</v>
      </c>
      <c r="I362" s="7">
        <f>IFERROR(VLOOKUP(D362,MATERIALES!A:D,4,FALSE),0)</f>
        <v>7233.47</v>
      </c>
      <c r="J362" s="8">
        <f t="shared" si="20"/>
        <v>2148.3405900000007</v>
      </c>
      <c r="K362" s="7" t="str">
        <f t="shared" si="21"/>
        <v>PTO-0806|MAT</v>
      </c>
      <c r="L362" s="7">
        <f>COUNTIFS($K$2:K362,K362)</f>
        <v>1</v>
      </c>
      <c r="M362" s="7" t="str">
        <f t="shared" si="22"/>
        <v>PTO-0806|MAT|1</v>
      </c>
      <c r="N362" s="7">
        <f>IFERROR(VLOOKUP(A362,PARTIDAS!A:F,6,FALSE),0)</f>
        <v>1</v>
      </c>
      <c r="O362" s="7">
        <f t="shared" si="23"/>
        <v>0</v>
      </c>
      <c r="P362" s="7">
        <f>IFERROR(_xlfn.XLOOKUP(A362,PPTO_GENERADOR!$Q:$Q,PPTO_GENERADOR!$E:$E,"-",0),"-")</f>
        <v>438</v>
      </c>
    </row>
    <row r="363" spans="1:16" x14ac:dyDescent="0.35">
      <c r="A363" s="5" t="s">
        <v>929</v>
      </c>
      <c r="B363" s="5" t="s">
        <v>1203</v>
      </c>
      <c r="C363" s="5" t="s">
        <v>1205</v>
      </c>
      <c r="D363" s="5" t="s">
        <v>136</v>
      </c>
      <c r="E363" s="7" t="str">
        <f>IFERROR(VLOOKUP(D363,MATERIALES!A:B,2,FALSE),"?")</f>
        <v>ARENA LAVADA</v>
      </c>
      <c r="F363" s="5"/>
      <c r="G363" s="11">
        <v>0.03</v>
      </c>
      <c r="H363" s="12">
        <v>0.1</v>
      </c>
      <c r="I363" s="7">
        <f>IFERROR(VLOOKUP(D363,MATERIALES!A:D,4,FALSE),0)</f>
        <v>31265.15</v>
      </c>
      <c r="J363" s="8">
        <f t="shared" si="20"/>
        <v>1031.7499500000001</v>
      </c>
      <c r="K363" s="7" t="str">
        <f t="shared" si="21"/>
        <v>PTO-0806|MAT</v>
      </c>
      <c r="L363" s="7">
        <f>COUNTIFS($K$2:K363,K363)</f>
        <v>2</v>
      </c>
      <c r="M363" s="7" t="str">
        <f t="shared" si="22"/>
        <v>PTO-0806|MAT|2</v>
      </c>
      <c r="N363" s="7">
        <f>IFERROR(VLOOKUP(A363,PARTIDAS!A:F,6,FALSE),0)</f>
        <v>1</v>
      </c>
      <c r="O363" s="7">
        <f t="shared" si="23"/>
        <v>0</v>
      </c>
      <c r="P363" s="7">
        <f>IFERROR(_xlfn.XLOOKUP(A363,PPTO_GENERADOR!$Q:$Q,PPTO_GENERADOR!$E:$E,"-",0),"-")</f>
        <v>438</v>
      </c>
    </row>
    <row r="364" spans="1:16" x14ac:dyDescent="0.35">
      <c r="A364" s="5" t="s">
        <v>929</v>
      </c>
      <c r="B364" s="5" t="s">
        <v>1198</v>
      </c>
      <c r="C364" s="5" t="s">
        <v>1201</v>
      </c>
      <c r="D364" s="5" t="s">
        <v>475</v>
      </c>
      <c r="E364" s="7" t="str">
        <f>IFERROR(VLOOKUP(D364,MANO_DE_OBRA!A:B,2,FALSE),"?")</f>
        <v>AYUDANTE</v>
      </c>
      <c r="F364" s="5" t="s">
        <v>1200</v>
      </c>
      <c r="G364" s="11">
        <v>0.03</v>
      </c>
      <c r="H364" s="12">
        <v>0</v>
      </c>
      <c r="I364" s="7">
        <f>IFERROR(VLOOKUP(D364,MANO_DE_OBRA!A:C,3,FALSE),0)</f>
        <v>49934.239999999998</v>
      </c>
      <c r="J364" s="8">
        <f t="shared" si="20"/>
        <v>1498.0272</v>
      </c>
      <c r="K364" s="7" t="str">
        <f t="shared" si="21"/>
        <v>PTO-0806|MO</v>
      </c>
      <c r="L364" s="7">
        <f>COUNTIFS($K$2:K364,K364)</f>
        <v>1</v>
      </c>
      <c r="M364" s="7" t="str">
        <f t="shared" si="22"/>
        <v>PTO-0806|MO|1</v>
      </c>
      <c r="N364" s="7">
        <f>IFERROR(VLOOKUP(A364,PARTIDAS!A:F,6,FALSE),0)</f>
        <v>1</v>
      </c>
      <c r="O364" s="7">
        <f t="shared" si="23"/>
        <v>0.03</v>
      </c>
      <c r="P364" s="7">
        <f>IFERROR(_xlfn.XLOOKUP(A364,PPTO_GENERADOR!$Q:$Q,PPTO_GENERADOR!$E:$E,"-",0),"-")</f>
        <v>438</v>
      </c>
    </row>
    <row r="365" spans="1:16" x14ac:dyDescent="0.35">
      <c r="A365" s="5" t="s">
        <v>929</v>
      </c>
      <c r="B365" s="5" t="s">
        <v>1198</v>
      </c>
      <c r="C365" s="5" t="s">
        <v>1201</v>
      </c>
      <c r="D365" s="5" t="s">
        <v>477</v>
      </c>
      <c r="E365" s="7" t="str">
        <f>IFERROR(VLOOKUP(D365,MANO_DE_OBRA!A:B,2,FALSE),"?")</f>
        <v>ESPECIALIZADO</v>
      </c>
      <c r="F365" s="5" t="s">
        <v>1200</v>
      </c>
      <c r="G365" s="11">
        <v>6.6666669999999997E-2</v>
      </c>
      <c r="H365" s="12">
        <v>0</v>
      </c>
      <c r="I365" s="7">
        <f>IFERROR(VLOOKUP(D365,MANO_DE_OBRA!A:C,3,FALSE),0)</f>
        <v>75113.05</v>
      </c>
      <c r="J365" s="8">
        <f t="shared" si="20"/>
        <v>5007.5369170434997</v>
      </c>
      <c r="K365" s="7" t="str">
        <f t="shared" si="21"/>
        <v>PTO-0806|MO</v>
      </c>
      <c r="L365" s="7">
        <f>COUNTIFS($K$2:K365,K365)</f>
        <v>2</v>
      </c>
      <c r="M365" s="7" t="str">
        <f t="shared" si="22"/>
        <v>PTO-0806|MO|2</v>
      </c>
      <c r="N365" s="7">
        <f>IFERROR(VLOOKUP(A365,PARTIDAS!A:F,6,FALSE),0)</f>
        <v>1</v>
      </c>
      <c r="O365" s="7">
        <f t="shared" si="23"/>
        <v>6.6666669999999997E-2</v>
      </c>
      <c r="P365" s="7">
        <f>IFERROR(_xlfn.XLOOKUP(A365,PPTO_GENERADOR!$Q:$Q,PPTO_GENERADOR!$E:$E,"-",0),"-")</f>
        <v>438</v>
      </c>
    </row>
    <row r="366" spans="1:16" x14ac:dyDescent="0.35">
      <c r="A366" s="5" t="s">
        <v>929</v>
      </c>
      <c r="B366" s="5" t="s">
        <v>1202</v>
      </c>
      <c r="C366" s="5"/>
      <c r="D366" s="5" t="s">
        <v>529</v>
      </c>
      <c r="E366" s="7" t="str">
        <f>IFERROR(VLOOKUP(D366,EQUIPOS!A:B,2,FALSE),"?")</f>
        <v>Hormigonera De 150 Litros 1hp Con Rueda Maciza</v>
      </c>
      <c r="F366" s="5"/>
      <c r="G366" s="11">
        <v>6.6666669999999997E-2</v>
      </c>
      <c r="H366" s="12">
        <v>0</v>
      </c>
      <c r="I366" s="7">
        <f>IFERROR(VLOOKUP(D366,EQUIPOS!A:C,3,FALSE),0)</f>
        <v>932.18029999999999</v>
      </c>
      <c r="J366" s="8">
        <f t="shared" si="20"/>
        <v>62.145356440600999</v>
      </c>
      <c r="K366" s="7" t="str">
        <f t="shared" si="21"/>
        <v>PTO-0806|EQ</v>
      </c>
      <c r="L366" s="7">
        <f>COUNTIFS($K$2:K366,K366)</f>
        <v>1</v>
      </c>
      <c r="M366" s="7" t="str">
        <f t="shared" si="22"/>
        <v>PTO-0806|EQ|1</v>
      </c>
      <c r="N366" s="7">
        <f>IFERROR(VLOOKUP(A366,PARTIDAS!A:F,6,FALSE),0)</f>
        <v>1</v>
      </c>
      <c r="O366" s="7">
        <f t="shared" si="23"/>
        <v>0</v>
      </c>
      <c r="P366" s="7">
        <f>IFERROR(_xlfn.XLOOKUP(A366,PPTO_GENERADOR!$Q:$Q,PPTO_GENERADOR!$E:$E,"-",0),"-")</f>
        <v>438</v>
      </c>
    </row>
    <row r="367" spans="1:16" x14ac:dyDescent="0.35">
      <c r="A367" s="5" t="s">
        <v>929</v>
      </c>
      <c r="B367" s="5" t="s">
        <v>1202</v>
      </c>
      <c r="C367" s="5"/>
      <c r="D367" s="5" t="s">
        <v>525</v>
      </c>
      <c r="E367" s="7" t="str">
        <f>IFERROR(VLOOKUP(D367,EQUIPOS!A:B,2,FALSE),"?")</f>
        <v>EQUIPO DE ALBAÑILERIA, carpetas, ladrillo</v>
      </c>
      <c r="F367" s="5"/>
      <c r="G367" s="11">
        <v>6.6666669999999997E-2</v>
      </c>
      <c r="H367" s="12">
        <v>0</v>
      </c>
      <c r="I367" s="7">
        <f>IFERROR(VLOOKUP(D367,EQUIPOS!A:C,3,FALSE),0)</f>
        <v>2227.2298000000001</v>
      </c>
      <c r="J367" s="8">
        <f t="shared" si="20"/>
        <v>148.48199409076599</v>
      </c>
      <c r="K367" s="7" t="str">
        <f t="shared" si="21"/>
        <v>PTO-0806|EQ</v>
      </c>
      <c r="L367" s="7">
        <f>COUNTIFS($K$2:K367,K367)</f>
        <v>2</v>
      </c>
      <c r="M367" s="7" t="str">
        <f t="shared" si="22"/>
        <v>PTO-0806|EQ|2</v>
      </c>
      <c r="N367" s="7">
        <f>IFERROR(VLOOKUP(A367,PARTIDAS!A:F,6,FALSE),0)</f>
        <v>1</v>
      </c>
      <c r="O367" s="7">
        <f t="shared" si="23"/>
        <v>0</v>
      </c>
      <c r="P367" s="7">
        <f>IFERROR(_xlfn.XLOOKUP(A367,PPTO_GENERADOR!$Q:$Q,PPTO_GENERADOR!$E:$E,"-",0),"-")</f>
        <v>438</v>
      </c>
    </row>
    <row r="368" spans="1:16" x14ac:dyDescent="0.35">
      <c r="A368" s="5" t="s">
        <v>931</v>
      </c>
      <c r="B368" s="5" t="s">
        <v>1203</v>
      </c>
      <c r="C368" s="5" t="s">
        <v>1199</v>
      </c>
      <c r="D368" s="5" t="s">
        <v>154</v>
      </c>
      <c r="E368" s="7" t="str">
        <f>IFERROR(VLOOKUP(D368,MATERIALES!A:B,2,FALSE),"?")</f>
        <v>H30 6.20</v>
      </c>
      <c r="F368" s="5"/>
      <c r="G368" s="11">
        <v>7</v>
      </c>
      <c r="H368" s="12">
        <v>0</v>
      </c>
      <c r="I368" s="7">
        <f>IFERROR(VLOOKUP(D368,MATERIALES!A:D,4,FALSE),0)</f>
        <v>125000</v>
      </c>
      <c r="J368" s="8">
        <f t="shared" si="20"/>
        <v>875000</v>
      </c>
      <c r="K368" s="7" t="str">
        <f t="shared" si="21"/>
        <v>PTO-0807|MAT</v>
      </c>
      <c r="L368" s="7">
        <f>COUNTIFS($K$2:K368,K368)</f>
        <v>1</v>
      </c>
      <c r="M368" s="7" t="str">
        <f t="shared" si="22"/>
        <v>PTO-0807|MAT|1</v>
      </c>
      <c r="N368" s="7">
        <f>IFERROR(VLOOKUP(A368,PARTIDAS!A:F,6,FALSE),0)</f>
        <v>1</v>
      </c>
      <c r="O368" s="7">
        <f t="shared" si="23"/>
        <v>0</v>
      </c>
      <c r="P368" s="7">
        <f>IFERROR(_xlfn.XLOOKUP(A368,PPTO_GENERADOR!$Q:$Q,PPTO_GENERADOR!$E:$E,"-",0),"-")</f>
        <v>1</v>
      </c>
    </row>
    <row r="369" spans="1:16" x14ac:dyDescent="0.35">
      <c r="A369" s="5" t="s">
        <v>931</v>
      </c>
      <c r="B369" s="5" t="s">
        <v>1203</v>
      </c>
      <c r="C369" s="5" t="s">
        <v>1199</v>
      </c>
      <c r="D369" s="5" t="s">
        <v>199</v>
      </c>
      <c r="E369" s="7" t="str">
        <f>IFERROR(VLOOKUP(D369,MATERIALES!A:B,2,FALSE),"?")</f>
        <v>Carpeta</v>
      </c>
      <c r="F369" s="5"/>
      <c r="G369" s="11">
        <v>55</v>
      </c>
      <c r="H369" s="12">
        <v>0</v>
      </c>
      <c r="I369" s="7">
        <f>IFERROR(VLOOKUP(D369,MATERIALES!A:D,4,FALSE),0)</f>
        <v>3180.0904999999998</v>
      </c>
      <c r="J369" s="8">
        <f t="shared" si="20"/>
        <v>174904.97749999998</v>
      </c>
      <c r="K369" s="7" t="str">
        <f t="shared" si="21"/>
        <v>PTO-0807|MAT</v>
      </c>
      <c r="L369" s="7">
        <f>COUNTIFS($K$2:K369,K369)</f>
        <v>2</v>
      </c>
      <c r="M369" s="7" t="str">
        <f t="shared" si="22"/>
        <v>PTO-0807|MAT|2</v>
      </c>
      <c r="N369" s="7">
        <f>IFERROR(VLOOKUP(A369,PARTIDAS!A:F,6,FALSE),0)</f>
        <v>1</v>
      </c>
      <c r="O369" s="7">
        <f t="shared" si="23"/>
        <v>0</v>
      </c>
      <c r="P369" s="7">
        <f>IFERROR(_xlfn.XLOOKUP(A369,PPTO_GENERADOR!$Q:$Q,PPTO_GENERADOR!$E:$E,"-",0),"-")</f>
        <v>1</v>
      </c>
    </row>
    <row r="370" spans="1:16" x14ac:dyDescent="0.35">
      <c r="A370" s="5" t="s">
        <v>931</v>
      </c>
      <c r="B370" s="5" t="s">
        <v>1203</v>
      </c>
      <c r="C370" s="5" t="s">
        <v>1199</v>
      </c>
      <c r="D370" s="5" t="s">
        <v>156</v>
      </c>
      <c r="E370" s="7" t="str">
        <f>IFERROR(VLOOKUP(D370,MATERIALES!A:B,2,FALSE),"?")</f>
        <v>Precio fenolico comun e: 18 mm</v>
      </c>
      <c r="F370" s="5"/>
      <c r="G370" s="11">
        <v>1</v>
      </c>
      <c r="H370" s="12">
        <v>0</v>
      </c>
      <c r="I370" s="7">
        <f>IFERROR(VLOOKUP(D370,MATERIALES!A:D,4,FALSE),0)</f>
        <v>26322.68</v>
      </c>
      <c r="J370" s="8">
        <f t="shared" si="20"/>
        <v>26322.68</v>
      </c>
      <c r="K370" s="7" t="str">
        <f t="shared" si="21"/>
        <v>PTO-0807|MAT</v>
      </c>
      <c r="L370" s="7">
        <f>COUNTIFS($K$2:K370,K370)</f>
        <v>3</v>
      </c>
      <c r="M370" s="7" t="str">
        <f t="shared" si="22"/>
        <v>PTO-0807|MAT|3</v>
      </c>
      <c r="N370" s="7">
        <f>IFERROR(VLOOKUP(A370,PARTIDAS!A:F,6,FALSE),0)</f>
        <v>1</v>
      </c>
      <c r="O370" s="7">
        <f t="shared" si="23"/>
        <v>0</v>
      </c>
      <c r="P370" s="7">
        <f>IFERROR(_xlfn.XLOOKUP(A370,PPTO_GENERADOR!$Q:$Q,PPTO_GENERADOR!$E:$E,"-",0),"-")</f>
        <v>1</v>
      </c>
    </row>
    <row r="371" spans="1:16" x14ac:dyDescent="0.35">
      <c r="A371" s="5" t="s">
        <v>931</v>
      </c>
      <c r="B371" s="5" t="s">
        <v>1198</v>
      </c>
      <c r="C371" s="5" t="s">
        <v>1201</v>
      </c>
      <c r="D371" s="5" t="s">
        <v>481</v>
      </c>
      <c r="E371" s="7" t="str">
        <f>IFERROR(VLOOKUP(D371,MANO_DE_OBRA!A:B,2,FALSE),"?")</f>
        <v>OFICIAL</v>
      </c>
      <c r="F371" s="5" t="s">
        <v>1200</v>
      </c>
      <c r="G371" s="11">
        <v>5</v>
      </c>
      <c r="H371" s="12">
        <v>0</v>
      </c>
      <c r="I371" s="7">
        <f>IFERROR(VLOOKUP(D371,MANO_DE_OBRA!A:C,3,FALSE),0)</f>
        <v>65360.25</v>
      </c>
      <c r="J371" s="8">
        <f t="shared" si="20"/>
        <v>326801.25</v>
      </c>
      <c r="K371" s="7" t="str">
        <f t="shared" si="21"/>
        <v>PTO-0807|MO</v>
      </c>
      <c r="L371" s="7">
        <f>COUNTIFS($K$2:K371,K371)</f>
        <v>1</v>
      </c>
      <c r="M371" s="7" t="str">
        <f t="shared" si="22"/>
        <v>PTO-0807|MO|1</v>
      </c>
      <c r="N371" s="7">
        <f>IFERROR(VLOOKUP(A371,PARTIDAS!A:F,6,FALSE),0)</f>
        <v>1</v>
      </c>
      <c r="O371" s="7">
        <f t="shared" si="23"/>
        <v>5</v>
      </c>
      <c r="P371" s="7">
        <f>IFERROR(_xlfn.XLOOKUP(A371,PPTO_GENERADOR!$Q:$Q,PPTO_GENERADOR!$E:$E,"-",0),"-")</f>
        <v>1</v>
      </c>
    </row>
    <row r="372" spans="1:16" x14ac:dyDescent="0.35">
      <c r="A372" s="5" t="s">
        <v>931</v>
      </c>
      <c r="B372" s="5" t="s">
        <v>1198</v>
      </c>
      <c r="C372" s="5" t="s">
        <v>1201</v>
      </c>
      <c r="D372" s="5" t="s">
        <v>475</v>
      </c>
      <c r="E372" s="7" t="str">
        <f>IFERROR(VLOOKUP(D372,MANO_DE_OBRA!A:B,2,FALSE),"?")</f>
        <v>AYUDANTE</v>
      </c>
      <c r="F372" s="5" t="s">
        <v>1200</v>
      </c>
      <c r="G372" s="11">
        <v>10</v>
      </c>
      <c r="H372" s="12">
        <v>0</v>
      </c>
      <c r="I372" s="7">
        <f>IFERROR(VLOOKUP(D372,MANO_DE_OBRA!A:C,3,FALSE),0)</f>
        <v>49934.239999999998</v>
      </c>
      <c r="J372" s="8">
        <f t="shared" si="20"/>
        <v>499342.39999999997</v>
      </c>
      <c r="K372" s="7" t="str">
        <f t="shared" si="21"/>
        <v>PTO-0807|MO</v>
      </c>
      <c r="L372" s="7">
        <f>COUNTIFS($K$2:K372,K372)</f>
        <v>2</v>
      </c>
      <c r="M372" s="7" t="str">
        <f t="shared" si="22"/>
        <v>PTO-0807|MO|2</v>
      </c>
      <c r="N372" s="7">
        <f>IFERROR(VLOOKUP(A372,PARTIDAS!A:F,6,FALSE),0)</f>
        <v>1</v>
      </c>
      <c r="O372" s="7">
        <f t="shared" si="23"/>
        <v>10</v>
      </c>
      <c r="P372" s="7">
        <f>IFERROR(_xlfn.XLOOKUP(A372,PPTO_GENERADOR!$Q:$Q,PPTO_GENERADOR!$E:$E,"-",0),"-")</f>
        <v>1</v>
      </c>
    </row>
    <row r="373" spans="1:16" x14ac:dyDescent="0.35">
      <c r="A373" s="5" t="s">
        <v>931</v>
      </c>
      <c r="B373" s="5" t="s">
        <v>1202</v>
      </c>
      <c r="C373" s="5"/>
      <c r="D373" s="5" t="s">
        <v>541</v>
      </c>
      <c r="E373" s="7" t="str">
        <f>IFERROR(VLOOKUP(D373,EQUIPOS!A:B,2,FALSE),"?")</f>
        <v>Herramientas/consumibles - Banquinas para cocinas</v>
      </c>
      <c r="F373" s="5"/>
      <c r="G373" s="11">
        <v>1</v>
      </c>
      <c r="H373" s="12">
        <v>0</v>
      </c>
      <c r="I373" s="7">
        <f>IFERROR(VLOOKUP(D373,EQUIPOS!A:C,3,FALSE),0)</f>
        <v>28535.569100000001</v>
      </c>
      <c r="J373" s="8">
        <f t="shared" si="20"/>
        <v>28535.569100000001</v>
      </c>
      <c r="K373" s="7" t="str">
        <f t="shared" si="21"/>
        <v>PTO-0807|EQ</v>
      </c>
      <c r="L373" s="7">
        <f>COUNTIFS($K$2:K373,K373)</f>
        <v>1</v>
      </c>
      <c r="M373" s="7" t="str">
        <f t="shared" si="22"/>
        <v>PTO-0807|EQ|1</v>
      </c>
      <c r="N373" s="7">
        <f>IFERROR(VLOOKUP(A373,PARTIDAS!A:F,6,FALSE),0)</f>
        <v>1</v>
      </c>
      <c r="O373" s="7">
        <f t="shared" si="23"/>
        <v>0</v>
      </c>
      <c r="P373" s="7">
        <f>IFERROR(_xlfn.XLOOKUP(A373,PPTO_GENERADOR!$Q:$Q,PPTO_GENERADOR!$E:$E,"-",0),"-")</f>
        <v>1</v>
      </c>
    </row>
    <row r="374" spans="1:16" x14ac:dyDescent="0.35">
      <c r="A374" s="5" t="s">
        <v>933</v>
      </c>
      <c r="B374" s="5" t="s">
        <v>1203</v>
      </c>
      <c r="C374" s="5" t="s">
        <v>1199</v>
      </c>
      <c r="D374" s="5" t="s">
        <v>154</v>
      </c>
      <c r="E374" s="7" t="str">
        <f>IFERROR(VLOOKUP(D374,MATERIALES!A:B,2,FALSE),"?")</f>
        <v>H30 6.20</v>
      </c>
      <c r="F374" s="5"/>
      <c r="G374" s="11">
        <v>1.056</v>
      </c>
      <c r="H374" s="12">
        <v>0</v>
      </c>
      <c r="I374" s="7">
        <f>IFERROR(VLOOKUP(D374,MATERIALES!A:D,4,FALSE),0)</f>
        <v>125000</v>
      </c>
      <c r="J374" s="8">
        <f t="shared" si="20"/>
        <v>132000</v>
      </c>
      <c r="K374" s="7" t="str">
        <f t="shared" si="21"/>
        <v>PTO-0808|MAT</v>
      </c>
      <c r="L374" s="7">
        <f>COUNTIFS($K$2:K374,K374)</f>
        <v>1</v>
      </c>
      <c r="M374" s="7" t="str">
        <f t="shared" si="22"/>
        <v>PTO-0808|MAT|1</v>
      </c>
      <c r="N374" s="7">
        <f>IFERROR(VLOOKUP(A374,PARTIDAS!A:F,6,FALSE),0)</f>
        <v>1</v>
      </c>
      <c r="O374" s="7">
        <f t="shared" si="23"/>
        <v>0</v>
      </c>
      <c r="P374" s="7">
        <f>IFERROR(_xlfn.XLOOKUP(A374,PPTO_GENERADOR!$Q:$Q,PPTO_GENERADOR!$E:$E,"-",0),"-")</f>
        <v>1</v>
      </c>
    </row>
    <row r="375" spans="1:16" x14ac:dyDescent="0.35">
      <c r="A375" s="5" t="s">
        <v>933</v>
      </c>
      <c r="B375" s="5" t="s">
        <v>1203</v>
      </c>
      <c r="C375" s="5" t="s">
        <v>1199</v>
      </c>
      <c r="D375" s="5" t="s">
        <v>199</v>
      </c>
      <c r="E375" s="7" t="str">
        <f>IFERROR(VLOOKUP(D375,MATERIALES!A:B,2,FALSE),"?")</f>
        <v>Carpeta</v>
      </c>
      <c r="F375" s="5"/>
      <c r="G375" s="11">
        <v>17.84</v>
      </c>
      <c r="H375" s="12">
        <v>0</v>
      </c>
      <c r="I375" s="7">
        <f>IFERROR(VLOOKUP(D375,MATERIALES!A:D,4,FALSE),0)</f>
        <v>3180.0904999999998</v>
      </c>
      <c r="J375" s="8">
        <f t="shared" si="20"/>
        <v>56732.814519999993</v>
      </c>
      <c r="K375" s="7" t="str">
        <f t="shared" si="21"/>
        <v>PTO-0808|MAT</v>
      </c>
      <c r="L375" s="7">
        <f>COUNTIFS($K$2:K375,K375)</f>
        <v>2</v>
      </c>
      <c r="M375" s="7" t="str">
        <f t="shared" si="22"/>
        <v>PTO-0808|MAT|2</v>
      </c>
      <c r="N375" s="7">
        <f>IFERROR(VLOOKUP(A375,PARTIDAS!A:F,6,FALSE),0)</f>
        <v>1</v>
      </c>
      <c r="O375" s="7">
        <f t="shared" si="23"/>
        <v>0</v>
      </c>
      <c r="P375" s="7">
        <f>IFERROR(_xlfn.XLOOKUP(A375,PPTO_GENERADOR!$Q:$Q,PPTO_GENERADOR!$E:$E,"-",0),"-")</f>
        <v>1</v>
      </c>
    </row>
    <row r="376" spans="1:16" x14ac:dyDescent="0.35">
      <c r="A376" s="5" t="s">
        <v>933</v>
      </c>
      <c r="B376" s="5" t="s">
        <v>1203</v>
      </c>
      <c r="C376" s="5" t="s">
        <v>1199</v>
      </c>
      <c r="D376" s="5" t="s">
        <v>156</v>
      </c>
      <c r="E376" s="7" t="str">
        <f>IFERROR(VLOOKUP(D376,MATERIALES!A:B,2,FALSE),"?")</f>
        <v>Precio fenolico comun e: 18 mm</v>
      </c>
      <c r="F376" s="5"/>
      <c r="G376" s="11">
        <v>1</v>
      </c>
      <c r="H376" s="12">
        <v>0</v>
      </c>
      <c r="I376" s="7">
        <f>IFERROR(VLOOKUP(D376,MATERIALES!A:D,4,FALSE),0)</f>
        <v>26322.68</v>
      </c>
      <c r="J376" s="8">
        <f t="shared" si="20"/>
        <v>26322.68</v>
      </c>
      <c r="K376" s="7" t="str">
        <f t="shared" si="21"/>
        <v>PTO-0808|MAT</v>
      </c>
      <c r="L376" s="7">
        <f>COUNTIFS($K$2:K376,K376)</f>
        <v>3</v>
      </c>
      <c r="M376" s="7" t="str">
        <f t="shared" si="22"/>
        <v>PTO-0808|MAT|3</v>
      </c>
      <c r="N376" s="7">
        <f>IFERROR(VLOOKUP(A376,PARTIDAS!A:F,6,FALSE),0)</f>
        <v>1</v>
      </c>
      <c r="O376" s="7">
        <f t="shared" si="23"/>
        <v>0</v>
      </c>
      <c r="P376" s="7">
        <f>IFERROR(_xlfn.XLOOKUP(A376,PPTO_GENERADOR!$Q:$Q,PPTO_GENERADOR!$E:$E,"-",0),"-")</f>
        <v>1</v>
      </c>
    </row>
    <row r="377" spans="1:16" x14ac:dyDescent="0.35">
      <c r="A377" s="5" t="s">
        <v>933</v>
      </c>
      <c r="B377" s="5" t="s">
        <v>1198</v>
      </c>
      <c r="C377" s="5" t="s">
        <v>1201</v>
      </c>
      <c r="D377" s="5" t="s">
        <v>481</v>
      </c>
      <c r="E377" s="7" t="str">
        <f>IFERROR(VLOOKUP(D377,MANO_DE_OBRA!A:B,2,FALSE),"?")</f>
        <v>OFICIAL</v>
      </c>
      <c r="F377" s="5" t="s">
        <v>1200</v>
      </c>
      <c r="G377" s="11">
        <v>1</v>
      </c>
      <c r="H377" s="12">
        <v>0</v>
      </c>
      <c r="I377" s="7">
        <f>IFERROR(VLOOKUP(D377,MANO_DE_OBRA!A:C,3,FALSE),0)</f>
        <v>65360.25</v>
      </c>
      <c r="J377" s="8">
        <f t="shared" si="20"/>
        <v>65360.25</v>
      </c>
      <c r="K377" s="7" t="str">
        <f t="shared" si="21"/>
        <v>PTO-0808|MO</v>
      </c>
      <c r="L377" s="7">
        <f>COUNTIFS($K$2:K377,K377)</f>
        <v>1</v>
      </c>
      <c r="M377" s="7" t="str">
        <f t="shared" si="22"/>
        <v>PTO-0808|MO|1</v>
      </c>
      <c r="N377" s="7">
        <f>IFERROR(VLOOKUP(A377,PARTIDAS!A:F,6,FALSE),0)</f>
        <v>1</v>
      </c>
      <c r="O377" s="7">
        <f t="shared" si="23"/>
        <v>1</v>
      </c>
      <c r="P377" s="7">
        <f>IFERROR(_xlfn.XLOOKUP(A377,PPTO_GENERADOR!$Q:$Q,PPTO_GENERADOR!$E:$E,"-",0),"-")</f>
        <v>1</v>
      </c>
    </row>
    <row r="378" spans="1:16" x14ac:dyDescent="0.35">
      <c r="A378" s="5" t="s">
        <v>933</v>
      </c>
      <c r="B378" s="5" t="s">
        <v>1198</v>
      </c>
      <c r="C378" s="5" t="s">
        <v>1201</v>
      </c>
      <c r="D378" s="5" t="s">
        <v>475</v>
      </c>
      <c r="E378" s="7" t="str">
        <f>IFERROR(VLOOKUP(D378,MANO_DE_OBRA!A:B,2,FALSE),"?")</f>
        <v>AYUDANTE</v>
      </c>
      <c r="F378" s="5" t="s">
        <v>1200</v>
      </c>
      <c r="G378" s="11">
        <v>2</v>
      </c>
      <c r="H378" s="12">
        <v>0</v>
      </c>
      <c r="I378" s="7">
        <f>IFERROR(VLOOKUP(D378,MANO_DE_OBRA!A:C,3,FALSE),0)</f>
        <v>49934.239999999998</v>
      </c>
      <c r="J378" s="8">
        <f t="shared" si="20"/>
        <v>99868.479999999996</v>
      </c>
      <c r="K378" s="7" t="str">
        <f t="shared" si="21"/>
        <v>PTO-0808|MO</v>
      </c>
      <c r="L378" s="7">
        <f>COUNTIFS($K$2:K378,K378)</f>
        <v>2</v>
      </c>
      <c r="M378" s="7" t="str">
        <f t="shared" si="22"/>
        <v>PTO-0808|MO|2</v>
      </c>
      <c r="N378" s="7">
        <f>IFERROR(VLOOKUP(A378,PARTIDAS!A:F,6,FALSE),0)</f>
        <v>1</v>
      </c>
      <c r="O378" s="7">
        <f t="shared" si="23"/>
        <v>2</v>
      </c>
      <c r="P378" s="7">
        <f>IFERROR(_xlfn.XLOOKUP(A378,PPTO_GENERADOR!$Q:$Q,PPTO_GENERADOR!$E:$E,"-",0),"-")</f>
        <v>1</v>
      </c>
    </row>
    <row r="379" spans="1:16" x14ac:dyDescent="0.35">
      <c r="A379" s="5" t="s">
        <v>933</v>
      </c>
      <c r="B379" s="5" t="s">
        <v>1202</v>
      </c>
      <c r="C379" s="5"/>
      <c r="D379" s="5" t="s">
        <v>543</v>
      </c>
      <c r="E379" s="7" t="str">
        <f>IFERROR(VLOOKUP(D379,EQUIPOS!A:B,2,FALSE),"?")</f>
        <v>Herramientas/consumibles - Banquinas para bombas y tanques en SB</v>
      </c>
      <c r="F379" s="5"/>
      <c r="G379" s="11">
        <v>1</v>
      </c>
      <c r="H379" s="12">
        <v>0</v>
      </c>
      <c r="I379" s="7">
        <f>IFERROR(VLOOKUP(D379,EQUIPOS!A:C,3,FALSE),0)</f>
        <v>5704.2632999999996</v>
      </c>
      <c r="J379" s="8">
        <f t="shared" si="20"/>
        <v>5704.2632999999996</v>
      </c>
      <c r="K379" s="7" t="str">
        <f t="shared" si="21"/>
        <v>PTO-0808|EQ</v>
      </c>
      <c r="L379" s="7">
        <f>COUNTIFS($K$2:K379,K379)</f>
        <v>1</v>
      </c>
      <c r="M379" s="7" t="str">
        <f t="shared" si="22"/>
        <v>PTO-0808|EQ|1</v>
      </c>
      <c r="N379" s="7">
        <f>IFERROR(VLOOKUP(A379,PARTIDAS!A:F,6,FALSE),0)</f>
        <v>1</v>
      </c>
      <c r="O379" s="7">
        <f t="shared" si="23"/>
        <v>0</v>
      </c>
      <c r="P379" s="7">
        <f>IFERROR(_xlfn.XLOOKUP(A379,PPTO_GENERADOR!$Q:$Q,PPTO_GENERADOR!$E:$E,"-",0),"-")</f>
        <v>1</v>
      </c>
    </row>
    <row r="380" spans="1:16" x14ac:dyDescent="0.35">
      <c r="A380" s="5" t="s">
        <v>936</v>
      </c>
      <c r="B380" s="5" t="s">
        <v>1203</v>
      </c>
      <c r="C380" s="5" t="s">
        <v>1205</v>
      </c>
      <c r="D380" s="5" t="s">
        <v>201</v>
      </c>
      <c r="E380" s="7" t="str">
        <f>IFERROR(VLOOKUP(D380,MATERIALES!A:B,2,FALSE),"?")</f>
        <v>Carpeta cilindrada</v>
      </c>
      <c r="F380" s="5"/>
      <c r="G380" s="11">
        <v>53.328000000000003</v>
      </c>
      <c r="H380" s="12">
        <v>0</v>
      </c>
      <c r="I380" s="7">
        <f>IFERROR(VLOOKUP(D380,MATERIALES!A:D,4,FALSE),0)</f>
        <v>3816.1086</v>
      </c>
      <c r="J380" s="8">
        <f t="shared" si="20"/>
        <v>203505.43942080002</v>
      </c>
      <c r="K380" s="7" t="str">
        <f t="shared" si="21"/>
        <v>PTO-0901|MAT</v>
      </c>
      <c r="L380" s="7">
        <f>COUNTIFS($K$2:K380,K380)</f>
        <v>1</v>
      </c>
      <c r="M380" s="7" t="str">
        <f t="shared" si="22"/>
        <v>PTO-0901|MAT|1</v>
      </c>
      <c r="N380" s="7">
        <f>IFERROR(VLOOKUP(A380,PARTIDAS!A:F,6,FALSE),0)</f>
        <v>1</v>
      </c>
      <c r="O380" s="7">
        <f t="shared" si="23"/>
        <v>0</v>
      </c>
      <c r="P380" s="7">
        <f>IFERROR(_xlfn.XLOOKUP(A380,PPTO_GENERADOR!$Q:$Q,PPTO_GENERADOR!$E:$E,"-",0),"-")</f>
        <v>1</v>
      </c>
    </row>
    <row r="381" spans="1:16" x14ac:dyDescent="0.35">
      <c r="A381" s="5" t="s">
        <v>936</v>
      </c>
      <c r="B381" s="5" t="s">
        <v>1198</v>
      </c>
      <c r="C381" s="5" t="s">
        <v>1201</v>
      </c>
      <c r="D381" s="5" t="s">
        <v>481</v>
      </c>
      <c r="E381" s="7" t="str">
        <f>IFERROR(VLOOKUP(D381,MANO_DE_OBRA!A:B,2,FALSE),"?")</f>
        <v>OFICIAL</v>
      </c>
      <c r="F381" s="5" t="s">
        <v>1200</v>
      </c>
      <c r="G381" s="11">
        <v>12</v>
      </c>
      <c r="H381" s="12">
        <v>0</v>
      </c>
      <c r="I381" s="7">
        <f>IFERROR(VLOOKUP(D381,MANO_DE_OBRA!A:C,3,FALSE),0)</f>
        <v>65360.25</v>
      </c>
      <c r="J381" s="8">
        <f t="shared" si="20"/>
        <v>784323</v>
      </c>
      <c r="K381" s="7" t="str">
        <f t="shared" si="21"/>
        <v>PTO-0901|MO</v>
      </c>
      <c r="L381" s="7">
        <f>COUNTIFS($K$2:K381,K381)</f>
        <v>1</v>
      </c>
      <c r="M381" s="7" t="str">
        <f t="shared" si="22"/>
        <v>PTO-0901|MO|1</v>
      </c>
      <c r="N381" s="7">
        <f>IFERROR(VLOOKUP(A381,PARTIDAS!A:F,6,FALSE),0)</f>
        <v>1</v>
      </c>
      <c r="O381" s="7">
        <f t="shared" si="23"/>
        <v>12</v>
      </c>
      <c r="P381" s="7">
        <f>IFERROR(_xlfn.XLOOKUP(A381,PPTO_GENERADOR!$Q:$Q,PPTO_GENERADOR!$E:$E,"-",0),"-")</f>
        <v>1</v>
      </c>
    </row>
    <row r="382" spans="1:16" x14ac:dyDescent="0.35">
      <c r="A382" s="5" t="s">
        <v>936</v>
      </c>
      <c r="B382" s="5" t="s">
        <v>1198</v>
      </c>
      <c r="C382" s="5" t="s">
        <v>1201</v>
      </c>
      <c r="D382" s="5" t="s">
        <v>475</v>
      </c>
      <c r="E382" s="7" t="str">
        <f>IFERROR(VLOOKUP(D382,MANO_DE_OBRA!A:B,2,FALSE),"?")</f>
        <v>AYUDANTE</v>
      </c>
      <c r="F382" s="5" t="s">
        <v>1200</v>
      </c>
      <c r="G382" s="11">
        <v>12</v>
      </c>
      <c r="H382" s="12">
        <v>0</v>
      </c>
      <c r="I382" s="7">
        <f>IFERROR(VLOOKUP(D382,MANO_DE_OBRA!A:C,3,FALSE),0)</f>
        <v>49934.239999999998</v>
      </c>
      <c r="J382" s="8">
        <f t="shared" si="20"/>
        <v>599210.88</v>
      </c>
      <c r="K382" s="7" t="str">
        <f t="shared" si="21"/>
        <v>PTO-0901|MO</v>
      </c>
      <c r="L382" s="7">
        <f>COUNTIFS($K$2:K382,K382)</f>
        <v>2</v>
      </c>
      <c r="M382" s="7" t="str">
        <f t="shared" si="22"/>
        <v>PTO-0901|MO|2</v>
      </c>
      <c r="N382" s="7">
        <f>IFERROR(VLOOKUP(A382,PARTIDAS!A:F,6,FALSE),0)</f>
        <v>1</v>
      </c>
      <c r="O382" s="7">
        <f t="shared" si="23"/>
        <v>12</v>
      </c>
      <c r="P382" s="7">
        <f>IFERROR(_xlfn.XLOOKUP(A382,PPTO_GENERADOR!$Q:$Q,PPTO_GENERADOR!$E:$E,"-",0),"-")</f>
        <v>1</v>
      </c>
    </row>
    <row r="383" spans="1:16" x14ac:dyDescent="0.35">
      <c r="A383" s="5" t="s">
        <v>936</v>
      </c>
      <c r="B383" s="5" t="s">
        <v>1202</v>
      </c>
      <c r="C383" s="5"/>
      <c r="D383" s="5" t="s">
        <v>545</v>
      </c>
      <c r="E383" s="7" t="str">
        <f>IFERROR(VLOOKUP(D383,EQUIPOS!A:B,2,FALSE),"?")</f>
        <v>Herramientas/consumibles - Cemento alisado arrodillado en escaleras</v>
      </c>
      <c r="F383" s="5"/>
      <c r="G383" s="11">
        <v>1</v>
      </c>
      <c r="H383" s="12">
        <v>0</v>
      </c>
      <c r="I383" s="7">
        <f>IFERROR(VLOOKUP(D383,EQUIPOS!A:C,3,FALSE),0)</f>
        <v>23805.589</v>
      </c>
      <c r="J383" s="8">
        <f t="shared" si="20"/>
        <v>23805.589</v>
      </c>
      <c r="K383" s="7" t="str">
        <f t="shared" si="21"/>
        <v>PTO-0901|EQ</v>
      </c>
      <c r="L383" s="7">
        <f>COUNTIFS($K$2:K383,K383)</f>
        <v>1</v>
      </c>
      <c r="M383" s="7" t="str">
        <f t="shared" si="22"/>
        <v>PTO-0901|EQ|1</v>
      </c>
      <c r="N383" s="7">
        <f>IFERROR(VLOOKUP(A383,PARTIDAS!A:F,6,FALSE),0)</f>
        <v>1</v>
      </c>
      <c r="O383" s="7">
        <f t="shared" si="23"/>
        <v>0</v>
      </c>
      <c r="P383" s="7">
        <f>IFERROR(_xlfn.XLOOKUP(A383,PPTO_GENERADOR!$Q:$Q,PPTO_GENERADOR!$E:$E,"-",0),"-")</f>
        <v>1</v>
      </c>
    </row>
    <row r="384" spans="1:16" x14ac:dyDescent="0.35">
      <c r="A384" s="5" t="s">
        <v>938</v>
      </c>
      <c r="B384" s="5" t="s">
        <v>1203</v>
      </c>
      <c r="C384" s="5" t="s">
        <v>1199</v>
      </c>
      <c r="D384" s="5" t="s">
        <v>203</v>
      </c>
      <c r="E384" s="7" t="str">
        <f>IFERROR(VLOOKUP(D384,MATERIALES!A:B,2,FALSE),"?")</f>
        <v>PERFIL ANGULO ALAS IGUALES ESTRUCTURAL ACERO 6M X 5/8" X 1/8</v>
      </c>
      <c r="F384" s="5"/>
      <c r="G384" s="11">
        <v>0.18852458999999999</v>
      </c>
      <c r="H384" s="12">
        <v>0</v>
      </c>
      <c r="I384" s="7">
        <f>IFERROR(VLOOKUP(D384,MATERIALES!A:D,4,FALSE),0)</f>
        <v>10464.9835</v>
      </c>
      <c r="J384" s="8">
        <f t="shared" si="20"/>
        <v>1972.9067236942649</v>
      </c>
      <c r="K384" s="7" t="str">
        <f t="shared" si="21"/>
        <v>PTO-0902|MAT</v>
      </c>
      <c r="L384" s="7">
        <f>COUNTIFS($K$2:K384,K384)</f>
        <v>1</v>
      </c>
      <c r="M384" s="7" t="str">
        <f t="shared" si="22"/>
        <v>PTO-0902|MAT|1</v>
      </c>
      <c r="N384" s="7">
        <f>IFERROR(VLOOKUP(A384,PARTIDAS!A:F,6,FALSE),0)</f>
        <v>1</v>
      </c>
      <c r="O384" s="7">
        <f t="shared" si="23"/>
        <v>0</v>
      </c>
      <c r="P384" s="7">
        <f>IFERROR(_xlfn.XLOOKUP(A384,PPTO_GENERADOR!$Q:$Q,PPTO_GENERADOR!$E:$E,"-",0),"-")</f>
        <v>122</v>
      </c>
    </row>
    <row r="385" spans="1:16" x14ac:dyDescent="0.35">
      <c r="A385" s="5" t="s">
        <v>938</v>
      </c>
      <c r="B385" s="5" t="s">
        <v>1203</v>
      </c>
      <c r="C385" s="5" t="s">
        <v>1199</v>
      </c>
      <c r="D385" s="5" t="s">
        <v>205</v>
      </c>
      <c r="E385" s="7" t="str">
        <f>IFERROR(VLOOKUP(D385,MATERIALES!A:B,2,FALSE),"?")</f>
        <v>Esmalte sintetico</v>
      </c>
      <c r="F385" s="5"/>
      <c r="G385" s="11">
        <v>1.6393439999999999E-2</v>
      </c>
      <c r="H385" s="12">
        <v>0</v>
      </c>
      <c r="I385" s="7">
        <f>IFERROR(VLOOKUP(D385,MATERIALES!A:D,4,FALSE),0)</f>
        <v>12396.6942</v>
      </c>
      <c r="J385" s="8">
        <f t="shared" si="20"/>
        <v>203.22446256604798</v>
      </c>
      <c r="K385" s="7" t="str">
        <f t="shared" si="21"/>
        <v>PTO-0902|MAT</v>
      </c>
      <c r="L385" s="7">
        <f>COUNTIFS($K$2:K385,K385)</f>
        <v>2</v>
      </c>
      <c r="M385" s="7" t="str">
        <f t="shared" si="22"/>
        <v>PTO-0902|MAT|2</v>
      </c>
      <c r="N385" s="7">
        <f>IFERROR(VLOOKUP(A385,PARTIDAS!A:F,6,FALSE),0)</f>
        <v>1</v>
      </c>
      <c r="O385" s="7">
        <f t="shared" si="23"/>
        <v>0</v>
      </c>
      <c r="P385" s="7">
        <f>IFERROR(_xlfn.XLOOKUP(A385,PPTO_GENERADOR!$Q:$Q,PPTO_GENERADOR!$E:$E,"-",0),"-")</f>
        <v>122</v>
      </c>
    </row>
    <row r="386" spans="1:16" x14ac:dyDescent="0.35">
      <c r="A386" s="5" t="s">
        <v>938</v>
      </c>
      <c r="B386" s="5" t="s">
        <v>1203</v>
      </c>
      <c r="C386" s="5" t="s">
        <v>1199</v>
      </c>
      <c r="D386" s="5" t="s">
        <v>207</v>
      </c>
      <c r="E386" s="7" t="str">
        <f>IFERROR(VLOOKUP(D386,MATERIALES!A:B,2,FALSE),"?")</f>
        <v>Electrodos</v>
      </c>
      <c r="F386" s="5"/>
      <c r="G386" s="11">
        <v>4.0983609999999997E-2</v>
      </c>
      <c r="H386" s="12">
        <v>0</v>
      </c>
      <c r="I386" s="7">
        <f>IFERROR(VLOOKUP(D386,MATERIALES!A:D,4,FALSE),0)</f>
        <v>6611.5702000000001</v>
      </c>
      <c r="J386" s="8">
        <f t="shared" ref="J386:J449" si="24">G386*I386*(1+H386)</f>
        <v>270.96601456442198</v>
      </c>
      <c r="K386" s="7" t="str">
        <f t="shared" ref="K386:K449" si="25">A386&amp;"|"&amp;B386</f>
        <v>PTO-0902|MAT</v>
      </c>
      <c r="L386" s="7">
        <f>COUNTIFS($K$2:K386,K386)</f>
        <v>3</v>
      </c>
      <c r="M386" s="7" t="str">
        <f t="shared" ref="M386:M449" si="26">K386&amp;"|"&amp;L386</f>
        <v>PTO-0902|MAT|3</v>
      </c>
      <c r="N386" s="7">
        <f>IFERROR(VLOOKUP(A386,PARTIDAS!A:F,6,FALSE),0)</f>
        <v>1</v>
      </c>
      <c r="O386" s="7">
        <f t="shared" ref="O386:O449" si="27">IF(C386="ALB",IF(N386=0,0,G386/N386),0)</f>
        <v>0</v>
      </c>
      <c r="P386" s="7">
        <f>IFERROR(_xlfn.XLOOKUP(A386,PPTO_GENERADOR!$Q:$Q,PPTO_GENERADOR!$E:$E,"-",0),"-")</f>
        <v>122</v>
      </c>
    </row>
    <row r="387" spans="1:16" x14ac:dyDescent="0.35">
      <c r="A387" s="5" t="s">
        <v>938</v>
      </c>
      <c r="B387" s="5" t="s">
        <v>1198</v>
      </c>
      <c r="C387" s="5" t="s">
        <v>1201</v>
      </c>
      <c r="D387" s="5" t="s">
        <v>477</v>
      </c>
      <c r="E387" s="7" t="str">
        <f>IFERROR(VLOOKUP(D387,MANO_DE_OBRA!A:B,2,FALSE),"?")</f>
        <v>ESPECIALIZADO</v>
      </c>
      <c r="F387" s="5" t="s">
        <v>1200</v>
      </c>
      <c r="G387" s="11">
        <v>9.8360660000000003E-2</v>
      </c>
      <c r="H387" s="12">
        <v>0</v>
      </c>
      <c r="I387" s="7">
        <f>IFERROR(VLOOKUP(D387,MANO_DE_OBRA!A:C,3,FALSE),0)</f>
        <v>75113.05</v>
      </c>
      <c r="J387" s="8">
        <f t="shared" si="24"/>
        <v>7388.1691726130002</v>
      </c>
      <c r="K387" s="7" t="str">
        <f t="shared" si="25"/>
        <v>PTO-0902|MO</v>
      </c>
      <c r="L387" s="7">
        <f>COUNTIFS($K$2:K387,K387)</f>
        <v>1</v>
      </c>
      <c r="M387" s="7" t="str">
        <f t="shared" si="26"/>
        <v>PTO-0902|MO|1</v>
      </c>
      <c r="N387" s="7">
        <f>IFERROR(VLOOKUP(A387,PARTIDAS!A:F,6,FALSE),0)</f>
        <v>1</v>
      </c>
      <c r="O387" s="7">
        <f t="shared" si="27"/>
        <v>9.8360660000000003E-2</v>
      </c>
      <c r="P387" s="7">
        <f>IFERROR(_xlfn.XLOOKUP(A387,PPTO_GENERADOR!$Q:$Q,PPTO_GENERADOR!$E:$E,"-",0),"-")</f>
        <v>122</v>
      </c>
    </row>
    <row r="388" spans="1:16" x14ac:dyDescent="0.35">
      <c r="A388" s="5" t="s">
        <v>938</v>
      </c>
      <c r="B388" s="5" t="s">
        <v>1198</v>
      </c>
      <c r="C388" s="5" t="s">
        <v>1201</v>
      </c>
      <c r="D388" s="5" t="s">
        <v>475</v>
      </c>
      <c r="E388" s="7" t="str">
        <f>IFERROR(VLOOKUP(D388,MANO_DE_OBRA!A:B,2,FALSE),"?")</f>
        <v>AYUDANTE</v>
      </c>
      <c r="F388" s="5" t="s">
        <v>1200</v>
      </c>
      <c r="G388" s="11">
        <v>9.8360660000000003E-2</v>
      </c>
      <c r="H388" s="12">
        <v>0</v>
      </c>
      <c r="I388" s="7">
        <f>IFERROR(VLOOKUP(D388,MANO_DE_OBRA!A:C,3,FALSE),0)</f>
        <v>49934.239999999998</v>
      </c>
      <c r="J388" s="8">
        <f t="shared" si="24"/>
        <v>4911.5648029983995</v>
      </c>
      <c r="K388" s="7" t="str">
        <f t="shared" si="25"/>
        <v>PTO-0902|MO</v>
      </c>
      <c r="L388" s="7">
        <f>COUNTIFS($K$2:K388,K388)</f>
        <v>2</v>
      </c>
      <c r="M388" s="7" t="str">
        <f t="shared" si="26"/>
        <v>PTO-0902|MO|2</v>
      </c>
      <c r="N388" s="7">
        <f>IFERROR(VLOOKUP(A388,PARTIDAS!A:F,6,FALSE),0)</f>
        <v>1</v>
      </c>
      <c r="O388" s="7">
        <f t="shared" si="27"/>
        <v>9.8360660000000003E-2</v>
      </c>
      <c r="P388" s="7">
        <f>IFERROR(_xlfn.XLOOKUP(A388,PPTO_GENERADOR!$Q:$Q,PPTO_GENERADOR!$E:$E,"-",0),"-")</f>
        <v>122</v>
      </c>
    </row>
    <row r="389" spans="1:16" x14ac:dyDescent="0.35">
      <c r="A389" s="5" t="s">
        <v>938</v>
      </c>
      <c r="B389" s="5" t="s">
        <v>1202</v>
      </c>
      <c r="C389" s="5"/>
      <c r="D389" s="5" t="s">
        <v>547</v>
      </c>
      <c r="E389" s="7" t="str">
        <f>IFERROR(VLOOKUP(D389,EQUIPOS!A:B,2,FALSE),"?")</f>
        <v xml:space="preserve">Herramientas/consumibles - Provisión nariz escalera, hierro angulo </v>
      </c>
      <c r="F389" s="5"/>
      <c r="G389" s="11">
        <v>1</v>
      </c>
      <c r="H389" s="12">
        <v>0</v>
      </c>
      <c r="I389" s="7">
        <f>IFERROR(VLOOKUP(D389,EQUIPOS!A:C,3,FALSE),0)</f>
        <v>221.20249999999999</v>
      </c>
      <c r="J389" s="8">
        <f t="shared" si="24"/>
        <v>221.20249999999999</v>
      </c>
      <c r="K389" s="7" t="str">
        <f t="shared" si="25"/>
        <v>PTO-0902|EQ</v>
      </c>
      <c r="L389" s="7">
        <f>COUNTIFS($K$2:K389,K389)</f>
        <v>1</v>
      </c>
      <c r="M389" s="7" t="str">
        <f t="shared" si="26"/>
        <v>PTO-0902|EQ|1</v>
      </c>
      <c r="N389" s="7">
        <f>IFERROR(VLOOKUP(A389,PARTIDAS!A:F,6,FALSE),0)</f>
        <v>1</v>
      </c>
      <c r="O389" s="7">
        <f t="shared" si="27"/>
        <v>0</v>
      </c>
      <c r="P389" s="7">
        <f>IFERROR(_xlfn.XLOOKUP(A389,PPTO_GENERADOR!$Q:$Q,PPTO_GENERADOR!$E:$E,"-",0),"-")</f>
        <v>122</v>
      </c>
    </row>
    <row r="390" spans="1:16" x14ac:dyDescent="0.35">
      <c r="A390" s="5" t="s">
        <v>940</v>
      </c>
      <c r="B390" s="5" t="s">
        <v>1203</v>
      </c>
      <c r="C390" s="5" t="s">
        <v>1205</v>
      </c>
      <c r="D390" s="5" t="s">
        <v>136</v>
      </c>
      <c r="E390" s="7" t="str">
        <f>IFERROR(VLOOKUP(D390,MATERIALES!A:B,2,FALSE),"?")</f>
        <v>ARENA LAVADA</v>
      </c>
      <c r="F390" s="5"/>
      <c r="G390" s="11">
        <v>6.0000000000000001E-3</v>
      </c>
      <c r="H390" s="12">
        <v>0.1</v>
      </c>
      <c r="I390" s="7">
        <f>IFERROR(VLOOKUP(D390,MATERIALES!A:D,4,FALSE),0)</f>
        <v>31265.15</v>
      </c>
      <c r="J390" s="8">
        <f t="shared" si="24"/>
        <v>206.34999000000002</v>
      </c>
      <c r="K390" s="7" t="str">
        <f t="shared" si="25"/>
        <v>PTO-0903|MAT</v>
      </c>
      <c r="L390" s="7">
        <f>COUNTIFS($K$2:K390,K390)</f>
        <v>1</v>
      </c>
      <c r="M390" s="7" t="str">
        <f t="shared" si="26"/>
        <v>PTO-0903|MAT|1</v>
      </c>
      <c r="N390" s="7">
        <f>IFERROR(VLOOKUP(A390,PARTIDAS!A:F,6,FALSE),0)</f>
        <v>1</v>
      </c>
      <c r="O390" s="7">
        <f t="shared" si="27"/>
        <v>0</v>
      </c>
      <c r="P390" s="7">
        <f>IFERROR(_xlfn.XLOOKUP(A390,PPTO_GENERADOR!$Q:$Q,PPTO_GENERADOR!$E:$E,"-",0),"-")</f>
        <v>155</v>
      </c>
    </row>
    <row r="391" spans="1:16" x14ac:dyDescent="0.35">
      <c r="A391" s="5" t="s">
        <v>940</v>
      </c>
      <c r="B391" s="5" t="s">
        <v>1203</v>
      </c>
      <c r="C391" s="5" t="s">
        <v>1205</v>
      </c>
      <c r="D391" s="5" t="s">
        <v>175</v>
      </c>
      <c r="E391" s="7" t="str">
        <f>IFERROR(VLOOKUP(D391,MATERIALES!A:B,2,FALSE),"?")</f>
        <v>Aditivo Hidrofugo en pasta - Ceresita x 1kg</v>
      </c>
      <c r="F391" s="5"/>
      <c r="G391" s="11">
        <v>0.1</v>
      </c>
      <c r="H391" s="12">
        <v>0.05</v>
      </c>
      <c r="I391" s="7">
        <f>IFERROR(VLOOKUP(D391,MATERIALES!A:D,4,FALSE),0)</f>
        <v>1162.7550000000001</v>
      </c>
      <c r="J391" s="8">
        <f t="shared" si="24"/>
        <v>122.08927500000003</v>
      </c>
      <c r="K391" s="7" t="str">
        <f t="shared" si="25"/>
        <v>PTO-0903|MAT</v>
      </c>
      <c r="L391" s="7">
        <f>COUNTIFS($K$2:K391,K391)</f>
        <v>2</v>
      </c>
      <c r="M391" s="7" t="str">
        <f t="shared" si="26"/>
        <v>PTO-0903|MAT|2</v>
      </c>
      <c r="N391" s="7">
        <f>IFERROR(VLOOKUP(A391,PARTIDAS!A:F,6,FALSE),0)</f>
        <v>1</v>
      </c>
      <c r="O391" s="7">
        <f t="shared" si="27"/>
        <v>0</v>
      </c>
      <c r="P391" s="7">
        <f>IFERROR(_xlfn.XLOOKUP(A391,PPTO_GENERADOR!$Q:$Q,PPTO_GENERADOR!$E:$E,"-",0),"-")</f>
        <v>155</v>
      </c>
    </row>
    <row r="392" spans="1:16" x14ac:dyDescent="0.35">
      <c r="A392" s="5" t="s">
        <v>940</v>
      </c>
      <c r="B392" s="5" t="s">
        <v>1203</v>
      </c>
      <c r="C392" s="5" t="s">
        <v>1205</v>
      </c>
      <c r="D392" s="5" t="s">
        <v>140</v>
      </c>
      <c r="E392" s="7" t="str">
        <f>IFERROR(VLOOKUP(D392,MATERIALES!A:B,2,FALSE),"?")</f>
        <v>Cemento Portland x 50kg</v>
      </c>
      <c r="F392" s="5"/>
      <c r="G392" s="11">
        <v>5.3999999999999999E-2</v>
      </c>
      <c r="H392" s="12">
        <v>0.1</v>
      </c>
      <c r="I392" s="7">
        <f>IFERROR(VLOOKUP(D392,MATERIALES!A:D,4,FALSE),0)</f>
        <v>7233.47</v>
      </c>
      <c r="J392" s="8">
        <f t="shared" si="24"/>
        <v>429.66811800000005</v>
      </c>
      <c r="K392" s="7" t="str">
        <f t="shared" si="25"/>
        <v>PTO-0903|MAT</v>
      </c>
      <c r="L392" s="7">
        <f>COUNTIFS($K$2:K392,K392)</f>
        <v>3</v>
      </c>
      <c r="M392" s="7" t="str">
        <f t="shared" si="26"/>
        <v>PTO-0903|MAT|3</v>
      </c>
      <c r="N392" s="7">
        <f>IFERROR(VLOOKUP(A392,PARTIDAS!A:F,6,FALSE),0)</f>
        <v>1</v>
      </c>
      <c r="O392" s="7">
        <f t="shared" si="27"/>
        <v>0</v>
      </c>
      <c r="P392" s="7">
        <f>IFERROR(_xlfn.XLOOKUP(A392,PPTO_GENERADOR!$Q:$Q,PPTO_GENERADOR!$E:$E,"-",0),"-")</f>
        <v>155</v>
      </c>
    </row>
    <row r="393" spans="1:16" x14ac:dyDescent="0.35">
      <c r="A393" s="5" t="s">
        <v>940</v>
      </c>
      <c r="B393" s="5" t="s">
        <v>1198</v>
      </c>
      <c r="C393" s="5" t="s">
        <v>1201</v>
      </c>
      <c r="D393" s="5" t="s">
        <v>475</v>
      </c>
      <c r="E393" s="7" t="str">
        <f>IFERROR(VLOOKUP(D393,MANO_DE_OBRA!A:B,2,FALSE),"?")</f>
        <v>AYUDANTE</v>
      </c>
      <c r="F393" s="5" t="s">
        <v>1200</v>
      </c>
      <c r="G393" s="11">
        <v>1.428571E-2</v>
      </c>
      <c r="H393" s="12">
        <v>0</v>
      </c>
      <c r="I393" s="7">
        <f>IFERROR(VLOOKUP(D393,MANO_DE_OBRA!A:C,3,FALSE),0)</f>
        <v>49934.239999999998</v>
      </c>
      <c r="J393" s="8">
        <f t="shared" si="24"/>
        <v>713.3460717104</v>
      </c>
      <c r="K393" s="7" t="str">
        <f t="shared" si="25"/>
        <v>PTO-0903|MO</v>
      </c>
      <c r="L393" s="7">
        <f>COUNTIFS($K$2:K393,K393)</f>
        <v>1</v>
      </c>
      <c r="M393" s="7" t="str">
        <f t="shared" si="26"/>
        <v>PTO-0903|MO|1</v>
      </c>
      <c r="N393" s="7">
        <f>IFERROR(VLOOKUP(A393,PARTIDAS!A:F,6,FALSE),0)</f>
        <v>1</v>
      </c>
      <c r="O393" s="7">
        <f t="shared" si="27"/>
        <v>1.428571E-2</v>
      </c>
      <c r="P393" s="7">
        <f>IFERROR(_xlfn.XLOOKUP(A393,PPTO_GENERADOR!$Q:$Q,PPTO_GENERADOR!$E:$E,"-",0),"-")</f>
        <v>155</v>
      </c>
    </row>
    <row r="394" spans="1:16" x14ac:dyDescent="0.35">
      <c r="A394" s="5" t="s">
        <v>940</v>
      </c>
      <c r="B394" s="5" t="s">
        <v>1198</v>
      </c>
      <c r="C394" s="5" t="s">
        <v>1201</v>
      </c>
      <c r="D394" s="5" t="s">
        <v>477</v>
      </c>
      <c r="E394" s="7" t="str">
        <f>IFERROR(VLOOKUP(D394,MANO_DE_OBRA!A:B,2,FALSE),"?")</f>
        <v>ESPECIALIZADO</v>
      </c>
      <c r="F394" s="5" t="s">
        <v>1200</v>
      </c>
      <c r="G394" s="11">
        <v>3.5714290000000003E-2</v>
      </c>
      <c r="H394" s="12">
        <v>0</v>
      </c>
      <c r="I394" s="7">
        <f>IFERROR(VLOOKUP(D394,MANO_DE_OBRA!A:C,3,FALSE),0)</f>
        <v>75113.05</v>
      </c>
      <c r="J394" s="8">
        <f t="shared" si="24"/>
        <v>2682.6092504845001</v>
      </c>
      <c r="K394" s="7" t="str">
        <f t="shared" si="25"/>
        <v>PTO-0903|MO</v>
      </c>
      <c r="L394" s="7">
        <f>COUNTIFS($K$2:K394,K394)</f>
        <v>2</v>
      </c>
      <c r="M394" s="7" t="str">
        <f t="shared" si="26"/>
        <v>PTO-0903|MO|2</v>
      </c>
      <c r="N394" s="7">
        <f>IFERROR(VLOOKUP(A394,PARTIDAS!A:F,6,FALSE),0)</f>
        <v>1</v>
      </c>
      <c r="O394" s="7">
        <f t="shared" si="27"/>
        <v>3.5714290000000003E-2</v>
      </c>
      <c r="P394" s="7">
        <f>IFERROR(_xlfn.XLOOKUP(A394,PPTO_GENERADOR!$Q:$Q,PPTO_GENERADOR!$E:$E,"-",0),"-")</f>
        <v>155</v>
      </c>
    </row>
    <row r="395" spans="1:16" x14ac:dyDescent="0.35">
      <c r="A395" s="5" t="s">
        <v>940</v>
      </c>
      <c r="B395" s="5" t="s">
        <v>1202</v>
      </c>
      <c r="C395" s="5"/>
      <c r="D395" s="5" t="s">
        <v>527</v>
      </c>
      <c r="E395" s="7" t="str">
        <f>IFERROR(VLOOKUP(D395,EQUIPOS!A:B,2,FALSE),"?")</f>
        <v>ANDAMIO TUBULAR DE UNO A TRES CUERPOS</v>
      </c>
      <c r="F395" s="5"/>
      <c r="G395" s="11">
        <v>1.7857140000000001E-2</v>
      </c>
      <c r="H395" s="12">
        <v>0</v>
      </c>
      <c r="I395" s="7">
        <f>IFERROR(VLOOKUP(D395,EQUIPOS!A:C,3,FALSE),0)</f>
        <v>556.21879999999999</v>
      </c>
      <c r="J395" s="8">
        <f t="shared" si="24"/>
        <v>9.932476982232</v>
      </c>
      <c r="K395" s="7" t="str">
        <f t="shared" si="25"/>
        <v>PTO-0903|EQ</v>
      </c>
      <c r="L395" s="7">
        <f>COUNTIFS($K$2:K395,K395)</f>
        <v>1</v>
      </c>
      <c r="M395" s="7" t="str">
        <f t="shared" si="26"/>
        <v>PTO-0903|EQ|1</v>
      </c>
      <c r="N395" s="7">
        <f>IFERROR(VLOOKUP(A395,PARTIDAS!A:F,6,FALSE),0)</f>
        <v>1</v>
      </c>
      <c r="O395" s="7">
        <f t="shared" si="27"/>
        <v>0</v>
      </c>
      <c r="P395" s="7">
        <f>IFERROR(_xlfn.XLOOKUP(A395,PPTO_GENERADOR!$Q:$Q,PPTO_GENERADOR!$E:$E,"-",0),"-")</f>
        <v>155</v>
      </c>
    </row>
    <row r="396" spans="1:16" x14ac:dyDescent="0.35">
      <c r="A396" s="5" t="s">
        <v>940</v>
      </c>
      <c r="B396" s="5" t="s">
        <v>1202</v>
      </c>
      <c r="C396" s="5"/>
      <c r="D396" s="5" t="s">
        <v>525</v>
      </c>
      <c r="E396" s="7" t="str">
        <f>IFERROR(VLOOKUP(D396,EQUIPOS!A:B,2,FALSE),"?")</f>
        <v>EQUIPO DE ALBAÑILERIA, carpetas, ladrillo</v>
      </c>
      <c r="F396" s="5"/>
      <c r="G396" s="11">
        <v>3.5714290000000003E-2</v>
      </c>
      <c r="H396" s="12">
        <v>0</v>
      </c>
      <c r="I396" s="7">
        <f>IFERROR(VLOOKUP(D396,EQUIPOS!A:C,3,FALSE),0)</f>
        <v>2227.2298000000001</v>
      </c>
      <c r="J396" s="8">
        <f t="shared" si="24"/>
        <v>79.543930973842009</v>
      </c>
      <c r="K396" s="7" t="str">
        <f t="shared" si="25"/>
        <v>PTO-0903|EQ</v>
      </c>
      <c r="L396" s="7">
        <f>COUNTIFS($K$2:K396,K396)</f>
        <v>2</v>
      </c>
      <c r="M396" s="7" t="str">
        <f t="shared" si="26"/>
        <v>PTO-0903|EQ|2</v>
      </c>
      <c r="N396" s="7">
        <f>IFERROR(VLOOKUP(A396,PARTIDAS!A:F,6,FALSE),0)</f>
        <v>1</v>
      </c>
      <c r="O396" s="7">
        <f t="shared" si="27"/>
        <v>0</v>
      </c>
      <c r="P396" s="7">
        <f>IFERROR(_xlfn.XLOOKUP(A396,PPTO_GENERADOR!$Q:$Q,PPTO_GENERADOR!$E:$E,"-",0),"-")</f>
        <v>155</v>
      </c>
    </row>
    <row r="397" spans="1:16" x14ac:dyDescent="0.35">
      <c r="A397" s="5" t="s">
        <v>940</v>
      </c>
      <c r="B397" s="5" t="s">
        <v>1202</v>
      </c>
      <c r="C397" s="5"/>
      <c r="D397" s="5" t="s">
        <v>529</v>
      </c>
      <c r="E397" s="7" t="str">
        <f>IFERROR(VLOOKUP(D397,EQUIPOS!A:B,2,FALSE),"?")</f>
        <v>Hormigonera De 150 Litros 1hp Con Rueda Maciza</v>
      </c>
      <c r="F397" s="5"/>
      <c r="G397" s="11">
        <v>3.5714290000000003E-2</v>
      </c>
      <c r="H397" s="12">
        <v>0</v>
      </c>
      <c r="I397" s="7">
        <f>IFERROR(VLOOKUP(D397,EQUIPOS!A:C,3,FALSE),0)</f>
        <v>932.18029999999999</v>
      </c>
      <c r="J397" s="8">
        <f t="shared" si="24"/>
        <v>33.292157566486999</v>
      </c>
      <c r="K397" s="7" t="str">
        <f t="shared" si="25"/>
        <v>PTO-0903|EQ</v>
      </c>
      <c r="L397" s="7">
        <f>COUNTIFS($K$2:K397,K397)</f>
        <v>3</v>
      </c>
      <c r="M397" s="7" t="str">
        <f t="shared" si="26"/>
        <v>PTO-0903|EQ|3</v>
      </c>
      <c r="N397" s="7">
        <f>IFERROR(VLOOKUP(A397,PARTIDAS!A:F,6,FALSE),0)</f>
        <v>1</v>
      </c>
      <c r="O397" s="7">
        <f t="shared" si="27"/>
        <v>0</v>
      </c>
      <c r="P397" s="7">
        <f>IFERROR(_xlfn.XLOOKUP(A397,PPTO_GENERADOR!$Q:$Q,PPTO_GENERADOR!$E:$E,"-",0),"-")</f>
        <v>155</v>
      </c>
    </row>
    <row r="398" spans="1:16" x14ac:dyDescent="0.35">
      <c r="A398" s="5" t="s">
        <v>942</v>
      </c>
      <c r="B398" s="5" t="s">
        <v>1203</v>
      </c>
      <c r="C398" s="5" t="s">
        <v>1199</v>
      </c>
      <c r="D398" s="5" t="s">
        <v>209</v>
      </c>
      <c r="E398" s="7" t="str">
        <f>IFERROR(VLOOKUP(D398,MATERIALES!A:B,2,FALSE),"?")</f>
        <v>PLACA CEMENTICIA CONSTRUCCION SECO SUPERBOARD ESTRUCTURAL BORDE RECTO 10MM X 1200MM X 2400MM</v>
      </c>
      <c r="F398" s="5"/>
      <c r="G398" s="11">
        <v>0.12820513</v>
      </c>
      <c r="H398" s="12">
        <v>0</v>
      </c>
      <c r="I398" s="7">
        <f>IFERROR(VLOOKUP(D398,MATERIALES!A:D,4,FALSE),0)</f>
        <v>46060.371899999998</v>
      </c>
      <c r="J398" s="8">
        <f t="shared" si="24"/>
        <v>5905.175967287847</v>
      </c>
      <c r="K398" s="7" t="str">
        <f t="shared" si="25"/>
        <v>PTO-0904|MAT</v>
      </c>
      <c r="L398" s="7">
        <f>COUNTIFS($K$2:K398,K398)</f>
        <v>1</v>
      </c>
      <c r="M398" s="7" t="str">
        <f t="shared" si="26"/>
        <v>PTO-0904|MAT|1</v>
      </c>
      <c r="N398" s="7">
        <f>IFERROR(VLOOKUP(A398,PARTIDAS!A:F,6,FALSE),0)</f>
        <v>1</v>
      </c>
      <c r="O398" s="7">
        <f t="shared" si="27"/>
        <v>0</v>
      </c>
      <c r="P398" s="7">
        <f>IFERROR(_xlfn.XLOOKUP(A398,PPTO_GENERADOR!$Q:$Q,PPTO_GENERADOR!$E:$E,"-",0),"-")</f>
        <v>31.2</v>
      </c>
    </row>
    <row r="399" spans="1:16" x14ac:dyDescent="0.35">
      <c r="A399" s="5" t="s">
        <v>942</v>
      </c>
      <c r="B399" s="5" t="s">
        <v>1198</v>
      </c>
      <c r="C399" s="5" t="s">
        <v>1201</v>
      </c>
      <c r="D399" s="5" t="s">
        <v>481</v>
      </c>
      <c r="E399" s="7" t="str">
        <f>IFERROR(VLOOKUP(D399,MANO_DE_OBRA!A:B,2,FALSE),"?")</f>
        <v>OFICIAL</v>
      </c>
      <c r="F399" s="5" t="s">
        <v>1200</v>
      </c>
      <c r="G399" s="11">
        <v>6.4102560000000003E-2</v>
      </c>
      <c r="H399" s="12">
        <v>0</v>
      </c>
      <c r="I399" s="7">
        <f>IFERROR(VLOOKUP(D399,MANO_DE_OBRA!A:C,3,FALSE),0)</f>
        <v>65360.25</v>
      </c>
      <c r="J399" s="8">
        <f t="shared" si="24"/>
        <v>4189.7593472400004</v>
      </c>
      <c r="K399" s="7" t="str">
        <f t="shared" si="25"/>
        <v>PTO-0904|MO</v>
      </c>
      <c r="L399" s="7">
        <f>COUNTIFS($K$2:K399,K399)</f>
        <v>1</v>
      </c>
      <c r="M399" s="7" t="str">
        <f t="shared" si="26"/>
        <v>PTO-0904|MO|1</v>
      </c>
      <c r="N399" s="7">
        <f>IFERROR(VLOOKUP(A399,PARTIDAS!A:F,6,FALSE),0)</f>
        <v>1</v>
      </c>
      <c r="O399" s="7">
        <f t="shared" si="27"/>
        <v>6.4102560000000003E-2</v>
      </c>
      <c r="P399" s="7">
        <f>IFERROR(_xlfn.XLOOKUP(A399,PPTO_GENERADOR!$Q:$Q,PPTO_GENERADOR!$E:$E,"-",0),"-")</f>
        <v>31.2</v>
      </c>
    </row>
    <row r="400" spans="1:16" x14ac:dyDescent="0.35">
      <c r="A400" s="5" t="s">
        <v>942</v>
      </c>
      <c r="B400" s="5" t="s">
        <v>1198</v>
      </c>
      <c r="C400" s="5" t="s">
        <v>1201</v>
      </c>
      <c r="D400" s="5" t="s">
        <v>475</v>
      </c>
      <c r="E400" s="7" t="str">
        <f>IFERROR(VLOOKUP(D400,MANO_DE_OBRA!A:B,2,FALSE),"?")</f>
        <v>AYUDANTE</v>
      </c>
      <c r="F400" s="5" t="s">
        <v>1200</v>
      </c>
      <c r="G400" s="11">
        <v>0.12820513</v>
      </c>
      <c r="H400" s="12">
        <v>0</v>
      </c>
      <c r="I400" s="7">
        <f>IFERROR(VLOOKUP(D400,MANO_DE_OBRA!A:C,3,FALSE),0)</f>
        <v>49934.239999999998</v>
      </c>
      <c r="J400" s="8">
        <f t="shared" si="24"/>
        <v>6401.8257306511996</v>
      </c>
      <c r="K400" s="7" t="str">
        <f t="shared" si="25"/>
        <v>PTO-0904|MO</v>
      </c>
      <c r="L400" s="7">
        <f>COUNTIFS($K$2:K400,K400)</f>
        <v>2</v>
      </c>
      <c r="M400" s="7" t="str">
        <f t="shared" si="26"/>
        <v>PTO-0904|MO|2</v>
      </c>
      <c r="N400" s="7">
        <f>IFERROR(VLOOKUP(A400,PARTIDAS!A:F,6,FALSE),0)</f>
        <v>1</v>
      </c>
      <c r="O400" s="7">
        <f t="shared" si="27"/>
        <v>0.12820513</v>
      </c>
      <c r="P400" s="7">
        <f>IFERROR(_xlfn.XLOOKUP(A400,PPTO_GENERADOR!$Q:$Q,PPTO_GENERADOR!$E:$E,"-",0),"-")</f>
        <v>31.2</v>
      </c>
    </row>
    <row r="401" spans="1:16" x14ac:dyDescent="0.35">
      <c r="A401" s="5" t="s">
        <v>942</v>
      </c>
      <c r="B401" s="5" t="s">
        <v>1202</v>
      </c>
      <c r="C401" s="5"/>
      <c r="D401" s="5" t="s">
        <v>549</v>
      </c>
      <c r="E401" s="7" t="str">
        <f>IFERROR(VLOOKUP(D401,EQUIPOS!A:B,2,FALSE),"?")</f>
        <v>Herramientas/consumibles - Provisión y colocación de Rodapie/ Zócal</v>
      </c>
      <c r="F401" s="5"/>
      <c r="G401" s="11">
        <v>1</v>
      </c>
      <c r="H401" s="12">
        <v>0</v>
      </c>
      <c r="I401" s="7">
        <f>IFERROR(VLOOKUP(D401,EQUIPOS!A:C,3,FALSE),0)</f>
        <v>265.1669</v>
      </c>
      <c r="J401" s="8">
        <f t="shared" si="24"/>
        <v>265.1669</v>
      </c>
      <c r="K401" s="7" t="str">
        <f t="shared" si="25"/>
        <v>PTO-0904|EQ</v>
      </c>
      <c r="L401" s="7">
        <f>COUNTIFS($K$2:K401,K401)</f>
        <v>1</v>
      </c>
      <c r="M401" s="7" t="str">
        <f t="shared" si="26"/>
        <v>PTO-0904|EQ|1</v>
      </c>
      <c r="N401" s="7">
        <f>IFERROR(VLOOKUP(A401,PARTIDAS!A:F,6,FALSE),0)</f>
        <v>1</v>
      </c>
      <c r="O401" s="7">
        <f t="shared" si="27"/>
        <v>0</v>
      </c>
      <c r="P401" s="7">
        <f>IFERROR(_xlfn.XLOOKUP(A401,PPTO_GENERADOR!$Q:$Q,PPTO_GENERADOR!$E:$E,"-",0),"-")</f>
        <v>31.2</v>
      </c>
    </row>
    <row r="402" spans="1:16" x14ac:dyDescent="0.35">
      <c r="A402" s="5" t="s">
        <v>942</v>
      </c>
      <c r="B402" s="5" t="s">
        <v>1203</v>
      </c>
      <c r="C402" s="5" t="s">
        <v>1204</v>
      </c>
      <c r="D402" s="5" t="s">
        <v>468</v>
      </c>
      <c r="E402" s="7" t="str">
        <f>IFERROR(VLOOKUP(D402,MATERIALES!A:B,2,FALSE),"?")</f>
        <v>Consumibles</v>
      </c>
      <c r="F402" s="5"/>
      <c r="G402" s="11">
        <v>1181.0358000000001</v>
      </c>
      <c r="H402" s="12">
        <v>0</v>
      </c>
      <c r="I402" s="7">
        <f>IFERROR(VLOOKUP(D402,MATERIALES!A:D,4,FALSE),0)</f>
        <v>1</v>
      </c>
      <c r="J402" s="8">
        <f t="shared" si="24"/>
        <v>1181.0358000000001</v>
      </c>
      <c r="K402" s="7" t="str">
        <f t="shared" si="25"/>
        <v>PTO-0904|MAT</v>
      </c>
      <c r="L402" s="7">
        <f>COUNTIFS($K$2:K402,K402)</f>
        <v>2</v>
      </c>
      <c r="M402" s="7" t="str">
        <f t="shared" si="26"/>
        <v>PTO-0904|MAT|2</v>
      </c>
      <c r="N402" s="7">
        <f>IFERROR(VLOOKUP(A402,PARTIDAS!A:F,6,FALSE),0)</f>
        <v>1</v>
      </c>
      <c r="O402" s="7">
        <f t="shared" si="27"/>
        <v>0</v>
      </c>
      <c r="P402" s="7">
        <f>IFERROR(_xlfn.XLOOKUP(A402,PPTO_GENERADOR!$Q:$Q,PPTO_GENERADOR!$E:$E,"-",0),"-")</f>
        <v>31.2</v>
      </c>
    </row>
    <row r="403" spans="1:16" x14ac:dyDescent="0.35">
      <c r="A403" s="5" t="s">
        <v>946</v>
      </c>
      <c r="B403" s="5" t="s">
        <v>1203</v>
      </c>
      <c r="C403" s="5" t="s">
        <v>1199</v>
      </c>
      <c r="D403" s="5" t="s">
        <v>211</v>
      </c>
      <c r="E403" s="7" t="str">
        <f>IFERROR(VLOOKUP(D403,MATERIALES!A:B,2,FALSE),"?")</f>
        <v>Ventilación Baños - En caño Ø 110</v>
      </c>
      <c r="F403" s="5"/>
      <c r="G403" s="11">
        <v>1</v>
      </c>
      <c r="H403" s="12">
        <v>0</v>
      </c>
      <c r="I403" s="7">
        <f>IFERROR(VLOOKUP(D403,MATERIALES!A:D,4,FALSE),0)</f>
        <v>700000</v>
      </c>
      <c r="J403" s="8">
        <f t="shared" si="24"/>
        <v>700000</v>
      </c>
      <c r="K403" s="7" t="str">
        <f t="shared" si="25"/>
        <v>PTO-1002|MAT</v>
      </c>
      <c r="L403" s="7">
        <f>COUNTIFS($K$2:K403,K403)</f>
        <v>1</v>
      </c>
      <c r="M403" s="7" t="str">
        <f t="shared" si="26"/>
        <v>PTO-1002|MAT|1</v>
      </c>
      <c r="N403" s="7">
        <f>IFERROR(VLOOKUP(A403,PARTIDAS!A:F,6,FALSE),0)</f>
        <v>1</v>
      </c>
      <c r="O403" s="7">
        <f t="shared" si="27"/>
        <v>0</v>
      </c>
      <c r="P403" s="7">
        <f>IFERROR(_xlfn.XLOOKUP(A403,PPTO_GENERADOR!$Q:$Q,PPTO_GENERADOR!$E:$E,"-",0),"-")</f>
        <v>1</v>
      </c>
    </row>
    <row r="404" spans="1:16" x14ac:dyDescent="0.35">
      <c r="A404" s="5" t="s">
        <v>946</v>
      </c>
      <c r="B404" s="5" t="s">
        <v>1198</v>
      </c>
      <c r="C404" s="5" t="s">
        <v>1199</v>
      </c>
      <c r="D404" s="5" t="s">
        <v>701</v>
      </c>
      <c r="E404" s="7" t="str">
        <f>IFERROR(VLOOKUP(D404,SUBCONTRATOS_PRY!A:B,2,FALSE),"?")</f>
        <v>Ventilación Baños - En caño Ø 110</v>
      </c>
      <c r="F404" s="5" t="s">
        <v>1200</v>
      </c>
      <c r="G404" s="11">
        <v>1</v>
      </c>
      <c r="H404" s="12">
        <v>0</v>
      </c>
      <c r="I404" s="7">
        <f>IFERROR(VLOOKUP(D404,SUBCONTRATOS_PRY!A:D,4,FALSE),0)</f>
        <v>1050000</v>
      </c>
      <c r="J404" s="8">
        <f t="shared" si="24"/>
        <v>1050000</v>
      </c>
      <c r="K404" s="7" t="str">
        <f t="shared" si="25"/>
        <v>PTO-1002|MO</v>
      </c>
      <c r="L404" s="7">
        <f>COUNTIFS($K$2:K404,K404)</f>
        <v>1</v>
      </c>
      <c r="M404" s="7" t="str">
        <f t="shared" si="26"/>
        <v>PTO-1002|MO|1</v>
      </c>
      <c r="N404" s="7">
        <f>IFERROR(VLOOKUP(A404,PARTIDAS!A:F,6,FALSE),0)</f>
        <v>1</v>
      </c>
      <c r="O404" s="7">
        <f t="shared" si="27"/>
        <v>0</v>
      </c>
      <c r="P404" s="7">
        <f>IFERROR(_xlfn.XLOOKUP(A404,PPTO_GENERADOR!$Q:$Q,PPTO_GENERADOR!$E:$E,"-",0),"-")</f>
        <v>1</v>
      </c>
    </row>
    <row r="405" spans="1:16" x14ac:dyDescent="0.35">
      <c r="A405" s="5" t="s">
        <v>950</v>
      </c>
      <c r="B405" s="5" t="s">
        <v>1203</v>
      </c>
      <c r="C405" s="5" t="s">
        <v>1199</v>
      </c>
      <c r="D405" s="5" t="s">
        <v>213</v>
      </c>
      <c r="E405" s="7" t="str">
        <f>IFERROR(VLOOKUP(D405,MATERIALES!A:B,2,FALSE),"?")</f>
        <v>COVE: Sombreretes en chapa prepintad</v>
      </c>
      <c r="F405" s="5"/>
      <c r="G405" s="11">
        <v>1</v>
      </c>
      <c r="H405" s="12">
        <v>0</v>
      </c>
      <c r="I405" s="7">
        <f>IFERROR(VLOOKUP(D405,MATERIALES!A:D,4,FALSE),0)</f>
        <v>225038.87599999999</v>
      </c>
      <c r="J405" s="8">
        <f t="shared" si="24"/>
        <v>225038.87599999999</v>
      </c>
      <c r="K405" s="7" t="str">
        <f t="shared" si="25"/>
        <v>PTO-1004|MAT</v>
      </c>
      <c r="L405" s="7">
        <f>COUNTIFS($K$2:K405,K405)</f>
        <v>1</v>
      </c>
      <c r="M405" s="7" t="str">
        <f t="shared" si="26"/>
        <v>PTO-1004|MAT|1</v>
      </c>
      <c r="N405" s="7">
        <f>IFERROR(VLOOKUP(A405,PARTIDAS!A:F,6,FALSE),0)</f>
        <v>1</v>
      </c>
      <c r="O405" s="7">
        <f t="shared" si="27"/>
        <v>0</v>
      </c>
      <c r="P405" s="7">
        <f>IFERROR(_xlfn.XLOOKUP(A405,PPTO_GENERADOR!$Q:$Q,PPTO_GENERADOR!$E:$E,"-",0),"-")</f>
        <v>7</v>
      </c>
    </row>
    <row r="406" spans="1:16" x14ac:dyDescent="0.35">
      <c r="A406" s="5" t="s">
        <v>950</v>
      </c>
      <c r="B406" s="5" t="s">
        <v>1198</v>
      </c>
      <c r="C406" s="5" t="s">
        <v>1199</v>
      </c>
      <c r="D406" s="5" t="s">
        <v>702</v>
      </c>
      <c r="E406" s="7" t="str">
        <f>IFERROR(VLOOKUP(D406,SUBCONTRATOS_PRY!A:B,2,FALSE),"?")</f>
        <v>COVE: Sombreretes en chapa prepintad</v>
      </c>
      <c r="F406" s="5" t="s">
        <v>1200</v>
      </c>
      <c r="G406" s="11">
        <v>1</v>
      </c>
      <c r="H406" s="12">
        <v>0</v>
      </c>
      <c r="I406" s="7">
        <f>IFERROR(VLOOKUP(D406,SUBCONTRATOS_PRY!A:D,4,FALSE),0)</f>
        <v>55670.194300000003</v>
      </c>
      <c r="J406" s="8">
        <f t="shared" si="24"/>
        <v>55670.194300000003</v>
      </c>
      <c r="K406" s="7" t="str">
        <f t="shared" si="25"/>
        <v>PTO-1004|MO</v>
      </c>
      <c r="L406" s="7">
        <f>COUNTIFS($K$2:K406,K406)</f>
        <v>1</v>
      </c>
      <c r="M406" s="7" t="str">
        <f t="shared" si="26"/>
        <v>PTO-1004|MO|1</v>
      </c>
      <c r="N406" s="7">
        <f>IFERROR(VLOOKUP(A406,PARTIDAS!A:F,6,FALSE),0)</f>
        <v>1</v>
      </c>
      <c r="O406" s="7">
        <f t="shared" si="27"/>
        <v>0</v>
      </c>
      <c r="P406" s="7">
        <f>IFERROR(_xlfn.XLOOKUP(A406,PPTO_GENERADOR!$Q:$Q,PPTO_GENERADOR!$E:$E,"-",0),"-")</f>
        <v>7</v>
      </c>
    </row>
    <row r="407" spans="1:16" x14ac:dyDescent="0.35">
      <c r="A407" s="5" t="s">
        <v>953</v>
      </c>
      <c r="B407" s="5" t="s">
        <v>1203</v>
      </c>
      <c r="C407" s="5" t="s">
        <v>1205</v>
      </c>
      <c r="D407" s="5" t="s">
        <v>215</v>
      </c>
      <c r="E407" s="7" t="str">
        <f>IFERROR(VLOOKUP(D407,MATERIALES!A:B,2,FALSE),"?")</f>
        <v>Adhesivo Klaukol Porcellanato Fluido x 30Kg</v>
      </c>
      <c r="F407" s="5"/>
      <c r="G407" s="11">
        <v>0.2</v>
      </c>
      <c r="H407" s="12">
        <v>0.2</v>
      </c>
      <c r="I407" s="7">
        <f>IFERROR(VLOOKUP(D407,MATERIALES!A:D,4,FALSE),0)</f>
        <v>21494.592000000001</v>
      </c>
      <c r="J407" s="8">
        <f t="shared" si="24"/>
        <v>5158.70208</v>
      </c>
      <c r="K407" s="7" t="str">
        <f t="shared" si="25"/>
        <v>PTO-1101|MAT</v>
      </c>
      <c r="L407" s="7">
        <f>COUNTIFS($K$2:K407,K407)</f>
        <v>1</v>
      </c>
      <c r="M407" s="7" t="str">
        <f t="shared" si="26"/>
        <v>PTO-1101|MAT|1</v>
      </c>
      <c r="N407" s="7">
        <f>IFERROR(VLOOKUP(A407,PARTIDAS!A:F,6,FALSE),0)</f>
        <v>1</v>
      </c>
      <c r="O407" s="7">
        <f t="shared" si="27"/>
        <v>0</v>
      </c>
      <c r="P407" s="7">
        <f>IFERROR(_xlfn.XLOOKUP(A407,PPTO_GENERADOR!$Q:$Q,PPTO_GENERADOR!$E:$E,"-",0),"-")</f>
        <v>30</v>
      </c>
    </row>
    <row r="408" spans="1:16" x14ac:dyDescent="0.35">
      <c r="A408" s="5" t="s">
        <v>953</v>
      </c>
      <c r="B408" s="5" t="s">
        <v>1203</v>
      </c>
      <c r="C408" s="5" t="s">
        <v>1205</v>
      </c>
      <c r="D408" s="5" t="s">
        <v>217</v>
      </c>
      <c r="E408" s="7" t="str">
        <f>IFERROR(VLOOKUP(D408,MATERIALES!A:B,2,FALSE),"?")</f>
        <v>Pastina Klaukol x 1kg - Alta performance</v>
      </c>
      <c r="F408" s="5"/>
      <c r="G408" s="11">
        <v>0.2</v>
      </c>
      <c r="H408" s="12">
        <v>0.05</v>
      </c>
      <c r="I408" s="7">
        <f>IFERROR(VLOOKUP(D408,MATERIALES!A:D,4,FALSE),0)</f>
        <v>2930.36</v>
      </c>
      <c r="J408" s="8">
        <f t="shared" si="24"/>
        <v>615.37560000000008</v>
      </c>
      <c r="K408" s="7" t="str">
        <f t="shared" si="25"/>
        <v>PTO-1101|MAT</v>
      </c>
      <c r="L408" s="7">
        <f>COUNTIFS($K$2:K408,K408)</f>
        <v>2</v>
      </c>
      <c r="M408" s="7" t="str">
        <f t="shared" si="26"/>
        <v>PTO-1101|MAT|2</v>
      </c>
      <c r="N408" s="7">
        <f>IFERROR(VLOOKUP(A408,PARTIDAS!A:F,6,FALSE),0)</f>
        <v>1</v>
      </c>
      <c r="O408" s="7">
        <f t="shared" si="27"/>
        <v>0</v>
      </c>
      <c r="P408" s="7">
        <f>IFERROR(_xlfn.XLOOKUP(A408,PPTO_GENERADOR!$Q:$Q,PPTO_GENERADOR!$E:$E,"-",0),"-")</f>
        <v>30</v>
      </c>
    </row>
    <row r="409" spans="1:16" x14ac:dyDescent="0.35">
      <c r="A409" s="5" t="s">
        <v>953</v>
      </c>
      <c r="B409" s="5" t="s">
        <v>1203</v>
      </c>
      <c r="C409" s="5" t="s">
        <v>1205</v>
      </c>
      <c r="D409" s="5" t="s">
        <v>219</v>
      </c>
      <c r="E409" s="7" t="str">
        <f>IFERROR(VLOOKUP(D409,MATERIALES!A:B,2,FALSE),"?")</f>
        <v>Disco Diamantado Aliafor Turbo Fino TRF</v>
      </c>
      <c r="F409" s="5"/>
      <c r="G409" s="11">
        <v>4.0000000000000001E-3</v>
      </c>
      <c r="H409" s="12">
        <v>0.05</v>
      </c>
      <c r="I409" s="7">
        <f>IFERROR(VLOOKUP(D409,MATERIALES!A:D,4,FALSE),0)</f>
        <v>21453.297500000001</v>
      </c>
      <c r="J409" s="8">
        <f t="shared" si="24"/>
        <v>90.10384950000001</v>
      </c>
      <c r="K409" s="7" t="str">
        <f t="shared" si="25"/>
        <v>PTO-1101|MAT</v>
      </c>
      <c r="L409" s="7">
        <f>COUNTIFS($K$2:K409,K409)</f>
        <v>3</v>
      </c>
      <c r="M409" s="7" t="str">
        <f t="shared" si="26"/>
        <v>PTO-1101|MAT|3</v>
      </c>
      <c r="N409" s="7">
        <f>IFERROR(VLOOKUP(A409,PARTIDAS!A:F,6,FALSE),0)</f>
        <v>1</v>
      </c>
      <c r="O409" s="7">
        <f t="shared" si="27"/>
        <v>0</v>
      </c>
      <c r="P409" s="7">
        <f>IFERROR(_xlfn.XLOOKUP(A409,PPTO_GENERADOR!$Q:$Q,PPTO_GENERADOR!$E:$E,"-",0),"-")</f>
        <v>30</v>
      </c>
    </row>
    <row r="410" spans="1:16" x14ac:dyDescent="0.35">
      <c r="A410" s="5" t="s">
        <v>953</v>
      </c>
      <c r="B410" s="5" t="s">
        <v>1203</v>
      </c>
      <c r="C410" s="5" t="s">
        <v>1205</v>
      </c>
      <c r="D410" s="5" t="s">
        <v>221</v>
      </c>
      <c r="E410" s="7" t="str">
        <f>IFERROR(VLOOKUP(D410,MATERIALES!A:B,2,FALSE),"?")</f>
        <v>Arco y cuña niveladores porcelanatos x 150 un</v>
      </c>
      <c r="F410" s="5"/>
      <c r="G410" s="11">
        <v>0.04</v>
      </c>
      <c r="H410" s="12">
        <v>0.05</v>
      </c>
      <c r="I410" s="7">
        <f>IFERROR(VLOOKUP(D410,MATERIALES!A:D,4,FALSE),0)</f>
        <v>32805.983500000002</v>
      </c>
      <c r="J410" s="8">
        <f t="shared" si="24"/>
        <v>1377.8513070000001</v>
      </c>
      <c r="K410" s="7" t="str">
        <f t="shared" si="25"/>
        <v>PTO-1101|MAT</v>
      </c>
      <c r="L410" s="7">
        <f>COUNTIFS($K$2:K410,K410)</f>
        <v>4</v>
      </c>
      <c r="M410" s="7" t="str">
        <f t="shared" si="26"/>
        <v>PTO-1101|MAT|4</v>
      </c>
      <c r="N410" s="7">
        <f>IFERROR(VLOOKUP(A410,PARTIDAS!A:F,6,FALSE),0)</f>
        <v>1</v>
      </c>
      <c r="O410" s="7">
        <f t="shared" si="27"/>
        <v>0</v>
      </c>
      <c r="P410" s="7">
        <f>IFERROR(_xlfn.XLOOKUP(A410,PPTO_GENERADOR!$Q:$Q,PPTO_GENERADOR!$E:$E,"-",0),"-")</f>
        <v>30</v>
      </c>
    </row>
    <row r="411" spans="1:16" x14ac:dyDescent="0.35">
      <c r="A411" s="5" t="s">
        <v>953</v>
      </c>
      <c r="B411" s="5" t="s">
        <v>1203</v>
      </c>
      <c r="C411" s="5" t="s">
        <v>1205</v>
      </c>
      <c r="D411" s="5" t="s">
        <v>169</v>
      </c>
      <c r="E411" s="7" t="str">
        <f>IFERROR(VLOOKUP(D411,MATERIALES!A:B,2,FALSE),"?")</f>
        <v>Trapo</v>
      </c>
      <c r="F411" s="5"/>
      <c r="G411" s="11">
        <v>0.01</v>
      </c>
      <c r="H411" s="12">
        <v>0.03</v>
      </c>
      <c r="I411" s="7">
        <f>IFERROR(VLOOKUP(D411,MATERIALES!A:D,4,FALSE),0)</f>
        <v>784.06</v>
      </c>
      <c r="J411" s="8">
        <f t="shared" si="24"/>
        <v>8.0758179999999999</v>
      </c>
      <c r="K411" s="7" t="str">
        <f t="shared" si="25"/>
        <v>PTO-1101|MAT</v>
      </c>
      <c r="L411" s="7">
        <f>COUNTIFS($K$2:K411,K411)</f>
        <v>5</v>
      </c>
      <c r="M411" s="7" t="str">
        <f t="shared" si="26"/>
        <v>PTO-1101|MAT|5</v>
      </c>
      <c r="N411" s="7">
        <f>IFERROR(VLOOKUP(A411,PARTIDAS!A:F,6,FALSE),0)</f>
        <v>1</v>
      </c>
      <c r="O411" s="7">
        <f t="shared" si="27"/>
        <v>0</v>
      </c>
      <c r="P411" s="7">
        <f>IFERROR(_xlfn.XLOOKUP(A411,PPTO_GENERADOR!$Q:$Q,PPTO_GENERADOR!$E:$E,"-",0),"-")</f>
        <v>30</v>
      </c>
    </row>
    <row r="412" spans="1:16" x14ac:dyDescent="0.35">
      <c r="A412" s="5" t="s">
        <v>953</v>
      </c>
      <c r="B412" s="5" t="s">
        <v>1198</v>
      </c>
      <c r="C412" s="5" t="s">
        <v>1201</v>
      </c>
      <c r="D412" s="5" t="s">
        <v>479</v>
      </c>
      <c r="E412" s="7" t="str">
        <f>IFERROR(VLOOKUP(D412,MANO_DE_OBRA!A:B,2,FALSE),"?")</f>
        <v>MEDIO OFICIAL</v>
      </c>
      <c r="F412" s="5" t="s">
        <v>1200</v>
      </c>
      <c r="G412" s="11">
        <v>7.6923080000000005E-2</v>
      </c>
      <c r="H412" s="12">
        <v>0</v>
      </c>
      <c r="I412" s="7">
        <f>IFERROR(VLOOKUP(D412,MANO_DE_OBRA!A:C,3,FALSE),0)</f>
        <v>54784.07</v>
      </c>
      <c r="J412" s="8">
        <f t="shared" si="24"/>
        <v>4214.1593993356</v>
      </c>
      <c r="K412" s="7" t="str">
        <f t="shared" si="25"/>
        <v>PTO-1101|MO</v>
      </c>
      <c r="L412" s="7">
        <f>COUNTIFS($K$2:K412,K412)</f>
        <v>1</v>
      </c>
      <c r="M412" s="7" t="str">
        <f t="shared" si="26"/>
        <v>PTO-1101|MO|1</v>
      </c>
      <c r="N412" s="7">
        <f>IFERROR(VLOOKUP(A412,PARTIDAS!A:F,6,FALSE),0)</f>
        <v>1</v>
      </c>
      <c r="O412" s="7">
        <f t="shared" si="27"/>
        <v>7.6923080000000005E-2</v>
      </c>
      <c r="P412" s="7">
        <f>IFERROR(_xlfn.XLOOKUP(A412,PPTO_GENERADOR!$Q:$Q,PPTO_GENERADOR!$E:$E,"-",0),"-")</f>
        <v>30</v>
      </c>
    </row>
    <row r="413" spans="1:16" x14ac:dyDescent="0.35">
      <c r="A413" s="5" t="s">
        <v>953</v>
      </c>
      <c r="B413" s="5" t="s">
        <v>1198</v>
      </c>
      <c r="C413" s="5" t="s">
        <v>1201</v>
      </c>
      <c r="D413" s="5" t="s">
        <v>477</v>
      </c>
      <c r="E413" s="7" t="str">
        <f>IFERROR(VLOOKUP(D413,MANO_DE_OBRA!A:B,2,FALSE),"?")</f>
        <v>ESPECIALIZADO</v>
      </c>
      <c r="F413" s="5" t="s">
        <v>1200</v>
      </c>
      <c r="G413" s="11">
        <v>7.6923080000000005E-2</v>
      </c>
      <c r="H413" s="12">
        <v>0</v>
      </c>
      <c r="I413" s="7">
        <f>IFERROR(VLOOKUP(D413,MANO_DE_OBRA!A:C,3,FALSE),0)</f>
        <v>75113.05</v>
      </c>
      <c r="J413" s="8">
        <f t="shared" si="24"/>
        <v>5777.9271541940007</v>
      </c>
      <c r="K413" s="7" t="str">
        <f t="shared" si="25"/>
        <v>PTO-1101|MO</v>
      </c>
      <c r="L413" s="7">
        <f>COUNTIFS($K$2:K413,K413)</f>
        <v>2</v>
      </c>
      <c r="M413" s="7" t="str">
        <f t="shared" si="26"/>
        <v>PTO-1101|MO|2</v>
      </c>
      <c r="N413" s="7">
        <f>IFERROR(VLOOKUP(A413,PARTIDAS!A:F,6,FALSE),0)</f>
        <v>1</v>
      </c>
      <c r="O413" s="7">
        <f t="shared" si="27"/>
        <v>7.6923080000000005E-2</v>
      </c>
      <c r="P413" s="7">
        <f>IFERROR(_xlfn.XLOOKUP(A413,PPTO_GENERADOR!$Q:$Q,PPTO_GENERADOR!$E:$E,"-",0),"-")</f>
        <v>30</v>
      </c>
    </row>
    <row r="414" spans="1:16" x14ac:dyDescent="0.35">
      <c r="A414" s="5" t="s">
        <v>953</v>
      </c>
      <c r="B414" s="5" t="s">
        <v>1202</v>
      </c>
      <c r="C414" s="5"/>
      <c r="D414" s="5" t="s">
        <v>551</v>
      </c>
      <c r="E414" s="7" t="str">
        <f>IFERROR(VLOOKUP(D414,EQUIPOS!A:B,2,FALSE),"?")</f>
        <v>EQUIPO PARA COLOCACION DE CERAMICA</v>
      </c>
      <c r="F414" s="5"/>
      <c r="G414" s="11">
        <v>7.6923080000000005E-2</v>
      </c>
      <c r="H414" s="12">
        <v>0</v>
      </c>
      <c r="I414" s="7">
        <f>IFERROR(VLOOKUP(D414,EQUIPOS!A:C,3,FALSE),0)</f>
        <v>2568.0682999999999</v>
      </c>
      <c r="J414" s="8">
        <f t="shared" si="24"/>
        <v>197.54372328636401</v>
      </c>
      <c r="K414" s="7" t="str">
        <f t="shared" si="25"/>
        <v>PTO-1101|EQ</v>
      </c>
      <c r="L414" s="7">
        <f>COUNTIFS($K$2:K414,K414)</f>
        <v>1</v>
      </c>
      <c r="M414" s="7" t="str">
        <f t="shared" si="26"/>
        <v>PTO-1101|EQ|1</v>
      </c>
      <c r="N414" s="7">
        <f>IFERROR(VLOOKUP(A414,PARTIDAS!A:F,6,FALSE),0)</f>
        <v>1</v>
      </c>
      <c r="O414" s="7">
        <f t="shared" si="27"/>
        <v>0</v>
      </c>
      <c r="P414" s="7">
        <f>IFERROR(_xlfn.XLOOKUP(A414,PPTO_GENERADOR!$Q:$Q,PPTO_GENERADOR!$E:$E,"-",0),"-")</f>
        <v>30</v>
      </c>
    </row>
    <row r="415" spans="1:16" x14ac:dyDescent="0.35">
      <c r="A415" s="5" t="s">
        <v>953</v>
      </c>
      <c r="B415" s="5" t="s">
        <v>1202</v>
      </c>
      <c r="C415" s="5"/>
      <c r="D415" s="5" t="s">
        <v>553</v>
      </c>
      <c r="E415" s="7" t="str">
        <f>IFERROR(VLOOKUP(D415,EQUIPOS!A:B,2,FALSE),"?")</f>
        <v>CORTADORA CERAMICA PROFESIONAL 1200MM (PORCELANATO HASTA 16MM)</v>
      </c>
      <c r="F415" s="5"/>
      <c r="G415" s="11">
        <v>7.6923080000000005E-2</v>
      </c>
      <c r="H415" s="12">
        <v>0</v>
      </c>
      <c r="I415" s="7">
        <f>IFERROR(VLOOKUP(D415,EQUIPOS!A:C,3,FALSE),0)</f>
        <v>290.60739999999998</v>
      </c>
      <c r="J415" s="8">
        <f t="shared" si="24"/>
        <v>22.354416278792002</v>
      </c>
      <c r="K415" s="7" t="str">
        <f t="shared" si="25"/>
        <v>PTO-1101|EQ</v>
      </c>
      <c r="L415" s="7">
        <f>COUNTIFS($K$2:K415,K415)</f>
        <v>2</v>
      </c>
      <c r="M415" s="7" t="str">
        <f t="shared" si="26"/>
        <v>PTO-1101|EQ|2</v>
      </c>
      <c r="N415" s="7">
        <f>IFERROR(VLOOKUP(A415,PARTIDAS!A:F,6,FALSE),0)</f>
        <v>1</v>
      </c>
      <c r="O415" s="7">
        <f t="shared" si="27"/>
        <v>0</v>
      </c>
      <c r="P415" s="7">
        <f>IFERROR(_xlfn.XLOOKUP(A415,PPTO_GENERADOR!$Q:$Q,PPTO_GENERADOR!$E:$E,"-",0),"-")</f>
        <v>30</v>
      </c>
    </row>
    <row r="416" spans="1:16" x14ac:dyDescent="0.35">
      <c r="A416" s="5" t="s">
        <v>955</v>
      </c>
      <c r="B416" s="5" t="s">
        <v>1203</v>
      </c>
      <c r="C416" s="5" t="s">
        <v>1205</v>
      </c>
      <c r="D416" s="5" t="s">
        <v>215</v>
      </c>
      <c r="E416" s="7" t="str">
        <f>IFERROR(VLOOKUP(D416,MATERIALES!A:B,2,FALSE),"?")</f>
        <v>Adhesivo Klaukol Porcellanato Fluido x 30Kg</v>
      </c>
      <c r="F416" s="5"/>
      <c r="G416" s="11">
        <v>0.2</v>
      </c>
      <c r="H416" s="12">
        <v>0.2</v>
      </c>
      <c r="I416" s="7">
        <f>IFERROR(VLOOKUP(D416,MATERIALES!A:D,4,FALSE),0)</f>
        <v>21494.592000000001</v>
      </c>
      <c r="J416" s="8">
        <f t="shared" si="24"/>
        <v>5158.70208</v>
      </c>
      <c r="K416" s="7" t="str">
        <f t="shared" si="25"/>
        <v>PTO-1102|MAT</v>
      </c>
      <c r="L416" s="7">
        <f>COUNTIFS($K$2:K416,K416)</f>
        <v>1</v>
      </c>
      <c r="M416" s="7" t="str">
        <f t="shared" si="26"/>
        <v>PTO-1102|MAT|1</v>
      </c>
      <c r="N416" s="7">
        <f>IFERROR(VLOOKUP(A416,PARTIDAS!A:F,6,FALSE),0)</f>
        <v>1</v>
      </c>
      <c r="O416" s="7">
        <f t="shared" si="27"/>
        <v>0</v>
      </c>
      <c r="P416" s="7">
        <f>IFERROR(_xlfn.XLOOKUP(A416,PPTO_GENERADOR!$Q:$Q,PPTO_GENERADOR!$E:$E,"-",0),"-")</f>
        <v>185</v>
      </c>
    </row>
    <row r="417" spans="1:16" x14ac:dyDescent="0.35">
      <c r="A417" s="5" t="s">
        <v>955</v>
      </c>
      <c r="B417" s="5" t="s">
        <v>1203</v>
      </c>
      <c r="C417" s="5" t="s">
        <v>1205</v>
      </c>
      <c r="D417" s="5" t="s">
        <v>217</v>
      </c>
      <c r="E417" s="7" t="str">
        <f>IFERROR(VLOOKUP(D417,MATERIALES!A:B,2,FALSE),"?")</f>
        <v>Pastina Klaukol x 1kg - Alta performance</v>
      </c>
      <c r="F417" s="5"/>
      <c r="G417" s="11">
        <v>0.2</v>
      </c>
      <c r="H417" s="12">
        <v>0.05</v>
      </c>
      <c r="I417" s="7">
        <f>IFERROR(VLOOKUP(D417,MATERIALES!A:D,4,FALSE),0)</f>
        <v>2930.36</v>
      </c>
      <c r="J417" s="8">
        <f t="shared" si="24"/>
        <v>615.37560000000008</v>
      </c>
      <c r="K417" s="7" t="str">
        <f t="shared" si="25"/>
        <v>PTO-1102|MAT</v>
      </c>
      <c r="L417" s="7">
        <f>COUNTIFS($K$2:K417,K417)</f>
        <v>2</v>
      </c>
      <c r="M417" s="7" t="str">
        <f t="shared" si="26"/>
        <v>PTO-1102|MAT|2</v>
      </c>
      <c r="N417" s="7">
        <f>IFERROR(VLOOKUP(A417,PARTIDAS!A:F,6,FALSE),0)</f>
        <v>1</v>
      </c>
      <c r="O417" s="7">
        <f t="shared" si="27"/>
        <v>0</v>
      </c>
      <c r="P417" s="7">
        <f>IFERROR(_xlfn.XLOOKUP(A417,PPTO_GENERADOR!$Q:$Q,PPTO_GENERADOR!$E:$E,"-",0),"-")</f>
        <v>185</v>
      </c>
    </row>
    <row r="418" spans="1:16" x14ac:dyDescent="0.35">
      <c r="A418" s="5" t="s">
        <v>955</v>
      </c>
      <c r="B418" s="5" t="s">
        <v>1203</v>
      </c>
      <c r="C418" s="5" t="s">
        <v>1205</v>
      </c>
      <c r="D418" s="5" t="s">
        <v>219</v>
      </c>
      <c r="E418" s="7" t="str">
        <f>IFERROR(VLOOKUP(D418,MATERIALES!A:B,2,FALSE),"?")</f>
        <v>Disco Diamantado Aliafor Turbo Fino TRF</v>
      </c>
      <c r="F418" s="5"/>
      <c r="G418" s="11">
        <v>4.0000000000000001E-3</v>
      </c>
      <c r="H418" s="12">
        <v>0.05</v>
      </c>
      <c r="I418" s="7">
        <f>IFERROR(VLOOKUP(D418,MATERIALES!A:D,4,FALSE),0)</f>
        <v>21453.297500000001</v>
      </c>
      <c r="J418" s="8">
        <f t="shared" si="24"/>
        <v>90.10384950000001</v>
      </c>
      <c r="K418" s="7" t="str">
        <f t="shared" si="25"/>
        <v>PTO-1102|MAT</v>
      </c>
      <c r="L418" s="7">
        <f>COUNTIFS($K$2:K418,K418)</f>
        <v>3</v>
      </c>
      <c r="M418" s="7" t="str">
        <f t="shared" si="26"/>
        <v>PTO-1102|MAT|3</v>
      </c>
      <c r="N418" s="7">
        <f>IFERROR(VLOOKUP(A418,PARTIDAS!A:F,6,FALSE),0)</f>
        <v>1</v>
      </c>
      <c r="O418" s="7">
        <f t="shared" si="27"/>
        <v>0</v>
      </c>
      <c r="P418" s="7">
        <f>IFERROR(_xlfn.XLOOKUP(A418,PPTO_GENERADOR!$Q:$Q,PPTO_GENERADOR!$E:$E,"-",0),"-")</f>
        <v>185</v>
      </c>
    </row>
    <row r="419" spans="1:16" x14ac:dyDescent="0.35">
      <c r="A419" s="5" t="s">
        <v>955</v>
      </c>
      <c r="B419" s="5" t="s">
        <v>1203</v>
      </c>
      <c r="C419" s="5" t="s">
        <v>1205</v>
      </c>
      <c r="D419" s="5" t="s">
        <v>221</v>
      </c>
      <c r="E419" s="7" t="str">
        <f>IFERROR(VLOOKUP(D419,MATERIALES!A:B,2,FALSE),"?")</f>
        <v>Arco y cuña niveladores porcelanatos x 150 un</v>
      </c>
      <c r="F419" s="5"/>
      <c r="G419" s="11">
        <v>0.04</v>
      </c>
      <c r="H419" s="12">
        <v>0.05</v>
      </c>
      <c r="I419" s="7">
        <f>IFERROR(VLOOKUP(D419,MATERIALES!A:D,4,FALSE),0)</f>
        <v>32805.983500000002</v>
      </c>
      <c r="J419" s="8">
        <f t="shared" si="24"/>
        <v>1377.8513070000001</v>
      </c>
      <c r="K419" s="7" t="str">
        <f t="shared" si="25"/>
        <v>PTO-1102|MAT</v>
      </c>
      <c r="L419" s="7">
        <f>COUNTIFS($K$2:K419,K419)</f>
        <v>4</v>
      </c>
      <c r="M419" s="7" t="str">
        <f t="shared" si="26"/>
        <v>PTO-1102|MAT|4</v>
      </c>
      <c r="N419" s="7">
        <f>IFERROR(VLOOKUP(A419,PARTIDAS!A:F,6,FALSE),0)</f>
        <v>1</v>
      </c>
      <c r="O419" s="7">
        <f t="shared" si="27"/>
        <v>0</v>
      </c>
      <c r="P419" s="7">
        <f>IFERROR(_xlfn.XLOOKUP(A419,PPTO_GENERADOR!$Q:$Q,PPTO_GENERADOR!$E:$E,"-",0),"-")</f>
        <v>185</v>
      </c>
    </row>
    <row r="420" spans="1:16" x14ac:dyDescent="0.35">
      <c r="A420" s="5" t="s">
        <v>955</v>
      </c>
      <c r="B420" s="5" t="s">
        <v>1203</v>
      </c>
      <c r="C420" s="5" t="s">
        <v>1205</v>
      </c>
      <c r="D420" s="5" t="s">
        <v>169</v>
      </c>
      <c r="E420" s="7" t="str">
        <f>IFERROR(VLOOKUP(D420,MATERIALES!A:B,2,FALSE),"?")</f>
        <v>Trapo</v>
      </c>
      <c r="F420" s="5"/>
      <c r="G420" s="11">
        <v>0.01</v>
      </c>
      <c r="H420" s="12">
        <v>0.03</v>
      </c>
      <c r="I420" s="7">
        <f>IFERROR(VLOOKUP(D420,MATERIALES!A:D,4,FALSE),0)</f>
        <v>784.06</v>
      </c>
      <c r="J420" s="8">
        <f t="shared" si="24"/>
        <v>8.0758179999999999</v>
      </c>
      <c r="K420" s="7" t="str">
        <f t="shared" si="25"/>
        <v>PTO-1102|MAT</v>
      </c>
      <c r="L420" s="7">
        <f>COUNTIFS($K$2:K420,K420)</f>
        <v>5</v>
      </c>
      <c r="M420" s="7" t="str">
        <f t="shared" si="26"/>
        <v>PTO-1102|MAT|5</v>
      </c>
      <c r="N420" s="7">
        <f>IFERROR(VLOOKUP(A420,PARTIDAS!A:F,6,FALSE),0)</f>
        <v>1</v>
      </c>
      <c r="O420" s="7">
        <f t="shared" si="27"/>
        <v>0</v>
      </c>
      <c r="P420" s="7">
        <f>IFERROR(_xlfn.XLOOKUP(A420,PPTO_GENERADOR!$Q:$Q,PPTO_GENERADOR!$E:$E,"-",0),"-")</f>
        <v>185</v>
      </c>
    </row>
    <row r="421" spans="1:16" x14ac:dyDescent="0.35">
      <c r="A421" s="5" t="s">
        <v>955</v>
      </c>
      <c r="B421" s="5" t="s">
        <v>1198</v>
      </c>
      <c r="C421" s="5" t="s">
        <v>1201</v>
      </c>
      <c r="D421" s="5" t="s">
        <v>479</v>
      </c>
      <c r="E421" s="7" t="str">
        <f>IFERROR(VLOOKUP(D421,MANO_DE_OBRA!A:B,2,FALSE),"?")</f>
        <v>MEDIO OFICIAL</v>
      </c>
      <c r="F421" s="5" t="s">
        <v>1200</v>
      </c>
      <c r="G421" s="11">
        <v>7.6923080000000005E-2</v>
      </c>
      <c r="H421" s="12">
        <v>0</v>
      </c>
      <c r="I421" s="7">
        <f>IFERROR(VLOOKUP(D421,MANO_DE_OBRA!A:C,3,FALSE),0)</f>
        <v>54784.07</v>
      </c>
      <c r="J421" s="8">
        <f t="shared" si="24"/>
        <v>4214.1593993356</v>
      </c>
      <c r="K421" s="7" t="str">
        <f t="shared" si="25"/>
        <v>PTO-1102|MO</v>
      </c>
      <c r="L421" s="7">
        <f>COUNTIFS($K$2:K421,K421)</f>
        <v>1</v>
      </c>
      <c r="M421" s="7" t="str">
        <f t="shared" si="26"/>
        <v>PTO-1102|MO|1</v>
      </c>
      <c r="N421" s="7">
        <f>IFERROR(VLOOKUP(A421,PARTIDAS!A:F,6,FALSE),0)</f>
        <v>1</v>
      </c>
      <c r="O421" s="7">
        <f t="shared" si="27"/>
        <v>7.6923080000000005E-2</v>
      </c>
      <c r="P421" s="7">
        <f>IFERROR(_xlfn.XLOOKUP(A421,PPTO_GENERADOR!$Q:$Q,PPTO_GENERADOR!$E:$E,"-",0),"-")</f>
        <v>185</v>
      </c>
    </row>
    <row r="422" spans="1:16" x14ac:dyDescent="0.35">
      <c r="A422" s="5" t="s">
        <v>955</v>
      </c>
      <c r="B422" s="5" t="s">
        <v>1198</v>
      </c>
      <c r="C422" s="5" t="s">
        <v>1201</v>
      </c>
      <c r="D422" s="5" t="s">
        <v>477</v>
      </c>
      <c r="E422" s="7" t="str">
        <f>IFERROR(VLOOKUP(D422,MANO_DE_OBRA!A:B,2,FALSE),"?")</f>
        <v>ESPECIALIZADO</v>
      </c>
      <c r="F422" s="5" t="s">
        <v>1200</v>
      </c>
      <c r="G422" s="11">
        <v>7.6923080000000005E-2</v>
      </c>
      <c r="H422" s="12">
        <v>0</v>
      </c>
      <c r="I422" s="7">
        <f>IFERROR(VLOOKUP(D422,MANO_DE_OBRA!A:C,3,FALSE),0)</f>
        <v>75113.05</v>
      </c>
      <c r="J422" s="8">
        <f t="shared" si="24"/>
        <v>5777.9271541940007</v>
      </c>
      <c r="K422" s="7" t="str">
        <f t="shared" si="25"/>
        <v>PTO-1102|MO</v>
      </c>
      <c r="L422" s="7">
        <f>COUNTIFS($K$2:K422,K422)</f>
        <v>2</v>
      </c>
      <c r="M422" s="7" t="str">
        <f t="shared" si="26"/>
        <v>PTO-1102|MO|2</v>
      </c>
      <c r="N422" s="7">
        <f>IFERROR(VLOOKUP(A422,PARTIDAS!A:F,6,FALSE),0)</f>
        <v>1</v>
      </c>
      <c r="O422" s="7">
        <f t="shared" si="27"/>
        <v>7.6923080000000005E-2</v>
      </c>
      <c r="P422" s="7">
        <f>IFERROR(_xlfn.XLOOKUP(A422,PPTO_GENERADOR!$Q:$Q,PPTO_GENERADOR!$E:$E,"-",0),"-")</f>
        <v>185</v>
      </c>
    </row>
    <row r="423" spans="1:16" x14ac:dyDescent="0.35">
      <c r="A423" s="5" t="s">
        <v>955</v>
      </c>
      <c r="B423" s="5" t="s">
        <v>1202</v>
      </c>
      <c r="C423" s="5"/>
      <c r="D423" s="5" t="s">
        <v>551</v>
      </c>
      <c r="E423" s="7" t="str">
        <f>IFERROR(VLOOKUP(D423,EQUIPOS!A:B,2,FALSE),"?")</f>
        <v>EQUIPO PARA COLOCACION DE CERAMICA</v>
      </c>
      <c r="F423" s="5"/>
      <c r="G423" s="11">
        <v>7.6923080000000005E-2</v>
      </c>
      <c r="H423" s="12">
        <v>0</v>
      </c>
      <c r="I423" s="7">
        <f>IFERROR(VLOOKUP(D423,EQUIPOS!A:C,3,FALSE),0)</f>
        <v>2568.0682999999999</v>
      </c>
      <c r="J423" s="8">
        <f t="shared" si="24"/>
        <v>197.54372328636401</v>
      </c>
      <c r="K423" s="7" t="str">
        <f t="shared" si="25"/>
        <v>PTO-1102|EQ</v>
      </c>
      <c r="L423" s="7">
        <f>COUNTIFS($K$2:K423,K423)</f>
        <v>1</v>
      </c>
      <c r="M423" s="7" t="str">
        <f t="shared" si="26"/>
        <v>PTO-1102|EQ|1</v>
      </c>
      <c r="N423" s="7">
        <f>IFERROR(VLOOKUP(A423,PARTIDAS!A:F,6,FALSE),0)</f>
        <v>1</v>
      </c>
      <c r="O423" s="7">
        <f t="shared" si="27"/>
        <v>0</v>
      </c>
      <c r="P423" s="7">
        <f>IFERROR(_xlfn.XLOOKUP(A423,PPTO_GENERADOR!$Q:$Q,PPTO_GENERADOR!$E:$E,"-",0),"-")</f>
        <v>185</v>
      </c>
    </row>
    <row r="424" spans="1:16" x14ac:dyDescent="0.35">
      <c r="A424" s="5" t="s">
        <v>955</v>
      </c>
      <c r="B424" s="5" t="s">
        <v>1202</v>
      </c>
      <c r="C424" s="5"/>
      <c r="D424" s="5" t="s">
        <v>553</v>
      </c>
      <c r="E424" s="7" t="str">
        <f>IFERROR(VLOOKUP(D424,EQUIPOS!A:B,2,FALSE),"?")</f>
        <v>CORTADORA CERAMICA PROFESIONAL 1200MM (PORCELANATO HASTA 16MM)</v>
      </c>
      <c r="F424" s="5"/>
      <c r="G424" s="11">
        <v>7.6923080000000005E-2</v>
      </c>
      <c r="H424" s="12">
        <v>0</v>
      </c>
      <c r="I424" s="7">
        <f>IFERROR(VLOOKUP(D424,EQUIPOS!A:C,3,FALSE),0)</f>
        <v>290.60739999999998</v>
      </c>
      <c r="J424" s="8">
        <f t="shared" si="24"/>
        <v>22.354416278792002</v>
      </c>
      <c r="K424" s="7" t="str">
        <f t="shared" si="25"/>
        <v>PTO-1102|EQ</v>
      </c>
      <c r="L424" s="7">
        <f>COUNTIFS($K$2:K424,K424)</f>
        <v>2</v>
      </c>
      <c r="M424" s="7" t="str">
        <f t="shared" si="26"/>
        <v>PTO-1102|EQ|2</v>
      </c>
      <c r="N424" s="7">
        <f>IFERROR(VLOOKUP(A424,PARTIDAS!A:F,6,FALSE),0)</f>
        <v>1</v>
      </c>
      <c r="O424" s="7">
        <f t="shared" si="27"/>
        <v>0</v>
      </c>
      <c r="P424" s="7">
        <f>IFERROR(_xlfn.XLOOKUP(A424,PPTO_GENERADOR!$Q:$Q,PPTO_GENERADOR!$E:$E,"-",0),"-")</f>
        <v>185</v>
      </c>
    </row>
    <row r="425" spans="1:16" x14ac:dyDescent="0.35">
      <c r="A425" s="5" t="s">
        <v>957</v>
      </c>
      <c r="B425" s="5" t="s">
        <v>1203</v>
      </c>
      <c r="C425" s="5" t="s">
        <v>1205</v>
      </c>
      <c r="D425" s="5" t="s">
        <v>215</v>
      </c>
      <c r="E425" s="7" t="str">
        <f>IFERROR(VLOOKUP(D425,MATERIALES!A:B,2,FALSE),"?")</f>
        <v>Adhesivo Klaukol Porcellanato Fluido x 30Kg</v>
      </c>
      <c r="F425" s="5"/>
      <c r="G425" s="11">
        <v>0.2</v>
      </c>
      <c r="H425" s="12">
        <v>0.2</v>
      </c>
      <c r="I425" s="7">
        <f>IFERROR(VLOOKUP(D425,MATERIALES!A:D,4,FALSE),0)</f>
        <v>21494.592000000001</v>
      </c>
      <c r="J425" s="8">
        <f t="shared" si="24"/>
        <v>5158.70208</v>
      </c>
      <c r="K425" s="7" t="str">
        <f t="shared" si="25"/>
        <v>PTO-1103|MAT</v>
      </c>
      <c r="L425" s="7">
        <f>COUNTIFS($K$2:K425,K425)</f>
        <v>1</v>
      </c>
      <c r="M425" s="7" t="str">
        <f t="shared" si="26"/>
        <v>PTO-1103|MAT|1</v>
      </c>
      <c r="N425" s="7">
        <f>IFERROR(VLOOKUP(A425,PARTIDAS!A:F,6,FALSE),0)</f>
        <v>1</v>
      </c>
      <c r="O425" s="7">
        <f t="shared" si="27"/>
        <v>0</v>
      </c>
      <c r="P425" s="7">
        <f>IFERROR(_xlfn.XLOOKUP(A425,PPTO_GENERADOR!$Q:$Q,PPTO_GENERADOR!$E:$E,"-",0),"-")</f>
        <v>942</v>
      </c>
    </row>
    <row r="426" spans="1:16" x14ac:dyDescent="0.35">
      <c r="A426" s="5" t="s">
        <v>957</v>
      </c>
      <c r="B426" s="5" t="s">
        <v>1203</v>
      </c>
      <c r="C426" s="5" t="s">
        <v>1205</v>
      </c>
      <c r="D426" s="5" t="s">
        <v>217</v>
      </c>
      <c r="E426" s="7" t="str">
        <f>IFERROR(VLOOKUP(D426,MATERIALES!A:B,2,FALSE),"?")</f>
        <v>Pastina Klaukol x 1kg - Alta performance</v>
      </c>
      <c r="F426" s="5"/>
      <c r="G426" s="11">
        <v>0.2</v>
      </c>
      <c r="H426" s="12">
        <v>0.05</v>
      </c>
      <c r="I426" s="7">
        <f>IFERROR(VLOOKUP(D426,MATERIALES!A:D,4,FALSE),0)</f>
        <v>2930.36</v>
      </c>
      <c r="J426" s="8">
        <f t="shared" si="24"/>
        <v>615.37560000000008</v>
      </c>
      <c r="K426" s="7" t="str">
        <f t="shared" si="25"/>
        <v>PTO-1103|MAT</v>
      </c>
      <c r="L426" s="7">
        <f>COUNTIFS($K$2:K426,K426)</f>
        <v>2</v>
      </c>
      <c r="M426" s="7" t="str">
        <f t="shared" si="26"/>
        <v>PTO-1103|MAT|2</v>
      </c>
      <c r="N426" s="7">
        <f>IFERROR(VLOOKUP(A426,PARTIDAS!A:F,6,FALSE),0)</f>
        <v>1</v>
      </c>
      <c r="O426" s="7">
        <f t="shared" si="27"/>
        <v>0</v>
      </c>
      <c r="P426" s="7">
        <f>IFERROR(_xlfn.XLOOKUP(A426,PPTO_GENERADOR!$Q:$Q,PPTO_GENERADOR!$E:$E,"-",0),"-")</f>
        <v>942</v>
      </c>
    </row>
    <row r="427" spans="1:16" x14ac:dyDescent="0.35">
      <c r="A427" s="5" t="s">
        <v>957</v>
      </c>
      <c r="B427" s="5" t="s">
        <v>1203</v>
      </c>
      <c r="C427" s="5" t="s">
        <v>1205</v>
      </c>
      <c r="D427" s="5" t="s">
        <v>219</v>
      </c>
      <c r="E427" s="7" t="str">
        <f>IFERROR(VLOOKUP(D427,MATERIALES!A:B,2,FALSE),"?")</f>
        <v>Disco Diamantado Aliafor Turbo Fino TRF</v>
      </c>
      <c r="F427" s="5"/>
      <c r="G427" s="11">
        <v>4.0000000000000001E-3</v>
      </c>
      <c r="H427" s="12">
        <v>0.05</v>
      </c>
      <c r="I427" s="7">
        <f>IFERROR(VLOOKUP(D427,MATERIALES!A:D,4,FALSE),0)</f>
        <v>21453.297500000001</v>
      </c>
      <c r="J427" s="8">
        <f t="shared" si="24"/>
        <v>90.10384950000001</v>
      </c>
      <c r="K427" s="7" t="str">
        <f t="shared" si="25"/>
        <v>PTO-1103|MAT</v>
      </c>
      <c r="L427" s="7">
        <f>COUNTIFS($K$2:K427,K427)</f>
        <v>3</v>
      </c>
      <c r="M427" s="7" t="str">
        <f t="shared" si="26"/>
        <v>PTO-1103|MAT|3</v>
      </c>
      <c r="N427" s="7">
        <f>IFERROR(VLOOKUP(A427,PARTIDAS!A:F,6,FALSE),0)</f>
        <v>1</v>
      </c>
      <c r="O427" s="7">
        <f t="shared" si="27"/>
        <v>0</v>
      </c>
      <c r="P427" s="7">
        <f>IFERROR(_xlfn.XLOOKUP(A427,PPTO_GENERADOR!$Q:$Q,PPTO_GENERADOR!$E:$E,"-",0),"-")</f>
        <v>942</v>
      </c>
    </row>
    <row r="428" spans="1:16" x14ac:dyDescent="0.35">
      <c r="A428" s="5" t="s">
        <v>957</v>
      </c>
      <c r="B428" s="5" t="s">
        <v>1203</v>
      </c>
      <c r="C428" s="5" t="s">
        <v>1205</v>
      </c>
      <c r="D428" s="5" t="s">
        <v>221</v>
      </c>
      <c r="E428" s="7" t="str">
        <f>IFERROR(VLOOKUP(D428,MATERIALES!A:B,2,FALSE),"?")</f>
        <v>Arco y cuña niveladores porcelanatos x 150 un</v>
      </c>
      <c r="F428" s="5"/>
      <c r="G428" s="11">
        <v>0.04</v>
      </c>
      <c r="H428" s="12">
        <v>0.05</v>
      </c>
      <c r="I428" s="7">
        <f>IFERROR(VLOOKUP(D428,MATERIALES!A:D,4,FALSE),0)</f>
        <v>32805.983500000002</v>
      </c>
      <c r="J428" s="8">
        <f t="shared" si="24"/>
        <v>1377.8513070000001</v>
      </c>
      <c r="K428" s="7" t="str">
        <f t="shared" si="25"/>
        <v>PTO-1103|MAT</v>
      </c>
      <c r="L428" s="7">
        <f>COUNTIFS($K$2:K428,K428)</f>
        <v>4</v>
      </c>
      <c r="M428" s="7" t="str">
        <f t="shared" si="26"/>
        <v>PTO-1103|MAT|4</v>
      </c>
      <c r="N428" s="7">
        <f>IFERROR(VLOOKUP(A428,PARTIDAS!A:F,6,FALSE),0)</f>
        <v>1</v>
      </c>
      <c r="O428" s="7">
        <f t="shared" si="27"/>
        <v>0</v>
      </c>
      <c r="P428" s="7">
        <f>IFERROR(_xlfn.XLOOKUP(A428,PPTO_GENERADOR!$Q:$Q,PPTO_GENERADOR!$E:$E,"-",0),"-")</f>
        <v>942</v>
      </c>
    </row>
    <row r="429" spans="1:16" x14ac:dyDescent="0.35">
      <c r="A429" s="5" t="s">
        <v>957</v>
      </c>
      <c r="B429" s="5" t="s">
        <v>1203</v>
      </c>
      <c r="C429" s="5" t="s">
        <v>1205</v>
      </c>
      <c r="D429" s="5" t="s">
        <v>169</v>
      </c>
      <c r="E429" s="7" t="str">
        <f>IFERROR(VLOOKUP(D429,MATERIALES!A:B,2,FALSE),"?")</f>
        <v>Trapo</v>
      </c>
      <c r="F429" s="5"/>
      <c r="G429" s="11">
        <v>0.01</v>
      </c>
      <c r="H429" s="12">
        <v>0.03</v>
      </c>
      <c r="I429" s="7">
        <f>IFERROR(VLOOKUP(D429,MATERIALES!A:D,4,FALSE),0)</f>
        <v>784.06</v>
      </c>
      <c r="J429" s="8">
        <f t="shared" si="24"/>
        <v>8.0758179999999999</v>
      </c>
      <c r="K429" s="7" t="str">
        <f t="shared" si="25"/>
        <v>PTO-1103|MAT</v>
      </c>
      <c r="L429" s="7">
        <f>COUNTIFS($K$2:K429,K429)</f>
        <v>5</v>
      </c>
      <c r="M429" s="7" t="str">
        <f t="shared" si="26"/>
        <v>PTO-1103|MAT|5</v>
      </c>
      <c r="N429" s="7">
        <f>IFERROR(VLOOKUP(A429,PARTIDAS!A:F,6,FALSE),0)</f>
        <v>1</v>
      </c>
      <c r="O429" s="7">
        <f t="shared" si="27"/>
        <v>0</v>
      </c>
      <c r="P429" s="7">
        <f>IFERROR(_xlfn.XLOOKUP(A429,PPTO_GENERADOR!$Q:$Q,PPTO_GENERADOR!$E:$E,"-",0),"-")</f>
        <v>942</v>
      </c>
    </row>
    <row r="430" spans="1:16" x14ac:dyDescent="0.35">
      <c r="A430" s="5" t="s">
        <v>957</v>
      </c>
      <c r="B430" s="5" t="s">
        <v>1198</v>
      </c>
      <c r="C430" s="5" t="s">
        <v>1201</v>
      </c>
      <c r="D430" s="5" t="s">
        <v>479</v>
      </c>
      <c r="E430" s="7" t="str">
        <f>IFERROR(VLOOKUP(D430,MANO_DE_OBRA!A:B,2,FALSE),"?")</f>
        <v>MEDIO OFICIAL</v>
      </c>
      <c r="F430" s="5" t="s">
        <v>1200</v>
      </c>
      <c r="G430" s="11">
        <v>7.6923080000000005E-2</v>
      </c>
      <c r="H430" s="12">
        <v>0</v>
      </c>
      <c r="I430" s="7">
        <f>IFERROR(VLOOKUP(D430,MANO_DE_OBRA!A:C,3,FALSE),0)</f>
        <v>54784.07</v>
      </c>
      <c r="J430" s="8">
        <f t="shared" si="24"/>
        <v>4214.1593993356</v>
      </c>
      <c r="K430" s="7" t="str">
        <f t="shared" si="25"/>
        <v>PTO-1103|MO</v>
      </c>
      <c r="L430" s="7">
        <f>COUNTIFS($K$2:K430,K430)</f>
        <v>1</v>
      </c>
      <c r="M430" s="7" t="str">
        <f t="shared" si="26"/>
        <v>PTO-1103|MO|1</v>
      </c>
      <c r="N430" s="7">
        <f>IFERROR(VLOOKUP(A430,PARTIDAS!A:F,6,FALSE),0)</f>
        <v>1</v>
      </c>
      <c r="O430" s="7">
        <f t="shared" si="27"/>
        <v>7.6923080000000005E-2</v>
      </c>
      <c r="P430" s="7">
        <f>IFERROR(_xlfn.XLOOKUP(A430,PPTO_GENERADOR!$Q:$Q,PPTO_GENERADOR!$E:$E,"-",0),"-")</f>
        <v>942</v>
      </c>
    </row>
    <row r="431" spans="1:16" x14ac:dyDescent="0.35">
      <c r="A431" s="5" t="s">
        <v>957</v>
      </c>
      <c r="B431" s="5" t="s">
        <v>1198</v>
      </c>
      <c r="C431" s="5" t="s">
        <v>1201</v>
      </c>
      <c r="D431" s="5" t="s">
        <v>477</v>
      </c>
      <c r="E431" s="7" t="str">
        <f>IFERROR(VLOOKUP(D431,MANO_DE_OBRA!A:B,2,FALSE),"?")</f>
        <v>ESPECIALIZADO</v>
      </c>
      <c r="F431" s="5" t="s">
        <v>1200</v>
      </c>
      <c r="G431" s="11">
        <v>7.6923080000000005E-2</v>
      </c>
      <c r="H431" s="12">
        <v>0</v>
      </c>
      <c r="I431" s="7">
        <f>IFERROR(VLOOKUP(D431,MANO_DE_OBRA!A:C,3,FALSE),0)</f>
        <v>75113.05</v>
      </c>
      <c r="J431" s="8">
        <f t="shared" si="24"/>
        <v>5777.9271541940007</v>
      </c>
      <c r="K431" s="7" t="str">
        <f t="shared" si="25"/>
        <v>PTO-1103|MO</v>
      </c>
      <c r="L431" s="7">
        <f>COUNTIFS($K$2:K431,K431)</f>
        <v>2</v>
      </c>
      <c r="M431" s="7" t="str">
        <f t="shared" si="26"/>
        <v>PTO-1103|MO|2</v>
      </c>
      <c r="N431" s="7">
        <f>IFERROR(VLOOKUP(A431,PARTIDAS!A:F,6,FALSE),0)</f>
        <v>1</v>
      </c>
      <c r="O431" s="7">
        <f t="shared" si="27"/>
        <v>7.6923080000000005E-2</v>
      </c>
      <c r="P431" s="7">
        <f>IFERROR(_xlfn.XLOOKUP(A431,PPTO_GENERADOR!$Q:$Q,PPTO_GENERADOR!$E:$E,"-",0),"-")</f>
        <v>942</v>
      </c>
    </row>
    <row r="432" spans="1:16" x14ac:dyDescent="0.35">
      <c r="A432" s="5" t="s">
        <v>957</v>
      </c>
      <c r="B432" s="5" t="s">
        <v>1202</v>
      </c>
      <c r="C432" s="5"/>
      <c r="D432" s="5" t="s">
        <v>551</v>
      </c>
      <c r="E432" s="7" t="str">
        <f>IFERROR(VLOOKUP(D432,EQUIPOS!A:B,2,FALSE),"?")</f>
        <v>EQUIPO PARA COLOCACION DE CERAMICA</v>
      </c>
      <c r="F432" s="5"/>
      <c r="G432" s="11">
        <v>7.6923080000000005E-2</v>
      </c>
      <c r="H432" s="12">
        <v>0</v>
      </c>
      <c r="I432" s="7">
        <f>IFERROR(VLOOKUP(D432,EQUIPOS!A:C,3,FALSE),0)</f>
        <v>2568.0682999999999</v>
      </c>
      <c r="J432" s="8">
        <f t="shared" si="24"/>
        <v>197.54372328636401</v>
      </c>
      <c r="K432" s="7" t="str">
        <f t="shared" si="25"/>
        <v>PTO-1103|EQ</v>
      </c>
      <c r="L432" s="7">
        <f>COUNTIFS($K$2:K432,K432)</f>
        <v>1</v>
      </c>
      <c r="M432" s="7" t="str">
        <f t="shared" si="26"/>
        <v>PTO-1103|EQ|1</v>
      </c>
      <c r="N432" s="7">
        <f>IFERROR(VLOOKUP(A432,PARTIDAS!A:F,6,FALSE),0)</f>
        <v>1</v>
      </c>
      <c r="O432" s="7">
        <f t="shared" si="27"/>
        <v>0</v>
      </c>
      <c r="P432" s="7">
        <f>IFERROR(_xlfn.XLOOKUP(A432,PPTO_GENERADOR!$Q:$Q,PPTO_GENERADOR!$E:$E,"-",0),"-")</f>
        <v>942</v>
      </c>
    </row>
    <row r="433" spans="1:16" x14ac:dyDescent="0.35">
      <c r="A433" s="5" t="s">
        <v>957</v>
      </c>
      <c r="B433" s="5" t="s">
        <v>1202</v>
      </c>
      <c r="C433" s="5"/>
      <c r="D433" s="5" t="s">
        <v>553</v>
      </c>
      <c r="E433" s="7" t="str">
        <f>IFERROR(VLOOKUP(D433,EQUIPOS!A:B,2,FALSE),"?")</f>
        <v>CORTADORA CERAMICA PROFESIONAL 1200MM (PORCELANATO HASTA 16MM)</v>
      </c>
      <c r="F433" s="5"/>
      <c r="G433" s="11">
        <v>7.6923080000000005E-2</v>
      </c>
      <c r="H433" s="12">
        <v>0</v>
      </c>
      <c r="I433" s="7">
        <f>IFERROR(VLOOKUP(D433,EQUIPOS!A:C,3,FALSE),0)</f>
        <v>290.60739999999998</v>
      </c>
      <c r="J433" s="8">
        <f t="shared" si="24"/>
        <v>22.354416278792002</v>
      </c>
      <c r="K433" s="7" t="str">
        <f t="shared" si="25"/>
        <v>PTO-1103|EQ</v>
      </c>
      <c r="L433" s="7">
        <f>COUNTIFS($K$2:K433,K433)</f>
        <v>2</v>
      </c>
      <c r="M433" s="7" t="str">
        <f t="shared" si="26"/>
        <v>PTO-1103|EQ|2</v>
      </c>
      <c r="N433" s="7">
        <f>IFERROR(VLOOKUP(A433,PARTIDAS!A:F,6,FALSE),0)</f>
        <v>1</v>
      </c>
      <c r="O433" s="7">
        <f t="shared" si="27"/>
        <v>0</v>
      </c>
      <c r="P433" s="7">
        <f>IFERROR(_xlfn.XLOOKUP(A433,PPTO_GENERADOR!$Q:$Q,PPTO_GENERADOR!$E:$E,"-",0),"-")</f>
        <v>942</v>
      </c>
    </row>
    <row r="434" spans="1:16" x14ac:dyDescent="0.35">
      <c r="A434" s="5" t="s">
        <v>959</v>
      </c>
      <c r="B434" s="5" t="s">
        <v>1203</v>
      </c>
      <c r="C434" s="5" t="s">
        <v>1205</v>
      </c>
      <c r="D434" s="5" t="s">
        <v>215</v>
      </c>
      <c r="E434" s="7" t="str">
        <f>IFERROR(VLOOKUP(D434,MATERIALES!A:B,2,FALSE),"?")</f>
        <v>Adhesivo Klaukol Porcellanato Fluido x 30Kg</v>
      </c>
      <c r="F434" s="5"/>
      <c r="G434" s="11">
        <v>0.2</v>
      </c>
      <c r="H434" s="12">
        <v>0.2</v>
      </c>
      <c r="I434" s="7">
        <f>IFERROR(VLOOKUP(D434,MATERIALES!A:D,4,FALSE),0)</f>
        <v>21494.592000000001</v>
      </c>
      <c r="J434" s="8">
        <f t="shared" si="24"/>
        <v>5158.70208</v>
      </c>
      <c r="K434" s="7" t="str">
        <f t="shared" si="25"/>
        <v>PTO-1104|MAT</v>
      </c>
      <c r="L434" s="7">
        <f>COUNTIFS($K$2:K434,K434)</f>
        <v>1</v>
      </c>
      <c r="M434" s="7" t="str">
        <f t="shared" si="26"/>
        <v>PTO-1104|MAT|1</v>
      </c>
      <c r="N434" s="7">
        <f>IFERROR(VLOOKUP(A434,PARTIDAS!A:F,6,FALSE),0)</f>
        <v>1</v>
      </c>
      <c r="O434" s="7">
        <f t="shared" si="27"/>
        <v>0</v>
      </c>
      <c r="P434" s="7">
        <f>IFERROR(_xlfn.XLOOKUP(A434,PPTO_GENERADOR!$Q:$Q,PPTO_GENERADOR!$E:$E,"-",0),"-")</f>
        <v>110</v>
      </c>
    </row>
    <row r="435" spans="1:16" x14ac:dyDescent="0.35">
      <c r="A435" s="5" t="s">
        <v>959</v>
      </c>
      <c r="B435" s="5" t="s">
        <v>1203</v>
      </c>
      <c r="C435" s="5" t="s">
        <v>1205</v>
      </c>
      <c r="D435" s="5" t="s">
        <v>217</v>
      </c>
      <c r="E435" s="7" t="str">
        <f>IFERROR(VLOOKUP(D435,MATERIALES!A:B,2,FALSE),"?")</f>
        <v>Pastina Klaukol x 1kg - Alta performance</v>
      </c>
      <c r="F435" s="5"/>
      <c r="G435" s="11">
        <v>0.2</v>
      </c>
      <c r="H435" s="12">
        <v>0.05</v>
      </c>
      <c r="I435" s="7">
        <f>IFERROR(VLOOKUP(D435,MATERIALES!A:D,4,FALSE),0)</f>
        <v>2930.36</v>
      </c>
      <c r="J435" s="8">
        <f t="shared" si="24"/>
        <v>615.37560000000008</v>
      </c>
      <c r="K435" s="7" t="str">
        <f t="shared" si="25"/>
        <v>PTO-1104|MAT</v>
      </c>
      <c r="L435" s="7">
        <f>COUNTIFS($K$2:K435,K435)</f>
        <v>2</v>
      </c>
      <c r="M435" s="7" t="str">
        <f t="shared" si="26"/>
        <v>PTO-1104|MAT|2</v>
      </c>
      <c r="N435" s="7">
        <f>IFERROR(VLOOKUP(A435,PARTIDAS!A:F,6,FALSE),0)</f>
        <v>1</v>
      </c>
      <c r="O435" s="7">
        <f t="shared" si="27"/>
        <v>0</v>
      </c>
      <c r="P435" s="7">
        <f>IFERROR(_xlfn.XLOOKUP(A435,PPTO_GENERADOR!$Q:$Q,PPTO_GENERADOR!$E:$E,"-",0),"-")</f>
        <v>110</v>
      </c>
    </row>
    <row r="436" spans="1:16" x14ac:dyDescent="0.35">
      <c r="A436" s="5" t="s">
        <v>959</v>
      </c>
      <c r="B436" s="5" t="s">
        <v>1203</v>
      </c>
      <c r="C436" s="5" t="s">
        <v>1205</v>
      </c>
      <c r="D436" s="5" t="s">
        <v>219</v>
      </c>
      <c r="E436" s="7" t="str">
        <f>IFERROR(VLOOKUP(D436,MATERIALES!A:B,2,FALSE),"?")</f>
        <v>Disco Diamantado Aliafor Turbo Fino TRF</v>
      </c>
      <c r="F436" s="5"/>
      <c r="G436" s="11">
        <v>4.0000000000000001E-3</v>
      </c>
      <c r="H436" s="12">
        <v>0.05</v>
      </c>
      <c r="I436" s="7">
        <f>IFERROR(VLOOKUP(D436,MATERIALES!A:D,4,FALSE),0)</f>
        <v>21453.297500000001</v>
      </c>
      <c r="J436" s="8">
        <f t="shared" si="24"/>
        <v>90.10384950000001</v>
      </c>
      <c r="K436" s="7" t="str">
        <f t="shared" si="25"/>
        <v>PTO-1104|MAT</v>
      </c>
      <c r="L436" s="7">
        <f>COUNTIFS($K$2:K436,K436)</f>
        <v>3</v>
      </c>
      <c r="M436" s="7" t="str">
        <f t="shared" si="26"/>
        <v>PTO-1104|MAT|3</v>
      </c>
      <c r="N436" s="7">
        <f>IFERROR(VLOOKUP(A436,PARTIDAS!A:F,6,FALSE),0)</f>
        <v>1</v>
      </c>
      <c r="O436" s="7">
        <f t="shared" si="27"/>
        <v>0</v>
      </c>
      <c r="P436" s="7">
        <f>IFERROR(_xlfn.XLOOKUP(A436,PPTO_GENERADOR!$Q:$Q,PPTO_GENERADOR!$E:$E,"-",0),"-")</f>
        <v>110</v>
      </c>
    </row>
    <row r="437" spans="1:16" x14ac:dyDescent="0.35">
      <c r="A437" s="5" t="s">
        <v>959</v>
      </c>
      <c r="B437" s="5" t="s">
        <v>1203</v>
      </c>
      <c r="C437" s="5" t="s">
        <v>1205</v>
      </c>
      <c r="D437" s="5" t="s">
        <v>221</v>
      </c>
      <c r="E437" s="7" t="str">
        <f>IFERROR(VLOOKUP(D437,MATERIALES!A:B,2,FALSE),"?")</f>
        <v>Arco y cuña niveladores porcelanatos x 150 un</v>
      </c>
      <c r="F437" s="5"/>
      <c r="G437" s="11">
        <v>0.04</v>
      </c>
      <c r="H437" s="12">
        <v>0.05</v>
      </c>
      <c r="I437" s="7">
        <f>IFERROR(VLOOKUP(D437,MATERIALES!A:D,4,FALSE),0)</f>
        <v>32805.983500000002</v>
      </c>
      <c r="J437" s="8">
        <f t="shared" si="24"/>
        <v>1377.8513070000001</v>
      </c>
      <c r="K437" s="7" t="str">
        <f t="shared" si="25"/>
        <v>PTO-1104|MAT</v>
      </c>
      <c r="L437" s="7">
        <f>COUNTIFS($K$2:K437,K437)</f>
        <v>4</v>
      </c>
      <c r="M437" s="7" t="str">
        <f t="shared" si="26"/>
        <v>PTO-1104|MAT|4</v>
      </c>
      <c r="N437" s="7">
        <f>IFERROR(VLOOKUP(A437,PARTIDAS!A:F,6,FALSE),0)</f>
        <v>1</v>
      </c>
      <c r="O437" s="7">
        <f t="shared" si="27"/>
        <v>0</v>
      </c>
      <c r="P437" s="7">
        <f>IFERROR(_xlfn.XLOOKUP(A437,PPTO_GENERADOR!$Q:$Q,PPTO_GENERADOR!$E:$E,"-",0),"-")</f>
        <v>110</v>
      </c>
    </row>
    <row r="438" spans="1:16" x14ac:dyDescent="0.35">
      <c r="A438" s="5" t="s">
        <v>959</v>
      </c>
      <c r="B438" s="5" t="s">
        <v>1203</v>
      </c>
      <c r="C438" s="5" t="s">
        <v>1205</v>
      </c>
      <c r="D438" s="5" t="s">
        <v>169</v>
      </c>
      <c r="E438" s="7" t="str">
        <f>IFERROR(VLOOKUP(D438,MATERIALES!A:B,2,FALSE),"?")</f>
        <v>Trapo</v>
      </c>
      <c r="F438" s="5"/>
      <c r="G438" s="11">
        <v>0.01</v>
      </c>
      <c r="H438" s="12">
        <v>0.03</v>
      </c>
      <c r="I438" s="7">
        <f>IFERROR(VLOOKUP(D438,MATERIALES!A:D,4,FALSE),0)</f>
        <v>784.06</v>
      </c>
      <c r="J438" s="8">
        <f t="shared" si="24"/>
        <v>8.0758179999999999</v>
      </c>
      <c r="K438" s="7" t="str">
        <f t="shared" si="25"/>
        <v>PTO-1104|MAT</v>
      </c>
      <c r="L438" s="7">
        <f>COUNTIFS($K$2:K438,K438)</f>
        <v>5</v>
      </c>
      <c r="M438" s="7" t="str">
        <f t="shared" si="26"/>
        <v>PTO-1104|MAT|5</v>
      </c>
      <c r="N438" s="7">
        <f>IFERROR(VLOOKUP(A438,PARTIDAS!A:F,6,FALSE),0)</f>
        <v>1</v>
      </c>
      <c r="O438" s="7">
        <f t="shared" si="27"/>
        <v>0</v>
      </c>
      <c r="P438" s="7">
        <f>IFERROR(_xlfn.XLOOKUP(A438,PPTO_GENERADOR!$Q:$Q,PPTO_GENERADOR!$E:$E,"-",0),"-")</f>
        <v>110</v>
      </c>
    </row>
    <row r="439" spans="1:16" x14ac:dyDescent="0.35">
      <c r="A439" s="5" t="s">
        <v>959</v>
      </c>
      <c r="B439" s="5" t="s">
        <v>1198</v>
      </c>
      <c r="C439" s="5" t="s">
        <v>1201</v>
      </c>
      <c r="D439" s="5" t="s">
        <v>479</v>
      </c>
      <c r="E439" s="7" t="str">
        <f>IFERROR(VLOOKUP(D439,MANO_DE_OBRA!A:B,2,FALSE),"?")</f>
        <v>MEDIO OFICIAL</v>
      </c>
      <c r="F439" s="5" t="s">
        <v>1200</v>
      </c>
      <c r="G439" s="11">
        <v>0.1</v>
      </c>
      <c r="H439" s="12">
        <v>0</v>
      </c>
      <c r="I439" s="7">
        <f>IFERROR(VLOOKUP(D439,MANO_DE_OBRA!A:C,3,FALSE),0)</f>
        <v>54784.07</v>
      </c>
      <c r="J439" s="8">
        <f t="shared" si="24"/>
        <v>5478.4070000000002</v>
      </c>
      <c r="K439" s="7" t="str">
        <f t="shared" si="25"/>
        <v>PTO-1104|MO</v>
      </c>
      <c r="L439" s="7">
        <f>COUNTIFS($K$2:K439,K439)</f>
        <v>1</v>
      </c>
      <c r="M439" s="7" t="str">
        <f t="shared" si="26"/>
        <v>PTO-1104|MO|1</v>
      </c>
      <c r="N439" s="7">
        <f>IFERROR(VLOOKUP(A439,PARTIDAS!A:F,6,FALSE),0)</f>
        <v>1</v>
      </c>
      <c r="O439" s="7">
        <f t="shared" si="27"/>
        <v>0.1</v>
      </c>
      <c r="P439" s="7">
        <f>IFERROR(_xlfn.XLOOKUP(A439,PPTO_GENERADOR!$Q:$Q,PPTO_GENERADOR!$E:$E,"-",0),"-")</f>
        <v>110</v>
      </c>
    </row>
    <row r="440" spans="1:16" x14ac:dyDescent="0.35">
      <c r="A440" s="5" t="s">
        <v>959</v>
      </c>
      <c r="B440" s="5" t="s">
        <v>1198</v>
      </c>
      <c r="C440" s="5" t="s">
        <v>1201</v>
      </c>
      <c r="D440" s="5" t="s">
        <v>477</v>
      </c>
      <c r="E440" s="7" t="str">
        <f>IFERROR(VLOOKUP(D440,MANO_DE_OBRA!A:B,2,FALSE),"?")</f>
        <v>ESPECIALIZADO</v>
      </c>
      <c r="F440" s="5" t="s">
        <v>1200</v>
      </c>
      <c r="G440" s="11">
        <v>0.1</v>
      </c>
      <c r="H440" s="12">
        <v>0</v>
      </c>
      <c r="I440" s="7">
        <f>IFERROR(VLOOKUP(D440,MANO_DE_OBRA!A:C,3,FALSE),0)</f>
        <v>75113.05</v>
      </c>
      <c r="J440" s="8">
        <f t="shared" si="24"/>
        <v>7511.3050000000003</v>
      </c>
      <c r="K440" s="7" t="str">
        <f t="shared" si="25"/>
        <v>PTO-1104|MO</v>
      </c>
      <c r="L440" s="7">
        <f>COUNTIFS($K$2:K440,K440)</f>
        <v>2</v>
      </c>
      <c r="M440" s="7" t="str">
        <f t="shared" si="26"/>
        <v>PTO-1104|MO|2</v>
      </c>
      <c r="N440" s="7">
        <f>IFERROR(VLOOKUP(A440,PARTIDAS!A:F,6,FALSE),0)</f>
        <v>1</v>
      </c>
      <c r="O440" s="7">
        <f t="shared" si="27"/>
        <v>0.1</v>
      </c>
      <c r="P440" s="7">
        <f>IFERROR(_xlfn.XLOOKUP(A440,PPTO_GENERADOR!$Q:$Q,PPTO_GENERADOR!$E:$E,"-",0),"-")</f>
        <v>110</v>
      </c>
    </row>
    <row r="441" spans="1:16" x14ac:dyDescent="0.35">
      <c r="A441" s="5" t="s">
        <v>959</v>
      </c>
      <c r="B441" s="5" t="s">
        <v>1202</v>
      </c>
      <c r="C441" s="5"/>
      <c r="D441" s="5" t="s">
        <v>551</v>
      </c>
      <c r="E441" s="7" t="str">
        <f>IFERROR(VLOOKUP(D441,EQUIPOS!A:B,2,FALSE),"?")</f>
        <v>EQUIPO PARA COLOCACION DE CERAMICA</v>
      </c>
      <c r="F441" s="5"/>
      <c r="G441" s="11">
        <v>0.1</v>
      </c>
      <c r="H441" s="12">
        <v>0</v>
      </c>
      <c r="I441" s="7">
        <f>IFERROR(VLOOKUP(D441,EQUIPOS!A:C,3,FALSE),0)</f>
        <v>2568.0682999999999</v>
      </c>
      <c r="J441" s="8">
        <f t="shared" si="24"/>
        <v>256.80682999999999</v>
      </c>
      <c r="K441" s="7" t="str">
        <f t="shared" si="25"/>
        <v>PTO-1104|EQ</v>
      </c>
      <c r="L441" s="7">
        <f>COUNTIFS($K$2:K441,K441)</f>
        <v>1</v>
      </c>
      <c r="M441" s="7" t="str">
        <f t="shared" si="26"/>
        <v>PTO-1104|EQ|1</v>
      </c>
      <c r="N441" s="7">
        <f>IFERROR(VLOOKUP(A441,PARTIDAS!A:F,6,FALSE),0)</f>
        <v>1</v>
      </c>
      <c r="O441" s="7">
        <f t="shared" si="27"/>
        <v>0</v>
      </c>
      <c r="P441" s="7">
        <f>IFERROR(_xlfn.XLOOKUP(A441,PPTO_GENERADOR!$Q:$Q,PPTO_GENERADOR!$E:$E,"-",0),"-")</f>
        <v>110</v>
      </c>
    </row>
    <row r="442" spans="1:16" x14ac:dyDescent="0.35">
      <c r="A442" s="5" t="s">
        <v>959</v>
      </c>
      <c r="B442" s="5" t="s">
        <v>1202</v>
      </c>
      <c r="C442" s="5"/>
      <c r="D442" s="5" t="s">
        <v>553</v>
      </c>
      <c r="E442" s="7" t="str">
        <f>IFERROR(VLOOKUP(D442,EQUIPOS!A:B,2,FALSE),"?")</f>
        <v>CORTADORA CERAMICA PROFESIONAL 1200MM (PORCELANATO HASTA 16MM)</v>
      </c>
      <c r="F442" s="5"/>
      <c r="G442" s="11">
        <v>0.1</v>
      </c>
      <c r="H442" s="12">
        <v>0</v>
      </c>
      <c r="I442" s="7">
        <f>IFERROR(VLOOKUP(D442,EQUIPOS!A:C,3,FALSE),0)</f>
        <v>290.60739999999998</v>
      </c>
      <c r="J442" s="8">
        <f t="shared" si="24"/>
        <v>29.060739999999999</v>
      </c>
      <c r="K442" s="7" t="str">
        <f t="shared" si="25"/>
        <v>PTO-1104|EQ</v>
      </c>
      <c r="L442" s="7">
        <f>COUNTIFS($K$2:K442,K442)</f>
        <v>2</v>
      </c>
      <c r="M442" s="7" t="str">
        <f t="shared" si="26"/>
        <v>PTO-1104|EQ|2</v>
      </c>
      <c r="N442" s="7">
        <f>IFERROR(VLOOKUP(A442,PARTIDAS!A:F,6,FALSE),0)</f>
        <v>1</v>
      </c>
      <c r="O442" s="7">
        <f t="shared" si="27"/>
        <v>0</v>
      </c>
      <c r="P442" s="7">
        <f>IFERROR(_xlfn.XLOOKUP(A442,PPTO_GENERADOR!$Q:$Q,PPTO_GENERADOR!$E:$E,"-",0),"-")</f>
        <v>110</v>
      </c>
    </row>
    <row r="443" spans="1:16" x14ac:dyDescent="0.35">
      <c r="A443" s="5" t="s">
        <v>961</v>
      </c>
      <c r="B443" s="5" t="s">
        <v>1203</v>
      </c>
      <c r="C443" s="5" t="s">
        <v>1205</v>
      </c>
      <c r="D443" s="5" t="s">
        <v>140</v>
      </c>
      <c r="E443" s="7" t="str">
        <f>IFERROR(VLOOKUP(D443,MATERIALES!A:B,2,FALSE),"?")</f>
        <v>Cemento Portland x 50kg</v>
      </c>
      <c r="F443" s="5"/>
      <c r="G443" s="11">
        <v>0.32400000000000001</v>
      </c>
      <c r="H443" s="12">
        <v>0.1</v>
      </c>
      <c r="I443" s="7">
        <f>IFERROR(VLOOKUP(D443,MATERIALES!A:D,4,FALSE),0)</f>
        <v>7233.47</v>
      </c>
      <c r="J443" s="8">
        <f t="shared" si="24"/>
        <v>2578.0087080000003</v>
      </c>
      <c r="K443" s="7" t="str">
        <f t="shared" si="25"/>
        <v>PTO-1105|MAT</v>
      </c>
      <c r="L443" s="7">
        <f>COUNTIFS($K$2:K443,K443)</f>
        <v>1</v>
      </c>
      <c r="M443" s="7" t="str">
        <f t="shared" si="26"/>
        <v>PTO-1105|MAT|1</v>
      </c>
      <c r="N443" s="7">
        <f>IFERROR(VLOOKUP(A443,PARTIDAS!A:F,6,FALSE),0)</f>
        <v>1</v>
      </c>
      <c r="O443" s="7">
        <f t="shared" si="27"/>
        <v>0</v>
      </c>
      <c r="P443" s="7">
        <f>IFERROR(_xlfn.XLOOKUP(A443,PPTO_GENERADOR!$Q:$Q,PPTO_GENERADOR!$E:$E,"-",0),"-")</f>
        <v>128</v>
      </c>
    </row>
    <row r="444" spans="1:16" x14ac:dyDescent="0.35">
      <c r="A444" s="5" t="s">
        <v>961</v>
      </c>
      <c r="B444" s="5" t="s">
        <v>1203</v>
      </c>
      <c r="C444" s="5" t="s">
        <v>1205</v>
      </c>
      <c r="D444" s="5" t="s">
        <v>136</v>
      </c>
      <c r="E444" s="7" t="str">
        <f>IFERROR(VLOOKUP(D444,MATERIALES!A:B,2,FALSE),"?")</f>
        <v>ARENA LAVADA</v>
      </c>
      <c r="F444" s="5"/>
      <c r="G444" s="11">
        <v>3.5999999999999997E-2</v>
      </c>
      <c r="H444" s="12">
        <v>0.1</v>
      </c>
      <c r="I444" s="7">
        <f>IFERROR(VLOOKUP(D444,MATERIALES!A:D,4,FALSE),0)</f>
        <v>31265.15</v>
      </c>
      <c r="J444" s="8">
        <f t="shared" si="24"/>
        <v>1238.0999400000001</v>
      </c>
      <c r="K444" s="7" t="str">
        <f t="shared" si="25"/>
        <v>PTO-1105|MAT</v>
      </c>
      <c r="L444" s="7">
        <f>COUNTIFS($K$2:K444,K444)</f>
        <v>2</v>
      </c>
      <c r="M444" s="7" t="str">
        <f t="shared" si="26"/>
        <v>PTO-1105|MAT|2</v>
      </c>
      <c r="N444" s="7">
        <f>IFERROR(VLOOKUP(A444,PARTIDAS!A:F,6,FALSE),0)</f>
        <v>1</v>
      </c>
      <c r="O444" s="7">
        <f t="shared" si="27"/>
        <v>0</v>
      </c>
      <c r="P444" s="7">
        <f>IFERROR(_xlfn.XLOOKUP(A444,PPTO_GENERADOR!$Q:$Q,PPTO_GENERADOR!$E:$E,"-",0),"-")</f>
        <v>128</v>
      </c>
    </row>
    <row r="445" spans="1:16" x14ac:dyDescent="0.35">
      <c r="A445" s="5" t="s">
        <v>961</v>
      </c>
      <c r="B445" s="5" t="s">
        <v>1198</v>
      </c>
      <c r="C445" s="5" t="s">
        <v>1201</v>
      </c>
      <c r="D445" s="5" t="s">
        <v>475</v>
      </c>
      <c r="E445" s="7" t="str">
        <f>IFERROR(VLOOKUP(D445,MANO_DE_OBRA!A:B,2,FALSE),"?")</f>
        <v>AYUDANTE</v>
      </c>
      <c r="F445" s="5" t="s">
        <v>1200</v>
      </c>
      <c r="G445" s="11">
        <v>4.3478259999999998E-2</v>
      </c>
      <c r="H445" s="12">
        <v>0</v>
      </c>
      <c r="I445" s="7">
        <f>IFERROR(VLOOKUP(D445,MANO_DE_OBRA!A:C,3,FALSE),0)</f>
        <v>49934.239999999998</v>
      </c>
      <c r="J445" s="8">
        <f t="shared" si="24"/>
        <v>2171.0538696223998</v>
      </c>
      <c r="K445" s="7" t="str">
        <f t="shared" si="25"/>
        <v>PTO-1105|MO</v>
      </c>
      <c r="L445" s="7">
        <f>COUNTIFS($K$2:K445,K445)</f>
        <v>1</v>
      </c>
      <c r="M445" s="7" t="str">
        <f t="shared" si="26"/>
        <v>PTO-1105|MO|1</v>
      </c>
      <c r="N445" s="7">
        <f>IFERROR(VLOOKUP(A445,PARTIDAS!A:F,6,FALSE),0)</f>
        <v>1</v>
      </c>
      <c r="O445" s="7">
        <f t="shared" si="27"/>
        <v>4.3478259999999998E-2</v>
      </c>
      <c r="P445" s="7">
        <f>IFERROR(_xlfn.XLOOKUP(A445,PPTO_GENERADOR!$Q:$Q,PPTO_GENERADOR!$E:$E,"-",0),"-")</f>
        <v>128</v>
      </c>
    </row>
    <row r="446" spans="1:16" x14ac:dyDescent="0.35">
      <c r="A446" s="5" t="s">
        <v>961</v>
      </c>
      <c r="B446" s="5" t="s">
        <v>1198</v>
      </c>
      <c r="C446" s="5" t="s">
        <v>1201</v>
      </c>
      <c r="D446" s="5" t="s">
        <v>477</v>
      </c>
      <c r="E446" s="7" t="str">
        <f>IFERROR(VLOOKUP(D446,MANO_DE_OBRA!A:B,2,FALSE),"?")</f>
        <v>ESPECIALIZADO</v>
      </c>
      <c r="F446" s="5" t="s">
        <v>1200</v>
      </c>
      <c r="G446" s="11">
        <v>8.6956519999999995E-2</v>
      </c>
      <c r="H446" s="12">
        <v>0</v>
      </c>
      <c r="I446" s="7">
        <f>IFERROR(VLOOKUP(D446,MANO_DE_OBRA!A:C,3,FALSE),0)</f>
        <v>75113.05</v>
      </c>
      <c r="J446" s="8">
        <f t="shared" si="24"/>
        <v>6531.5694345860002</v>
      </c>
      <c r="K446" s="7" t="str">
        <f t="shared" si="25"/>
        <v>PTO-1105|MO</v>
      </c>
      <c r="L446" s="7">
        <f>COUNTIFS($K$2:K446,K446)</f>
        <v>2</v>
      </c>
      <c r="M446" s="7" t="str">
        <f t="shared" si="26"/>
        <v>PTO-1105|MO|2</v>
      </c>
      <c r="N446" s="7">
        <f>IFERROR(VLOOKUP(A446,PARTIDAS!A:F,6,FALSE),0)</f>
        <v>1</v>
      </c>
      <c r="O446" s="7">
        <f t="shared" si="27"/>
        <v>8.6956519999999995E-2</v>
      </c>
      <c r="P446" s="7">
        <f>IFERROR(_xlfn.XLOOKUP(A446,PPTO_GENERADOR!$Q:$Q,PPTO_GENERADOR!$E:$E,"-",0),"-")</f>
        <v>128</v>
      </c>
    </row>
    <row r="447" spans="1:16" x14ac:dyDescent="0.35">
      <c r="A447" s="5" t="s">
        <v>961</v>
      </c>
      <c r="B447" s="5" t="s">
        <v>1202</v>
      </c>
      <c r="C447" s="5"/>
      <c r="D447" s="5" t="s">
        <v>529</v>
      </c>
      <c r="E447" s="7" t="str">
        <f>IFERROR(VLOOKUP(D447,EQUIPOS!A:B,2,FALSE),"?")</f>
        <v>Hormigonera De 150 Litros 1hp Con Rueda Maciza</v>
      </c>
      <c r="F447" s="5"/>
      <c r="G447" s="11">
        <v>8.6956519999999995E-2</v>
      </c>
      <c r="H447" s="12">
        <v>0</v>
      </c>
      <c r="I447" s="7">
        <f>IFERROR(VLOOKUP(D447,EQUIPOS!A:C,3,FALSE),0)</f>
        <v>932.18029999999999</v>
      </c>
      <c r="J447" s="8">
        <f t="shared" si="24"/>
        <v>81.059154900555995</v>
      </c>
      <c r="K447" s="7" t="str">
        <f t="shared" si="25"/>
        <v>PTO-1105|EQ</v>
      </c>
      <c r="L447" s="7">
        <f>COUNTIFS($K$2:K447,K447)</f>
        <v>1</v>
      </c>
      <c r="M447" s="7" t="str">
        <f t="shared" si="26"/>
        <v>PTO-1105|EQ|1</v>
      </c>
      <c r="N447" s="7">
        <f>IFERROR(VLOOKUP(A447,PARTIDAS!A:F,6,FALSE),0)</f>
        <v>1</v>
      </c>
      <c r="O447" s="7">
        <f t="shared" si="27"/>
        <v>0</v>
      </c>
      <c r="P447" s="7">
        <f>IFERROR(_xlfn.XLOOKUP(A447,PPTO_GENERADOR!$Q:$Q,PPTO_GENERADOR!$E:$E,"-",0),"-")</f>
        <v>128</v>
      </c>
    </row>
    <row r="448" spans="1:16" x14ac:dyDescent="0.35">
      <c r="A448" s="5" t="s">
        <v>961</v>
      </c>
      <c r="B448" s="5" t="s">
        <v>1202</v>
      </c>
      <c r="C448" s="5"/>
      <c r="D448" s="5" t="s">
        <v>525</v>
      </c>
      <c r="E448" s="7" t="str">
        <f>IFERROR(VLOOKUP(D448,EQUIPOS!A:B,2,FALSE),"?")</f>
        <v>EQUIPO DE ALBAÑILERIA, carpetas, ladrillo</v>
      </c>
      <c r="F448" s="5"/>
      <c r="G448" s="11">
        <v>8.6956519999999995E-2</v>
      </c>
      <c r="H448" s="12">
        <v>0</v>
      </c>
      <c r="I448" s="7">
        <f>IFERROR(VLOOKUP(D448,EQUIPOS!A:C,3,FALSE),0)</f>
        <v>2227.2298000000001</v>
      </c>
      <c r="J448" s="8">
        <f t="shared" si="24"/>
        <v>193.67215264829599</v>
      </c>
      <c r="K448" s="7" t="str">
        <f t="shared" si="25"/>
        <v>PTO-1105|EQ</v>
      </c>
      <c r="L448" s="7">
        <f>COUNTIFS($K$2:K448,K448)</f>
        <v>2</v>
      </c>
      <c r="M448" s="7" t="str">
        <f t="shared" si="26"/>
        <v>PTO-1105|EQ|2</v>
      </c>
      <c r="N448" s="7">
        <f>IFERROR(VLOOKUP(A448,PARTIDAS!A:F,6,FALSE),0)</f>
        <v>1</v>
      </c>
      <c r="O448" s="7">
        <f t="shared" si="27"/>
        <v>0</v>
      </c>
      <c r="P448" s="7">
        <f>IFERROR(_xlfn.XLOOKUP(A448,PPTO_GENERADOR!$Q:$Q,PPTO_GENERADOR!$E:$E,"-",0),"-")</f>
        <v>128</v>
      </c>
    </row>
    <row r="449" spans="1:16" x14ac:dyDescent="0.35">
      <c r="A449" s="5" t="s">
        <v>963</v>
      </c>
      <c r="B449" s="5" t="s">
        <v>1203</v>
      </c>
      <c r="C449" s="5" t="s">
        <v>1205</v>
      </c>
      <c r="D449" s="5" t="s">
        <v>215</v>
      </c>
      <c r="E449" s="7" t="str">
        <f>IFERROR(VLOOKUP(D449,MATERIALES!A:B,2,FALSE),"?")</f>
        <v>Adhesivo Klaukol Porcellanato Fluido x 30Kg</v>
      </c>
      <c r="F449" s="5"/>
      <c r="G449" s="11">
        <v>0.2</v>
      </c>
      <c r="H449" s="12">
        <v>0.2</v>
      </c>
      <c r="I449" s="7">
        <f>IFERROR(VLOOKUP(D449,MATERIALES!A:D,4,FALSE),0)</f>
        <v>21494.592000000001</v>
      </c>
      <c r="J449" s="8">
        <f t="shared" si="24"/>
        <v>5158.70208</v>
      </c>
      <c r="K449" s="7" t="str">
        <f t="shared" si="25"/>
        <v>PTO-1106|MAT</v>
      </c>
      <c r="L449" s="7">
        <f>COUNTIFS($K$2:K449,K449)</f>
        <v>1</v>
      </c>
      <c r="M449" s="7" t="str">
        <f t="shared" si="26"/>
        <v>PTO-1106|MAT|1</v>
      </c>
      <c r="N449" s="7">
        <f>IFERROR(VLOOKUP(A449,PARTIDAS!A:F,6,FALSE),0)</f>
        <v>1</v>
      </c>
      <c r="O449" s="7">
        <f t="shared" si="27"/>
        <v>0</v>
      </c>
      <c r="P449" s="7">
        <f>IFERROR(_xlfn.XLOOKUP(A449,PPTO_GENERADOR!$Q:$Q,PPTO_GENERADOR!$E:$E,"-",0),"-")</f>
        <v>48</v>
      </c>
    </row>
    <row r="450" spans="1:16" x14ac:dyDescent="0.35">
      <c r="A450" s="5" t="s">
        <v>963</v>
      </c>
      <c r="B450" s="5" t="s">
        <v>1203</v>
      </c>
      <c r="C450" s="5" t="s">
        <v>1205</v>
      </c>
      <c r="D450" s="5" t="s">
        <v>217</v>
      </c>
      <c r="E450" s="7" t="str">
        <f>IFERROR(VLOOKUP(D450,MATERIALES!A:B,2,FALSE),"?")</f>
        <v>Pastina Klaukol x 1kg - Alta performance</v>
      </c>
      <c r="F450" s="5"/>
      <c r="G450" s="11">
        <v>0.2</v>
      </c>
      <c r="H450" s="12">
        <v>0.05</v>
      </c>
      <c r="I450" s="7">
        <f>IFERROR(VLOOKUP(D450,MATERIALES!A:D,4,FALSE),0)</f>
        <v>2930.36</v>
      </c>
      <c r="J450" s="8">
        <f t="shared" ref="J450:J513" si="28">G450*I450*(1+H450)</f>
        <v>615.37560000000008</v>
      </c>
      <c r="K450" s="7" t="str">
        <f t="shared" ref="K450:K513" si="29">A450&amp;"|"&amp;B450</f>
        <v>PTO-1106|MAT</v>
      </c>
      <c r="L450" s="7">
        <f>COUNTIFS($K$2:K450,K450)</f>
        <v>2</v>
      </c>
      <c r="M450" s="7" t="str">
        <f t="shared" ref="M450:M513" si="30">K450&amp;"|"&amp;L450</f>
        <v>PTO-1106|MAT|2</v>
      </c>
      <c r="N450" s="7">
        <f>IFERROR(VLOOKUP(A450,PARTIDAS!A:F,6,FALSE),0)</f>
        <v>1</v>
      </c>
      <c r="O450" s="7">
        <f t="shared" ref="O450:O513" si="31">IF(C450="ALB",IF(N450=0,0,G450/N450),0)</f>
        <v>0</v>
      </c>
      <c r="P450" s="7">
        <f>IFERROR(_xlfn.XLOOKUP(A450,PPTO_GENERADOR!$Q:$Q,PPTO_GENERADOR!$E:$E,"-",0),"-")</f>
        <v>48</v>
      </c>
    </row>
    <row r="451" spans="1:16" x14ac:dyDescent="0.35">
      <c r="A451" s="5" t="s">
        <v>963</v>
      </c>
      <c r="B451" s="5" t="s">
        <v>1203</v>
      </c>
      <c r="C451" s="5" t="s">
        <v>1205</v>
      </c>
      <c r="D451" s="5" t="s">
        <v>219</v>
      </c>
      <c r="E451" s="7" t="str">
        <f>IFERROR(VLOOKUP(D451,MATERIALES!A:B,2,FALSE),"?")</f>
        <v>Disco Diamantado Aliafor Turbo Fino TRF</v>
      </c>
      <c r="F451" s="5"/>
      <c r="G451" s="11">
        <v>4.0000000000000001E-3</v>
      </c>
      <c r="H451" s="12">
        <v>0.05</v>
      </c>
      <c r="I451" s="7">
        <f>IFERROR(VLOOKUP(D451,MATERIALES!A:D,4,FALSE),0)</f>
        <v>21453.297500000001</v>
      </c>
      <c r="J451" s="8">
        <f t="shared" si="28"/>
        <v>90.10384950000001</v>
      </c>
      <c r="K451" s="7" t="str">
        <f t="shared" si="29"/>
        <v>PTO-1106|MAT</v>
      </c>
      <c r="L451" s="7">
        <f>COUNTIFS($K$2:K451,K451)</f>
        <v>3</v>
      </c>
      <c r="M451" s="7" t="str">
        <f t="shared" si="30"/>
        <v>PTO-1106|MAT|3</v>
      </c>
      <c r="N451" s="7">
        <f>IFERROR(VLOOKUP(A451,PARTIDAS!A:F,6,FALSE),0)</f>
        <v>1</v>
      </c>
      <c r="O451" s="7">
        <f t="shared" si="31"/>
        <v>0</v>
      </c>
      <c r="P451" s="7">
        <f>IFERROR(_xlfn.XLOOKUP(A451,PPTO_GENERADOR!$Q:$Q,PPTO_GENERADOR!$E:$E,"-",0),"-")</f>
        <v>48</v>
      </c>
    </row>
    <row r="452" spans="1:16" x14ac:dyDescent="0.35">
      <c r="A452" s="5" t="s">
        <v>963</v>
      </c>
      <c r="B452" s="5" t="s">
        <v>1203</v>
      </c>
      <c r="C452" s="5" t="s">
        <v>1205</v>
      </c>
      <c r="D452" s="5" t="s">
        <v>221</v>
      </c>
      <c r="E452" s="7" t="str">
        <f>IFERROR(VLOOKUP(D452,MATERIALES!A:B,2,FALSE),"?")</f>
        <v>Arco y cuña niveladores porcelanatos x 150 un</v>
      </c>
      <c r="F452" s="5"/>
      <c r="G452" s="11">
        <v>0.04</v>
      </c>
      <c r="H452" s="12">
        <v>0.05</v>
      </c>
      <c r="I452" s="7">
        <f>IFERROR(VLOOKUP(D452,MATERIALES!A:D,4,FALSE),0)</f>
        <v>32805.983500000002</v>
      </c>
      <c r="J452" s="8">
        <f t="shared" si="28"/>
        <v>1377.8513070000001</v>
      </c>
      <c r="K452" s="7" t="str">
        <f t="shared" si="29"/>
        <v>PTO-1106|MAT</v>
      </c>
      <c r="L452" s="7">
        <f>COUNTIFS($K$2:K452,K452)</f>
        <v>4</v>
      </c>
      <c r="M452" s="7" t="str">
        <f t="shared" si="30"/>
        <v>PTO-1106|MAT|4</v>
      </c>
      <c r="N452" s="7">
        <f>IFERROR(VLOOKUP(A452,PARTIDAS!A:F,6,FALSE),0)</f>
        <v>1</v>
      </c>
      <c r="O452" s="7">
        <f t="shared" si="31"/>
        <v>0</v>
      </c>
      <c r="P452" s="7">
        <f>IFERROR(_xlfn.XLOOKUP(A452,PPTO_GENERADOR!$Q:$Q,PPTO_GENERADOR!$E:$E,"-",0),"-")</f>
        <v>48</v>
      </c>
    </row>
    <row r="453" spans="1:16" x14ac:dyDescent="0.35">
      <c r="A453" s="5" t="s">
        <v>963</v>
      </c>
      <c r="B453" s="5" t="s">
        <v>1203</v>
      </c>
      <c r="C453" s="5" t="s">
        <v>1205</v>
      </c>
      <c r="D453" s="5" t="s">
        <v>169</v>
      </c>
      <c r="E453" s="7" t="str">
        <f>IFERROR(VLOOKUP(D453,MATERIALES!A:B,2,FALSE),"?")</f>
        <v>Trapo</v>
      </c>
      <c r="F453" s="5"/>
      <c r="G453" s="11">
        <v>0.01</v>
      </c>
      <c r="H453" s="12">
        <v>0.03</v>
      </c>
      <c r="I453" s="7">
        <f>IFERROR(VLOOKUP(D453,MATERIALES!A:D,4,FALSE),0)</f>
        <v>784.06</v>
      </c>
      <c r="J453" s="8">
        <f t="shared" si="28"/>
        <v>8.0758179999999999</v>
      </c>
      <c r="K453" s="7" t="str">
        <f t="shared" si="29"/>
        <v>PTO-1106|MAT</v>
      </c>
      <c r="L453" s="7">
        <f>COUNTIFS($K$2:K453,K453)</f>
        <v>5</v>
      </c>
      <c r="M453" s="7" t="str">
        <f t="shared" si="30"/>
        <v>PTO-1106|MAT|5</v>
      </c>
      <c r="N453" s="7">
        <f>IFERROR(VLOOKUP(A453,PARTIDAS!A:F,6,FALSE),0)</f>
        <v>1</v>
      </c>
      <c r="O453" s="7">
        <f t="shared" si="31"/>
        <v>0</v>
      </c>
      <c r="P453" s="7">
        <f>IFERROR(_xlfn.XLOOKUP(A453,PPTO_GENERADOR!$Q:$Q,PPTO_GENERADOR!$E:$E,"-",0),"-")</f>
        <v>48</v>
      </c>
    </row>
    <row r="454" spans="1:16" x14ac:dyDescent="0.35">
      <c r="A454" s="5" t="s">
        <v>963</v>
      </c>
      <c r="B454" s="5" t="s">
        <v>1198</v>
      </c>
      <c r="C454" s="5" t="s">
        <v>1201</v>
      </c>
      <c r="D454" s="5" t="s">
        <v>479</v>
      </c>
      <c r="E454" s="7" t="str">
        <f>IFERROR(VLOOKUP(D454,MANO_DE_OBRA!A:B,2,FALSE),"?")</f>
        <v>MEDIO OFICIAL</v>
      </c>
      <c r="F454" s="5" t="s">
        <v>1200</v>
      </c>
      <c r="G454" s="11">
        <v>7.6923080000000005E-2</v>
      </c>
      <c r="H454" s="12">
        <v>0</v>
      </c>
      <c r="I454" s="7">
        <f>IFERROR(VLOOKUP(D454,MANO_DE_OBRA!A:C,3,FALSE),0)</f>
        <v>54784.07</v>
      </c>
      <c r="J454" s="8">
        <f t="shared" si="28"/>
        <v>4214.1593993356</v>
      </c>
      <c r="K454" s="7" t="str">
        <f t="shared" si="29"/>
        <v>PTO-1106|MO</v>
      </c>
      <c r="L454" s="7">
        <f>COUNTIFS($K$2:K454,K454)</f>
        <v>1</v>
      </c>
      <c r="M454" s="7" t="str">
        <f t="shared" si="30"/>
        <v>PTO-1106|MO|1</v>
      </c>
      <c r="N454" s="7">
        <f>IFERROR(VLOOKUP(A454,PARTIDAS!A:F,6,FALSE),0)</f>
        <v>1</v>
      </c>
      <c r="O454" s="7">
        <f t="shared" si="31"/>
        <v>7.6923080000000005E-2</v>
      </c>
      <c r="P454" s="7">
        <f>IFERROR(_xlfn.XLOOKUP(A454,PPTO_GENERADOR!$Q:$Q,PPTO_GENERADOR!$E:$E,"-",0),"-")</f>
        <v>48</v>
      </c>
    </row>
    <row r="455" spans="1:16" x14ac:dyDescent="0.35">
      <c r="A455" s="5" t="s">
        <v>963</v>
      </c>
      <c r="B455" s="5" t="s">
        <v>1198</v>
      </c>
      <c r="C455" s="5" t="s">
        <v>1201</v>
      </c>
      <c r="D455" s="5" t="s">
        <v>477</v>
      </c>
      <c r="E455" s="7" t="str">
        <f>IFERROR(VLOOKUP(D455,MANO_DE_OBRA!A:B,2,FALSE),"?")</f>
        <v>ESPECIALIZADO</v>
      </c>
      <c r="F455" s="5" t="s">
        <v>1200</v>
      </c>
      <c r="G455" s="11">
        <v>7.6923080000000005E-2</v>
      </c>
      <c r="H455" s="12">
        <v>0</v>
      </c>
      <c r="I455" s="7">
        <f>IFERROR(VLOOKUP(D455,MANO_DE_OBRA!A:C,3,FALSE),0)</f>
        <v>75113.05</v>
      </c>
      <c r="J455" s="8">
        <f t="shared" si="28"/>
        <v>5777.9271541940007</v>
      </c>
      <c r="K455" s="7" t="str">
        <f t="shared" si="29"/>
        <v>PTO-1106|MO</v>
      </c>
      <c r="L455" s="7">
        <f>COUNTIFS($K$2:K455,K455)</f>
        <v>2</v>
      </c>
      <c r="M455" s="7" t="str">
        <f t="shared" si="30"/>
        <v>PTO-1106|MO|2</v>
      </c>
      <c r="N455" s="7">
        <f>IFERROR(VLOOKUP(A455,PARTIDAS!A:F,6,FALSE),0)</f>
        <v>1</v>
      </c>
      <c r="O455" s="7">
        <f t="shared" si="31"/>
        <v>7.6923080000000005E-2</v>
      </c>
      <c r="P455" s="7">
        <f>IFERROR(_xlfn.XLOOKUP(A455,PPTO_GENERADOR!$Q:$Q,PPTO_GENERADOR!$E:$E,"-",0),"-")</f>
        <v>48</v>
      </c>
    </row>
    <row r="456" spans="1:16" x14ac:dyDescent="0.35">
      <c r="A456" s="5" t="s">
        <v>963</v>
      </c>
      <c r="B456" s="5" t="s">
        <v>1202</v>
      </c>
      <c r="C456" s="5"/>
      <c r="D456" s="5" t="s">
        <v>551</v>
      </c>
      <c r="E456" s="7" t="str">
        <f>IFERROR(VLOOKUP(D456,EQUIPOS!A:B,2,FALSE),"?")</f>
        <v>EQUIPO PARA COLOCACION DE CERAMICA</v>
      </c>
      <c r="F456" s="5"/>
      <c r="G456" s="11">
        <v>7.6923080000000005E-2</v>
      </c>
      <c r="H456" s="12">
        <v>0</v>
      </c>
      <c r="I456" s="7">
        <f>IFERROR(VLOOKUP(D456,EQUIPOS!A:C,3,FALSE),0)</f>
        <v>2568.0682999999999</v>
      </c>
      <c r="J456" s="8">
        <f t="shared" si="28"/>
        <v>197.54372328636401</v>
      </c>
      <c r="K456" s="7" t="str">
        <f t="shared" si="29"/>
        <v>PTO-1106|EQ</v>
      </c>
      <c r="L456" s="7">
        <f>COUNTIFS($K$2:K456,K456)</f>
        <v>1</v>
      </c>
      <c r="M456" s="7" t="str">
        <f t="shared" si="30"/>
        <v>PTO-1106|EQ|1</v>
      </c>
      <c r="N456" s="7">
        <f>IFERROR(VLOOKUP(A456,PARTIDAS!A:F,6,FALSE),0)</f>
        <v>1</v>
      </c>
      <c r="O456" s="7">
        <f t="shared" si="31"/>
        <v>0</v>
      </c>
      <c r="P456" s="7">
        <f>IFERROR(_xlfn.XLOOKUP(A456,PPTO_GENERADOR!$Q:$Q,PPTO_GENERADOR!$E:$E,"-",0),"-")</f>
        <v>48</v>
      </c>
    </row>
    <row r="457" spans="1:16" x14ac:dyDescent="0.35">
      <c r="A457" s="5" t="s">
        <v>963</v>
      </c>
      <c r="B457" s="5" t="s">
        <v>1202</v>
      </c>
      <c r="C457" s="5"/>
      <c r="D457" s="5" t="s">
        <v>553</v>
      </c>
      <c r="E457" s="7" t="str">
        <f>IFERROR(VLOOKUP(D457,EQUIPOS!A:B,2,FALSE),"?")</f>
        <v>CORTADORA CERAMICA PROFESIONAL 1200MM (PORCELANATO HASTA 16MM)</v>
      </c>
      <c r="F457" s="5"/>
      <c r="G457" s="11">
        <v>7.6923080000000005E-2</v>
      </c>
      <c r="H457" s="12">
        <v>0</v>
      </c>
      <c r="I457" s="7">
        <f>IFERROR(VLOOKUP(D457,EQUIPOS!A:C,3,FALSE),0)</f>
        <v>290.60739999999998</v>
      </c>
      <c r="J457" s="8">
        <f t="shared" si="28"/>
        <v>22.354416278792002</v>
      </c>
      <c r="K457" s="7" t="str">
        <f t="shared" si="29"/>
        <v>PTO-1106|EQ</v>
      </c>
      <c r="L457" s="7">
        <f>COUNTIFS($K$2:K457,K457)</f>
        <v>2</v>
      </c>
      <c r="M457" s="7" t="str">
        <f t="shared" si="30"/>
        <v>PTO-1106|EQ|2</v>
      </c>
      <c r="N457" s="7">
        <f>IFERROR(VLOOKUP(A457,PARTIDAS!A:F,6,FALSE),0)</f>
        <v>1</v>
      </c>
      <c r="O457" s="7">
        <f t="shared" si="31"/>
        <v>0</v>
      </c>
      <c r="P457" s="7">
        <f>IFERROR(_xlfn.XLOOKUP(A457,PPTO_GENERADOR!$Q:$Q,PPTO_GENERADOR!$E:$E,"-",0),"-")</f>
        <v>48</v>
      </c>
    </row>
    <row r="458" spans="1:16" x14ac:dyDescent="0.35">
      <c r="A458" s="5" t="s">
        <v>965</v>
      </c>
      <c r="B458" s="5" t="s">
        <v>1203</v>
      </c>
      <c r="C458" s="5" t="s">
        <v>1199</v>
      </c>
      <c r="D458" s="5" t="s">
        <v>154</v>
      </c>
      <c r="E458" s="7" t="str">
        <f>IFERROR(VLOOKUP(D458,MATERIALES!A:B,2,FALSE),"?")</f>
        <v>H30 6.20</v>
      </c>
      <c r="F458" s="5"/>
      <c r="G458" s="11">
        <v>0.21238937999999999</v>
      </c>
      <c r="H458" s="12">
        <v>0</v>
      </c>
      <c r="I458" s="7">
        <f>IFERROR(VLOOKUP(D458,MATERIALES!A:D,4,FALSE),0)</f>
        <v>125000</v>
      </c>
      <c r="J458" s="8">
        <f t="shared" si="28"/>
        <v>26548.672499999997</v>
      </c>
      <c r="K458" s="7" t="str">
        <f t="shared" si="29"/>
        <v>PTO-1107|MAT</v>
      </c>
      <c r="L458" s="7">
        <f>COUNTIFS($K$2:K458,K458)</f>
        <v>1</v>
      </c>
      <c r="M458" s="7" t="str">
        <f t="shared" si="30"/>
        <v>PTO-1107|MAT|1</v>
      </c>
      <c r="N458" s="7">
        <f>IFERROR(VLOOKUP(A458,PARTIDAS!A:F,6,FALSE),0)</f>
        <v>1</v>
      </c>
      <c r="O458" s="7">
        <f t="shared" si="31"/>
        <v>0</v>
      </c>
      <c r="P458" s="7">
        <f>IFERROR(_xlfn.XLOOKUP(A458,PPTO_GENERADOR!$Q:$Q,PPTO_GENERADOR!$E:$E,"-",0),"-")</f>
        <v>226</v>
      </c>
    </row>
    <row r="459" spans="1:16" x14ac:dyDescent="0.35">
      <c r="A459" s="5" t="s">
        <v>965</v>
      </c>
      <c r="B459" s="5" t="s">
        <v>1203</v>
      </c>
      <c r="C459" s="5" t="s">
        <v>1199</v>
      </c>
      <c r="D459" s="5" t="s">
        <v>223</v>
      </c>
      <c r="E459" s="7" t="str">
        <f>IFERROR(VLOOKUP(D459,MATERIALES!A:B,2,FALSE),"?")</f>
        <v>Acarreo</v>
      </c>
      <c r="F459" s="5"/>
      <c r="G459" s="11">
        <v>4.4247799999999997E-3</v>
      </c>
      <c r="H459" s="12">
        <v>0</v>
      </c>
      <c r="I459" s="7">
        <f>IFERROR(VLOOKUP(D459,MATERIALES!A:D,4,FALSE),0)</f>
        <v>533000</v>
      </c>
      <c r="J459" s="8">
        <f t="shared" si="28"/>
        <v>2358.4077399999996</v>
      </c>
      <c r="K459" s="7" t="str">
        <f t="shared" si="29"/>
        <v>PTO-1107|MAT</v>
      </c>
      <c r="L459" s="7">
        <f>COUNTIFS($K$2:K459,K459)</f>
        <v>2</v>
      </c>
      <c r="M459" s="7" t="str">
        <f t="shared" si="30"/>
        <v>PTO-1107|MAT|2</v>
      </c>
      <c r="N459" s="7">
        <f>IFERROR(VLOOKUP(A459,PARTIDAS!A:F,6,FALSE),0)</f>
        <v>1</v>
      </c>
      <c r="O459" s="7">
        <f t="shared" si="31"/>
        <v>0</v>
      </c>
      <c r="P459" s="7">
        <f>IFERROR(_xlfn.XLOOKUP(A459,PPTO_GENERADOR!$Q:$Q,PPTO_GENERADOR!$E:$E,"-",0),"-")</f>
        <v>226</v>
      </c>
    </row>
    <row r="460" spans="1:16" x14ac:dyDescent="0.35">
      <c r="A460" s="5" t="s">
        <v>965</v>
      </c>
      <c r="B460" s="5" t="s">
        <v>1203</v>
      </c>
      <c r="C460" s="5" t="s">
        <v>1199</v>
      </c>
      <c r="D460" s="5" t="s">
        <v>100</v>
      </c>
      <c r="E460" s="7" t="str">
        <f>IFERROR(VLOOKUP(D460,MATERIALES!A:B,2,FALSE),"?")</f>
        <v>Bombeo</v>
      </c>
      <c r="F460" s="5"/>
      <c r="G460" s="11">
        <v>0.21238937999999999</v>
      </c>
      <c r="H460" s="12">
        <v>0</v>
      </c>
      <c r="I460" s="7">
        <f>IFERROR(VLOOKUP(D460,MATERIALES!A:D,4,FALSE),0)</f>
        <v>5330</v>
      </c>
      <c r="J460" s="8">
        <f t="shared" si="28"/>
        <v>1132.0353954</v>
      </c>
      <c r="K460" s="7" t="str">
        <f t="shared" si="29"/>
        <v>PTO-1107|MAT</v>
      </c>
      <c r="L460" s="7">
        <f>COUNTIFS($K$2:K460,K460)</f>
        <v>3</v>
      </c>
      <c r="M460" s="7" t="str">
        <f t="shared" si="30"/>
        <v>PTO-1107|MAT|3</v>
      </c>
      <c r="N460" s="7">
        <f>IFERROR(VLOOKUP(A460,PARTIDAS!A:F,6,FALSE),0)</f>
        <v>1</v>
      </c>
      <c r="O460" s="7">
        <f t="shared" si="31"/>
        <v>0</v>
      </c>
      <c r="P460" s="7">
        <f>IFERROR(_xlfn.XLOOKUP(A460,PPTO_GENERADOR!$Q:$Q,PPTO_GENERADOR!$E:$E,"-",0),"-")</f>
        <v>226</v>
      </c>
    </row>
    <row r="461" spans="1:16" x14ac:dyDescent="0.35">
      <c r="A461" s="5" t="s">
        <v>965</v>
      </c>
      <c r="B461" s="5" t="s">
        <v>1203</v>
      </c>
      <c r="C461" s="5" t="s">
        <v>1199</v>
      </c>
      <c r="D461" s="5" t="s">
        <v>224</v>
      </c>
      <c r="E461" s="7" t="str">
        <f>IFERROR(VLOOKUP(D461,MATERIALES!A:B,2,FALSE),"?")</f>
        <v>Malla Q188 15 x 15 6 mm 6x2,40</v>
      </c>
      <c r="F461" s="5"/>
      <c r="G461" s="11">
        <v>7.5221239999999995E-2</v>
      </c>
      <c r="H461" s="12">
        <v>0</v>
      </c>
      <c r="I461" s="7">
        <f>IFERROR(VLOOKUP(D461,MATERIALES!A:D,4,FALSE),0)</f>
        <v>75473.119999999995</v>
      </c>
      <c r="J461" s="8">
        <f t="shared" si="28"/>
        <v>5677.1816730687997</v>
      </c>
      <c r="K461" s="7" t="str">
        <f t="shared" si="29"/>
        <v>PTO-1107|MAT</v>
      </c>
      <c r="L461" s="7">
        <f>COUNTIFS($K$2:K461,K461)</f>
        <v>4</v>
      </c>
      <c r="M461" s="7" t="str">
        <f t="shared" si="30"/>
        <v>PTO-1107|MAT|4</v>
      </c>
      <c r="N461" s="7">
        <f>IFERROR(VLOOKUP(A461,PARTIDAS!A:F,6,FALSE),0)</f>
        <v>1</v>
      </c>
      <c r="O461" s="7">
        <f t="shared" si="31"/>
        <v>0</v>
      </c>
      <c r="P461" s="7">
        <f>IFERROR(_xlfn.XLOOKUP(A461,PPTO_GENERADOR!$Q:$Q,PPTO_GENERADOR!$E:$E,"-",0),"-")</f>
        <v>226</v>
      </c>
    </row>
    <row r="462" spans="1:16" x14ac:dyDescent="0.35">
      <c r="A462" s="5" t="s">
        <v>965</v>
      </c>
      <c r="B462" s="5" t="s">
        <v>1203</v>
      </c>
      <c r="C462" s="5" t="s">
        <v>1199</v>
      </c>
      <c r="D462" s="5" t="s">
        <v>226</v>
      </c>
      <c r="E462" s="7" t="str">
        <f>IFERROR(VLOOKUP(D462,MATERIALES!A:B,2,FALSE),"?")</f>
        <v>Sikafloor Quartz top</v>
      </c>
      <c r="F462" s="5"/>
      <c r="G462" s="11">
        <v>0.20353982000000001</v>
      </c>
      <c r="H462" s="12">
        <v>0</v>
      </c>
      <c r="I462" s="7">
        <f>IFERROR(VLOOKUP(D462,MATERIALES!A:D,4,FALSE),0)</f>
        <v>25000</v>
      </c>
      <c r="J462" s="8">
        <f t="shared" si="28"/>
        <v>5088.4955</v>
      </c>
      <c r="K462" s="7" t="str">
        <f t="shared" si="29"/>
        <v>PTO-1107|MAT</v>
      </c>
      <c r="L462" s="7">
        <f>COUNTIFS($K$2:K462,K462)</f>
        <v>5</v>
      </c>
      <c r="M462" s="7" t="str">
        <f t="shared" si="30"/>
        <v>PTO-1107|MAT|5</v>
      </c>
      <c r="N462" s="7">
        <f>IFERROR(VLOOKUP(A462,PARTIDAS!A:F,6,FALSE),0)</f>
        <v>1</v>
      </c>
      <c r="O462" s="7">
        <f t="shared" si="31"/>
        <v>0</v>
      </c>
      <c r="P462" s="7">
        <f>IFERROR(_xlfn.XLOOKUP(A462,PPTO_GENERADOR!$Q:$Q,PPTO_GENERADOR!$E:$E,"-",0),"-")</f>
        <v>226</v>
      </c>
    </row>
    <row r="463" spans="1:16" x14ac:dyDescent="0.35">
      <c r="A463" s="5" t="s">
        <v>965</v>
      </c>
      <c r="B463" s="5" t="s">
        <v>1198</v>
      </c>
      <c r="C463" s="5" t="s">
        <v>1199</v>
      </c>
      <c r="D463" s="5" t="s">
        <v>703</v>
      </c>
      <c r="E463" s="7" t="str">
        <f>IFERROR(VLOOKUP(D463,SUBCONTRATOS_PRY!A:B,2,FALSE),"?")</f>
        <v>Alquiler de aserradora</v>
      </c>
      <c r="F463" s="5" t="s">
        <v>1200</v>
      </c>
      <c r="G463" s="11">
        <v>4.4247799999999997E-3</v>
      </c>
      <c r="H463" s="12">
        <v>0</v>
      </c>
      <c r="I463" s="7">
        <f>IFERROR(VLOOKUP(D463,SUBCONTRATOS_PRY!A:D,4,FALSE),0)</f>
        <v>240000</v>
      </c>
      <c r="J463" s="8">
        <f t="shared" si="28"/>
        <v>1061.9471999999998</v>
      </c>
      <c r="K463" s="7" t="str">
        <f t="shared" si="29"/>
        <v>PTO-1107|MO</v>
      </c>
      <c r="L463" s="7">
        <f>COUNTIFS($K$2:K463,K463)</f>
        <v>1</v>
      </c>
      <c r="M463" s="7" t="str">
        <f t="shared" si="30"/>
        <v>PTO-1107|MO|1</v>
      </c>
      <c r="N463" s="7">
        <f>IFERROR(VLOOKUP(A463,PARTIDAS!A:F,6,FALSE),0)</f>
        <v>1</v>
      </c>
      <c r="O463" s="7">
        <f t="shared" si="31"/>
        <v>0</v>
      </c>
      <c r="P463" s="7">
        <f>IFERROR(_xlfn.XLOOKUP(A463,PPTO_GENERADOR!$Q:$Q,PPTO_GENERADOR!$E:$E,"-",0),"-")</f>
        <v>226</v>
      </c>
    </row>
    <row r="464" spans="1:16" x14ac:dyDescent="0.35">
      <c r="A464" s="5" t="s">
        <v>965</v>
      </c>
      <c r="B464" s="5" t="s">
        <v>1198</v>
      </c>
      <c r="C464" s="5" t="s">
        <v>1199</v>
      </c>
      <c r="D464" s="5" t="s">
        <v>705</v>
      </c>
      <c r="E464" s="7" t="str">
        <f>IFERROR(VLOOKUP(D464,SUBCONTRATOS_PRY!A:B,2,FALSE),"?")</f>
        <v>Alquiler de helicoptero</v>
      </c>
      <c r="F464" s="5" t="s">
        <v>1200</v>
      </c>
      <c r="G464" s="11">
        <v>4.4247799999999997E-3</v>
      </c>
      <c r="H464" s="12">
        <v>0</v>
      </c>
      <c r="I464" s="7">
        <f>IFERROR(VLOOKUP(D464,SUBCONTRATOS_PRY!A:D,4,FALSE),0)</f>
        <v>135000</v>
      </c>
      <c r="J464" s="8">
        <f t="shared" si="28"/>
        <v>597.34529999999995</v>
      </c>
      <c r="K464" s="7" t="str">
        <f t="shared" si="29"/>
        <v>PTO-1107|MO</v>
      </c>
      <c r="L464" s="7">
        <f>COUNTIFS($K$2:K464,K464)</f>
        <v>2</v>
      </c>
      <c r="M464" s="7" t="str">
        <f t="shared" si="30"/>
        <v>PTO-1107|MO|2</v>
      </c>
      <c r="N464" s="7">
        <f>IFERROR(VLOOKUP(A464,PARTIDAS!A:F,6,FALSE),0)</f>
        <v>1</v>
      </c>
      <c r="O464" s="7">
        <f t="shared" si="31"/>
        <v>0</v>
      </c>
      <c r="P464" s="7">
        <f>IFERROR(_xlfn.XLOOKUP(A464,PPTO_GENERADOR!$Q:$Q,PPTO_GENERADOR!$E:$E,"-",0),"-")</f>
        <v>226</v>
      </c>
    </row>
    <row r="465" spans="1:16" x14ac:dyDescent="0.35">
      <c r="A465" s="5" t="s">
        <v>965</v>
      </c>
      <c r="B465" s="5" t="s">
        <v>1203</v>
      </c>
      <c r="C465" s="5" t="s">
        <v>1199</v>
      </c>
      <c r="D465" s="5" t="s">
        <v>228</v>
      </c>
      <c r="E465" s="7" t="str">
        <f>IFERROR(VLOOKUP(D465,MATERIALES!A:B,2,FALSE),"?")</f>
        <v>Selladores / etc.</v>
      </c>
      <c r="F465" s="5"/>
      <c r="G465" s="11">
        <v>4.4247999999999998E-4</v>
      </c>
      <c r="H465" s="12">
        <v>0</v>
      </c>
      <c r="I465" s="7">
        <f>IFERROR(VLOOKUP(D465,MATERIALES!A:D,4,FALSE),0)</f>
        <v>8071883.04</v>
      </c>
      <c r="J465" s="8">
        <f t="shared" si="28"/>
        <v>3571.6468075391999</v>
      </c>
      <c r="K465" s="7" t="str">
        <f t="shared" si="29"/>
        <v>PTO-1107|MAT</v>
      </c>
      <c r="L465" s="7">
        <f>COUNTIFS($K$2:K465,K465)</f>
        <v>6</v>
      </c>
      <c r="M465" s="7" t="str">
        <f t="shared" si="30"/>
        <v>PTO-1107|MAT|6</v>
      </c>
      <c r="N465" s="7">
        <f>IFERROR(VLOOKUP(A465,PARTIDAS!A:F,6,FALSE),0)</f>
        <v>1</v>
      </c>
      <c r="O465" s="7">
        <f t="shared" si="31"/>
        <v>0</v>
      </c>
      <c r="P465" s="7">
        <f>IFERROR(_xlfn.XLOOKUP(A465,PPTO_GENERADOR!$Q:$Q,PPTO_GENERADOR!$E:$E,"-",0),"-")</f>
        <v>226</v>
      </c>
    </row>
    <row r="466" spans="1:16" x14ac:dyDescent="0.35">
      <c r="A466" s="5" t="s">
        <v>965</v>
      </c>
      <c r="B466" s="5" t="s">
        <v>1198</v>
      </c>
      <c r="C466" s="5" t="s">
        <v>1201</v>
      </c>
      <c r="D466" s="5" t="s">
        <v>477</v>
      </c>
      <c r="E466" s="7" t="str">
        <f>IFERROR(VLOOKUP(D466,MANO_DE_OBRA!A:B,2,FALSE),"?")</f>
        <v>ESPECIALIZADO</v>
      </c>
      <c r="F466" s="5" t="s">
        <v>1200</v>
      </c>
      <c r="G466" s="11">
        <v>4.8672569999999998E-2</v>
      </c>
      <c r="H466" s="12">
        <v>0</v>
      </c>
      <c r="I466" s="7">
        <f>IFERROR(VLOOKUP(D466,MANO_DE_OBRA!A:C,3,FALSE),0)</f>
        <v>75113.05</v>
      </c>
      <c r="J466" s="8">
        <f t="shared" si="28"/>
        <v>3655.9451840385</v>
      </c>
      <c r="K466" s="7" t="str">
        <f t="shared" si="29"/>
        <v>PTO-1107|MO</v>
      </c>
      <c r="L466" s="7">
        <f>COUNTIFS($K$2:K466,K466)</f>
        <v>3</v>
      </c>
      <c r="M466" s="7" t="str">
        <f t="shared" si="30"/>
        <v>PTO-1107|MO|3</v>
      </c>
      <c r="N466" s="7">
        <f>IFERROR(VLOOKUP(A466,PARTIDAS!A:F,6,FALSE),0)</f>
        <v>1</v>
      </c>
      <c r="O466" s="7">
        <f t="shared" si="31"/>
        <v>4.8672569999999998E-2</v>
      </c>
      <c r="P466" s="7">
        <f>IFERROR(_xlfn.XLOOKUP(A466,PPTO_GENERADOR!$Q:$Q,PPTO_GENERADOR!$E:$E,"-",0),"-")</f>
        <v>226</v>
      </c>
    </row>
    <row r="467" spans="1:16" x14ac:dyDescent="0.35">
      <c r="A467" s="5" t="s">
        <v>965</v>
      </c>
      <c r="B467" s="5" t="s">
        <v>1198</v>
      </c>
      <c r="C467" s="5" t="s">
        <v>1201</v>
      </c>
      <c r="D467" s="5" t="s">
        <v>481</v>
      </c>
      <c r="E467" s="7" t="str">
        <f>IFERROR(VLOOKUP(D467,MANO_DE_OBRA!A:B,2,FALSE),"?")</f>
        <v>OFICIAL</v>
      </c>
      <c r="F467" s="5" t="s">
        <v>1200</v>
      </c>
      <c r="G467" s="11">
        <v>5.7522129999999998E-2</v>
      </c>
      <c r="H467" s="12">
        <v>0</v>
      </c>
      <c r="I467" s="7">
        <f>IFERROR(VLOOKUP(D467,MANO_DE_OBRA!A:C,3,FALSE),0)</f>
        <v>65360.25</v>
      </c>
      <c r="J467" s="8">
        <f t="shared" si="28"/>
        <v>3759.6607973324999</v>
      </c>
      <c r="K467" s="7" t="str">
        <f t="shared" si="29"/>
        <v>PTO-1107|MO</v>
      </c>
      <c r="L467" s="7">
        <f>COUNTIFS($K$2:K467,K467)</f>
        <v>4</v>
      </c>
      <c r="M467" s="7" t="str">
        <f t="shared" si="30"/>
        <v>PTO-1107|MO|4</v>
      </c>
      <c r="N467" s="7">
        <f>IFERROR(VLOOKUP(A467,PARTIDAS!A:F,6,FALSE),0)</f>
        <v>1</v>
      </c>
      <c r="O467" s="7">
        <f t="shared" si="31"/>
        <v>5.7522129999999998E-2</v>
      </c>
      <c r="P467" s="7">
        <f>IFERROR(_xlfn.XLOOKUP(A467,PPTO_GENERADOR!$Q:$Q,PPTO_GENERADOR!$E:$E,"-",0),"-")</f>
        <v>226</v>
      </c>
    </row>
    <row r="468" spans="1:16" x14ac:dyDescent="0.35">
      <c r="A468" s="5" t="s">
        <v>965</v>
      </c>
      <c r="B468" s="5" t="s">
        <v>1198</v>
      </c>
      <c r="C468" s="5" t="s">
        <v>1201</v>
      </c>
      <c r="D468" s="5" t="s">
        <v>475</v>
      </c>
      <c r="E468" s="7" t="str">
        <f>IFERROR(VLOOKUP(D468,MANO_DE_OBRA!A:B,2,FALSE),"?")</f>
        <v>AYUDANTE</v>
      </c>
      <c r="F468" s="5" t="s">
        <v>1200</v>
      </c>
      <c r="G468" s="11">
        <v>7.9646030000000007E-2</v>
      </c>
      <c r="H468" s="12">
        <v>0</v>
      </c>
      <c r="I468" s="7">
        <f>IFERROR(VLOOKUP(D468,MANO_DE_OBRA!A:C,3,FALSE),0)</f>
        <v>49934.239999999998</v>
      </c>
      <c r="J468" s="8">
        <f t="shared" si="28"/>
        <v>3977.0639770672001</v>
      </c>
      <c r="K468" s="7" t="str">
        <f t="shared" si="29"/>
        <v>PTO-1107|MO</v>
      </c>
      <c r="L468" s="7">
        <f>COUNTIFS($K$2:K468,K468)</f>
        <v>5</v>
      </c>
      <c r="M468" s="7" t="str">
        <f t="shared" si="30"/>
        <v>PTO-1107|MO|5</v>
      </c>
      <c r="N468" s="7">
        <f>IFERROR(VLOOKUP(A468,PARTIDAS!A:F,6,FALSE),0)</f>
        <v>1</v>
      </c>
      <c r="O468" s="7">
        <f t="shared" si="31"/>
        <v>7.9646030000000007E-2</v>
      </c>
      <c r="P468" s="7">
        <f>IFERROR(_xlfn.XLOOKUP(A468,PPTO_GENERADOR!$Q:$Q,PPTO_GENERADOR!$E:$E,"-",0),"-")</f>
        <v>226</v>
      </c>
    </row>
    <row r="469" spans="1:16" x14ac:dyDescent="0.35">
      <c r="A469" s="5" t="s">
        <v>965</v>
      </c>
      <c r="B469" s="5" t="s">
        <v>1198</v>
      </c>
      <c r="C469" s="5" t="s">
        <v>1201</v>
      </c>
      <c r="D469" s="5" t="s">
        <v>479</v>
      </c>
      <c r="E469" s="7" t="str">
        <f>IFERROR(VLOOKUP(D469,MANO_DE_OBRA!A:B,2,FALSE),"?")</f>
        <v>MEDIO OFICIAL</v>
      </c>
      <c r="F469" s="5" t="s">
        <v>1200</v>
      </c>
      <c r="G469" s="11">
        <v>8.8495599999999994E-3</v>
      </c>
      <c r="H469" s="12">
        <v>0</v>
      </c>
      <c r="I469" s="7">
        <f>IFERROR(VLOOKUP(D469,MANO_DE_OBRA!A:C,3,FALSE),0)</f>
        <v>54784.07</v>
      </c>
      <c r="J469" s="8">
        <f t="shared" si="28"/>
        <v>484.81491450919998</v>
      </c>
      <c r="K469" s="7" t="str">
        <f t="shared" si="29"/>
        <v>PTO-1107|MO</v>
      </c>
      <c r="L469" s="7">
        <f>COUNTIFS($K$2:K469,K469)</f>
        <v>6</v>
      </c>
      <c r="M469" s="7" t="str">
        <f t="shared" si="30"/>
        <v>PTO-1107|MO|6</v>
      </c>
      <c r="N469" s="7">
        <f>IFERROR(VLOOKUP(A469,PARTIDAS!A:F,6,FALSE),0)</f>
        <v>1</v>
      </c>
      <c r="O469" s="7">
        <f t="shared" si="31"/>
        <v>8.8495599999999994E-3</v>
      </c>
      <c r="P469" s="7">
        <f>IFERROR(_xlfn.XLOOKUP(A469,PPTO_GENERADOR!$Q:$Q,PPTO_GENERADOR!$E:$E,"-",0),"-")</f>
        <v>226</v>
      </c>
    </row>
    <row r="470" spans="1:16" x14ac:dyDescent="0.35">
      <c r="A470" s="5" t="s">
        <v>965</v>
      </c>
      <c r="B470" s="5" t="s">
        <v>1202</v>
      </c>
      <c r="C470" s="5"/>
      <c r="D470" s="5" t="s">
        <v>555</v>
      </c>
      <c r="E470" s="7" t="str">
        <f>IFERROR(VLOOKUP(D470,EQUIPOS!A:B,2,FALSE),"?")</f>
        <v>Herramientas/consumibles - Provisión y ejecución de pavimento e: 18</v>
      </c>
      <c r="F470" s="5"/>
      <c r="G470" s="11">
        <v>1</v>
      </c>
      <c r="H470" s="12">
        <v>0</v>
      </c>
      <c r="I470" s="7">
        <f>IFERROR(VLOOKUP(D470,EQUIPOS!A:C,3,FALSE),0)</f>
        <v>868.69799999999998</v>
      </c>
      <c r="J470" s="8">
        <f t="shared" si="28"/>
        <v>868.69799999999998</v>
      </c>
      <c r="K470" s="7" t="str">
        <f t="shared" si="29"/>
        <v>PTO-1107|EQ</v>
      </c>
      <c r="L470" s="7">
        <f>COUNTIFS($K$2:K470,K470)</f>
        <v>1</v>
      </c>
      <c r="M470" s="7" t="str">
        <f t="shared" si="30"/>
        <v>PTO-1107|EQ|1</v>
      </c>
      <c r="N470" s="7">
        <f>IFERROR(VLOOKUP(A470,PARTIDAS!A:F,6,FALSE),0)</f>
        <v>1</v>
      </c>
      <c r="O470" s="7">
        <f t="shared" si="31"/>
        <v>0</v>
      </c>
      <c r="P470" s="7">
        <f>IFERROR(_xlfn.XLOOKUP(A470,PPTO_GENERADOR!$Q:$Q,PPTO_GENERADOR!$E:$E,"-",0),"-")</f>
        <v>226</v>
      </c>
    </row>
    <row r="471" spans="1:16" x14ac:dyDescent="0.35">
      <c r="A471" s="5" t="s">
        <v>968</v>
      </c>
      <c r="B471" s="5" t="s">
        <v>1203</v>
      </c>
      <c r="C471" s="5" t="s">
        <v>1199</v>
      </c>
      <c r="D471" s="5" t="s">
        <v>230</v>
      </c>
      <c r="E471" s="7" t="str">
        <f>IFERROR(VLOOKUP(D471,MATERIALES!A:B,2,FALSE),"?")</f>
        <v>Zocalo 5,6cm Madera Mdf Redondeado Prepintado Blanco Pz-56l</v>
      </c>
      <c r="F471" s="5"/>
      <c r="G471" s="11">
        <v>1</v>
      </c>
      <c r="H471" s="12">
        <v>0</v>
      </c>
      <c r="I471" s="7">
        <f>IFERROR(VLOOKUP(D471,MATERIALES!A:D,4,FALSE),0)</f>
        <v>1652.8925999999999</v>
      </c>
      <c r="J471" s="8">
        <f t="shared" si="28"/>
        <v>1652.8925999999999</v>
      </c>
      <c r="K471" s="7" t="str">
        <f t="shared" si="29"/>
        <v>PTO-1201|MAT</v>
      </c>
      <c r="L471" s="7">
        <f>COUNTIFS($K$2:K471,K471)</f>
        <v>1</v>
      </c>
      <c r="M471" s="7" t="str">
        <f t="shared" si="30"/>
        <v>PTO-1201|MAT|1</v>
      </c>
      <c r="N471" s="7">
        <f>IFERROR(VLOOKUP(A471,PARTIDAS!A:F,6,FALSE),0)</f>
        <v>1</v>
      </c>
      <c r="O471" s="7">
        <f t="shared" si="31"/>
        <v>0</v>
      </c>
      <c r="P471" s="7">
        <f>IFERROR(_xlfn.XLOOKUP(A471,PPTO_GENERADOR!$Q:$Q,PPTO_GENERADOR!$E:$E,"-",0),"-")</f>
        <v>779</v>
      </c>
    </row>
    <row r="472" spans="1:16" x14ac:dyDescent="0.35">
      <c r="A472" s="5" t="s">
        <v>968</v>
      </c>
      <c r="B472" s="5" t="s">
        <v>1203</v>
      </c>
      <c r="C472" s="5" t="s">
        <v>1199</v>
      </c>
      <c r="D472" s="5" t="s">
        <v>232</v>
      </c>
      <c r="E472" s="7" t="str">
        <f>IFERROR(VLOOKUP(D472,MATERIALES!A:B,2,FALSE),"?")</f>
        <v>Sellador / Silicona (rinde 5 mts)</v>
      </c>
      <c r="F472" s="5"/>
      <c r="G472" s="11">
        <v>0.2</v>
      </c>
      <c r="H472" s="12">
        <v>0</v>
      </c>
      <c r="I472" s="7">
        <f>IFERROR(VLOOKUP(D472,MATERIALES!A:D,4,FALSE),0)</f>
        <v>7396.6941999999999</v>
      </c>
      <c r="J472" s="8">
        <f t="shared" si="28"/>
        <v>1479.3388400000001</v>
      </c>
      <c r="K472" s="7" t="str">
        <f t="shared" si="29"/>
        <v>PTO-1201|MAT</v>
      </c>
      <c r="L472" s="7">
        <f>COUNTIFS($K$2:K472,K472)</f>
        <v>2</v>
      </c>
      <c r="M472" s="7" t="str">
        <f t="shared" si="30"/>
        <v>PTO-1201|MAT|2</v>
      </c>
      <c r="N472" s="7">
        <f>IFERROR(VLOOKUP(A472,PARTIDAS!A:F,6,FALSE),0)</f>
        <v>1</v>
      </c>
      <c r="O472" s="7">
        <f t="shared" si="31"/>
        <v>0</v>
      </c>
      <c r="P472" s="7">
        <f>IFERROR(_xlfn.XLOOKUP(A472,PPTO_GENERADOR!$Q:$Q,PPTO_GENERADOR!$E:$E,"-",0),"-")</f>
        <v>779</v>
      </c>
    </row>
    <row r="473" spans="1:16" x14ac:dyDescent="0.35">
      <c r="A473" s="5" t="s">
        <v>968</v>
      </c>
      <c r="B473" s="5" t="s">
        <v>1198</v>
      </c>
      <c r="C473" s="5" t="s">
        <v>1201</v>
      </c>
      <c r="D473" s="5" t="s">
        <v>481</v>
      </c>
      <c r="E473" s="7" t="str">
        <f>IFERROR(VLOOKUP(D473,MANO_DE_OBRA!A:B,2,FALSE),"?")</f>
        <v>OFICIAL</v>
      </c>
      <c r="F473" s="5" t="s">
        <v>1200</v>
      </c>
      <c r="G473" s="11">
        <v>4.107831E-2</v>
      </c>
      <c r="H473" s="12">
        <v>0</v>
      </c>
      <c r="I473" s="7">
        <f>IFERROR(VLOOKUP(D473,MANO_DE_OBRA!A:C,3,FALSE),0)</f>
        <v>65360.25</v>
      </c>
      <c r="J473" s="8">
        <f t="shared" si="28"/>
        <v>2684.8886111775</v>
      </c>
      <c r="K473" s="7" t="str">
        <f t="shared" si="29"/>
        <v>PTO-1201|MO</v>
      </c>
      <c r="L473" s="7">
        <f>COUNTIFS($K$2:K473,K473)</f>
        <v>1</v>
      </c>
      <c r="M473" s="7" t="str">
        <f t="shared" si="30"/>
        <v>PTO-1201|MO|1</v>
      </c>
      <c r="N473" s="7">
        <f>IFERROR(VLOOKUP(A473,PARTIDAS!A:F,6,FALSE),0)</f>
        <v>1</v>
      </c>
      <c r="O473" s="7">
        <f t="shared" si="31"/>
        <v>4.107831E-2</v>
      </c>
      <c r="P473" s="7">
        <f>IFERROR(_xlfn.XLOOKUP(A473,PPTO_GENERADOR!$Q:$Q,PPTO_GENERADOR!$E:$E,"-",0),"-")</f>
        <v>779</v>
      </c>
    </row>
    <row r="474" spans="1:16" x14ac:dyDescent="0.35">
      <c r="A474" s="5" t="s">
        <v>968</v>
      </c>
      <c r="B474" s="5" t="s">
        <v>1202</v>
      </c>
      <c r="C474" s="5"/>
      <c r="D474" s="5" t="s">
        <v>557</v>
      </c>
      <c r="E474" s="7" t="str">
        <f>IFERROR(VLOOKUP(D474,EQUIPOS!A:B,2,FALSE),"?")</f>
        <v>Herramientas/consumibles - Provisión y colocación de zocalos de Mad</v>
      </c>
      <c r="F474" s="5"/>
      <c r="G474" s="11">
        <v>1</v>
      </c>
      <c r="H474" s="12">
        <v>0</v>
      </c>
      <c r="I474" s="7">
        <f>IFERROR(VLOOKUP(D474,EQUIPOS!A:C,3,FALSE),0)</f>
        <v>87.256799999999998</v>
      </c>
      <c r="J474" s="8">
        <f t="shared" si="28"/>
        <v>87.256799999999998</v>
      </c>
      <c r="K474" s="7" t="str">
        <f t="shared" si="29"/>
        <v>PTO-1201|EQ</v>
      </c>
      <c r="L474" s="7">
        <f>COUNTIFS($K$2:K474,K474)</f>
        <v>1</v>
      </c>
      <c r="M474" s="7" t="str">
        <f t="shared" si="30"/>
        <v>PTO-1201|EQ|1</v>
      </c>
      <c r="N474" s="7">
        <f>IFERROR(VLOOKUP(A474,PARTIDAS!A:F,6,FALSE),0)</f>
        <v>1</v>
      </c>
      <c r="O474" s="7">
        <f t="shared" si="31"/>
        <v>0</v>
      </c>
      <c r="P474" s="7">
        <f>IFERROR(_xlfn.XLOOKUP(A474,PPTO_GENERADOR!$Q:$Q,PPTO_GENERADOR!$E:$E,"-",0),"-")</f>
        <v>779</v>
      </c>
    </row>
    <row r="475" spans="1:16" x14ac:dyDescent="0.35">
      <c r="A475" s="5" t="s">
        <v>969</v>
      </c>
      <c r="B475" s="5" t="s">
        <v>1203</v>
      </c>
      <c r="C475" s="5" t="s">
        <v>1205</v>
      </c>
      <c r="D475" s="5" t="s">
        <v>136</v>
      </c>
      <c r="E475" s="7" t="str">
        <f>IFERROR(VLOOKUP(D475,MATERIALES!A:B,2,FALSE),"?")</f>
        <v>ARENA LAVADA</v>
      </c>
      <c r="F475" s="5"/>
      <c r="G475" s="11">
        <v>6.0000000000000001E-3</v>
      </c>
      <c r="H475" s="12">
        <v>0.1</v>
      </c>
      <c r="I475" s="7">
        <f>IFERROR(VLOOKUP(D475,MATERIALES!A:D,4,FALSE),0)</f>
        <v>31265.15</v>
      </c>
      <c r="J475" s="8">
        <f t="shared" si="28"/>
        <v>206.34999000000002</v>
      </c>
      <c r="K475" s="7" t="str">
        <f t="shared" si="29"/>
        <v>PTO-1202|MAT</v>
      </c>
      <c r="L475" s="7">
        <f>COUNTIFS($K$2:K475,K475)</f>
        <v>1</v>
      </c>
      <c r="M475" s="7" t="str">
        <f t="shared" si="30"/>
        <v>PTO-1202|MAT|1</v>
      </c>
      <c r="N475" s="7">
        <f>IFERROR(VLOOKUP(A475,PARTIDAS!A:F,6,FALSE),0)</f>
        <v>1</v>
      </c>
      <c r="O475" s="7">
        <f t="shared" si="31"/>
        <v>0</v>
      </c>
      <c r="P475" s="7">
        <f>IFERROR(_xlfn.XLOOKUP(A475,PPTO_GENERADOR!$Q:$Q,PPTO_GENERADOR!$E:$E,"-",0),"-")</f>
        <v>155</v>
      </c>
    </row>
    <row r="476" spans="1:16" x14ac:dyDescent="0.35">
      <c r="A476" s="5" t="s">
        <v>969</v>
      </c>
      <c r="B476" s="5" t="s">
        <v>1203</v>
      </c>
      <c r="C476" s="5" t="s">
        <v>1205</v>
      </c>
      <c r="D476" s="5" t="s">
        <v>175</v>
      </c>
      <c r="E476" s="7" t="str">
        <f>IFERROR(VLOOKUP(D476,MATERIALES!A:B,2,FALSE),"?")</f>
        <v>Aditivo Hidrofugo en pasta - Ceresita x 1kg</v>
      </c>
      <c r="F476" s="5"/>
      <c r="G476" s="11">
        <v>0.1</v>
      </c>
      <c r="H476" s="12">
        <v>0.05</v>
      </c>
      <c r="I476" s="7">
        <f>IFERROR(VLOOKUP(D476,MATERIALES!A:D,4,FALSE),0)</f>
        <v>1162.7550000000001</v>
      </c>
      <c r="J476" s="8">
        <f t="shared" si="28"/>
        <v>122.08927500000003</v>
      </c>
      <c r="K476" s="7" t="str">
        <f t="shared" si="29"/>
        <v>PTO-1202|MAT</v>
      </c>
      <c r="L476" s="7">
        <f>COUNTIFS($K$2:K476,K476)</f>
        <v>2</v>
      </c>
      <c r="M476" s="7" t="str">
        <f t="shared" si="30"/>
        <v>PTO-1202|MAT|2</v>
      </c>
      <c r="N476" s="7">
        <f>IFERROR(VLOOKUP(A476,PARTIDAS!A:F,6,FALSE),0)</f>
        <v>1</v>
      </c>
      <c r="O476" s="7">
        <f t="shared" si="31"/>
        <v>0</v>
      </c>
      <c r="P476" s="7">
        <f>IFERROR(_xlfn.XLOOKUP(A476,PPTO_GENERADOR!$Q:$Q,PPTO_GENERADOR!$E:$E,"-",0),"-")</f>
        <v>155</v>
      </c>
    </row>
    <row r="477" spans="1:16" x14ac:dyDescent="0.35">
      <c r="A477" s="5" t="s">
        <v>969</v>
      </c>
      <c r="B477" s="5" t="s">
        <v>1203</v>
      </c>
      <c r="C477" s="5" t="s">
        <v>1205</v>
      </c>
      <c r="D477" s="5" t="s">
        <v>140</v>
      </c>
      <c r="E477" s="7" t="str">
        <f>IFERROR(VLOOKUP(D477,MATERIALES!A:B,2,FALSE),"?")</f>
        <v>Cemento Portland x 50kg</v>
      </c>
      <c r="F477" s="5"/>
      <c r="G477" s="11">
        <v>5.3999999999999999E-2</v>
      </c>
      <c r="H477" s="12">
        <v>0.1</v>
      </c>
      <c r="I477" s="7">
        <f>IFERROR(VLOOKUP(D477,MATERIALES!A:D,4,FALSE),0)</f>
        <v>7233.47</v>
      </c>
      <c r="J477" s="8">
        <f t="shared" si="28"/>
        <v>429.66811800000005</v>
      </c>
      <c r="K477" s="7" t="str">
        <f t="shared" si="29"/>
        <v>PTO-1202|MAT</v>
      </c>
      <c r="L477" s="7">
        <f>COUNTIFS($K$2:K477,K477)</f>
        <v>3</v>
      </c>
      <c r="M477" s="7" t="str">
        <f t="shared" si="30"/>
        <v>PTO-1202|MAT|3</v>
      </c>
      <c r="N477" s="7">
        <f>IFERROR(VLOOKUP(A477,PARTIDAS!A:F,6,FALSE),0)</f>
        <v>1</v>
      </c>
      <c r="O477" s="7">
        <f t="shared" si="31"/>
        <v>0</v>
      </c>
      <c r="P477" s="7">
        <f>IFERROR(_xlfn.XLOOKUP(A477,PPTO_GENERADOR!$Q:$Q,PPTO_GENERADOR!$E:$E,"-",0),"-")</f>
        <v>155</v>
      </c>
    </row>
    <row r="478" spans="1:16" x14ac:dyDescent="0.35">
      <c r="A478" s="5" t="s">
        <v>969</v>
      </c>
      <c r="B478" s="5" t="s">
        <v>1198</v>
      </c>
      <c r="C478" s="5" t="s">
        <v>1201</v>
      </c>
      <c r="D478" s="5" t="s">
        <v>475</v>
      </c>
      <c r="E478" s="7" t="str">
        <f>IFERROR(VLOOKUP(D478,MANO_DE_OBRA!A:B,2,FALSE),"?")</f>
        <v>AYUDANTE</v>
      </c>
      <c r="F478" s="5" t="s">
        <v>1200</v>
      </c>
      <c r="G478" s="11">
        <v>1.428571E-2</v>
      </c>
      <c r="H478" s="12">
        <v>0</v>
      </c>
      <c r="I478" s="7">
        <f>IFERROR(VLOOKUP(D478,MANO_DE_OBRA!A:C,3,FALSE),0)</f>
        <v>49934.239999999998</v>
      </c>
      <c r="J478" s="8">
        <f t="shared" si="28"/>
        <v>713.3460717104</v>
      </c>
      <c r="K478" s="7" t="str">
        <f t="shared" si="29"/>
        <v>PTO-1202|MO</v>
      </c>
      <c r="L478" s="7">
        <f>COUNTIFS($K$2:K478,K478)</f>
        <v>1</v>
      </c>
      <c r="M478" s="7" t="str">
        <f t="shared" si="30"/>
        <v>PTO-1202|MO|1</v>
      </c>
      <c r="N478" s="7">
        <f>IFERROR(VLOOKUP(A478,PARTIDAS!A:F,6,FALSE),0)</f>
        <v>1</v>
      </c>
      <c r="O478" s="7">
        <f t="shared" si="31"/>
        <v>1.428571E-2</v>
      </c>
      <c r="P478" s="7">
        <f>IFERROR(_xlfn.XLOOKUP(A478,PPTO_GENERADOR!$Q:$Q,PPTO_GENERADOR!$E:$E,"-",0),"-")</f>
        <v>155</v>
      </c>
    </row>
    <row r="479" spans="1:16" x14ac:dyDescent="0.35">
      <c r="A479" s="5" t="s">
        <v>969</v>
      </c>
      <c r="B479" s="5" t="s">
        <v>1198</v>
      </c>
      <c r="C479" s="5" t="s">
        <v>1201</v>
      </c>
      <c r="D479" s="5" t="s">
        <v>477</v>
      </c>
      <c r="E479" s="7" t="str">
        <f>IFERROR(VLOOKUP(D479,MANO_DE_OBRA!A:B,2,FALSE),"?")</f>
        <v>ESPECIALIZADO</v>
      </c>
      <c r="F479" s="5" t="s">
        <v>1200</v>
      </c>
      <c r="G479" s="11">
        <v>3.5714290000000003E-2</v>
      </c>
      <c r="H479" s="12">
        <v>0</v>
      </c>
      <c r="I479" s="7">
        <f>IFERROR(VLOOKUP(D479,MANO_DE_OBRA!A:C,3,FALSE),0)</f>
        <v>75113.05</v>
      </c>
      <c r="J479" s="8">
        <f t="shared" si="28"/>
        <v>2682.6092504845001</v>
      </c>
      <c r="K479" s="7" t="str">
        <f t="shared" si="29"/>
        <v>PTO-1202|MO</v>
      </c>
      <c r="L479" s="7">
        <f>COUNTIFS($K$2:K479,K479)</f>
        <v>2</v>
      </c>
      <c r="M479" s="7" t="str">
        <f t="shared" si="30"/>
        <v>PTO-1202|MO|2</v>
      </c>
      <c r="N479" s="7">
        <f>IFERROR(VLOOKUP(A479,PARTIDAS!A:F,6,FALSE),0)</f>
        <v>1</v>
      </c>
      <c r="O479" s="7">
        <f t="shared" si="31"/>
        <v>3.5714290000000003E-2</v>
      </c>
      <c r="P479" s="7">
        <f>IFERROR(_xlfn.XLOOKUP(A479,PPTO_GENERADOR!$Q:$Q,PPTO_GENERADOR!$E:$E,"-",0),"-")</f>
        <v>155</v>
      </c>
    </row>
    <row r="480" spans="1:16" x14ac:dyDescent="0.35">
      <c r="A480" s="5" t="s">
        <v>969</v>
      </c>
      <c r="B480" s="5" t="s">
        <v>1202</v>
      </c>
      <c r="C480" s="5"/>
      <c r="D480" s="5" t="s">
        <v>527</v>
      </c>
      <c r="E480" s="7" t="str">
        <f>IFERROR(VLOOKUP(D480,EQUIPOS!A:B,2,FALSE),"?")</f>
        <v>ANDAMIO TUBULAR DE UNO A TRES CUERPOS</v>
      </c>
      <c r="F480" s="5"/>
      <c r="G480" s="11">
        <v>1.7857140000000001E-2</v>
      </c>
      <c r="H480" s="12">
        <v>0</v>
      </c>
      <c r="I480" s="7">
        <f>IFERROR(VLOOKUP(D480,EQUIPOS!A:C,3,FALSE),0)</f>
        <v>556.21879999999999</v>
      </c>
      <c r="J480" s="8">
        <f t="shared" si="28"/>
        <v>9.932476982232</v>
      </c>
      <c r="K480" s="7" t="str">
        <f t="shared" si="29"/>
        <v>PTO-1202|EQ</v>
      </c>
      <c r="L480" s="7">
        <f>COUNTIFS($K$2:K480,K480)</f>
        <v>1</v>
      </c>
      <c r="M480" s="7" t="str">
        <f t="shared" si="30"/>
        <v>PTO-1202|EQ|1</v>
      </c>
      <c r="N480" s="7">
        <f>IFERROR(VLOOKUP(A480,PARTIDAS!A:F,6,FALSE),0)</f>
        <v>1</v>
      </c>
      <c r="O480" s="7">
        <f t="shared" si="31"/>
        <v>0</v>
      </c>
      <c r="P480" s="7">
        <f>IFERROR(_xlfn.XLOOKUP(A480,PPTO_GENERADOR!$Q:$Q,PPTO_GENERADOR!$E:$E,"-",0),"-")</f>
        <v>155</v>
      </c>
    </row>
    <row r="481" spans="1:16" x14ac:dyDescent="0.35">
      <c r="A481" s="5" t="s">
        <v>969</v>
      </c>
      <c r="B481" s="5" t="s">
        <v>1202</v>
      </c>
      <c r="C481" s="5"/>
      <c r="D481" s="5" t="s">
        <v>525</v>
      </c>
      <c r="E481" s="7" t="str">
        <f>IFERROR(VLOOKUP(D481,EQUIPOS!A:B,2,FALSE),"?")</f>
        <v>EQUIPO DE ALBAÑILERIA, carpetas, ladrillo</v>
      </c>
      <c r="F481" s="5"/>
      <c r="G481" s="11">
        <v>3.5714290000000003E-2</v>
      </c>
      <c r="H481" s="12">
        <v>0</v>
      </c>
      <c r="I481" s="7">
        <f>IFERROR(VLOOKUP(D481,EQUIPOS!A:C,3,FALSE),0)</f>
        <v>2227.2298000000001</v>
      </c>
      <c r="J481" s="8">
        <f t="shared" si="28"/>
        <v>79.543930973842009</v>
      </c>
      <c r="K481" s="7" t="str">
        <f t="shared" si="29"/>
        <v>PTO-1202|EQ</v>
      </c>
      <c r="L481" s="7">
        <f>COUNTIFS($K$2:K481,K481)</f>
        <v>2</v>
      </c>
      <c r="M481" s="7" t="str">
        <f t="shared" si="30"/>
        <v>PTO-1202|EQ|2</v>
      </c>
      <c r="N481" s="7">
        <f>IFERROR(VLOOKUP(A481,PARTIDAS!A:F,6,FALSE),0)</f>
        <v>1</v>
      </c>
      <c r="O481" s="7">
        <f t="shared" si="31"/>
        <v>0</v>
      </c>
      <c r="P481" s="7">
        <f>IFERROR(_xlfn.XLOOKUP(A481,PPTO_GENERADOR!$Q:$Q,PPTO_GENERADOR!$E:$E,"-",0),"-")</f>
        <v>155</v>
      </c>
    </row>
    <row r="482" spans="1:16" x14ac:dyDescent="0.35">
      <c r="A482" s="5" t="s">
        <v>969</v>
      </c>
      <c r="B482" s="5" t="s">
        <v>1202</v>
      </c>
      <c r="C482" s="5"/>
      <c r="D482" s="5" t="s">
        <v>529</v>
      </c>
      <c r="E482" s="7" t="str">
        <f>IFERROR(VLOOKUP(D482,EQUIPOS!A:B,2,FALSE),"?")</f>
        <v>Hormigonera De 150 Litros 1hp Con Rueda Maciza</v>
      </c>
      <c r="F482" s="5"/>
      <c r="G482" s="11">
        <v>3.5714290000000003E-2</v>
      </c>
      <c r="H482" s="12">
        <v>0</v>
      </c>
      <c r="I482" s="7">
        <f>IFERROR(VLOOKUP(D482,EQUIPOS!A:C,3,FALSE),0)</f>
        <v>932.18029999999999</v>
      </c>
      <c r="J482" s="8">
        <f t="shared" si="28"/>
        <v>33.292157566486999</v>
      </c>
      <c r="K482" s="7" t="str">
        <f t="shared" si="29"/>
        <v>PTO-1202|EQ</v>
      </c>
      <c r="L482" s="7">
        <f>COUNTIFS($K$2:K482,K482)</f>
        <v>3</v>
      </c>
      <c r="M482" s="7" t="str">
        <f t="shared" si="30"/>
        <v>PTO-1202|EQ|3</v>
      </c>
      <c r="N482" s="7">
        <f>IFERROR(VLOOKUP(A482,PARTIDAS!A:F,6,FALSE),0)</f>
        <v>1</v>
      </c>
      <c r="O482" s="7">
        <f t="shared" si="31"/>
        <v>0</v>
      </c>
      <c r="P482" s="7">
        <f>IFERROR(_xlfn.XLOOKUP(A482,PPTO_GENERADOR!$Q:$Q,PPTO_GENERADOR!$E:$E,"-",0),"-")</f>
        <v>155</v>
      </c>
    </row>
    <row r="483" spans="1:16" x14ac:dyDescent="0.35">
      <c r="A483" s="5" t="s">
        <v>971</v>
      </c>
      <c r="B483" s="5" t="s">
        <v>1203</v>
      </c>
      <c r="C483" s="5" t="s">
        <v>1205</v>
      </c>
      <c r="D483" s="5" t="s">
        <v>215</v>
      </c>
      <c r="E483" s="7" t="str">
        <f>IFERROR(VLOOKUP(D483,MATERIALES!A:B,2,FALSE),"?")</f>
        <v>Adhesivo Klaukol Porcellanato Fluido x 30Kg</v>
      </c>
      <c r="F483" s="5"/>
      <c r="G483" s="11">
        <v>0.04</v>
      </c>
      <c r="H483" s="12">
        <v>0.2</v>
      </c>
      <c r="I483" s="7">
        <f>IFERROR(VLOOKUP(D483,MATERIALES!A:D,4,FALSE),0)</f>
        <v>21494.592000000001</v>
      </c>
      <c r="J483" s="8">
        <f t="shared" si="28"/>
        <v>1031.7404159999999</v>
      </c>
      <c r="K483" s="7" t="str">
        <f t="shared" si="29"/>
        <v>PTO-1203|MAT</v>
      </c>
      <c r="L483" s="7">
        <f>COUNTIFS($K$2:K483,K483)</f>
        <v>1</v>
      </c>
      <c r="M483" s="7" t="str">
        <f t="shared" si="30"/>
        <v>PTO-1203|MAT|1</v>
      </c>
      <c r="N483" s="7">
        <f>IFERROR(VLOOKUP(A483,PARTIDAS!A:F,6,FALSE),0)</f>
        <v>1</v>
      </c>
      <c r="O483" s="7">
        <f t="shared" si="31"/>
        <v>0</v>
      </c>
      <c r="P483" s="7">
        <f>IFERROR(_xlfn.XLOOKUP(A483,PPTO_GENERADOR!$Q:$Q,PPTO_GENERADOR!$E:$E,"-",0),"-")</f>
        <v>37</v>
      </c>
    </row>
    <row r="484" spans="1:16" x14ac:dyDescent="0.35">
      <c r="A484" s="5" t="s">
        <v>971</v>
      </c>
      <c r="B484" s="5" t="s">
        <v>1203</v>
      </c>
      <c r="C484" s="5" t="s">
        <v>1205</v>
      </c>
      <c r="D484" s="5" t="s">
        <v>217</v>
      </c>
      <c r="E484" s="7" t="str">
        <f>IFERROR(VLOOKUP(D484,MATERIALES!A:B,2,FALSE),"?")</f>
        <v>Pastina Klaukol x 1kg - Alta performance</v>
      </c>
      <c r="F484" s="5"/>
      <c r="G484" s="11">
        <v>0.04</v>
      </c>
      <c r="H484" s="12">
        <v>0.05</v>
      </c>
      <c r="I484" s="7">
        <f>IFERROR(VLOOKUP(D484,MATERIALES!A:D,4,FALSE),0)</f>
        <v>2930.36</v>
      </c>
      <c r="J484" s="8">
        <f t="shared" si="28"/>
        <v>123.07512000000001</v>
      </c>
      <c r="K484" s="7" t="str">
        <f t="shared" si="29"/>
        <v>PTO-1203|MAT</v>
      </c>
      <c r="L484" s="7">
        <f>COUNTIFS($K$2:K484,K484)</f>
        <v>2</v>
      </c>
      <c r="M484" s="7" t="str">
        <f t="shared" si="30"/>
        <v>PTO-1203|MAT|2</v>
      </c>
      <c r="N484" s="7">
        <f>IFERROR(VLOOKUP(A484,PARTIDAS!A:F,6,FALSE),0)</f>
        <v>1</v>
      </c>
      <c r="O484" s="7">
        <f t="shared" si="31"/>
        <v>0</v>
      </c>
      <c r="P484" s="7">
        <f>IFERROR(_xlfn.XLOOKUP(A484,PPTO_GENERADOR!$Q:$Q,PPTO_GENERADOR!$E:$E,"-",0),"-")</f>
        <v>37</v>
      </c>
    </row>
    <row r="485" spans="1:16" x14ac:dyDescent="0.35">
      <c r="A485" s="5" t="s">
        <v>971</v>
      </c>
      <c r="B485" s="5" t="s">
        <v>1203</v>
      </c>
      <c r="C485" s="5" t="s">
        <v>1205</v>
      </c>
      <c r="D485" s="5" t="s">
        <v>219</v>
      </c>
      <c r="E485" s="7" t="str">
        <f>IFERROR(VLOOKUP(D485,MATERIALES!A:B,2,FALSE),"?")</f>
        <v>Disco Diamantado Aliafor Turbo Fino TRF</v>
      </c>
      <c r="F485" s="5"/>
      <c r="G485" s="11">
        <v>1E-3</v>
      </c>
      <c r="H485" s="12">
        <v>0.05</v>
      </c>
      <c r="I485" s="7">
        <f>IFERROR(VLOOKUP(D485,MATERIALES!A:D,4,FALSE),0)</f>
        <v>21453.297500000001</v>
      </c>
      <c r="J485" s="8">
        <f t="shared" si="28"/>
        <v>22.525962375000002</v>
      </c>
      <c r="K485" s="7" t="str">
        <f t="shared" si="29"/>
        <v>PTO-1203|MAT</v>
      </c>
      <c r="L485" s="7">
        <f>COUNTIFS($K$2:K485,K485)</f>
        <v>3</v>
      </c>
      <c r="M485" s="7" t="str">
        <f t="shared" si="30"/>
        <v>PTO-1203|MAT|3</v>
      </c>
      <c r="N485" s="7">
        <f>IFERROR(VLOOKUP(A485,PARTIDAS!A:F,6,FALSE),0)</f>
        <v>1</v>
      </c>
      <c r="O485" s="7">
        <f t="shared" si="31"/>
        <v>0</v>
      </c>
      <c r="P485" s="7">
        <f>IFERROR(_xlfn.XLOOKUP(A485,PPTO_GENERADOR!$Q:$Q,PPTO_GENERADOR!$E:$E,"-",0),"-")</f>
        <v>37</v>
      </c>
    </row>
    <row r="486" spans="1:16" x14ac:dyDescent="0.35">
      <c r="A486" s="5" t="s">
        <v>971</v>
      </c>
      <c r="B486" s="5" t="s">
        <v>1203</v>
      </c>
      <c r="C486" s="5" t="s">
        <v>1205</v>
      </c>
      <c r="D486" s="5" t="s">
        <v>169</v>
      </c>
      <c r="E486" s="7" t="str">
        <f>IFERROR(VLOOKUP(D486,MATERIALES!A:B,2,FALSE),"?")</f>
        <v>Trapo</v>
      </c>
      <c r="F486" s="5"/>
      <c r="G486" s="11">
        <v>0.01</v>
      </c>
      <c r="H486" s="12">
        <v>0.03</v>
      </c>
      <c r="I486" s="7">
        <f>IFERROR(VLOOKUP(D486,MATERIALES!A:D,4,FALSE),0)</f>
        <v>784.06</v>
      </c>
      <c r="J486" s="8">
        <f t="shared" si="28"/>
        <v>8.0758179999999999</v>
      </c>
      <c r="K486" s="7" t="str">
        <f t="shared" si="29"/>
        <v>PTO-1203|MAT</v>
      </c>
      <c r="L486" s="7">
        <f>COUNTIFS($K$2:K486,K486)</f>
        <v>4</v>
      </c>
      <c r="M486" s="7" t="str">
        <f t="shared" si="30"/>
        <v>PTO-1203|MAT|4</v>
      </c>
      <c r="N486" s="7">
        <f>IFERROR(VLOOKUP(A486,PARTIDAS!A:F,6,FALSE),0)</f>
        <v>1</v>
      </c>
      <c r="O486" s="7">
        <f t="shared" si="31"/>
        <v>0</v>
      </c>
      <c r="P486" s="7">
        <f>IFERROR(_xlfn.XLOOKUP(A486,PPTO_GENERADOR!$Q:$Q,PPTO_GENERADOR!$E:$E,"-",0),"-")</f>
        <v>37</v>
      </c>
    </row>
    <row r="487" spans="1:16" x14ac:dyDescent="0.35">
      <c r="A487" s="5" t="s">
        <v>971</v>
      </c>
      <c r="B487" s="5" t="s">
        <v>1198</v>
      </c>
      <c r="C487" s="5" t="s">
        <v>1201</v>
      </c>
      <c r="D487" s="5" t="s">
        <v>479</v>
      </c>
      <c r="E487" s="7" t="str">
        <f>IFERROR(VLOOKUP(D487,MANO_DE_OBRA!A:B,2,FALSE),"?")</f>
        <v>MEDIO OFICIAL</v>
      </c>
      <c r="F487" s="5" t="s">
        <v>1200</v>
      </c>
      <c r="G487" s="11">
        <v>3.3333330000000001E-2</v>
      </c>
      <c r="H487" s="12">
        <v>0</v>
      </c>
      <c r="I487" s="7">
        <f>IFERROR(VLOOKUP(D487,MANO_DE_OBRA!A:C,3,FALSE),0)</f>
        <v>54784.07</v>
      </c>
      <c r="J487" s="8">
        <f t="shared" si="28"/>
        <v>1826.1354840531001</v>
      </c>
      <c r="K487" s="7" t="str">
        <f t="shared" si="29"/>
        <v>PTO-1203|MO</v>
      </c>
      <c r="L487" s="7">
        <f>COUNTIFS($K$2:K487,K487)</f>
        <v>1</v>
      </c>
      <c r="M487" s="7" t="str">
        <f t="shared" si="30"/>
        <v>PTO-1203|MO|1</v>
      </c>
      <c r="N487" s="7">
        <f>IFERROR(VLOOKUP(A487,PARTIDAS!A:F,6,FALSE),0)</f>
        <v>1</v>
      </c>
      <c r="O487" s="7">
        <f t="shared" si="31"/>
        <v>3.3333330000000001E-2</v>
      </c>
      <c r="P487" s="7">
        <f>IFERROR(_xlfn.XLOOKUP(A487,PPTO_GENERADOR!$Q:$Q,PPTO_GENERADOR!$E:$E,"-",0),"-")</f>
        <v>37</v>
      </c>
    </row>
    <row r="488" spans="1:16" x14ac:dyDescent="0.35">
      <c r="A488" s="5" t="s">
        <v>971</v>
      </c>
      <c r="B488" s="5" t="s">
        <v>1198</v>
      </c>
      <c r="C488" s="5" t="s">
        <v>1201</v>
      </c>
      <c r="D488" s="5" t="s">
        <v>477</v>
      </c>
      <c r="E488" s="7" t="str">
        <f>IFERROR(VLOOKUP(D488,MANO_DE_OBRA!A:B,2,FALSE),"?")</f>
        <v>ESPECIALIZADO</v>
      </c>
      <c r="F488" s="5" t="s">
        <v>1200</v>
      </c>
      <c r="G488" s="11">
        <v>3.3333330000000001E-2</v>
      </c>
      <c r="H488" s="12">
        <v>0</v>
      </c>
      <c r="I488" s="7">
        <f>IFERROR(VLOOKUP(D488,MANO_DE_OBRA!A:C,3,FALSE),0)</f>
        <v>75113.05</v>
      </c>
      <c r="J488" s="8">
        <f t="shared" si="28"/>
        <v>2503.7680829565002</v>
      </c>
      <c r="K488" s="7" t="str">
        <f t="shared" si="29"/>
        <v>PTO-1203|MO</v>
      </c>
      <c r="L488" s="7">
        <f>COUNTIFS($K$2:K488,K488)</f>
        <v>2</v>
      </c>
      <c r="M488" s="7" t="str">
        <f t="shared" si="30"/>
        <v>PTO-1203|MO|2</v>
      </c>
      <c r="N488" s="7">
        <f>IFERROR(VLOOKUP(A488,PARTIDAS!A:F,6,FALSE),0)</f>
        <v>1</v>
      </c>
      <c r="O488" s="7">
        <f t="shared" si="31"/>
        <v>3.3333330000000001E-2</v>
      </c>
      <c r="P488" s="7">
        <f>IFERROR(_xlfn.XLOOKUP(A488,PPTO_GENERADOR!$Q:$Q,PPTO_GENERADOR!$E:$E,"-",0),"-")</f>
        <v>37</v>
      </c>
    </row>
    <row r="489" spans="1:16" x14ac:dyDescent="0.35">
      <c r="A489" s="5" t="s">
        <v>971</v>
      </c>
      <c r="B489" s="5" t="s">
        <v>1202</v>
      </c>
      <c r="C489" s="5"/>
      <c r="D489" s="5" t="s">
        <v>551</v>
      </c>
      <c r="E489" s="7" t="str">
        <f>IFERROR(VLOOKUP(D489,EQUIPOS!A:B,2,FALSE),"?")</f>
        <v>EQUIPO PARA COLOCACION DE CERAMICA</v>
      </c>
      <c r="F489" s="5"/>
      <c r="G489" s="11">
        <v>3.3333330000000001E-2</v>
      </c>
      <c r="H489" s="12">
        <v>0</v>
      </c>
      <c r="I489" s="7">
        <f>IFERROR(VLOOKUP(D489,EQUIPOS!A:C,3,FALSE),0)</f>
        <v>2568.0682999999999</v>
      </c>
      <c r="J489" s="8">
        <f t="shared" si="28"/>
        <v>85.602268106438999</v>
      </c>
      <c r="K489" s="7" t="str">
        <f t="shared" si="29"/>
        <v>PTO-1203|EQ</v>
      </c>
      <c r="L489" s="7">
        <f>COUNTIFS($K$2:K489,K489)</f>
        <v>1</v>
      </c>
      <c r="M489" s="7" t="str">
        <f t="shared" si="30"/>
        <v>PTO-1203|EQ|1</v>
      </c>
      <c r="N489" s="7">
        <f>IFERROR(VLOOKUP(A489,PARTIDAS!A:F,6,FALSE),0)</f>
        <v>1</v>
      </c>
      <c r="O489" s="7">
        <f t="shared" si="31"/>
        <v>0</v>
      </c>
      <c r="P489" s="7">
        <f>IFERROR(_xlfn.XLOOKUP(A489,PPTO_GENERADOR!$Q:$Q,PPTO_GENERADOR!$E:$E,"-",0),"-")</f>
        <v>37</v>
      </c>
    </row>
    <row r="490" spans="1:16" x14ac:dyDescent="0.35">
      <c r="A490" s="5" t="s">
        <v>971</v>
      </c>
      <c r="B490" s="5" t="s">
        <v>1202</v>
      </c>
      <c r="C490" s="5"/>
      <c r="D490" s="5" t="s">
        <v>553</v>
      </c>
      <c r="E490" s="7" t="str">
        <f>IFERROR(VLOOKUP(D490,EQUIPOS!A:B,2,FALSE),"?")</f>
        <v>CORTADORA CERAMICA PROFESIONAL 1200MM (PORCELANATO HASTA 16MM)</v>
      </c>
      <c r="F490" s="5"/>
      <c r="G490" s="11">
        <v>3.3333330000000001E-2</v>
      </c>
      <c r="H490" s="12">
        <v>0</v>
      </c>
      <c r="I490" s="7">
        <f>IFERROR(VLOOKUP(D490,EQUIPOS!A:C,3,FALSE),0)</f>
        <v>290.60739999999998</v>
      </c>
      <c r="J490" s="8">
        <f t="shared" si="28"/>
        <v>9.6869123646419997</v>
      </c>
      <c r="K490" s="7" t="str">
        <f t="shared" si="29"/>
        <v>PTO-1203|EQ</v>
      </c>
      <c r="L490" s="7">
        <f>COUNTIFS($K$2:K490,K490)</f>
        <v>2</v>
      </c>
      <c r="M490" s="7" t="str">
        <f t="shared" si="30"/>
        <v>PTO-1203|EQ|2</v>
      </c>
      <c r="N490" s="7">
        <f>IFERROR(VLOOKUP(A490,PARTIDAS!A:F,6,FALSE),0)</f>
        <v>1</v>
      </c>
      <c r="O490" s="7">
        <f t="shared" si="31"/>
        <v>0</v>
      </c>
      <c r="P490" s="7">
        <f>IFERROR(_xlfn.XLOOKUP(A490,PPTO_GENERADOR!$Q:$Q,PPTO_GENERADOR!$E:$E,"-",0),"-")</f>
        <v>37</v>
      </c>
    </row>
    <row r="491" spans="1:16" x14ac:dyDescent="0.35">
      <c r="A491" s="5" t="s">
        <v>973</v>
      </c>
      <c r="B491" s="5" t="s">
        <v>1203</v>
      </c>
      <c r="C491" s="5" t="s">
        <v>1205</v>
      </c>
      <c r="D491" s="5" t="s">
        <v>215</v>
      </c>
      <c r="E491" s="7" t="str">
        <f>IFERROR(VLOOKUP(D491,MATERIALES!A:B,2,FALSE),"?")</f>
        <v>Adhesivo Klaukol Porcellanato Fluido x 30Kg</v>
      </c>
      <c r="F491" s="5"/>
      <c r="G491" s="11">
        <v>0.04</v>
      </c>
      <c r="H491" s="12">
        <v>0.2</v>
      </c>
      <c r="I491" s="7">
        <f>IFERROR(VLOOKUP(D491,MATERIALES!A:D,4,FALSE),0)</f>
        <v>21494.592000000001</v>
      </c>
      <c r="J491" s="8">
        <f t="shared" si="28"/>
        <v>1031.7404159999999</v>
      </c>
      <c r="K491" s="7" t="str">
        <f t="shared" si="29"/>
        <v>PTO-1204|MAT</v>
      </c>
      <c r="L491" s="7">
        <f>COUNTIFS($K$2:K491,K491)</f>
        <v>1</v>
      </c>
      <c r="M491" s="7" t="str">
        <f t="shared" si="30"/>
        <v>PTO-1204|MAT|1</v>
      </c>
      <c r="N491" s="7">
        <f>IFERROR(VLOOKUP(A491,PARTIDAS!A:F,6,FALSE),0)</f>
        <v>1</v>
      </c>
      <c r="O491" s="7">
        <f t="shared" si="31"/>
        <v>0</v>
      </c>
      <c r="P491" s="7">
        <f>IFERROR(_xlfn.XLOOKUP(A491,PPTO_GENERADOR!$Q:$Q,PPTO_GENERADOR!$E:$E,"-",0),"-")</f>
        <v>433</v>
      </c>
    </row>
    <row r="492" spans="1:16" x14ac:dyDescent="0.35">
      <c r="A492" s="5" t="s">
        <v>973</v>
      </c>
      <c r="B492" s="5" t="s">
        <v>1203</v>
      </c>
      <c r="C492" s="5" t="s">
        <v>1205</v>
      </c>
      <c r="D492" s="5" t="s">
        <v>217</v>
      </c>
      <c r="E492" s="7" t="str">
        <f>IFERROR(VLOOKUP(D492,MATERIALES!A:B,2,FALSE),"?")</f>
        <v>Pastina Klaukol x 1kg - Alta performance</v>
      </c>
      <c r="F492" s="5"/>
      <c r="G492" s="11">
        <v>0.04</v>
      </c>
      <c r="H492" s="12">
        <v>0.05</v>
      </c>
      <c r="I492" s="7">
        <f>IFERROR(VLOOKUP(D492,MATERIALES!A:D,4,FALSE),0)</f>
        <v>2930.36</v>
      </c>
      <c r="J492" s="8">
        <f t="shared" si="28"/>
        <v>123.07512000000001</v>
      </c>
      <c r="K492" s="7" t="str">
        <f t="shared" si="29"/>
        <v>PTO-1204|MAT</v>
      </c>
      <c r="L492" s="7">
        <f>COUNTIFS($K$2:K492,K492)</f>
        <v>2</v>
      </c>
      <c r="M492" s="7" t="str">
        <f t="shared" si="30"/>
        <v>PTO-1204|MAT|2</v>
      </c>
      <c r="N492" s="7">
        <f>IFERROR(VLOOKUP(A492,PARTIDAS!A:F,6,FALSE),0)</f>
        <v>1</v>
      </c>
      <c r="O492" s="7">
        <f t="shared" si="31"/>
        <v>0</v>
      </c>
      <c r="P492" s="7">
        <f>IFERROR(_xlfn.XLOOKUP(A492,PPTO_GENERADOR!$Q:$Q,PPTO_GENERADOR!$E:$E,"-",0),"-")</f>
        <v>433</v>
      </c>
    </row>
    <row r="493" spans="1:16" x14ac:dyDescent="0.35">
      <c r="A493" s="5" t="s">
        <v>973</v>
      </c>
      <c r="B493" s="5" t="s">
        <v>1203</v>
      </c>
      <c r="C493" s="5" t="s">
        <v>1205</v>
      </c>
      <c r="D493" s="5" t="s">
        <v>219</v>
      </c>
      <c r="E493" s="7" t="str">
        <f>IFERROR(VLOOKUP(D493,MATERIALES!A:B,2,FALSE),"?")</f>
        <v>Disco Diamantado Aliafor Turbo Fino TRF</v>
      </c>
      <c r="F493" s="5"/>
      <c r="G493" s="11">
        <v>1E-3</v>
      </c>
      <c r="H493" s="12">
        <v>0.05</v>
      </c>
      <c r="I493" s="7">
        <f>IFERROR(VLOOKUP(D493,MATERIALES!A:D,4,FALSE),0)</f>
        <v>21453.297500000001</v>
      </c>
      <c r="J493" s="8">
        <f t="shared" si="28"/>
        <v>22.525962375000002</v>
      </c>
      <c r="K493" s="7" t="str">
        <f t="shared" si="29"/>
        <v>PTO-1204|MAT</v>
      </c>
      <c r="L493" s="7">
        <f>COUNTIFS($K$2:K493,K493)</f>
        <v>3</v>
      </c>
      <c r="M493" s="7" t="str">
        <f t="shared" si="30"/>
        <v>PTO-1204|MAT|3</v>
      </c>
      <c r="N493" s="7">
        <f>IFERROR(VLOOKUP(A493,PARTIDAS!A:F,6,FALSE),0)</f>
        <v>1</v>
      </c>
      <c r="O493" s="7">
        <f t="shared" si="31"/>
        <v>0</v>
      </c>
      <c r="P493" s="7">
        <f>IFERROR(_xlfn.XLOOKUP(A493,PPTO_GENERADOR!$Q:$Q,PPTO_GENERADOR!$E:$E,"-",0),"-")</f>
        <v>433</v>
      </c>
    </row>
    <row r="494" spans="1:16" x14ac:dyDescent="0.35">
      <c r="A494" s="5" t="s">
        <v>973</v>
      </c>
      <c r="B494" s="5" t="s">
        <v>1203</v>
      </c>
      <c r="C494" s="5" t="s">
        <v>1205</v>
      </c>
      <c r="D494" s="5" t="s">
        <v>169</v>
      </c>
      <c r="E494" s="7" t="str">
        <f>IFERROR(VLOOKUP(D494,MATERIALES!A:B,2,FALSE),"?")</f>
        <v>Trapo</v>
      </c>
      <c r="F494" s="5"/>
      <c r="G494" s="11">
        <v>0.01</v>
      </c>
      <c r="H494" s="12">
        <v>0.03</v>
      </c>
      <c r="I494" s="7">
        <f>IFERROR(VLOOKUP(D494,MATERIALES!A:D,4,FALSE),0)</f>
        <v>784.06</v>
      </c>
      <c r="J494" s="8">
        <f t="shared" si="28"/>
        <v>8.0758179999999999</v>
      </c>
      <c r="K494" s="7" t="str">
        <f t="shared" si="29"/>
        <v>PTO-1204|MAT</v>
      </c>
      <c r="L494" s="7">
        <f>COUNTIFS($K$2:K494,K494)</f>
        <v>4</v>
      </c>
      <c r="M494" s="7" t="str">
        <f t="shared" si="30"/>
        <v>PTO-1204|MAT|4</v>
      </c>
      <c r="N494" s="7">
        <f>IFERROR(VLOOKUP(A494,PARTIDAS!A:F,6,FALSE),0)</f>
        <v>1</v>
      </c>
      <c r="O494" s="7">
        <f t="shared" si="31"/>
        <v>0</v>
      </c>
      <c r="P494" s="7">
        <f>IFERROR(_xlfn.XLOOKUP(A494,PPTO_GENERADOR!$Q:$Q,PPTO_GENERADOR!$E:$E,"-",0),"-")</f>
        <v>433</v>
      </c>
    </row>
    <row r="495" spans="1:16" x14ac:dyDescent="0.35">
      <c r="A495" s="5" t="s">
        <v>973</v>
      </c>
      <c r="B495" s="5" t="s">
        <v>1198</v>
      </c>
      <c r="C495" s="5" t="s">
        <v>1201</v>
      </c>
      <c r="D495" s="5" t="s">
        <v>479</v>
      </c>
      <c r="E495" s="7" t="str">
        <f>IFERROR(VLOOKUP(D495,MANO_DE_OBRA!A:B,2,FALSE),"?")</f>
        <v>MEDIO OFICIAL</v>
      </c>
      <c r="F495" s="5" t="s">
        <v>1200</v>
      </c>
      <c r="G495" s="11">
        <v>3.3333330000000001E-2</v>
      </c>
      <c r="H495" s="12">
        <v>0</v>
      </c>
      <c r="I495" s="7">
        <f>IFERROR(VLOOKUP(D495,MANO_DE_OBRA!A:C,3,FALSE),0)</f>
        <v>54784.07</v>
      </c>
      <c r="J495" s="8">
        <f t="shared" si="28"/>
        <v>1826.1354840531001</v>
      </c>
      <c r="K495" s="7" t="str">
        <f t="shared" si="29"/>
        <v>PTO-1204|MO</v>
      </c>
      <c r="L495" s="7">
        <f>COUNTIFS($K$2:K495,K495)</f>
        <v>1</v>
      </c>
      <c r="M495" s="7" t="str">
        <f t="shared" si="30"/>
        <v>PTO-1204|MO|1</v>
      </c>
      <c r="N495" s="7">
        <f>IFERROR(VLOOKUP(A495,PARTIDAS!A:F,6,FALSE),0)</f>
        <v>1</v>
      </c>
      <c r="O495" s="7">
        <f t="shared" si="31"/>
        <v>3.3333330000000001E-2</v>
      </c>
      <c r="P495" s="7">
        <f>IFERROR(_xlfn.XLOOKUP(A495,PPTO_GENERADOR!$Q:$Q,PPTO_GENERADOR!$E:$E,"-",0),"-")</f>
        <v>433</v>
      </c>
    </row>
    <row r="496" spans="1:16" x14ac:dyDescent="0.35">
      <c r="A496" s="5" t="s">
        <v>973</v>
      </c>
      <c r="B496" s="5" t="s">
        <v>1198</v>
      </c>
      <c r="C496" s="5" t="s">
        <v>1201</v>
      </c>
      <c r="D496" s="5" t="s">
        <v>477</v>
      </c>
      <c r="E496" s="7" t="str">
        <f>IFERROR(VLOOKUP(D496,MANO_DE_OBRA!A:B,2,FALSE),"?")</f>
        <v>ESPECIALIZADO</v>
      </c>
      <c r="F496" s="5" t="s">
        <v>1200</v>
      </c>
      <c r="G496" s="11">
        <v>3.3333330000000001E-2</v>
      </c>
      <c r="H496" s="12">
        <v>0</v>
      </c>
      <c r="I496" s="7">
        <f>IFERROR(VLOOKUP(D496,MANO_DE_OBRA!A:C,3,FALSE),0)</f>
        <v>75113.05</v>
      </c>
      <c r="J496" s="8">
        <f t="shared" si="28"/>
        <v>2503.7680829565002</v>
      </c>
      <c r="K496" s="7" t="str">
        <f t="shared" si="29"/>
        <v>PTO-1204|MO</v>
      </c>
      <c r="L496" s="7">
        <f>COUNTIFS($K$2:K496,K496)</f>
        <v>2</v>
      </c>
      <c r="M496" s="7" t="str">
        <f t="shared" si="30"/>
        <v>PTO-1204|MO|2</v>
      </c>
      <c r="N496" s="7">
        <f>IFERROR(VLOOKUP(A496,PARTIDAS!A:F,6,FALSE),0)</f>
        <v>1</v>
      </c>
      <c r="O496" s="7">
        <f t="shared" si="31"/>
        <v>3.3333330000000001E-2</v>
      </c>
      <c r="P496" s="7">
        <f>IFERROR(_xlfn.XLOOKUP(A496,PPTO_GENERADOR!$Q:$Q,PPTO_GENERADOR!$E:$E,"-",0),"-")</f>
        <v>433</v>
      </c>
    </row>
    <row r="497" spans="1:16" x14ac:dyDescent="0.35">
      <c r="A497" s="5" t="s">
        <v>973</v>
      </c>
      <c r="B497" s="5" t="s">
        <v>1202</v>
      </c>
      <c r="C497" s="5"/>
      <c r="D497" s="5" t="s">
        <v>551</v>
      </c>
      <c r="E497" s="7" t="str">
        <f>IFERROR(VLOOKUP(D497,EQUIPOS!A:B,2,FALSE),"?")</f>
        <v>EQUIPO PARA COLOCACION DE CERAMICA</v>
      </c>
      <c r="F497" s="5"/>
      <c r="G497" s="11">
        <v>3.3333330000000001E-2</v>
      </c>
      <c r="H497" s="12">
        <v>0</v>
      </c>
      <c r="I497" s="7">
        <f>IFERROR(VLOOKUP(D497,EQUIPOS!A:C,3,FALSE),0)</f>
        <v>2568.0682999999999</v>
      </c>
      <c r="J497" s="8">
        <f t="shared" si="28"/>
        <v>85.602268106438999</v>
      </c>
      <c r="K497" s="7" t="str">
        <f t="shared" si="29"/>
        <v>PTO-1204|EQ</v>
      </c>
      <c r="L497" s="7">
        <f>COUNTIFS($K$2:K497,K497)</f>
        <v>1</v>
      </c>
      <c r="M497" s="7" t="str">
        <f t="shared" si="30"/>
        <v>PTO-1204|EQ|1</v>
      </c>
      <c r="N497" s="7">
        <f>IFERROR(VLOOKUP(A497,PARTIDAS!A:F,6,FALSE),0)</f>
        <v>1</v>
      </c>
      <c r="O497" s="7">
        <f t="shared" si="31"/>
        <v>0</v>
      </c>
      <c r="P497" s="7">
        <f>IFERROR(_xlfn.XLOOKUP(A497,PPTO_GENERADOR!$Q:$Q,PPTO_GENERADOR!$E:$E,"-",0),"-")</f>
        <v>433</v>
      </c>
    </row>
    <row r="498" spans="1:16" x14ac:dyDescent="0.35">
      <c r="A498" s="5" t="s">
        <v>973</v>
      </c>
      <c r="B498" s="5" t="s">
        <v>1202</v>
      </c>
      <c r="C498" s="5"/>
      <c r="D498" s="5" t="s">
        <v>553</v>
      </c>
      <c r="E498" s="7" t="str">
        <f>IFERROR(VLOOKUP(D498,EQUIPOS!A:B,2,FALSE),"?")</f>
        <v>CORTADORA CERAMICA PROFESIONAL 1200MM (PORCELANATO HASTA 16MM)</v>
      </c>
      <c r="F498" s="5"/>
      <c r="G498" s="11">
        <v>3.3333330000000001E-2</v>
      </c>
      <c r="H498" s="12">
        <v>0</v>
      </c>
      <c r="I498" s="7">
        <f>IFERROR(VLOOKUP(D498,EQUIPOS!A:C,3,FALSE),0)</f>
        <v>290.60739999999998</v>
      </c>
      <c r="J498" s="8">
        <f t="shared" si="28"/>
        <v>9.6869123646419997</v>
      </c>
      <c r="K498" s="7" t="str">
        <f t="shared" si="29"/>
        <v>PTO-1204|EQ</v>
      </c>
      <c r="L498" s="7">
        <f>COUNTIFS($K$2:K498,K498)</f>
        <v>2</v>
      </c>
      <c r="M498" s="7" t="str">
        <f t="shared" si="30"/>
        <v>PTO-1204|EQ|2</v>
      </c>
      <c r="N498" s="7">
        <f>IFERROR(VLOOKUP(A498,PARTIDAS!A:F,6,FALSE),0)</f>
        <v>1</v>
      </c>
      <c r="O498" s="7">
        <f t="shared" si="31"/>
        <v>0</v>
      </c>
      <c r="P498" s="7">
        <f>IFERROR(_xlfn.XLOOKUP(A498,PPTO_GENERADOR!$Q:$Q,PPTO_GENERADOR!$E:$E,"-",0),"-")</f>
        <v>433</v>
      </c>
    </row>
    <row r="499" spans="1:16" x14ac:dyDescent="0.35">
      <c r="A499" s="5" t="s">
        <v>975</v>
      </c>
      <c r="B499" s="5" t="s">
        <v>1203</v>
      </c>
      <c r="C499" s="5" t="s">
        <v>1205</v>
      </c>
      <c r="D499" s="5" t="s">
        <v>215</v>
      </c>
      <c r="E499" s="7" t="str">
        <f>IFERROR(VLOOKUP(D499,MATERIALES!A:B,2,FALSE),"?")</f>
        <v>Adhesivo Klaukol Porcellanato Fluido x 30Kg</v>
      </c>
      <c r="F499" s="5"/>
      <c r="G499" s="11">
        <v>0.04</v>
      </c>
      <c r="H499" s="12">
        <v>0.2</v>
      </c>
      <c r="I499" s="7">
        <f>IFERROR(VLOOKUP(D499,MATERIALES!A:D,4,FALSE),0)</f>
        <v>21494.592000000001</v>
      </c>
      <c r="J499" s="8">
        <f t="shared" si="28"/>
        <v>1031.7404159999999</v>
      </c>
      <c r="K499" s="7" t="str">
        <f t="shared" si="29"/>
        <v>PTO-1205|MAT</v>
      </c>
      <c r="L499" s="7">
        <f>COUNTIFS($K$2:K499,K499)</f>
        <v>1</v>
      </c>
      <c r="M499" s="7" t="str">
        <f t="shared" si="30"/>
        <v>PTO-1205|MAT|1</v>
      </c>
      <c r="N499" s="7">
        <f>IFERROR(VLOOKUP(A499,PARTIDAS!A:F,6,FALSE),0)</f>
        <v>1</v>
      </c>
      <c r="O499" s="7">
        <f t="shared" si="31"/>
        <v>0</v>
      </c>
      <c r="P499" s="7">
        <f>IFERROR(_xlfn.XLOOKUP(A499,PPTO_GENERADOR!$Q:$Q,PPTO_GENERADOR!$E:$E,"-",0),"-")</f>
        <v>155</v>
      </c>
    </row>
    <row r="500" spans="1:16" x14ac:dyDescent="0.35">
      <c r="A500" s="5" t="s">
        <v>975</v>
      </c>
      <c r="B500" s="5" t="s">
        <v>1203</v>
      </c>
      <c r="C500" s="5" t="s">
        <v>1205</v>
      </c>
      <c r="D500" s="5" t="s">
        <v>217</v>
      </c>
      <c r="E500" s="7" t="str">
        <f>IFERROR(VLOOKUP(D500,MATERIALES!A:B,2,FALSE),"?")</f>
        <v>Pastina Klaukol x 1kg - Alta performance</v>
      </c>
      <c r="F500" s="5"/>
      <c r="G500" s="11">
        <v>0.04</v>
      </c>
      <c r="H500" s="12">
        <v>0.05</v>
      </c>
      <c r="I500" s="7">
        <f>IFERROR(VLOOKUP(D500,MATERIALES!A:D,4,FALSE),0)</f>
        <v>2930.36</v>
      </c>
      <c r="J500" s="8">
        <f t="shared" si="28"/>
        <v>123.07512000000001</v>
      </c>
      <c r="K500" s="7" t="str">
        <f t="shared" si="29"/>
        <v>PTO-1205|MAT</v>
      </c>
      <c r="L500" s="7">
        <f>COUNTIFS($K$2:K500,K500)</f>
        <v>2</v>
      </c>
      <c r="M500" s="7" t="str">
        <f t="shared" si="30"/>
        <v>PTO-1205|MAT|2</v>
      </c>
      <c r="N500" s="7">
        <f>IFERROR(VLOOKUP(A500,PARTIDAS!A:F,6,FALSE),0)</f>
        <v>1</v>
      </c>
      <c r="O500" s="7">
        <f t="shared" si="31"/>
        <v>0</v>
      </c>
      <c r="P500" s="7">
        <f>IFERROR(_xlfn.XLOOKUP(A500,PPTO_GENERADOR!$Q:$Q,PPTO_GENERADOR!$E:$E,"-",0),"-")</f>
        <v>155</v>
      </c>
    </row>
    <row r="501" spans="1:16" x14ac:dyDescent="0.35">
      <c r="A501" s="5" t="s">
        <v>975</v>
      </c>
      <c r="B501" s="5" t="s">
        <v>1203</v>
      </c>
      <c r="C501" s="5" t="s">
        <v>1205</v>
      </c>
      <c r="D501" s="5" t="s">
        <v>219</v>
      </c>
      <c r="E501" s="7" t="str">
        <f>IFERROR(VLOOKUP(D501,MATERIALES!A:B,2,FALSE),"?")</f>
        <v>Disco Diamantado Aliafor Turbo Fino TRF</v>
      </c>
      <c r="F501" s="5"/>
      <c r="G501" s="11">
        <v>1E-3</v>
      </c>
      <c r="H501" s="12">
        <v>0.05</v>
      </c>
      <c r="I501" s="7">
        <f>IFERROR(VLOOKUP(D501,MATERIALES!A:D,4,FALSE),0)</f>
        <v>21453.297500000001</v>
      </c>
      <c r="J501" s="8">
        <f t="shared" si="28"/>
        <v>22.525962375000002</v>
      </c>
      <c r="K501" s="7" t="str">
        <f t="shared" si="29"/>
        <v>PTO-1205|MAT</v>
      </c>
      <c r="L501" s="7">
        <f>COUNTIFS($K$2:K501,K501)</f>
        <v>3</v>
      </c>
      <c r="M501" s="7" t="str">
        <f t="shared" si="30"/>
        <v>PTO-1205|MAT|3</v>
      </c>
      <c r="N501" s="7">
        <f>IFERROR(VLOOKUP(A501,PARTIDAS!A:F,6,FALSE),0)</f>
        <v>1</v>
      </c>
      <c r="O501" s="7">
        <f t="shared" si="31"/>
        <v>0</v>
      </c>
      <c r="P501" s="7">
        <f>IFERROR(_xlfn.XLOOKUP(A501,PPTO_GENERADOR!$Q:$Q,PPTO_GENERADOR!$E:$E,"-",0),"-")</f>
        <v>155</v>
      </c>
    </row>
    <row r="502" spans="1:16" x14ac:dyDescent="0.35">
      <c r="A502" s="5" t="s">
        <v>975</v>
      </c>
      <c r="B502" s="5" t="s">
        <v>1203</v>
      </c>
      <c r="C502" s="5" t="s">
        <v>1205</v>
      </c>
      <c r="D502" s="5" t="s">
        <v>169</v>
      </c>
      <c r="E502" s="7" t="str">
        <f>IFERROR(VLOOKUP(D502,MATERIALES!A:B,2,FALSE),"?")</f>
        <v>Trapo</v>
      </c>
      <c r="F502" s="5"/>
      <c r="G502" s="11">
        <v>0.01</v>
      </c>
      <c r="H502" s="12">
        <v>0.03</v>
      </c>
      <c r="I502" s="7">
        <f>IFERROR(VLOOKUP(D502,MATERIALES!A:D,4,FALSE),0)</f>
        <v>784.06</v>
      </c>
      <c r="J502" s="8">
        <f t="shared" si="28"/>
        <v>8.0758179999999999</v>
      </c>
      <c r="K502" s="7" t="str">
        <f t="shared" si="29"/>
        <v>PTO-1205|MAT</v>
      </c>
      <c r="L502" s="7">
        <f>COUNTIFS($K$2:K502,K502)</f>
        <v>4</v>
      </c>
      <c r="M502" s="7" t="str">
        <f t="shared" si="30"/>
        <v>PTO-1205|MAT|4</v>
      </c>
      <c r="N502" s="7">
        <f>IFERROR(VLOOKUP(A502,PARTIDAS!A:F,6,FALSE),0)</f>
        <v>1</v>
      </c>
      <c r="O502" s="7">
        <f t="shared" si="31"/>
        <v>0</v>
      </c>
      <c r="P502" s="7">
        <f>IFERROR(_xlfn.XLOOKUP(A502,PPTO_GENERADOR!$Q:$Q,PPTO_GENERADOR!$E:$E,"-",0),"-")</f>
        <v>155</v>
      </c>
    </row>
    <row r="503" spans="1:16" x14ac:dyDescent="0.35">
      <c r="A503" s="5" t="s">
        <v>975</v>
      </c>
      <c r="B503" s="5" t="s">
        <v>1198</v>
      </c>
      <c r="C503" s="5" t="s">
        <v>1201</v>
      </c>
      <c r="D503" s="5" t="s">
        <v>479</v>
      </c>
      <c r="E503" s="7" t="str">
        <f>IFERROR(VLOOKUP(D503,MANO_DE_OBRA!A:B,2,FALSE),"?")</f>
        <v>MEDIO OFICIAL</v>
      </c>
      <c r="F503" s="5" t="s">
        <v>1200</v>
      </c>
      <c r="G503" s="11">
        <v>3.3333330000000001E-2</v>
      </c>
      <c r="H503" s="12">
        <v>0</v>
      </c>
      <c r="I503" s="7">
        <f>IFERROR(VLOOKUP(D503,MANO_DE_OBRA!A:C,3,FALSE),0)</f>
        <v>54784.07</v>
      </c>
      <c r="J503" s="8">
        <f t="shared" si="28"/>
        <v>1826.1354840531001</v>
      </c>
      <c r="K503" s="7" t="str">
        <f t="shared" si="29"/>
        <v>PTO-1205|MO</v>
      </c>
      <c r="L503" s="7">
        <f>COUNTIFS($K$2:K503,K503)</f>
        <v>1</v>
      </c>
      <c r="M503" s="7" t="str">
        <f t="shared" si="30"/>
        <v>PTO-1205|MO|1</v>
      </c>
      <c r="N503" s="7">
        <f>IFERROR(VLOOKUP(A503,PARTIDAS!A:F,6,FALSE),0)</f>
        <v>1</v>
      </c>
      <c r="O503" s="7">
        <f t="shared" si="31"/>
        <v>3.3333330000000001E-2</v>
      </c>
      <c r="P503" s="7">
        <f>IFERROR(_xlfn.XLOOKUP(A503,PPTO_GENERADOR!$Q:$Q,PPTO_GENERADOR!$E:$E,"-",0),"-")</f>
        <v>155</v>
      </c>
    </row>
    <row r="504" spans="1:16" x14ac:dyDescent="0.35">
      <c r="A504" s="5" t="s">
        <v>975</v>
      </c>
      <c r="B504" s="5" t="s">
        <v>1198</v>
      </c>
      <c r="C504" s="5" t="s">
        <v>1201</v>
      </c>
      <c r="D504" s="5" t="s">
        <v>477</v>
      </c>
      <c r="E504" s="7" t="str">
        <f>IFERROR(VLOOKUP(D504,MANO_DE_OBRA!A:B,2,FALSE),"?")</f>
        <v>ESPECIALIZADO</v>
      </c>
      <c r="F504" s="5" t="s">
        <v>1200</v>
      </c>
      <c r="G504" s="11">
        <v>3.3333330000000001E-2</v>
      </c>
      <c r="H504" s="12">
        <v>0</v>
      </c>
      <c r="I504" s="7">
        <f>IFERROR(VLOOKUP(D504,MANO_DE_OBRA!A:C,3,FALSE),0)</f>
        <v>75113.05</v>
      </c>
      <c r="J504" s="8">
        <f t="shared" si="28"/>
        <v>2503.7680829565002</v>
      </c>
      <c r="K504" s="7" t="str">
        <f t="shared" si="29"/>
        <v>PTO-1205|MO</v>
      </c>
      <c r="L504" s="7">
        <f>COUNTIFS($K$2:K504,K504)</f>
        <v>2</v>
      </c>
      <c r="M504" s="7" t="str">
        <f t="shared" si="30"/>
        <v>PTO-1205|MO|2</v>
      </c>
      <c r="N504" s="7">
        <f>IFERROR(VLOOKUP(A504,PARTIDAS!A:F,6,FALSE),0)</f>
        <v>1</v>
      </c>
      <c r="O504" s="7">
        <f t="shared" si="31"/>
        <v>3.3333330000000001E-2</v>
      </c>
      <c r="P504" s="7">
        <f>IFERROR(_xlfn.XLOOKUP(A504,PPTO_GENERADOR!$Q:$Q,PPTO_GENERADOR!$E:$E,"-",0),"-")</f>
        <v>155</v>
      </c>
    </row>
    <row r="505" spans="1:16" x14ac:dyDescent="0.35">
      <c r="A505" s="5" t="s">
        <v>975</v>
      </c>
      <c r="B505" s="5" t="s">
        <v>1202</v>
      </c>
      <c r="C505" s="5"/>
      <c r="D505" s="5" t="s">
        <v>551</v>
      </c>
      <c r="E505" s="7" t="str">
        <f>IFERROR(VLOOKUP(D505,EQUIPOS!A:B,2,FALSE),"?")</f>
        <v>EQUIPO PARA COLOCACION DE CERAMICA</v>
      </c>
      <c r="F505" s="5"/>
      <c r="G505" s="11">
        <v>3.3333330000000001E-2</v>
      </c>
      <c r="H505" s="12">
        <v>0</v>
      </c>
      <c r="I505" s="7">
        <f>IFERROR(VLOOKUP(D505,EQUIPOS!A:C,3,FALSE),0)</f>
        <v>2568.0682999999999</v>
      </c>
      <c r="J505" s="8">
        <f t="shared" si="28"/>
        <v>85.602268106438999</v>
      </c>
      <c r="K505" s="7" t="str">
        <f t="shared" si="29"/>
        <v>PTO-1205|EQ</v>
      </c>
      <c r="L505" s="7">
        <f>COUNTIFS($K$2:K505,K505)</f>
        <v>1</v>
      </c>
      <c r="M505" s="7" t="str">
        <f t="shared" si="30"/>
        <v>PTO-1205|EQ|1</v>
      </c>
      <c r="N505" s="7">
        <f>IFERROR(VLOOKUP(A505,PARTIDAS!A:F,6,FALSE),0)</f>
        <v>1</v>
      </c>
      <c r="O505" s="7">
        <f t="shared" si="31"/>
        <v>0</v>
      </c>
      <c r="P505" s="7">
        <f>IFERROR(_xlfn.XLOOKUP(A505,PPTO_GENERADOR!$Q:$Q,PPTO_GENERADOR!$E:$E,"-",0),"-")</f>
        <v>155</v>
      </c>
    </row>
    <row r="506" spans="1:16" x14ac:dyDescent="0.35">
      <c r="A506" s="5" t="s">
        <v>975</v>
      </c>
      <c r="B506" s="5" t="s">
        <v>1202</v>
      </c>
      <c r="C506" s="5"/>
      <c r="D506" s="5" t="s">
        <v>553</v>
      </c>
      <c r="E506" s="7" t="str">
        <f>IFERROR(VLOOKUP(D506,EQUIPOS!A:B,2,FALSE),"?")</f>
        <v>CORTADORA CERAMICA PROFESIONAL 1200MM (PORCELANATO HASTA 16MM)</v>
      </c>
      <c r="F506" s="5"/>
      <c r="G506" s="11">
        <v>3.3333330000000001E-2</v>
      </c>
      <c r="H506" s="12">
        <v>0</v>
      </c>
      <c r="I506" s="7">
        <f>IFERROR(VLOOKUP(D506,EQUIPOS!A:C,3,FALSE),0)</f>
        <v>290.60739999999998</v>
      </c>
      <c r="J506" s="8">
        <f t="shared" si="28"/>
        <v>9.6869123646419997</v>
      </c>
      <c r="K506" s="7" t="str">
        <f t="shared" si="29"/>
        <v>PTO-1205|EQ</v>
      </c>
      <c r="L506" s="7">
        <f>COUNTIFS($K$2:K506,K506)</f>
        <v>2</v>
      </c>
      <c r="M506" s="7" t="str">
        <f t="shared" si="30"/>
        <v>PTO-1205|EQ|2</v>
      </c>
      <c r="N506" s="7">
        <f>IFERROR(VLOOKUP(A506,PARTIDAS!A:F,6,FALSE),0)</f>
        <v>1</v>
      </c>
      <c r="O506" s="7">
        <f t="shared" si="31"/>
        <v>0</v>
      </c>
      <c r="P506" s="7">
        <f>IFERROR(_xlfn.XLOOKUP(A506,PPTO_GENERADOR!$Q:$Q,PPTO_GENERADOR!$E:$E,"-",0),"-")</f>
        <v>155</v>
      </c>
    </row>
    <row r="507" spans="1:16" x14ac:dyDescent="0.35">
      <c r="A507" s="5" t="s">
        <v>978</v>
      </c>
      <c r="B507" s="5" t="s">
        <v>1203</v>
      </c>
      <c r="C507" s="5" t="s">
        <v>1205</v>
      </c>
      <c r="D507" s="5" t="s">
        <v>215</v>
      </c>
      <c r="E507" s="7" t="str">
        <f>IFERROR(VLOOKUP(D507,MATERIALES!A:B,2,FALSE),"?")</f>
        <v>Adhesivo Klaukol Porcellanato Fluido x 30Kg</v>
      </c>
      <c r="F507" s="5"/>
      <c r="G507" s="11">
        <v>0.2</v>
      </c>
      <c r="H507" s="12">
        <v>0.2</v>
      </c>
      <c r="I507" s="7">
        <f>IFERROR(VLOOKUP(D507,MATERIALES!A:D,4,FALSE),0)</f>
        <v>21494.592000000001</v>
      </c>
      <c r="J507" s="8">
        <f t="shared" si="28"/>
        <v>5158.70208</v>
      </c>
      <c r="K507" s="7" t="str">
        <f t="shared" si="29"/>
        <v>PTO-1301|MAT</v>
      </c>
      <c r="L507" s="7">
        <f>COUNTIFS($K$2:K507,K507)</f>
        <v>1</v>
      </c>
      <c r="M507" s="7" t="str">
        <f t="shared" si="30"/>
        <v>PTO-1301|MAT|1</v>
      </c>
      <c r="N507" s="7">
        <f>IFERROR(VLOOKUP(A507,PARTIDAS!A:F,6,FALSE),0)</f>
        <v>1</v>
      </c>
      <c r="O507" s="7">
        <f t="shared" si="31"/>
        <v>0</v>
      </c>
      <c r="P507" s="7">
        <f>IFERROR(_xlfn.XLOOKUP(A507,PPTO_GENERADOR!$Q:$Q,PPTO_GENERADOR!$E:$E,"-",0),"-")</f>
        <v>511</v>
      </c>
    </row>
    <row r="508" spans="1:16" x14ac:dyDescent="0.35">
      <c r="A508" s="5" t="s">
        <v>978</v>
      </c>
      <c r="B508" s="5" t="s">
        <v>1203</v>
      </c>
      <c r="C508" s="5" t="s">
        <v>1205</v>
      </c>
      <c r="D508" s="5" t="s">
        <v>217</v>
      </c>
      <c r="E508" s="7" t="str">
        <f>IFERROR(VLOOKUP(D508,MATERIALES!A:B,2,FALSE),"?")</f>
        <v>Pastina Klaukol x 1kg - Alta performance</v>
      </c>
      <c r="F508" s="5"/>
      <c r="G508" s="11">
        <v>0.2</v>
      </c>
      <c r="H508" s="12">
        <v>0.05</v>
      </c>
      <c r="I508" s="7">
        <f>IFERROR(VLOOKUP(D508,MATERIALES!A:D,4,FALSE),0)</f>
        <v>2930.36</v>
      </c>
      <c r="J508" s="8">
        <f t="shared" si="28"/>
        <v>615.37560000000008</v>
      </c>
      <c r="K508" s="7" t="str">
        <f t="shared" si="29"/>
        <v>PTO-1301|MAT</v>
      </c>
      <c r="L508" s="7">
        <f>COUNTIFS($K$2:K508,K508)</f>
        <v>2</v>
      </c>
      <c r="M508" s="7" t="str">
        <f t="shared" si="30"/>
        <v>PTO-1301|MAT|2</v>
      </c>
      <c r="N508" s="7">
        <f>IFERROR(VLOOKUP(A508,PARTIDAS!A:F,6,FALSE),0)</f>
        <v>1</v>
      </c>
      <c r="O508" s="7">
        <f t="shared" si="31"/>
        <v>0</v>
      </c>
      <c r="P508" s="7">
        <f>IFERROR(_xlfn.XLOOKUP(A508,PPTO_GENERADOR!$Q:$Q,PPTO_GENERADOR!$E:$E,"-",0),"-")</f>
        <v>511</v>
      </c>
    </row>
    <row r="509" spans="1:16" x14ac:dyDescent="0.35">
      <c r="A509" s="5" t="s">
        <v>978</v>
      </c>
      <c r="B509" s="5" t="s">
        <v>1203</v>
      </c>
      <c r="C509" s="5" t="s">
        <v>1205</v>
      </c>
      <c r="D509" s="5" t="s">
        <v>219</v>
      </c>
      <c r="E509" s="7" t="str">
        <f>IFERROR(VLOOKUP(D509,MATERIALES!A:B,2,FALSE),"?")</f>
        <v>Disco Diamantado Aliafor Turbo Fino TRF</v>
      </c>
      <c r="F509" s="5"/>
      <c r="G509" s="11">
        <v>4.0000000000000001E-3</v>
      </c>
      <c r="H509" s="12">
        <v>0.05</v>
      </c>
      <c r="I509" s="7">
        <f>IFERROR(VLOOKUP(D509,MATERIALES!A:D,4,FALSE),0)</f>
        <v>21453.297500000001</v>
      </c>
      <c r="J509" s="8">
        <f t="shared" si="28"/>
        <v>90.10384950000001</v>
      </c>
      <c r="K509" s="7" t="str">
        <f t="shared" si="29"/>
        <v>PTO-1301|MAT</v>
      </c>
      <c r="L509" s="7">
        <f>COUNTIFS($K$2:K509,K509)</f>
        <v>3</v>
      </c>
      <c r="M509" s="7" t="str">
        <f t="shared" si="30"/>
        <v>PTO-1301|MAT|3</v>
      </c>
      <c r="N509" s="7">
        <f>IFERROR(VLOOKUP(A509,PARTIDAS!A:F,6,FALSE),0)</f>
        <v>1</v>
      </c>
      <c r="O509" s="7">
        <f t="shared" si="31"/>
        <v>0</v>
      </c>
      <c r="P509" s="7">
        <f>IFERROR(_xlfn.XLOOKUP(A509,PPTO_GENERADOR!$Q:$Q,PPTO_GENERADOR!$E:$E,"-",0),"-")</f>
        <v>511</v>
      </c>
    </row>
    <row r="510" spans="1:16" x14ac:dyDescent="0.35">
      <c r="A510" s="5" t="s">
        <v>978</v>
      </c>
      <c r="B510" s="5" t="s">
        <v>1203</v>
      </c>
      <c r="C510" s="5" t="s">
        <v>1205</v>
      </c>
      <c r="D510" s="5" t="s">
        <v>221</v>
      </c>
      <c r="E510" s="7" t="str">
        <f>IFERROR(VLOOKUP(D510,MATERIALES!A:B,2,FALSE),"?")</f>
        <v>Arco y cuña niveladores porcelanatos x 150 un</v>
      </c>
      <c r="F510" s="5"/>
      <c r="G510" s="11">
        <v>0.04</v>
      </c>
      <c r="H510" s="12">
        <v>0.05</v>
      </c>
      <c r="I510" s="7">
        <f>IFERROR(VLOOKUP(D510,MATERIALES!A:D,4,FALSE),0)</f>
        <v>32805.983500000002</v>
      </c>
      <c r="J510" s="8">
        <f t="shared" si="28"/>
        <v>1377.8513070000001</v>
      </c>
      <c r="K510" s="7" t="str">
        <f t="shared" si="29"/>
        <v>PTO-1301|MAT</v>
      </c>
      <c r="L510" s="7">
        <f>COUNTIFS($K$2:K510,K510)</f>
        <v>4</v>
      </c>
      <c r="M510" s="7" t="str">
        <f t="shared" si="30"/>
        <v>PTO-1301|MAT|4</v>
      </c>
      <c r="N510" s="7">
        <f>IFERROR(VLOOKUP(A510,PARTIDAS!A:F,6,FALSE),0)</f>
        <v>1</v>
      </c>
      <c r="O510" s="7">
        <f t="shared" si="31"/>
        <v>0</v>
      </c>
      <c r="P510" s="7">
        <f>IFERROR(_xlfn.XLOOKUP(A510,PPTO_GENERADOR!$Q:$Q,PPTO_GENERADOR!$E:$E,"-",0),"-")</f>
        <v>511</v>
      </c>
    </row>
    <row r="511" spans="1:16" x14ac:dyDescent="0.35">
      <c r="A511" s="5" t="s">
        <v>978</v>
      </c>
      <c r="B511" s="5" t="s">
        <v>1203</v>
      </c>
      <c r="C511" s="5" t="s">
        <v>1205</v>
      </c>
      <c r="D511" s="5" t="s">
        <v>169</v>
      </c>
      <c r="E511" s="7" t="str">
        <f>IFERROR(VLOOKUP(D511,MATERIALES!A:B,2,FALSE),"?")</f>
        <v>Trapo</v>
      </c>
      <c r="F511" s="5"/>
      <c r="G511" s="11">
        <v>0.01</v>
      </c>
      <c r="H511" s="12">
        <v>0.03</v>
      </c>
      <c r="I511" s="7">
        <f>IFERROR(VLOOKUP(D511,MATERIALES!A:D,4,FALSE),0)</f>
        <v>784.06</v>
      </c>
      <c r="J511" s="8">
        <f t="shared" si="28"/>
        <v>8.0758179999999999</v>
      </c>
      <c r="K511" s="7" t="str">
        <f t="shared" si="29"/>
        <v>PTO-1301|MAT</v>
      </c>
      <c r="L511" s="7">
        <f>COUNTIFS($K$2:K511,K511)</f>
        <v>5</v>
      </c>
      <c r="M511" s="7" t="str">
        <f t="shared" si="30"/>
        <v>PTO-1301|MAT|5</v>
      </c>
      <c r="N511" s="7">
        <f>IFERROR(VLOOKUP(A511,PARTIDAS!A:F,6,FALSE),0)</f>
        <v>1</v>
      </c>
      <c r="O511" s="7">
        <f t="shared" si="31"/>
        <v>0</v>
      </c>
      <c r="P511" s="7">
        <f>IFERROR(_xlfn.XLOOKUP(A511,PPTO_GENERADOR!$Q:$Q,PPTO_GENERADOR!$E:$E,"-",0),"-")</f>
        <v>511</v>
      </c>
    </row>
    <row r="512" spans="1:16" x14ac:dyDescent="0.35">
      <c r="A512" s="5" t="s">
        <v>978</v>
      </c>
      <c r="B512" s="5" t="s">
        <v>1198</v>
      </c>
      <c r="C512" s="5" t="s">
        <v>1201</v>
      </c>
      <c r="D512" s="5" t="s">
        <v>479</v>
      </c>
      <c r="E512" s="7" t="str">
        <f>IFERROR(VLOOKUP(D512,MANO_DE_OBRA!A:B,2,FALSE),"?")</f>
        <v>MEDIO OFICIAL</v>
      </c>
      <c r="F512" s="5" t="s">
        <v>1200</v>
      </c>
      <c r="G512" s="11">
        <v>0.1</v>
      </c>
      <c r="H512" s="12">
        <v>0</v>
      </c>
      <c r="I512" s="7">
        <f>IFERROR(VLOOKUP(D512,MANO_DE_OBRA!A:C,3,FALSE),0)</f>
        <v>54784.07</v>
      </c>
      <c r="J512" s="8">
        <f t="shared" si="28"/>
        <v>5478.4070000000002</v>
      </c>
      <c r="K512" s="7" t="str">
        <f t="shared" si="29"/>
        <v>PTO-1301|MO</v>
      </c>
      <c r="L512" s="7">
        <f>COUNTIFS($K$2:K512,K512)</f>
        <v>1</v>
      </c>
      <c r="M512" s="7" t="str">
        <f t="shared" si="30"/>
        <v>PTO-1301|MO|1</v>
      </c>
      <c r="N512" s="7">
        <f>IFERROR(VLOOKUP(A512,PARTIDAS!A:F,6,FALSE),0)</f>
        <v>1</v>
      </c>
      <c r="O512" s="7">
        <f t="shared" si="31"/>
        <v>0.1</v>
      </c>
      <c r="P512" s="7">
        <f>IFERROR(_xlfn.XLOOKUP(A512,PPTO_GENERADOR!$Q:$Q,PPTO_GENERADOR!$E:$E,"-",0),"-")</f>
        <v>511</v>
      </c>
    </row>
    <row r="513" spans="1:16" x14ac:dyDescent="0.35">
      <c r="A513" s="5" t="s">
        <v>978</v>
      </c>
      <c r="B513" s="5" t="s">
        <v>1198</v>
      </c>
      <c r="C513" s="5" t="s">
        <v>1201</v>
      </c>
      <c r="D513" s="5" t="s">
        <v>477</v>
      </c>
      <c r="E513" s="7" t="str">
        <f>IFERROR(VLOOKUP(D513,MANO_DE_OBRA!A:B,2,FALSE),"?")</f>
        <v>ESPECIALIZADO</v>
      </c>
      <c r="F513" s="5" t="s">
        <v>1200</v>
      </c>
      <c r="G513" s="11">
        <v>0.1</v>
      </c>
      <c r="H513" s="12">
        <v>0</v>
      </c>
      <c r="I513" s="7">
        <f>IFERROR(VLOOKUP(D513,MANO_DE_OBRA!A:C,3,FALSE),0)</f>
        <v>75113.05</v>
      </c>
      <c r="J513" s="8">
        <f t="shared" si="28"/>
        <v>7511.3050000000003</v>
      </c>
      <c r="K513" s="7" t="str">
        <f t="shared" si="29"/>
        <v>PTO-1301|MO</v>
      </c>
      <c r="L513" s="7">
        <f>COUNTIFS($K$2:K513,K513)</f>
        <v>2</v>
      </c>
      <c r="M513" s="7" t="str">
        <f t="shared" si="30"/>
        <v>PTO-1301|MO|2</v>
      </c>
      <c r="N513" s="7">
        <f>IFERROR(VLOOKUP(A513,PARTIDAS!A:F,6,FALSE),0)</f>
        <v>1</v>
      </c>
      <c r="O513" s="7">
        <f t="shared" si="31"/>
        <v>0.1</v>
      </c>
      <c r="P513" s="7">
        <f>IFERROR(_xlfn.XLOOKUP(A513,PPTO_GENERADOR!$Q:$Q,PPTO_GENERADOR!$E:$E,"-",0),"-")</f>
        <v>511</v>
      </c>
    </row>
    <row r="514" spans="1:16" x14ac:dyDescent="0.35">
      <c r="A514" s="5" t="s">
        <v>978</v>
      </c>
      <c r="B514" s="5" t="s">
        <v>1202</v>
      </c>
      <c r="C514" s="5"/>
      <c r="D514" s="5" t="s">
        <v>551</v>
      </c>
      <c r="E514" s="7" t="str">
        <f>IFERROR(VLOOKUP(D514,EQUIPOS!A:B,2,FALSE),"?")</f>
        <v>EQUIPO PARA COLOCACION DE CERAMICA</v>
      </c>
      <c r="F514" s="5"/>
      <c r="G514" s="11">
        <v>0.1</v>
      </c>
      <c r="H514" s="12">
        <v>0</v>
      </c>
      <c r="I514" s="7">
        <f>IFERROR(VLOOKUP(D514,EQUIPOS!A:C,3,FALSE),0)</f>
        <v>2568.0682999999999</v>
      </c>
      <c r="J514" s="8">
        <f t="shared" ref="J514:J577" si="32">G514*I514*(1+H514)</f>
        <v>256.80682999999999</v>
      </c>
      <c r="K514" s="7" t="str">
        <f t="shared" ref="K514:K577" si="33">A514&amp;"|"&amp;B514</f>
        <v>PTO-1301|EQ</v>
      </c>
      <c r="L514" s="7">
        <f>COUNTIFS($K$2:K514,K514)</f>
        <v>1</v>
      </c>
      <c r="M514" s="7" t="str">
        <f t="shared" ref="M514:M577" si="34">K514&amp;"|"&amp;L514</f>
        <v>PTO-1301|EQ|1</v>
      </c>
      <c r="N514" s="7">
        <f>IFERROR(VLOOKUP(A514,PARTIDAS!A:F,6,FALSE),0)</f>
        <v>1</v>
      </c>
      <c r="O514" s="7">
        <f t="shared" ref="O514:O577" si="35">IF(C514="ALB",IF(N514=0,0,G514/N514),0)</f>
        <v>0</v>
      </c>
      <c r="P514" s="7">
        <f>IFERROR(_xlfn.XLOOKUP(A514,PPTO_GENERADOR!$Q:$Q,PPTO_GENERADOR!$E:$E,"-",0),"-")</f>
        <v>511</v>
      </c>
    </row>
    <row r="515" spans="1:16" x14ac:dyDescent="0.35">
      <c r="A515" s="5" t="s">
        <v>978</v>
      </c>
      <c r="B515" s="5" t="s">
        <v>1202</v>
      </c>
      <c r="C515" s="5"/>
      <c r="D515" s="5" t="s">
        <v>553</v>
      </c>
      <c r="E515" s="7" t="str">
        <f>IFERROR(VLOOKUP(D515,EQUIPOS!A:B,2,FALSE),"?")</f>
        <v>CORTADORA CERAMICA PROFESIONAL 1200MM (PORCELANATO HASTA 16MM)</v>
      </c>
      <c r="F515" s="5"/>
      <c r="G515" s="11">
        <v>0.1</v>
      </c>
      <c r="H515" s="12">
        <v>0</v>
      </c>
      <c r="I515" s="7">
        <f>IFERROR(VLOOKUP(D515,EQUIPOS!A:C,3,FALSE),0)</f>
        <v>290.60739999999998</v>
      </c>
      <c r="J515" s="8">
        <f t="shared" si="32"/>
        <v>29.060739999999999</v>
      </c>
      <c r="K515" s="7" t="str">
        <f t="shared" si="33"/>
        <v>PTO-1301|EQ</v>
      </c>
      <c r="L515" s="7">
        <f>COUNTIFS($K$2:K515,K515)</f>
        <v>2</v>
      </c>
      <c r="M515" s="7" t="str">
        <f t="shared" si="34"/>
        <v>PTO-1301|EQ|2</v>
      </c>
      <c r="N515" s="7">
        <f>IFERROR(VLOOKUP(A515,PARTIDAS!A:F,6,FALSE),0)</f>
        <v>1</v>
      </c>
      <c r="O515" s="7">
        <f t="shared" si="35"/>
        <v>0</v>
      </c>
      <c r="P515" s="7">
        <f>IFERROR(_xlfn.XLOOKUP(A515,PPTO_GENERADOR!$Q:$Q,PPTO_GENERADOR!$E:$E,"-",0),"-")</f>
        <v>511</v>
      </c>
    </row>
    <row r="516" spans="1:16" x14ac:dyDescent="0.35">
      <c r="A516" s="5" t="s">
        <v>980</v>
      </c>
      <c r="B516" s="5" t="s">
        <v>1203</v>
      </c>
      <c r="C516" s="5" t="s">
        <v>1205</v>
      </c>
      <c r="D516" s="5" t="s">
        <v>215</v>
      </c>
      <c r="E516" s="7" t="str">
        <f>IFERROR(VLOOKUP(D516,MATERIALES!A:B,2,FALSE),"?")</f>
        <v>Adhesivo Klaukol Porcellanato Fluido x 30Kg</v>
      </c>
      <c r="F516" s="5"/>
      <c r="G516" s="11">
        <v>0.2</v>
      </c>
      <c r="H516" s="12">
        <v>0.2</v>
      </c>
      <c r="I516" s="7">
        <f>IFERROR(VLOOKUP(D516,MATERIALES!A:D,4,FALSE),0)</f>
        <v>21494.592000000001</v>
      </c>
      <c r="J516" s="8">
        <f t="shared" si="32"/>
        <v>5158.70208</v>
      </c>
      <c r="K516" s="7" t="str">
        <f t="shared" si="33"/>
        <v>PTO-1302|MAT</v>
      </c>
      <c r="L516" s="7">
        <f>COUNTIFS($K$2:K516,K516)</f>
        <v>1</v>
      </c>
      <c r="M516" s="7" t="str">
        <f t="shared" si="34"/>
        <v>PTO-1302|MAT|1</v>
      </c>
      <c r="N516" s="7">
        <f>IFERROR(VLOOKUP(A516,PARTIDAS!A:F,6,FALSE),0)</f>
        <v>1</v>
      </c>
      <c r="O516" s="7">
        <f t="shared" si="35"/>
        <v>0</v>
      </c>
      <c r="P516" s="7">
        <f>IFERROR(_xlfn.XLOOKUP(A516,PPTO_GENERADOR!$Q:$Q,PPTO_GENERADOR!$E:$E,"-",0),"-")</f>
        <v>40</v>
      </c>
    </row>
    <row r="517" spans="1:16" x14ac:dyDescent="0.35">
      <c r="A517" s="5" t="s">
        <v>980</v>
      </c>
      <c r="B517" s="5" t="s">
        <v>1203</v>
      </c>
      <c r="C517" s="5" t="s">
        <v>1205</v>
      </c>
      <c r="D517" s="5" t="s">
        <v>217</v>
      </c>
      <c r="E517" s="7" t="str">
        <f>IFERROR(VLOOKUP(D517,MATERIALES!A:B,2,FALSE),"?")</f>
        <v>Pastina Klaukol x 1kg - Alta performance</v>
      </c>
      <c r="F517" s="5"/>
      <c r="G517" s="11">
        <v>0.2</v>
      </c>
      <c r="H517" s="12">
        <v>0.05</v>
      </c>
      <c r="I517" s="7">
        <f>IFERROR(VLOOKUP(D517,MATERIALES!A:D,4,FALSE),0)</f>
        <v>2930.36</v>
      </c>
      <c r="J517" s="8">
        <f t="shared" si="32"/>
        <v>615.37560000000008</v>
      </c>
      <c r="K517" s="7" t="str">
        <f t="shared" si="33"/>
        <v>PTO-1302|MAT</v>
      </c>
      <c r="L517" s="7">
        <f>COUNTIFS($K$2:K517,K517)</f>
        <v>2</v>
      </c>
      <c r="M517" s="7" t="str">
        <f t="shared" si="34"/>
        <v>PTO-1302|MAT|2</v>
      </c>
      <c r="N517" s="7">
        <f>IFERROR(VLOOKUP(A517,PARTIDAS!A:F,6,FALSE),0)</f>
        <v>1</v>
      </c>
      <c r="O517" s="7">
        <f t="shared" si="35"/>
        <v>0</v>
      </c>
      <c r="P517" s="7">
        <f>IFERROR(_xlfn.XLOOKUP(A517,PPTO_GENERADOR!$Q:$Q,PPTO_GENERADOR!$E:$E,"-",0),"-")</f>
        <v>40</v>
      </c>
    </row>
    <row r="518" spans="1:16" x14ac:dyDescent="0.35">
      <c r="A518" s="5" t="s">
        <v>980</v>
      </c>
      <c r="B518" s="5" t="s">
        <v>1203</v>
      </c>
      <c r="C518" s="5" t="s">
        <v>1205</v>
      </c>
      <c r="D518" s="5" t="s">
        <v>219</v>
      </c>
      <c r="E518" s="7" t="str">
        <f>IFERROR(VLOOKUP(D518,MATERIALES!A:B,2,FALSE),"?")</f>
        <v>Disco Diamantado Aliafor Turbo Fino TRF</v>
      </c>
      <c r="F518" s="5"/>
      <c r="G518" s="11">
        <v>4.0000000000000001E-3</v>
      </c>
      <c r="H518" s="12">
        <v>0.05</v>
      </c>
      <c r="I518" s="7">
        <f>IFERROR(VLOOKUP(D518,MATERIALES!A:D,4,FALSE),0)</f>
        <v>21453.297500000001</v>
      </c>
      <c r="J518" s="8">
        <f t="shared" si="32"/>
        <v>90.10384950000001</v>
      </c>
      <c r="K518" s="7" t="str">
        <f t="shared" si="33"/>
        <v>PTO-1302|MAT</v>
      </c>
      <c r="L518" s="7">
        <f>COUNTIFS($K$2:K518,K518)</f>
        <v>3</v>
      </c>
      <c r="M518" s="7" t="str">
        <f t="shared" si="34"/>
        <v>PTO-1302|MAT|3</v>
      </c>
      <c r="N518" s="7">
        <f>IFERROR(VLOOKUP(A518,PARTIDAS!A:F,6,FALSE),0)</f>
        <v>1</v>
      </c>
      <c r="O518" s="7">
        <f t="shared" si="35"/>
        <v>0</v>
      </c>
      <c r="P518" s="7">
        <f>IFERROR(_xlfn.XLOOKUP(A518,PPTO_GENERADOR!$Q:$Q,PPTO_GENERADOR!$E:$E,"-",0),"-")</f>
        <v>40</v>
      </c>
    </row>
    <row r="519" spans="1:16" x14ac:dyDescent="0.35">
      <c r="A519" s="5" t="s">
        <v>980</v>
      </c>
      <c r="B519" s="5" t="s">
        <v>1203</v>
      </c>
      <c r="C519" s="5" t="s">
        <v>1205</v>
      </c>
      <c r="D519" s="5" t="s">
        <v>221</v>
      </c>
      <c r="E519" s="7" t="str">
        <f>IFERROR(VLOOKUP(D519,MATERIALES!A:B,2,FALSE),"?")</f>
        <v>Arco y cuña niveladores porcelanatos x 150 un</v>
      </c>
      <c r="F519" s="5"/>
      <c r="G519" s="11">
        <v>0.04</v>
      </c>
      <c r="H519" s="12">
        <v>0.05</v>
      </c>
      <c r="I519" s="7">
        <f>IFERROR(VLOOKUP(D519,MATERIALES!A:D,4,FALSE),0)</f>
        <v>32805.983500000002</v>
      </c>
      <c r="J519" s="8">
        <f t="shared" si="32"/>
        <v>1377.8513070000001</v>
      </c>
      <c r="K519" s="7" t="str">
        <f t="shared" si="33"/>
        <v>PTO-1302|MAT</v>
      </c>
      <c r="L519" s="7">
        <f>COUNTIFS($K$2:K519,K519)</f>
        <v>4</v>
      </c>
      <c r="M519" s="7" t="str">
        <f t="shared" si="34"/>
        <v>PTO-1302|MAT|4</v>
      </c>
      <c r="N519" s="7">
        <f>IFERROR(VLOOKUP(A519,PARTIDAS!A:F,6,FALSE),0)</f>
        <v>1</v>
      </c>
      <c r="O519" s="7">
        <f t="shared" si="35"/>
        <v>0</v>
      </c>
      <c r="P519" s="7">
        <f>IFERROR(_xlfn.XLOOKUP(A519,PPTO_GENERADOR!$Q:$Q,PPTO_GENERADOR!$E:$E,"-",0),"-")</f>
        <v>40</v>
      </c>
    </row>
    <row r="520" spans="1:16" x14ac:dyDescent="0.35">
      <c r="A520" s="5" t="s">
        <v>980</v>
      </c>
      <c r="B520" s="5" t="s">
        <v>1203</v>
      </c>
      <c r="C520" s="5" t="s">
        <v>1205</v>
      </c>
      <c r="D520" s="5" t="s">
        <v>169</v>
      </c>
      <c r="E520" s="7" t="str">
        <f>IFERROR(VLOOKUP(D520,MATERIALES!A:B,2,FALSE),"?")</f>
        <v>Trapo</v>
      </c>
      <c r="F520" s="5"/>
      <c r="G520" s="11">
        <v>0.01</v>
      </c>
      <c r="H520" s="12">
        <v>0.03</v>
      </c>
      <c r="I520" s="7">
        <f>IFERROR(VLOOKUP(D520,MATERIALES!A:D,4,FALSE),0)</f>
        <v>784.06</v>
      </c>
      <c r="J520" s="8">
        <f t="shared" si="32"/>
        <v>8.0758179999999999</v>
      </c>
      <c r="K520" s="7" t="str">
        <f t="shared" si="33"/>
        <v>PTO-1302|MAT</v>
      </c>
      <c r="L520" s="7">
        <f>COUNTIFS($K$2:K520,K520)</f>
        <v>5</v>
      </c>
      <c r="M520" s="7" t="str">
        <f t="shared" si="34"/>
        <v>PTO-1302|MAT|5</v>
      </c>
      <c r="N520" s="7">
        <f>IFERROR(VLOOKUP(A520,PARTIDAS!A:F,6,FALSE),0)</f>
        <v>1</v>
      </c>
      <c r="O520" s="7">
        <f t="shared" si="35"/>
        <v>0</v>
      </c>
      <c r="P520" s="7">
        <f>IFERROR(_xlfn.XLOOKUP(A520,PPTO_GENERADOR!$Q:$Q,PPTO_GENERADOR!$E:$E,"-",0),"-")</f>
        <v>40</v>
      </c>
    </row>
    <row r="521" spans="1:16" x14ac:dyDescent="0.35">
      <c r="A521" s="5" t="s">
        <v>980</v>
      </c>
      <c r="B521" s="5" t="s">
        <v>1198</v>
      </c>
      <c r="C521" s="5" t="s">
        <v>1201</v>
      </c>
      <c r="D521" s="5" t="s">
        <v>479</v>
      </c>
      <c r="E521" s="7" t="str">
        <f>IFERROR(VLOOKUP(D521,MANO_DE_OBRA!A:B,2,FALSE),"?")</f>
        <v>MEDIO OFICIAL</v>
      </c>
      <c r="F521" s="5" t="s">
        <v>1200</v>
      </c>
      <c r="G521" s="11">
        <v>0.1</v>
      </c>
      <c r="H521" s="12">
        <v>0</v>
      </c>
      <c r="I521" s="7">
        <f>IFERROR(VLOOKUP(D521,MANO_DE_OBRA!A:C,3,FALSE),0)</f>
        <v>54784.07</v>
      </c>
      <c r="J521" s="8">
        <f t="shared" si="32"/>
        <v>5478.4070000000002</v>
      </c>
      <c r="K521" s="7" t="str">
        <f t="shared" si="33"/>
        <v>PTO-1302|MO</v>
      </c>
      <c r="L521" s="7">
        <f>COUNTIFS($K$2:K521,K521)</f>
        <v>1</v>
      </c>
      <c r="M521" s="7" t="str">
        <f t="shared" si="34"/>
        <v>PTO-1302|MO|1</v>
      </c>
      <c r="N521" s="7">
        <f>IFERROR(VLOOKUP(A521,PARTIDAS!A:F,6,FALSE),0)</f>
        <v>1</v>
      </c>
      <c r="O521" s="7">
        <f t="shared" si="35"/>
        <v>0.1</v>
      </c>
      <c r="P521" s="7">
        <f>IFERROR(_xlfn.XLOOKUP(A521,PPTO_GENERADOR!$Q:$Q,PPTO_GENERADOR!$E:$E,"-",0),"-")</f>
        <v>40</v>
      </c>
    </row>
    <row r="522" spans="1:16" x14ac:dyDescent="0.35">
      <c r="A522" s="5" t="s">
        <v>980</v>
      </c>
      <c r="B522" s="5" t="s">
        <v>1198</v>
      </c>
      <c r="C522" s="5" t="s">
        <v>1201</v>
      </c>
      <c r="D522" s="5" t="s">
        <v>477</v>
      </c>
      <c r="E522" s="7" t="str">
        <f>IFERROR(VLOOKUP(D522,MANO_DE_OBRA!A:B,2,FALSE),"?")</f>
        <v>ESPECIALIZADO</v>
      </c>
      <c r="F522" s="5" t="s">
        <v>1200</v>
      </c>
      <c r="G522" s="11">
        <v>0.1</v>
      </c>
      <c r="H522" s="12">
        <v>0</v>
      </c>
      <c r="I522" s="7">
        <f>IFERROR(VLOOKUP(D522,MANO_DE_OBRA!A:C,3,FALSE),0)</f>
        <v>75113.05</v>
      </c>
      <c r="J522" s="8">
        <f t="shared" si="32"/>
        <v>7511.3050000000003</v>
      </c>
      <c r="K522" s="7" t="str">
        <f t="shared" si="33"/>
        <v>PTO-1302|MO</v>
      </c>
      <c r="L522" s="7">
        <f>COUNTIFS($K$2:K522,K522)</f>
        <v>2</v>
      </c>
      <c r="M522" s="7" t="str">
        <f t="shared" si="34"/>
        <v>PTO-1302|MO|2</v>
      </c>
      <c r="N522" s="7">
        <f>IFERROR(VLOOKUP(A522,PARTIDAS!A:F,6,FALSE),0)</f>
        <v>1</v>
      </c>
      <c r="O522" s="7">
        <f t="shared" si="35"/>
        <v>0.1</v>
      </c>
      <c r="P522" s="7">
        <f>IFERROR(_xlfn.XLOOKUP(A522,PPTO_GENERADOR!$Q:$Q,PPTO_GENERADOR!$E:$E,"-",0),"-")</f>
        <v>40</v>
      </c>
    </row>
    <row r="523" spans="1:16" x14ac:dyDescent="0.35">
      <c r="A523" s="5" t="s">
        <v>980</v>
      </c>
      <c r="B523" s="5" t="s">
        <v>1202</v>
      </c>
      <c r="C523" s="5"/>
      <c r="D523" s="5" t="s">
        <v>551</v>
      </c>
      <c r="E523" s="7" t="str">
        <f>IFERROR(VLOOKUP(D523,EQUIPOS!A:B,2,FALSE),"?")</f>
        <v>EQUIPO PARA COLOCACION DE CERAMICA</v>
      </c>
      <c r="F523" s="5"/>
      <c r="G523" s="11">
        <v>0.1</v>
      </c>
      <c r="H523" s="12">
        <v>0</v>
      </c>
      <c r="I523" s="7">
        <f>IFERROR(VLOOKUP(D523,EQUIPOS!A:C,3,FALSE),0)</f>
        <v>2568.0682999999999</v>
      </c>
      <c r="J523" s="8">
        <f t="shared" si="32"/>
        <v>256.80682999999999</v>
      </c>
      <c r="K523" s="7" t="str">
        <f t="shared" si="33"/>
        <v>PTO-1302|EQ</v>
      </c>
      <c r="L523" s="7">
        <f>COUNTIFS($K$2:K523,K523)</f>
        <v>1</v>
      </c>
      <c r="M523" s="7" t="str">
        <f t="shared" si="34"/>
        <v>PTO-1302|EQ|1</v>
      </c>
      <c r="N523" s="7">
        <f>IFERROR(VLOOKUP(A523,PARTIDAS!A:F,6,FALSE),0)</f>
        <v>1</v>
      </c>
      <c r="O523" s="7">
        <f t="shared" si="35"/>
        <v>0</v>
      </c>
      <c r="P523" s="7">
        <f>IFERROR(_xlfn.XLOOKUP(A523,PPTO_GENERADOR!$Q:$Q,PPTO_GENERADOR!$E:$E,"-",0),"-")</f>
        <v>40</v>
      </c>
    </row>
    <row r="524" spans="1:16" x14ac:dyDescent="0.35">
      <c r="A524" s="5" t="s">
        <v>980</v>
      </c>
      <c r="B524" s="5" t="s">
        <v>1202</v>
      </c>
      <c r="C524" s="5"/>
      <c r="D524" s="5" t="s">
        <v>553</v>
      </c>
      <c r="E524" s="7" t="str">
        <f>IFERROR(VLOOKUP(D524,EQUIPOS!A:B,2,FALSE),"?")</f>
        <v>CORTADORA CERAMICA PROFESIONAL 1200MM (PORCELANATO HASTA 16MM)</v>
      </c>
      <c r="F524" s="5"/>
      <c r="G524" s="11">
        <v>0.1</v>
      </c>
      <c r="H524" s="12">
        <v>0</v>
      </c>
      <c r="I524" s="7">
        <f>IFERROR(VLOOKUP(D524,EQUIPOS!A:C,3,FALSE),0)</f>
        <v>290.60739999999998</v>
      </c>
      <c r="J524" s="8">
        <f t="shared" si="32"/>
        <v>29.060739999999999</v>
      </c>
      <c r="K524" s="7" t="str">
        <f t="shared" si="33"/>
        <v>PTO-1302|EQ</v>
      </c>
      <c r="L524" s="7">
        <f>COUNTIFS($K$2:K524,K524)</f>
        <v>2</v>
      </c>
      <c r="M524" s="7" t="str">
        <f t="shared" si="34"/>
        <v>PTO-1302|EQ|2</v>
      </c>
      <c r="N524" s="7">
        <f>IFERROR(VLOOKUP(A524,PARTIDAS!A:F,6,FALSE),0)</f>
        <v>1</v>
      </c>
      <c r="O524" s="7">
        <f t="shared" si="35"/>
        <v>0</v>
      </c>
      <c r="P524" s="7">
        <f>IFERROR(_xlfn.XLOOKUP(A524,PPTO_GENERADOR!$Q:$Q,PPTO_GENERADOR!$E:$E,"-",0),"-")</f>
        <v>40</v>
      </c>
    </row>
    <row r="525" spans="1:16" x14ac:dyDescent="0.35">
      <c r="A525" s="5" t="s">
        <v>982</v>
      </c>
      <c r="B525" s="5" t="s">
        <v>1203</v>
      </c>
      <c r="C525" s="5" t="s">
        <v>1205</v>
      </c>
      <c r="D525" s="5" t="s">
        <v>215</v>
      </c>
      <c r="E525" s="7" t="str">
        <f>IFERROR(VLOOKUP(D525,MATERIALES!A:B,2,FALSE),"?")</f>
        <v>Adhesivo Klaukol Porcellanato Fluido x 30Kg</v>
      </c>
      <c r="F525" s="5"/>
      <c r="G525" s="11">
        <v>0.2</v>
      </c>
      <c r="H525" s="12">
        <v>0.2</v>
      </c>
      <c r="I525" s="7">
        <f>IFERROR(VLOOKUP(D525,MATERIALES!A:D,4,FALSE),0)</f>
        <v>21494.592000000001</v>
      </c>
      <c r="J525" s="8">
        <f t="shared" si="32"/>
        <v>5158.70208</v>
      </c>
      <c r="K525" s="7" t="str">
        <f t="shared" si="33"/>
        <v>PTO-1303|MAT</v>
      </c>
      <c r="L525" s="7">
        <f>COUNTIFS($K$2:K525,K525)</f>
        <v>1</v>
      </c>
      <c r="M525" s="7" t="str">
        <f t="shared" si="34"/>
        <v>PTO-1303|MAT|1</v>
      </c>
      <c r="N525" s="7">
        <f>IFERROR(VLOOKUP(A525,PARTIDAS!A:F,6,FALSE),0)</f>
        <v>1</v>
      </c>
      <c r="O525" s="7">
        <f t="shared" si="35"/>
        <v>0</v>
      </c>
      <c r="P525" s="7">
        <f>IFERROR(_xlfn.XLOOKUP(A525,PPTO_GENERADOR!$Q:$Q,PPTO_GENERADOR!$E:$E,"-",0),"-")</f>
        <v>147.601</v>
      </c>
    </row>
    <row r="526" spans="1:16" x14ac:dyDescent="0.35">
      <c r="A526" s="5" t="s">
        <v>982</v>
      </c>
      <c r="B526" s="5" t="s">
        <v>1203</v>
      </c>
      <c r="C526" s="5" t="s">
        <v>1205</v>
      </c>
      <c r="D526" s="5" t="s">
        <v>217</v>
      </c>
      <c r="E526" s="7" t="str">
        <f>IFERROR(VLOOKUP(D526,MATERIALES!A:B,2,FALSE),"?")</f>
        <v>Pastina Klaukol x 1kg - Alta performance</v>
      </c>
      <c r="F526" s="5"/>
      <c r="G526" s="11">
        <v>0.2</v>
      </c>
      <c r="H526" s="12">
        <v>0.05</v>
      </c>
      <c r="I526" s="7">
        <f>IFERROR(VLOOKUP(D526,MATERIALES!A:D,4,FALSE),0)</f>
        <v>2930.36</v>
      </c>
      <c r="J526" s="8">
        <f t="shared" si="32"/>
        <v>615.37560000000008</v>
      </c>
      <c r="K526" s="7" t="str">
        <f t="shared" si="33"/>
        <v>PTO-1303|MAT</v>
      </c>
      <c r="L526" s="7">
        <f>COUNTIFS($K$2:K526,K526)</f>
        <v>2</v>
      </c>
      <c r="M526" s="7" t="str">
        <f t="shared" si="34"/>
        <v>PTO-1303|MAT|2</v>
      </c>
      <c r="N526" s="7">
        <f>IFERROR(VLOOKUP(A526,PARTIDAS!A:F,6,FALSE),0)</f>
        <v>1</v>
      </c>
      <c r="O526" s="7">
        <f t="shared" si="35"/>
        <v>0</v>
      </c>
      <c r="P526" s="7">
        <f>IFERROR(_xlfn.XLOOKUP(A526,PPTO_GENERADOR!$Q:$Q,PPTO_GENERADOR!$E:$E,"-",0),"-")</f>
        <v>147.601</v>
      </c>
    </row>
    <row r="527" spans="1:16" x14ac:dyDescent="0.35">
      <c r="A527" s="5" t="s">
        <v>982</v>
      </c>
      <c r="B527" s="5" t="s">
        <v>1203</v>
      </c>
      <c r="C527" s="5" t="s">
        <v>1205</v>
      </c>
      <c r="D527" s="5" t="s">
        <v>219</v>
      </c>
      <c r="E527" s="7" t="str">
        <f>IFERROR(VLOOKUP(D527,MATERIALES!A:B,2,FALSE),"?")</f>
        <v>Disco Diamantado Aliafor Turbo Fino TRF</v>
      </c>
      <c r="F527" s="5"/>
      <c r="G527" s="11">
        <v>4.0000000000000001E-3</v>
      </c>
      <c r="H527" s="12">
        <v>0.05</v>
      </c>
      <c r="I527" s="7">
        <f>IFERROR(VLOOKUP(D527,MATERIALES!A:D,4,FALSE),0)</f>
        <v>21453.297500000001</v>
      </c>
      <c r="J527" s="8">
        <f t="shared" si="32"/>
        <v>90.10384950000001</v>
      </c>
      <c r="K527" s="7" t="str">
        <f t="shared" si="33"/>
        <v>PTO-1303|MAT</v>
      </c>
      <c r="L527" s="7">
        <f>COUNTIFS($K$2:K527,K527)</f>
        <v>3</v>
      </c>
      <c r="M527" s="7" t="str">
        <f t="shared" si="34"/>
        <v>PTO-1303|MAT|3</v>
      </c>
      <c r="N527" s="7">
        <f>IFERROR(VLOOKUP(A527,PARTIDAS!A:F,6,FALSE),0)</f>
        <v>1</v>
      </c>
      <c r="O527" s="7">
        <f t="shared" si="35"/>
        <v>0</v>
      </c>
      <c r="P527" s="7">
        <f>IFERROR(_xlfn.XLOOKUP(A527,PPTO_GENERADOR!$Q:$Q,PPTO_GENERADOR!$E:$E,"-",0),"-")</f>
        <v>147.601</v>
      </c>
    </row>
    <row r="528" spans="1:16" x14ac:dyDescent="0.35">
      <c r="A528" s="5" t="s">
        <v>982</v>
      </c>
      <c r="B528" s="5" t="s">
        <v>1203</v>
      </c>
      <c r="C528" s="5" t="s">
        <v>1205</v>
      </c>
      <c r="D528" s="5" t="s">
        <v>221</v>
      </c>
      <c r="E528" s="7" t="str">
        <f>IFERROR(VLOOKUP(D528,MATERIALES!A:B,2,FALSE),"?")</f>
        <v>Arco y cuña niveladores porcelanatos x 150 un</v>
      </c>
      <c r="F528" s="5"/>
      <c r="G528" s="11">
        <v>0.04</v>
      </c>
      <c r="H528" s="12">
        <v>0.05</v>
      </c>
      <c r="I528" s="7">
        <f>IFERROR(VLOOKUP(D528,MATERIALES!A:D,4,FALSE),0)</f>
        <v>32805.983500000002</v>
      </c>
      <c r="J528" s="8">
        <f t="shared" si="32"/>
        <v>1377.8513070000001</v>
      </c>
      <c r="K528" s="7" t="str">
        <f t="shared" si="33"/>
        <v>PTO-1303|MAT</v>
      </c>
      <c r="L528" s="7">
        <f>COUNTIFS($K$2:K528,K528)</f>
        <v>4</v>
      </c>
      <c r="M528" s="7" t="str">
        <f t="shared" si="34"/>
        <v>PTO-1303|MAT|4</v>
      </c>
      <c r="N528" s="7">
        <f>IFERROR(VLOOKUP(A528,PARTIDAS!A:F,6,FALSE),0)</f>
        <v>1</v>
      </c>
      <c r="O528" s="7">
        <f t="shared" si="35"/>
        <v>0</v>
      </c>
      <c r="P528" s="7">
        <f>IFERROR(_xlfn.XLOOKUP(A528,PPTO_GENERADOR!$Q:$Q,PPTO_GENERADOR!$E:$E,"-",0),"-")</f>
        <v>147.601</v>
      </c>
    </row>
    <row r="529" spans="1:16" x14ac:dyDescent="0.35">
      <c r="A529" s="5" t="s">
        <v>982</v>
      </c>
      <c r="B529" s="5" t="s">
        <v>1203</v>
      </c>
      <c r="C529" s="5" t="s">
        <v>1205</v>
      </c>
      <c r="D529" s="5" t="s">
        <v>169</v>
      </c>
      <c r="E529" s="7" t="str">
        <f>IFERROR(VLOOKUP(D529,MATERIALES!A:B,2,FALSE),"?")</f>
        <v>Trapo</v>
      </c>
      <c r="F529" s="5"/>
      <c r="G529" s="11">
        <v>0.01</v>
      </c>
      <c r="H529" s="12">
        <v>0.03</v>
      </c>
      <c r="I529" s="7">
        <f>IFERROR(VLOOKUP(D529,MATERIALES!A:D,4,FALSE),0)</f>
        <v>784.06</v>
      </c>
      <c r="J529" s="8">
        <f t="shared" si="32"/>
        <v>8.0758179999999999</v>
      </c>
      <c r="K529" s="7" t="str">
        <f t="shared" si="33"/>
        <v>PTO-1303|MAT</v>
      </c>
      <c r="L529" s="7">
        <f>COUNTIFS($K$2:K529,K529)</f>
        <v>5</v>
      </c>
      <c r="M529" s="7" t="str">
        <f t="shared" si="34"/>
        <v>PTO-1303|MAT|5</v>
      </c>
      <c r="N529" s="7">
        <f>IFERROR(VLOOKUP(A529,PARTIDAS!A:F,6,FALSE),0)</f>
        <v>1</v>
      </c>
      <c r="O529" s="7">
        <f t="shared" si="35"/>
        <v>0</v>
      </c>
      <c r="P529" s="7">
        <f>IFERROR(_xlfn.XLOOKUP(A529,PPTO_GENERADOR!$Q:$Q,PPTO_GENERADOR!$E:$E,"-",0),"-")</f>
        <v>147.601</v>
      </c>
    </row>
    <row r="530" spans="1:16" x14ac:dyDescent="0.35">
      <c r="A530" s="5" t="s">
        <v>982</v>
      </c>
      <c r="B530" s="5" t="s">
        <v>1198</v>
      </c>
      <c r="C530" s="5" t="s">
        <v>1199</v>
      </c>
      <c r="D530" s="5" t="s">
        <v>707</v>
      </c>
      <c r="E530" s="7" t="str">
        <f>IFERROR(VLOOKUP(D530,SUBCONTRATOS_PRY!A:B,2,FALSE),"?")</f>
        <v>MEDIO OFICIAL ALBAÑIL</v>
      </c>
      <c r="F530" s="5" t="s">
        <v>1200</v>
      </c>
      <c r="G530" s="11">
        <v>2.5000000000000001E-2</v>
      </c>
      <c r="H530" s="12">
        <v>0</v>
      </c>
      <c r="I530" s="7">
        <f>IFERROR(VLOOKUP(D530,SUBCONTRATOS_PRY!A:D,4,FALSE),0)</f>
        <v>54784.071799999998</v>
      </c>
      <c r="J530" s="8">
        <f t="shared" si="32"/>
        <v>1369.601795</v>
      </c>
      <c r="K530" s="7" t="str">
        <f t="shared" si="33"/>
        <v>PTO-1303|MO</v>
      </c>
      <c r="L530" s="7">
        <f>COUNTIFS($K$2:K530,K530)</f>
        <v>1</v>
      </c>
      <c r="M530" s="7" t="str">
        <f t="shared" si="34"/>
        <v>PTO-1303|MO|1</v>
      </c>
      <c r="N530" s="7">
        <f>IFERROR(VLOOKUP(A530,PARTIDAS!A:F,6,FALSE),0)</f>
        <v>1</v>
      </c>
      <c r="O530" s="7">
        <f t="shared" si="35"/>
        <v>0</v>
      </c>
      <c r="P530" s="7">
        <f>IFERROR(_xlfn.XLOOKUP(A530,PPTO_GENERADOR!$Q:$Q,PPTO_GENERADOR!$E:$E,"-",0),"-")</f>
        <v>147.601</v>
      </c>
    </row>
    <row r="531" spans="1:16" x14ac:dyDescent="0.35">
      <c r="A531" s="5" t="s">
        <v>982</v>
      </c>
      <c r="B531" s="5" t="s">
        <v>1198</v>
      </c>
      <c r="C531" s="5" t="s">
        <v>1199</v>
      </c>
      <c r="D531" s="5" t="s">
        <v>709</v>
      </c>
      <c r="E531" s="7" t="str">
        <f>IFERROR(VLOOKUP(D531,SUBCONTRATOS_PRY!A:B,2,FALSE),"?")</f>
        <v>OFICIAL COLOCADOR</v>
      </c>
      <c r="F531" s="5" t="s">
        <v>1200</v>
      </c>
      <c r="G531" s="11">
        <v>2.5000000000000001E-2</v>
      </c>
      <c r="H531" s="12">
        <v>0</v>
      </c>
      <c r="I531" s="7">
        <f>IFERROR(VLOOKUP(D531,SUBCONTRATOS_PRY!A:D,4,FALSE),0)</f>
        <v>75113.048200000005</v>
      </c>
      <c r="J531" s="8">
        <f t="shared" si="32"/>
        <v>1877.8262050000003</v>
      </c>
      <c r="K531" s="7" t="str">
        <f t="shared" si="33"/>
        <v>PTO-1303|MO</v>
      </c>
      <c r="L531" s="7">
        <f>COUNTIFS($K$2:K531,K531)</f>
        <v>2</v>
      </c>
      <c r="M531" s="7" t="str">
        <f t="shared" si="34"/>
        <v>PTO-1303|MO|2</v>
      </c>
      <c r="N531" s="7">
        <f>IFERROR(VLOOKUP(A531,PARTIDAS!A:F,6,FALSE),0)</f>
        <v>1</v>
      </c>
      <c r="O531" s="7">
        <f t="shared" si="35"/>
        <v>0</v>
      </c>
      <c r="P531" s="7">
        <f>IFERROR(_xlfn.XLOOKUP(A531,PPTO_GENERADOR!$Q:$Q,PPTO_GENERADOR!$E:$E,"-",0),"-")</f>
        <v>147.601</v>
      </c>
    </row>
    <row r="532" spans="1:16" x14ac:dyDescent="0.35">
      <c r="A532" s="5" t="s">
        <v>982</v>
      </c>
      <c r="B532" s="5" t="s">
        <v>1198</v>
      </c>
      <c r="C532" s="5" t="s">
        <v>1201</v>
      </c>
      <c r="D532" s="5" t="s">
        <v>479</v>
      </c>
      <c r="E532" s="7" t="str">
        <f>IFERROR(VLOOKUP(D532,MANO_DE_OBRA!A:B,2,FALSE),"?")</f>
        <v>MEDIO OFICIAL</v>
      </c>
      <c r="F532" s="5" t="s">
        <v>1200</v>
      </c>
      <c r="G532" s="11">
        <v>0.1</v>
      </c>
      <c r="H532" s="12">
        <v>0</v>
      </c>
      <c r="I532" s="7">
        <f>IFERROR(VLOOKUP(D532,MANO_DE_OBRA!A:C,3,FALSE),0)</f>
        <v>54784.07</v>
      </c>
      <c r="J532" s="8">
        <f t="shared" si="32"/>
        <v>5478.4070000000002</v>
      </c>
      <c r="K532" s="7" t="str">
        <f t="shared" si="33"/>
        <v>PTO-1303|MO</v>
      </c>
      <c r="L532" s="7">
        <f>COUNTIFS($K$2:K532,K532)</f>
        <v>3</v>
      </c>
      <c r="M532" s="7" t="str">
        <f t="shared" si="34"/>
        <v>PTO-1303|MO|3</v>
      </c>
      <c r="N532" s="7">
        <f>IFERROR(VLOOKUP(A532,PARTIDAS!A:F,6,FALSE),0)</f>
        <v>1</v>
      </c>
      <c r="O532" s="7">
        <f t="shared" si="35"/>
        <v>0.1</v>
      </c>
      <c r="P532" s="7">
        <f>IFERROR(_xlfn.XLOOKUP(A532,PPTO_GENERADOR!$Q:$Q,PPTO_GENERADOR!$E:$E,"-",0),"-")</f>
        <v>147.601</v>
      </c>
    </row>
    <row r="533" spans="1:16" x14ac:dyDescent="0.35">
      <c r="A533" s="5" t="s">
        <v>982</v>
      </c>
      <c r="B533" s="5" t="s">
        <v>1198</v>
      </c>
      <c r="C533" s="5" t="s">
        <v>1201</v>
      </c>
      <c r="D533" s="5" t="s">
        <v>477</v>
      </c>
      <c r="E533" s="7" t="str">
        <f>IFERROR(VLOOKUP(D533,MANO_DE_OBRA!A:B,2,FALSE),"?")</f>
        <v>ESPECIALIZADO</v>
      </c>
      <c r="F533" s="5" t="s">
        <v>1200</v>
      </c>
      <c r="G533" s="11">
        <v>0.1</v>
      </c>
      <c r="H533" s="12">
        <v>0</v>
      </c>
      <c r="I533" s="7">
        <f>IFERROR(VLOOKUP(D533,MANO_DE_OBRA!A:C,3,FALSE),0)</f>
        <v>75113.05</v>
      </c>
      <c r="J533" s="8">
        <f t="shared" si="32"/>
        <v>7511.3050000000003</v>
      </c>
      <c r="K533" s="7" t="str">
        <f t="shared" si="33"/>
        <v>PTO-1303|MO</v>
      </c>
      <c r="L533" s="7">
        <f>COUNTIFS($K$2:K533,K533)</f>
        <v>4</v>
      </c>
      <c r="M533" s="7" t="str">
        <f t="shared" si="34"/>
        <v>PTO-1303|MO|4</v>
      </c>
      <c r="N533" s="7">
        <f>IFERROR(VLOOKUP(A533,PARTIDAS!A:F,6,FALSE),0)</f>
        <v>1</v>
      </c>
      <c r="O533" s="7">
        <f t="shared" si="35"/>
        <v>0.1</v>
      </c>
      <c r="P533" s="7">
        <f>IFERROR(_xlfn.XLOOKUP(A533,PPTO_GENERADOR!$Q:$Q,PPTO_GENERADOR!$E:$E,"-",0),"-")</f>
        <v>147.601</v>
      </c>
    </row>
    <row r="534" spans="1:16" x14ac:dyDescent="0.35">
      <c r="A534" s="5" t="s">
        <v>982</v>
      </c>
      <c r="B534" s="5" t="s">
        <v>1202</v>
      </c>
      <c r="C534" s="5"/>
      <c r="D534" s="5" t="s">
        <v>551</v>
      </c>
      <c r="E534" s="7" t="str">
        <f>IFERROR(VLOOKUP(D534,EQUIPOS!A:B,2,FALSE),"?")</f>
        <v>EQUIPO PARA COLOCACION DE CERAMICA</v>
      </c>
      <c r="F534" s="5"/>
      <c r="G534" s="11">
        <v>0.1</v>
      </c>
      <c r="H534" s="12">
        <v>0</v>
      </c>
      <c r="I534" s="7">
        <f>IFERROR(VLOOKUP(D534,EQUIPOS!A:C,3,FALSE),0)</f>
        <v>2568.0682999999999</v>
      </c>
      <c r="J534" s="8">
        <f t="shared" si="32"/>
        <v>256.80682999999999</v>
      </c>
      <c r="K534" s="7" t="str">
        <f t="shared" si="33"/>
        <v>PTO-1303|EQ</v>
      </c>
      <c r="L534" s="7">
        <f>COUNTIFS($K$2:K534,K534)</f>
        <v>1</v>
      </c>
      <c r="M534" s="7" t="str">
        <f t="shared" si="34"/>
        <v>PTO-1303|EQ|1</v>
      </c>
      <c r="N534" s="7">
        <f>IFERROR(VLOOKUP(A534,PARTIDAS!A:F,6,FALSE),0)</f>
        <v>1</v>
      </c>
      <c r="O534" s="7">
        <f t="shared" si="35"/>
        <v>0</v>
      </c>
      <c r="P534" s="7">
        <f>IFERROR(_xlfn.XLOOKUP(A534,PPTO_GENERADOR!$Q:$Q,PPTO_GENERADOR!$E:$E,"-",0),"-")</f>
        <v>147.601</v>
      </c>
    </row>
    <row r="535" spans="1:16" x14ac:dyDescent="0.35">
      <c r="A535" s="5" t="s">
        <v>982</v>
      </c>
      <c r="B535" s="5" t="s">
        <v>1202</v>
      </c>
      <c r="C535" s="5"/>
      <c r="D535" s="5" t="s">
        <v>553</v>
      </c>
      <c r="E535" s="7" t="str">
        <f>IFERROR(VLOOKUP(D535,EQUIPOS!A:B,2,FALSE),"?")</f>
        <v>CORTADORA CERAMICA PROFESIONAL 1200MM (PORCELANATO HASTA 16MM)</v>
      </c>
      <c r="F535" s="5"/>
      <c r="G535" s="11">
        <v>0.1</v>
      </c>
      <c r="H535" s="12">
        <v>0</v>
      </c>
      <c r="I535" s="7">
        <f>IFERROR(VLOOKUP(D535,EQUIPOS!A:C,3,FALSE),0)</f>
        <v>290.60739999999998</v>
      </c>
      <c r="J535" s="8">
        <f t="shared" si="32"/>
        <v>29.060739999999999</v>
      </c>
      <c r="K535" s="7" t="str">
        <f t="shared" si="33"/>
        <v>PTO-1303|EQ</v>
      </c>
      <c r="L535" s="7">
        <f>COUNTIFS($K$2:K535,K535)</f>
        <v>2</v>
      </c>
      <c r="M535" s="7" t="str">
        <f t="shared" si="34"/>
        <v>PTO-1303|EQ|2</v>
      </c>
      <c r="N535" s="7">
        <f>IFERROR(VLOOKUP(A535,PARTIDAS!A:F,6,FALSE),0)</f>
        <v>1</v>
      </c>
      <c r="O535" s="7">
        <f t="shared" si="35"/>
        <v>0</v>
      </c>
      <c r="P535" s="7">
        <f>IFERROR(_xlfn.XLOOKUP(A535,PPTO_GENERADOR!$Q:$Q,PPTO_GENERADOR!$E:$E,"-",0),"-")</f>
        <v>147.601</v>
      </c>
    </row>
    <row r="536" spans="1:16" x14ac:dyDescent="0.35">
      <c r="A536" s="5" t="s">
        <v>984</v>
      </c>
      <c r="B536" s="5" t="s">
        <v>1203</v>
      </c>
      <c r="C536" s="5" t="s">
        <v>1205</v>
      </c>
      <c r="D536" s="5" t="s">
        <v>233</v>
      </c>
      <c r="E536" s="7" t="str">
        <f>IFERROR(VLOOKUP(D536,MATERIALES!A:B,2,FALSE),"?")</f>
        <v>Varilla Guardacanto L Aluminio Cromo Mate 1663 12 Mm Atrim</v>
      </c>
      <c r="F536" s="5"/>
      <c r="G536" s="11">
        <v>1</v>
      </c>
      <c r="H536" s="12">
        <v>0</v>
      </c>
      <c r="I536" s="7">
        <f>IFERROR(VLOOKUP(D536,MATERIALES!A:D,4,FALSE),0)</f>
        <v>15666.9421</v>
      </c>
      <c r="J536" s="8">
        <f t="shared" si="32"/>
        <v>15666.9421</v>
      </c>
      <c r="K536" s="7" t="str">
        <f t="shared" si="33"/>
        <v>PTO-1304|MAT</v>
      </c>
      <c r="L536" s="7">
        <f>COUNTIFS($K$2:K536,K536)</f>
        <v>1</v>
      </c>
      <c r="M536" s="7" t="str">
        <f t="shared" si="34"/>
        <v>PTO-1304|MAT|1</v>
      </c>
      <c r="N536" s="7">
        <f>IFERROR(VLOOKUP(A536,PARTIDAS!A:F,6,FALSE),0)</f>
        <v>1</v>
      </c>
      <c r="O536" s="7">
        <f t="shared" si="35"/>
        <v>0</v>
      </c>
      <c r="P536" s="7">
        <f>IFERROR(_xlfn.XLOOKUP(A536,PPTO_GENERADOR!$Q:$Q,PPTO_GENERADOR!$E:$E,"-",0),"-")</f>
        <v>41</v>
      </c>
    </row>
    <row r="537" spans="1:16" x14ac:dyDescent="0.35">
      <c r="A537" s="5" t="s">
        <v>987</v>
      </c>
      <c r="B537" s="5" t="s">
        <v>1203</v>
      </c>
      <c r="C537" s="5" t="s">
        <v>1205</v>
      </c>
      <c r="D537" s="5" t="s">
        <v>235</v>
      </c>
      <c r="E537" s="7" t="str">
        <f>IFERROR(VLOOKUP(D537,MATERIALES!A:B,2,FALSE),"?")</f>
        <v>Solera 35mm x 2.60m</v>
      </c>
      <c r="F537" s="5"/>
      <c r="G537" s="11">
        <v>0.50769226999999995</v>
      </c>
      <c r="H537" s="12">
        <v>0.1</v>
      </c>
      <c r="I537" s="7">
        <f>IFERROR(VLOOKUP(D537,MATERIALES!A:D,4,FALSE),0)</f>
        <v>2077.152</v>
      </c>
      <c r="J537" s="8">
        <f t="shared" si="32"/>
        <v>1160.009415416544</v>
      </c>
      <c r="K537" s="7" t="str">
        <f t="shared" si="33"/>
        <v>PTO-1401|MAT</v>
      </c>
      <c r="L537" s="7">
        <f>COUNTIFS($K$2:K537,K537)</f>
        <v>1</v>
      </c>
      <c r="M537" s="7" t="str">
        <f t="shared" si="34"/>
        <v>PTO-1401|MAT|1</v>
      </c>
      <c r="N537" s="7">
        <f>IFERROR(VLOOKUP(A537,PARTIDAS!A:F,6,FALSE),0)</f>
        <v>1</v>
      </c>
      <c r="O537" s="7">
        <f t="shared" si="35"/>
        <v>0</v>
      </c>
      <c r="P537" s="7">
        <f>IFERROR(_xlfn.XLOOKUP(A537,PPTO_GENERADOR!$Q:$Q,PPTO_GENERADOR!$E:$E,"-",0),"-")</f>
        <v>334.91520000000003</v>
      </c>
    </row>
    <row r="538" spans="1:16" x14ac:dyDescent="0.35">
      <c r="A538" s="5" t="s">
        <v>987</v>
      </c>
      <c r="B538" s="5" t="s">
        <v>1203</v>
      </c>
      <c r="C538" s="5" t="s">
        <v>1205</v>
      </c>
      <c r="D538" s="5" t="s">
        <v>237</v>
      </c>
      <c r="E538" s="7" t="str">
        <f>IFERROR(VLOOKUP(D538,MATERIALES!A:B,2,FALSE),"?")</f>
        <v>Montante 34mm x 2.60m</v>
      </c>
      <c r="F538" s="5"/>
      <c r="G538" s="11">
        <v>1.2307691300000001</v>
      </c>
      <c r="H538" s="12">
        <v>0.1</v>
      </c>
      <c r="I538" s="7">
        <f>IFERROR(VLOOKUP(D538,MATERIALES!A:D,4,FALSE),0)</f>
        <v>2310.5940000000001</v>
      </c>
      <c r="J538" s="8">
        <f t="shared" si="32"/>
        <v>3128.1885438795425</v>
      </c>
      <c r="K538" s="7" t="str">
        <f t="shared" si="33"/>
        <v>PTO-1401|MAT</v>
      </c>
      <c r="L538" s="7">
        <f>COUNTIFS($K$2:K538,K538)</f>
        <v>2</v>
      </c>
      <c r="M538" s="7" t="str">
        <f t="shared" si="34"/>
        <v>PTO-1401|MAT|2</v>
      </c>
      <c r="N538" s="7">
        <f>IFERROR(VLOOKUP(A538,PARTIDAS!A:F,6,FALSE),0)</f>
        <v>1</v>
      </c>
      <c r="O538" s="7">
        <f t="shared" si="35"/>
        <v>0</v>
      </c>
      <c r="P538" s="7">
        <f>IFERROR(_xlfn.XLOOKUP(A538,PPTO_GENERADOR!$Q:$Q,PPTO_GENERADOR!$E:$E,"-",0),"-")</f>
        <v>334.91520000000003</v>
      </c>
    </row>
    <row r="539" spans="1:16" x14ac:dyDescent="0.35">
      <c r="A539" s="5" t="s">
        <v>987</v>
      </c>
      <c r="B539" s="5" t="s">
        <v>1203</v>
      </c>
      <c r="C539" s="5" t="s">
        <v>1205</v>
      </c>
      <c r="D539" s="5" t="s">
        <v>239</v>
      </c>
      <c r="E539" s="7" t="str">
        <f>IFERROR(VLOOKUP(D539,MATERIALES!A:B,2,FALSE),"?")</f>
        <v>Tornillo T1 - Aguja</v>
      </c>
      <c r="F539" s="5"/>
      <c r="G539" s="11">
        <v>15.999998679999999</v>
      </c>
      <c r="H539" s="12">
        <v>0.05</v>
      </c>
      <c r="I539" s="7">
        <f>IFERROR(VLOOKUP(D539,MATERIALES!A:D,4,FALSE),0)</f>
        <v>6.9505999999999997</v>
      </c>
      <c r="J539" s="8">
        <f t="shared" si="32"/>
        <v>116.77007036646839</v>
      </c>
      <c r="K539" s="7" t="str">
        <f t="shared" si="33"/>
        <v>PTO-1401|MAT</v>
      </c>
      <c r="L539" s="7">
        <f>COUNTIFS($K$2:K539,K539)</f>
        <v>3</v>
      </c>
      <c r="M539" s="7" t="str">
        <f t="shared" si="34"/>
        <v>PTO-1401|MAT|3</v>
      </c>
      <c r="N539" s="7">
        <f>IFERROR(VLOOKUP(A539,PARTIDAS!A:F,6,FALSE),0)</f>
        <v>1</v>
      </c>
      <c r="O539" s="7">
        <f t="shared" si="35"/>
        <v>0</v>
      </c>
      <c r="P539" s="7">
        <f>IFERROR(_xlfn.XLOOKUP(A539,PPTO_GENERADOR!$Q:$Q,PPTO_GENERADOR!$E:$E,"-",0),"-")</f>
        <v>334.91520000000003</v>
      </c>
    </row>
    <row r="540" spans="1:16" x14ac:dyDescent="0.35">
      <c r="A540" s="5" t="s">
        <v>987</v>
      </c>
      <c r="B540" s="5" t="s">
        <v>1203</v>
      </c>
      <c r="C540" s="5" t="s">
        <v>1205</v>
      </c>
      <c r="D540" s="5" t="s">
        <v>241</v>
      </c>
      <c r="E540" s="7" t="str">
        <f>IFERROR(VLOOKUP(D540,MATERIALES!A:B,2,FALSE),"?")</f>
        <v>Tornillo T2 - Aguja</v>
      </c>
      <c r="F540" s="5"/>
      <c r="G540" s="11">
        <v>17.999998510000001</v>
      </c>
      <c r="H540" s="12">
        <v>0.05</v>
      </c>
      <c r="I540" s="7">
        <f>IFERROR(VLOOKUP(D540,MATERIALES!A:D,4,FALSE),0)</f>
        <v>6.6471</v>
      </c>
      <c r="J540" s="8">
        <f t="shared" si="32"/>
        <v>125.63017960061207</v>
      </c>
      <c r="K540" s="7" t="str">
        <f t="shared" si="33"/>
        <v>PTO-1401|MAT</v>
      </c>
      <c r="L540" s="7">
        <f>COUNTIFS($K$2:K540,K540)</f>
        <v>4</v>
      </c>
      <c r="M540" s="7" t="str">
        <f t="shared" si="34"/>
        <v>PTO-1401|MAT|4</v>
      </c>
      <c r="N540" s="7">
        <f>IFERROR(VLOOKUP(A540,PARTIDAS!A:F,6,FALSE),0)</f>
        <v>1</v>
      </c>
      <c r="O540" s="7">
        <f t="shared" si="35"/>
        <v>0</v>
      </c>
      <c r="P540" s="7">
        <f>IFERROR(_xlfn.XLOOKUP(A540,PPTO_GENERADOR!$Q:$Q,PPTO_GENERADOR!$E:$E,"-",0),"-")</f>
        <v>334.91520000000003</v>
      </c>
    </row>
    <row r="541" spans="1:16" x14ac:dyDescent="0.35">
      <c r="A541" s="5" t="s">
        <v>987</v>
      </c>
      <c r="B541" s="5" t="s">
        <v>1203</v>
      </c>
      <c r="C541" s="5" t="s">
        <v>1205</v>
      </c>
      <c r="D541" s="5" t="s">
        <v>243</v>
      </c>
      <c r="E541" s="7" t="str">
        <f>IFERROR(VLOOKUP(D541,MATERIALES!A:B,2,FALSE),"?")</f>
        <v>Fijacion completa del 8</v>
      </c>
      <c r="F541" s="5"/>
      <c r="G541" s="11">
        <v>5.9999995100000003</v>
      </c>
      <c r="H541" s="12">
        <v>0.05</v>
      </c>
      <c r="I541" s="7">
        <f>IFERROR(VLOOKUP(D541,MATERIALES!A:D,4,FALSE),0)</f>
        <v>39.519799999999996</v>
      </c>
      <c r="J541" s="8">
        <f t="shared" si="32"/>
        <v>248.97471966706289</v>
      </c>
      <c r="K541" s="7" t="str">
        <f t="shared" si="33"/>
        <v>PTO-1401|MAT</v>
      </c>
      <c r="L541" s="7">
        <f>COUNTIFS($K$2:K541,K541)</f>
        <v>5</v>
      </c>
      <c r="M541" s="7" t="str">
        <f t="shared" si="34"/>
        <v>PTO-1401|MAT|5</v>
      </c>
      <c r="N541" s="7">
        <f>IFERROR(VLOOKUP(A541,PARTIDAS!A:F,6,FALSE),0)</f>
        <v>1</v>
      </c>
      <c r="O541" s="7">
        <f t="shared" si="35"/>
        <v>0</v>
      </c>
      <c r="P541" s="7">
        <f>IFERROR(_xlfn.XLOOKUP(A541,PPTO_GENERADOR!$Q:$Q,PPTO_GENERADOR!$E:$E,"-",0),"-")</f>
        <v>334.91520000000003</v>
      </c>
    </row>
    <row r="542" spans="1:16" x14ac:dyDescent="0.35">
      <c r="A542" s="5" t="s">
        <v>987</v>
      </c>
      <c r="B542" s="5" t="s">
        <v>1203</v>
      </c>
      <c r="C542" s="5" t="s">
        <v>1205</v>
      </c>
      <c r="D542" s="5" t="s">
        <v>245</v>
      </c>
      <c r="E542" s="7" t="str">
        <f>IFERROR(VLOOKUP(D542,MATERIALES!A:B,2,FALSE),"?")</f>
        <v>Cinta Entramada - 90m</v>
      </c>
      <c r="F542" s="5"/>
      <c r="G542" s="11">
        <v>1.8333329999999998E-2</v>
      </c>
      <c r="H542" s="12">
        <v>0.05</v>
      </c>
      <c r="I542" s="7">
        <f>IFERROR(VLOOKUP(D542,MATERIALES!A:D,4,FALSE),0)</f>
        <v>3855.22</v>
      </c>
      <c r="J542" s="8">
        <f t="shared" si="32"/>
        <v>74.21297150673</v>
      </c>
      <c r="K542" s="7" t="str">
        <f t="shared" si="33"/>
        <v>PTO-1401|MAT</v>
      </c>
      <c r="L542" s="7">
        <f>COUNTIFS($K$2:K542,K542)</f>
        <v>6</v>
      </c>
      <c r="M542" s="7" t="str">
        <f t="shared" si="34"/>
        <v>PTO-1401|MAT|6</v>
      </c>
      <c r="N542" s="7">
        <f>IFERROR(VLOOKUP(A542,PARTIDAS!A:F,6,FALSE),0)</f>
        <v>1</v>
      </c>
      <c r="O542" s="7">
        <f t="shared" si="35"/>
        <v>0</v>
      </c>
      <c r="P542" s="7">
        <f>IFERROR(_xlfn.XLOOKUP(A542,PPTO_GENERADOR!$Q:$Q,PPTO_GENERADOR!$E:$E,"-",0),"-")</f>
        <v>334.91520000000003</v>
      </c>
    </row>
    <row r="543" spans="1:16" x14ac:dyDescent="0.35">
      <c r="A543" s="5" t="s">
        <v>987</v>
      </c>
      <c r="B543" s="5" t="s">
        <v>1203</v>
      </c>
      <c r="C543" s="5" t="s">
        <v>1205</v>
      </c>
      <c r="D543" s="5" t="s">
        <v>247</v>
      </c>
      <c r="E543" s="7" t="str">
        <f>IFERROR(VLOOKUP(D543,MATERIALES!A:B,2,FALSE),"?")</f>
        <v>Masilla x 32kg</v>
      </c>
      <c r="F543" s="5"/>
      <c r="G543" s="11">
        <v>2.8125000000000001E-2</v>
      </c>
      <c r="H543" s="12">
        <v>0.05</v>
      </c>
      <c r="I543" s="7">
        <f>IFERROR(VLOOKUP(D543,MATERIALES!A:D,4,FALSE),0)</f>
        <v>27038.112300000001</v>
      </c>
      <c r="J543" s="8">
        <f t="shared" si="32"/>
        <v>798.46925385937504</v>
      </c>
      <c r="K543" s="7" t="str">
        <f t="shared" si="33"/>
        <v>PTO-1401|MAT</v>
      </c>
      <c r="L543" s="7">
        <f>COUNTIFS($K$2:K543,K543)</f>
        <v>7</v>
      </c>
      <c r="M543" s="7" t="str">
        <f t="shared" si="34"/>
        <v>PTO-1401|MAT|7</v>
      </c>
      <c r="N543" s="7">
        <f>IFERROR(VLOOKUP(A543,PARTIDAS!A:F,6,FALSE),0)</f>
        <v>1</v>
      </c>
      <c r="O543" s="7">
        <f t="shared" si="35"/>
        <v>0</v>
      </c>
      <c r="P543" s="7">
        <f>IFERROR(_xlfn.XLOOKUP(A543,PPTO_GENERADOR!$Q:$Q,PPTO_GENERADOR!$E:$E,"-",0),"-")</f>
        <v>334.91520000000003</v>
      </c>
    </row>
    <row r="544" spans="1:16" x14ac:dyDescent="0.35">
      <c r="A544" s="5" t="s">
        <v>987</v>
      </c>
      <c r="B544" s="5" t="s">
        <v>1203</v>
      </c>
      <c r="C544" s="5" t="s">
        <v>1205</v>
      </c>
      <c r="D544" s="5" t="s">
        <v>249</v>
      </c>
      <c r="E544" s="7" t="str">
        <f>IFERROR(VLOOKUP(D544,MATERIALES!A:B,2,FALSE),"?")</f>
        <v>Placa Roca de Yeso 1220 x 2440 - 12.5mm - STD</v>
      </c>
      <c r="F544" s="5"/>
      <c r="G544" s="11">
        <v>0.35999997</v>
      </c>
      <c r="H544" s="12">
        <v>0.1</v>
      </c>
      <c r="I544" s="7">
        <f>IFERROR(VLOOKUP(D544,MATERIALES!A:D,4,FALSE),0)</f>
        <v>9356.76</v>
      </c>
      <c r="J544" s="8">
        <f t="shared" si="32"/>
        <v>3705.27665122692</v>
      </c>
      <c r="K544" s="7" t="str">
        <f t="shared" si="33"/>
        <v>PTO-1401|MAT</v>
      </c>
      <c r="L544" s="7">
        <f>COUNTIFS($K$2:K544,K544)</f>
        <v>8</v>
      </c>
      <c r="M544" s="7" t="str">
        <f t="shared" si="34"/>
        <v>PTO-1401|MAT|8</v>
      </c>
      <c r="N544" s="7">
        <f>IFERROR(VLOOKUP(A544,PARTIDAS!A:F,6,FALSE),0)</f>
        <v>1</v>
      </c>
      <c r="O544" s="7">
        <f t="shared" si="35"/>
        <v>0</v>
      </c>
      <c r="P544" s="7">
        <f>IFERROR(_xlfn.XLOOKUP(A544,PPTO_GENERADOR!$Q:$Q,PPTO_GENERADOR!$E:$E,"-",0),"-")</f>
        <v>334.91520000000003</v>
      </c>
    </row>
    <row r="545" spans="1:16" x14ac:dyDescent="0.35">
      <c r="A545" s="5" t="s">
        <v>987</v>
      </c>
      <c r="B545" s="5" t="s">
        <v>1198</v>
      </c>
      <c r="C545" s="5" t="s">
        <v>1199</v>
      </c>
      <c r="D545" s="5" t="s">
        <v>711</v>
      </c>
      <c r="E545" s="7" t="str">
        <f>IFERROR(VLOOKUP(D545,SUBCONTRATOS_PRY!A:B,2,FALSE),"?")</f>
        <v>OFICIAL ESPECIALIZADO PINTOR</v>
      </c>
      <c r="F545" s="5" t="s">
        <v>1200</v>
      </c>
      <c r="G545" s="11">
        <v>0.10526315999999999</v>
      </c>
      <c r="H545" s="12">
        <v>0</v>
      </c>
      <c r="I545" s="7">
        <f>IFERROR(VLOOKUP(D545,SUBCONTRATOS_PRY!A:D,4,FALSE),0)</f>
        <v>75113.048200000005</v>
      </c>
      <c r="J545" s="8">
        <f t="shared" si="32"/>
        <v>7906.636810764312</v>
      </c>
      <c r="K545" s="7" t="str">
        <f t="shared" si="33"/>
        <v>PTO-1401|MO</v>
      </c>
      <c r="L545" s="7">
        <f>COUNTIFS($K$2:K545,K545)</f>
        <v>1</v>
      </c>
      <c r="M545" s="7" t="str">
        <f t="shared" si="34"/>
        <v>PTO-1401|MO|1</v>
      </c>
      <c r="N545" s="7">
        <f>IFERROR(VLOOKUP(A545,PARTIDAS!A:F,6,FALSE),0)</f>
        <v>1</v>
      </c>
      <c r="O545" s="7">
        <f t="shared" si="35"/>
        <v>0</v>
      </c>
      <c r="P545" s="7">
        <f>IFERROR(_xlfn.XLOOKUP(A545,PPTO_GENERADOR!$Q:$Q,PPTO_GENERADOR!$E:$E,"-",0),"-")</f>
        <v>334.91520000000003</v>
      </c>
    </row>
    <row r="546" spans="1:16" x14ac:dyDescent="0.35">
      <c r="A546" s="5" t="s">
        <v>987</v>
      </c>
      <c r="B546" s="5" t="s">
        <v>1198</v>
      </c>
      <c r="C546" s="5" t="s">
        <v>1199</v>
      </c>
      <c r="D546" s="5" t="s">
        <v>713</v>
      </c>
      <c r="E546" s="7" t="str">
        <f>IFERROR(VLOOKUP(D546,SUBCONTRATOS_PRY!A:B,2,FALSE),"?")</f>
        <v>MEDIO OFICIAL PINTOR</v>
      </c>
      <c r="F546" s="5" t="s">
        <v>1200</v>
      </c>
      <c r="G546" s="11">
        <v>0.10526315999999999</v>
      </c>
      <c r="H546" s="12">
        <v>0</v>
      </c>
      <c r="I546" s="7">
        <f>IFERROR(VLOOKUP(D546,SUBCONTRATOS_PRY!A:D,4,FALSE),0)</f>
        <v>54784.071799999998</v>
      </c>
      <c r="J546" s="8">
        <f t="shared" si="32"/>
        <v>5766.7445153348872</v>
      </c>
      <c r="K546" s="7" t="str">
        <f t="shared" si="33"/>
        <v>PTO-1401|MO</v>
      </c>
      <c r="L546" s="7">
        <f>COUNTIFS($K$2:K546,K546)</f>
        <v>2</v>
      </c>
      <c r="M546" s="7" t="str">
        <f t="shared" si="34"/>
        <v>PTO-1401|MO|2</v>
      </c>
      <c r="N546" s="7">
        <f>IFERROR(VLOOKUP(A546,PARTIDAS!A:F,6,FALSE),0)</f>
        <v>1</v>
      </c>
      <c r="O546" s="7">
        <f t="shared" si="35"/>
        <v>0</v>
      </c>
      <c r="P546" s="7">
        <f>IFERROR(_xlfn.XLOOKUP(A546,PPTO_GENERADOR!$Q:$Q,PPTO_GENERADOR!$E:$E,"-",0),"-")</f>
        <v>334.91520000000003</v>
      </c>
    </row>
    <row r="547" spans="1:16" x14ac:dyDescent="0.35">
      <c r="A547" s="5" t="s">
        <v>987</v>
      </c>
      <c r="B547" s="5" t="s">
        <v>1202</v>
      </c>
      <c r="C547" s="5"/>
      <c r="D547" s="5" t="s">
        <v>559</v>
      </c>
      <c r="E547" s="7" t="str">
        <f>IFERROR(VLOOKUP(D547,EQUIPOS!A:B,2,FALSE),"?")</f>
        <v>ESCALERA GLOSS ALUMINIO ARTICULADA 4 X 4 ESCALONES HASTA 150KG</v>
      </c>
      <c r="F547" s="5"/>
      <c r="G547" s="11">
        <v>0.10526315999999999</v>
      </c>
      <c r="H547" s="12">
        <v>0</v>
      </c>
      <c r="I547" s="7">
        <f>IFERROR(VLOOKUP(D547,EQUIPOS!A:C,3,FALSE),0)</f>
        <v>136.52590000000001</v>
      </c>
      <c r="J547" s="8">
        <f t="shared" si="32"/>
        <v>14.371147655844</v>
      </c>
      <c r="K547" s="7" t="str">
        <f t="shared" si="33"/>
        <v>PTO-1401|EQ</v>
      </c>
      <c r="L547" s="7">
        <f>COUNTIFS($K$2:K547,K547)</f>
        <v>1</v>
      </c>
      <c r="M547" s="7" t="str">
        <f t="shared" si="34"/>
        <v>PTO-1401|EQ|1</v>
      </c>
      <c r="N547" s="7">
        <f>IFERROR(VLOOKUP(A547,PARTIDAS!A:F,6,FALSE),0)</f>
        <v>1</v>
      </c>
      <c r="O547" s="7">
        <f t="shared" si="35"/>
        <v>0</v>
      </c>
      <c r="P547" s="7">
        <f>IFERROR(_xlfn.XLOOKUP(A547,PPTO_GENERADOR!$Q:$Q,PPTO_GENERADOR!$E:$E,"-",0),"-")</f>
        <v>334.91520000000003</v>
      </c>
    </row>
    <row r="548" spans="1:16" x14ac:dyDescent="0.35">
      <c r="A548" s="5" t="s">
        <v>987</v>
      </c>
      <c r="B548" s="5" t="s">
        <v>1202</v>
      </c>
      <c r="C548" s="5"/>
      <c r="D548" s="5" t="s">
        <v>561</v>
      </c>
      <c r="E548" s="7" t="str">
        <f>IFERROR(VLOOKUP(D548,EQUIPOS!A:B,2,FALSE),"?")</f>
        <v>EQUIPO DE CONSTRUCCION EN SECO</v>
      </c>
      <c r="F548" s="5"/>
      <c r="G548" s="11">
        <v>0.10526315999999999</v>
      </c>
      <c r="H548" s="12">
        <v>0</v>
      </c>
      <c r="I548" s="7">
        <f>IFERROR(VLOOKUP(D548,EQUIPOS!A:C,3,FALSE),0)</f>
        <v>2303.2865000000002</v>
      </c>
      <c r="J548" s="8">
        <f t="shared" si="32"/>
        <v>242.45121537534001</v>
      </c>
      <c r="K548" s="7" t="str">
        <f t="shared" si="33"/>
        <v>PTO-1401|EQ</v>
      </c>
      <c r="L548" s="7">
        <f>COUNTIFS($K$2:K548,K548)</f>
        <v>2</v>
      </c>
      <c r="M548" s="7" t="str">
        <f t="shared" si="34"/>
        <v>PTO-1401|EQ|2</v>
      </c>
      <c r="N548" s="7">
        <f>IFERROR(VLOOKUP(A548,PARTIDAS!A:F,6,FALSE),0)</f>
        <v>1</v>
      </c>
      <c r="O548" s="7">
        <f t="shared" si="35"/>
        <v>0</v>
      </c>
      <c r="P548" s="7">
        <f>IFERROR(_xlfn.XLOOKUP(A548,PPTO_GENERADOR!$Q:$Q,PPTO_GENERADOR!$E:$E,"-",0),"-")</f>
        <v>334.91520000000003</v>
      </c>
    </row>
    <row r="549" spans="1:16" x14ac:dyDescent="0.35">
      <c r="A549" s="5" t="s">
        <v>989</v>
      </c>
      <c r="B549" s="5" t="s">
        <v>1203</v>
      </c>
      <c r="C549" s="5" t="s">
        <v>1205</v>
      </c>
      <c r="D549" s="5" t="s">
        <v>251</v>
      </c>
      <c r="E549" s="7" t="str">
        <f>IFERROR(VLOOKUP(D549,MATERIALES!A:B,2,FALSE),"?")</f>
        <v>Solera 70mm x 2.60m</v>
      </c>
      <c r="F549" s="5"/>
      <c r="G549" s="11">
        <v>0.50769228</v>
      </c>
      <c r="H549" s="12">
        <v>0.1</v>
      </c>
      <c r="I549" s="7">
        <f>IFERROR(VLOOKUP(D549,MATERIALES!A:D,4,FALSE),0)</f>
        <v>2834.6579999999999</v>
      </c>
      <c r="J549" s="8">
        <f t="shared" si="32"/>
        <v>1583.0473813442641</v>
      </c>
      <c r="K549" s="7" t="str">
        <f t="shared" si="33"/>
        <v>PTO-1402|MAT</v>
      </c>
      <c r="L549" s="7">
        <f>COUNTIFS($K$2:K549,K549)</f>
        <v>1</v>
      </c>
      <c r="M549" s="7" t="str">
        <f t="shared" si="34"/>
        <v>PTO-1402|MAT|1</v>
      </c>
      <c r="N549" s="7">
        <f>IFERROR(VLOOKUP(A549,PARTIDAS!A:F,6,FALSE),0)</f>
        <v>1</v>
      </c>
      <c r="O549" s="7">
        <f t="shared" si="35"/>
        <v>0</v>
      </c>
      <c r="P549" s="7">
        <f>IFERROR(_xlfn.XLOOKUP(A549,PPTO_GENERADOR!$Q:$Q,PPTO_GENERADOR!$E:$E,"-",0),"-")</f>
        <v>280.3913</v>
      </c>
    </row>
    <row r="550" spans="1:16" x14ac:dyDescent="0.35">
      <c r="A550" s="5" t="s">
        <v>989</v>
      </c>
      <c r="B550" s="5" t="s">
        <v>1203</v>
      </c>
      <c r="C550" s="5" t="s">
        <v>1205</v>
      </c>
      <c r="D550" s="5" t="s">
        <v>253</v>
      </c>
      <c r="E550" s="7" t="str">
        <f>IFERROR(VLOOKUP(D550,MATERIALES!A:B,2,FALSE),"?")</f>
        <v>Montante 69mm x 2.60m</v>
      </c>
      <c r="F550" s="5"/>
      <c r="G550" s="11">
        <v>1.2307691599999999</v>
      </c>
      <c r="H550" s="12">
        <v>0.1</v>
      </c>
      <c r="I550" s="7">
        <f>IFERROR(VLOOKUP(D550,MATERIALES!A:D,4,FALSE),0)</f>
        <v>3082.4459999999999</v>
      </c>
      <c r="J550" s="8">
        <f t="shared" si="32"/>
        <v>4173.1574215818964</v>
      </c>
      <c r="K550" s="7" t="str">
        <f t="shared" si="33"/>
        <v>PTO-1402|MAT</v>
      </c>
      <c r="L550" s="7">
        <f>COUNTIFS($K$2:K550,K550)</f>
        <v>2</v>
      </c>
      <c r="M550" s="7" t="str">
        <f t="shared" si="34"/>
        <v>PTO-1402|MAT|2</v>
      </c>
      <c r="N550" s="7">
        <f>IFERROR(VLOOKUP(A550,PARTIDAS!A:F,6,FALSE),0)</f>
        <v>1</v>
      </c>
      <c r="O550" s="7">
        <f t="shared" si="35"/>
        <v>0</v>
      </c>
      <c r="P550" s="7">
        <f>IFERROR(_xlfn.XLOOKUP(A550,PPTO_GENERADOR!$Q:$Q,PPTO_GENERADOR!$E:$E,"-",0),"-")</f>
        <v>280.3913</v>
      </c>
    </row>
    <row r="551" spans="1:16" x14ac:dyDescent="0.35">
      <c r="A551" s="5" t="s">
        <v>989</v>
      </c>
      <c r="B551" s="5" t="s">
        <v>1203</v>
      </c>
      <c r="C551" s="5" t="s">
        <v>1205</v>
      </c>
      <c r="D551" s="5" t="s">
        <v>239</v>
      </c>
      <c r="E551" s="7" t="str">
        <f>IFERROR(VLOOKUP(D551,MATERIALES!A:B,2,FALSE),"?")</f>
        <v>Tornillo T1 - Aguja</v>
      </c>
      <c r="F551" s="5"/>
      <c r="G551" s="11">
        <v>15.99999905</v>
      </c>
      <c r="H551" s="12">
        <v>0.05</v>
      </c>
      <c r="I551" s="7">
        <f>IFERROR(VLOOKUP(D551,MATERIALES!A:D,4,FALSE),0)</f>
        <v>6.9505999999999997</v>
      </c>
      <c r="J551" s="8">
        <f t="shared" si="32"/>
        <v>116.77007306677649</v>
      </c>
      <c r="K551" s="7" t="str">
        <f t="shared" si="33"/>
        <v>PTO-1402|MAT</v>
      </c>
      <c r="L551" s="7">
        <f>COUNTIFS($K$2:K551,K551)</f>
        <v>3</v>
      </c>
      <c r="M551" s="7" t="str">
        <f t="shared" si="34"/>
        <v>PTO-1402|MAT|3</v>
      </c>
      <c r="N551" s="7">
        <f>IFERROR(VLOOKUP(A551,PARTIDAS!A:F,6,FALSE),0)</f>
        <v>1</v>
      </c>
      <c r="O551" s="7">
        <f t="shared" si="35"/>
        <v>0</v>
      </c>
      <c r="P551" s="7">
        <f>IFERROR(_xlfn.XLOOKUP(A551,PPTO_GENERADOR!$Q:$Q,PPTO_GENERADOR!$E:$E,"-",0),"-")</f>
        <v>280.3913</v>
      </c>
    </row>
    <row r="552" spans="1:16" x14ac:dyDescent="0.35">
      <c r="A552" s="5" t="s">
        <v>989</v>
      </c>
      <c r="B552" s="5" t="s">
        <v>1203</v>
      </c>
      <c r="C552" s="5" t="s">
        <v>1205</v>
      </c>
      <c r="D552" s="5" t="s">
        <v>241</v>
      </c>
      <c r="E552" s="7" t="str">
        <f>IFERROR(VLOOKUP(D552,MATERIALES!A:B,2,FALSE),"?")</f>
        <v>Tornillo T2 - Aguja</v>
      </c>
      <c r="F552" s="5"/>
      <c r="G552" s="11">
        <v>17.99999893</v>
      </c>
      <c r="H552" s="12">
        <v>0.05</v>
      </c>
      <c r="I552" s="7">
        <f>IFERROR(VLOOKUP(D552,MATERIALES!A:D,4,FALSE),0)</f>
        <v>6.6471</v>
      </c>
      <c r="J552" s="8">
        <f t="shared" si="32"/>
        <v>125.63018253198315</v>
      </c>
      <c r="K552" s="7" t="str">
        <f t="shared" si="33"/>
        <v>PTO-1402|MAT</v>
      </c>
      <c r="L552" s="7">
        <f>COUNTIFS($K$2:K552,K552)</f>
        <v>4</v>
      </c>
      <c r="M552" s="7" t="str">
        <f t="shared" si="34"/>
        <v>PTO-1402|MAT|4</v>
      </c>
      <c r="N552" s="7">
        <f>IFERROR(VLOOKUP(A552,PARTIDAS!A:F,6,FALSE),0)</f>
        <v>1</v>
      </c>
      <c r="O552" s="7">
        <f t="shared" si="35"/>
        <v>0</v>
      </c>
      <c r="P552" s="7">
        <f>IFERROR(_xlfn.XLOOKUP(A552,PPTO_GENERADOR!$Q:$Q,PPTO_GENERADOR!$E:$E,"-",0),"-")</f>
        <v>280.3913</v>
      </c>
    </row>
    <row r="553" spans="1:16" x14ac:dyDescent="0.35">
      <c r="A553" s="5" t="s">
        <v>989</v>
      </c>
      <c r="B553" s="5" t="s">
        <v>1203</v>
      </c>
      <c r="C553" s="5" t="s">
        <v>1205</v>
      </c>
      <c r="D553" s="5" t="s">
        <v>243</v>
      </c>
      <c r="E553" s="7" t="str">
        <f>IFERROR(VLOOKUP(D553,MATERIALES!A:B,2,FALSE),"?")</f>
        <v>Fijacion completa del 8</v>
      </c>
      <c r="F553" s="5"/>
      <c r="G553" s="11">
        <v>5.9999996400000004</v>
      </c>
      <c r="H553" s="12">
        <v>0.05</v>
      </c>
      <c r="I553" s="7">
        <f>IFERROR(VLOOKUP(D553,MATERIALES!A:D,4,FALSE),0)</f>
        <v>39.519799999999996</v>
      </c>
      <c r="J553" s="8">
        <f t="shared" si="32"/>
        <v>248.97472506151561</v>
      </c>
      <c r="K553" s="7" t="str">
        <f t="shared" si="33"/>
        <v>PTO-1402|MAT</v>
      </c>
      <c r="L553" s="7">
        <f>COUNTIFS($K$2:K553,K553)</f>
        <v>5</v>
      </c>
      <c r="M553" s="7" t="str">
        <f t="shared" si="34"/>
        <v>PTO-1402|MAT|5</v>
      </c>
      <c r="N553" s="7">
        <f>IFERROR(VLOOKUP(A553,PARTIDAS!A:F,6,FALSE),0)</f>
        <v>1</v>
      </c>
      <c r="O553" s="7">
        <f t="shared" si="35"/>
        <v>0</v>
      </c>
      <c r="P553" s="7">
        <f>IFERROR(_xlfn.XLOOKUP(A553,PPTO_GENERADOR!$Q:$Q,PPTO_GENERADOR!$E:$E,"-",0),"-")</f>
        <v>280.3913</v>
      </c>
    </row>
    <row r="554" spans="1:16" x14ac:dyDescent="0.35">
      <c r="A554" s="5" t="s">
        <v>989</v>
      </c>
      <c r="B554" s="5" t="s">
        <v>1203</v>
      </c>
      <c r="C554" s="5" t="s">
        <v>1205</v>
      </c>
      <c r="D554" s="5" t="s">
        <v>245</v>
      </c>
      <c r="E554" s="7" t="str">
        <f>IFERROR(VLOOKUP(D554,MATERIALES!A:B,2,FALSE),"?")</f>
        <v>Cinta Entramada - 90m</v>
      </c>
      <c r="F554" s="5"/>
      <c r="G554" s="11">
        <v>1.8333329999999998E-2</v>
      </c>
      <c r="H554" s="12">
        <v>0.05</v>
      </c>
      <c r="I554" s="7">
        <f>IFERROR(VLOOKUP(D554,MATERIALES!A:D,4,FALSE),0)</f>
        <v>3855.22</v>
      </c>
      <c r="J554" s="8">
        <f t="shared" si="32"/>
        <v>74.21297150673</v>
      </c>
      <c r="K554" s="7" t="str">
        <f t="shared" si="33"/>
        <v>PTO-1402|MAT</v>
      </c>
      <c r="L554" s="7">
        <f>COUNTIFS($K$2:K554,K554)</f>
        <v>6</v>
      </c>
      <c r="M554" s="7" t="str">
        <f t="shared" si="34"/>
        <v>PTO-1402|MAT|6</v>
      </c>
      <c r="N554" s="7">
        <f>IFERROR(VLOOKUP(A554,PARTIDAS!A:F,6,FALSE),0)</f>
        <v>1</v>
      </c>
      <c r="O554" s="7">
        <f t="shared" si="35"/>
        <v>0</v>
      </c>
      <c r="P554" s="7">
        <f>IFERROR(_xlfn.XLOOKUP(A554,PPTO_GENERADOR!$Q:$Q,PPTO_GENERADOR!$E:$E,"-",0),"-")</f>
        <v>280.3913</v>
      </c>
    </row>
    <row r="555" spans="1:16" x14ac:dyDescent="0.35">
      <c r="A555" s="5" t="s">
        <v>989</v>
      </c>
      <c r="B555" s="5" t="s">
        <v>1203</v>
      </c>
      <c r="C555" s="5" t="s">
        <v>1205</v>
      </c>
      <c r="D555" s="5" t="s">
        <v>247</v>
      </c>
      <c r="E555" s="7" t="str">
        <f>IFERROR(VLOOKUP(D555,MATERIALES!A:B,2,FALSE),"?")</f>
        <v>Masilla x 32kg</v>
      </c>
      <c r="F555" s="5"/>
      <c r="G555" s="11">
        <v>2.8125000000000001E-2</v>
      </c>
      <c r="H555" s="12">
        <v>0.05</v>
      </c>
      <c r="I555" s="7">
        <f>IFERROR(VLOOKUP(D555,MATERIALES!A:D,4,FALSE),0)</f>
        <v>27038.112300000001</v>
      </c>
      <c r="J555" s="8">
        <f t="shared" si="32"/>
        <v>798.46925385937504</v>
      </c>
      <c r="K555" s="7" t="str">
        <f t="shared" si="33"/>
        <v>PTO-1402|MAT</v>
      </c>
      <c r="L555" s="7">
        <f>COUNTIFS($K$2:K555,K555)</f>
        <v>7</v>
      </c>
      <c r="M555" s="7" t="str">
        <f t="shared" si="34"/>
        <v>PTO-1402|MAT|7</v>
      </c>
      <c r="N555" s="7">
        <f>IFERROR(VLOOKUP(A555,PARTIDAS!A:F,6,FALSE),0)</f>
        <v>1</v>
      </c>
      <c r="O555" s="7">
        <f t="shared" si="35"/>
        <v>0</v>
      </c>
      <c r="P555" s="7">
        <f>IFERROR(_xlfn.XLOOKUP(A555,PPTO_GENERADOR!$Q:$Q,PPTO_GENERADOR!$E:$E,"-",0),"-")</f>
        <v>280.3913</v>
      </c>
    </row>
    <row r="556" spans="1:16" x14ac:dyDescent="0.35">
      <c r="A556" s="5" t="s">
        <v>989</v>
      </c>
      <c r="B556" s="5" t="s">
        <v>1203</v>
      </c>
      <c r="C556" s="5" t="s">
        <v>1205</v>
      </c>
      <c r="D556" s="5" t="s">
        <v>255</v>
      </c>
      <c r="E556" s="7" t="str">
        <f>IFERROR(VLOOKUP(D556,MATERIALES!A:B,2,FALSE),"?")</f>
        <v>Placa Roca de Yeso 1220 x 2440 - 12.5mm - RH</v>
      </c>
      <c r="F556" s="5"/>
      <c r="G556" s="11">
        <v>0.35999998</v>
      </c>
      <c r="H556" s="12">
        <v>0.1</v>
      </c>
      <c r="I556" s="7">
        <f>IFERROR(VLOOKUP(D556,MATERIALES!A:D,4,FALSE),0)</f>
        <v>15085.98</v>
      </c>
      <c r="J556" s="8">
        <f t="shared" si="32"/>
        <v>5974.0477481084399</v>
      </c>
      <c r="K556" s="7" t="str">
        <f t="shared" si="33"/>
        <v>PTO-1402|MAT</v>
      </c>
      <c r="L556" s="7">
        <f>COUNTIFS($K$2:K556,K556)</f>
        <v>8</v>
      </c>
      <c r="M556" s="7" t="str">
        <f t="shared" si="34"/>
        <v>PTO-1402|MAT|8</v>
      </c>
      <c r="N556" s="7">
        <f>IFERROR(VLOOKUP(A556,PARTIDAS!A:F,6,FALSE),0)</f>
        <v>1</v>
      </c>
      <c r="O556" s="7">
        <f t="shared" si="35"/>
        <v>0</v>
      </c>
      <c r="P556" s="7">
        <f>IFERROR(_xlfn.XLOOKUP(A556,PPTO_GENERADOR!$Q:$Q,PPTO_GENERADOR!$E:$E,"-",0),"-")</f>
        <v>280.3913</v>
      </c>
    </row>
    <row r="557" spans="1:16" x14ac:dyDescent="0.35">
      <c r="A557" s="5" t="s">
        <v>989</v>
      </c>
      <c r="B557" s="5" t="s">
        <v>1198</v>
      </c>
      <c r="C557" s="5" t="s">
        <v>1199</v>
      </c>
      <c r="D557" s="5" t="s">
        <v>711</v>
      </c>
      <c r="E557" s="7" t="str">
        <f>IFERROR(VLOOKUP(D557,SUBCONTRATOS_PRY!A:B,2,FALSE),"?")</f>
        <v>OFICIAL ESPECIALIZADO PINTOR</v>
      </c>
      <c r="F557" s="5" t="s">
        <v>1200</v>
      </c>
      <c r="G557" s="11">
        <v>0.10526315999999999</v>
      </c>
      <c r="H557" s="12">
        <v>0</v>
      </c>
      <c r="I557" s="7">
        <f>IFERROR(VLOOKUP(D557,SUBCONTRATOS_PRY!A:D,4,FALSE),0)</f>
        <v>75113.048200000005</v>
      </c>
      <c r="J557" s="8">
        <f t="shared" si="32"/>
        <v>7906.636810764312</v>
      </c>
      <c r="K557" s="7" t="str">
        <f t="shared" si="33"/>
        <v>PTO-1402|MO</v>
      </c>
      <c r="L557" s="7">
        <f>COUNTIFS($K$2:K557,K557)</f>
        <v>1</v>
      </c>
      <c r="M557" s="7" t="str">
        <f t="shared" si="34"/>
        <v>PTO-1402|MO|1</v>
      </c>
      <c r="N557" s="7">
        <f>IFERROR(VLOOKUP(A557,PARTIDAS!A:F,6,FALSE),0)</f>
        <v>1</v>
      </c>
      <c r="O557" s="7">
        <f t="shared" si="35"/>
        <v>0</v>
      </c>
      <c r="P557" s="7">
        <f>IFERROR(_xlfn.XLOOKUP(A557,PPTO_GENERADOR!$Q:$Q,PPTO_GENERADOR!$E:$E,"-",0),"-")</f>
        <v>280.3913</v>
      </c>
    </row>
    <row r="558" spans="1:16" x14ac:dyDescent="0.35">
      <c r="A558" s="5" t="s">
        <v>989</v>
      </c>
      <c r="B558" s="5" t="s">
        <v>1198</v>
      </c>
      <c r="C558" s="5" t="s">
        <v>1199</v>
      </c>
      <c r="D558" s="5" t="s">
        <v>713</v>
      </c>
      <c r="E558" s="7" t="str">
        <f>IFERROR(VLOOKUP(D558,SUBCONTRATOS_PRY!A:B,2,FALSE),"?")</f>
        <v>MEDIO OFICIAL PINTOR</v>
      </c>
      <c r="F558" s="5" t="s">
        <v>1200</v>
      </c>
      <c r="G558" s="11">
        <v>0.10526315999999999</v>
      </c>
      <c r="H558" s="12">
        <v>0</v>
      </c>
      <c r="I558" s="7">
        <f>IFERROR(VLOOKUP(D558,SUBCONTRATOS_PRY!A:D,4,FALSE),0)</f>
        <v>54784.071799999998</v>
      </c>
      <c r="J558" s="8">
        <f t="shared" si="32"/>
        <v>5766.7445153348872</v>
      </c>
      <c r="K558" s="7" t="str">
        <f t="shared" si="33"/>
        <v>PTO-1402|MO</v>
      </c>
      <c r="L558" s="7">
        <f>COUNTIFS($K$2:K558,K558)</f>
        <v>2</v>
      </c>
      <c r="M558" s="7" t="str">
        <f t="shared" si="34"/>
        <v>PTO-1402|MO|2</v>
      </c>
      <c r="N558" s="7">
        <f>IFERROR(VLOOKUP(A558,PARTIDAS!A:F,6,FALSE),0)</f>
        <v>1</v>
      </c>
      <c r="O558" s="7">
        <f t="shared" si="35"/>
        <v>0</v>
      </c>
      <c r="P558" s="7">
        <f>IFERROR(_xlfn.XLOOKUP(A558,PPTO_GENERADOR!$Q:$Q,PPTO_GENERADOR!$E:$E,"-",0),"-")</f>
        <v>280.3913</v>
      </c>
    </row>
    <row r="559" spans="1:16" x14ac:dyDescent="0.35">
      <c r="A559" s="5" t="s">
        <v>989</v>
      </c>
      <c r="B559" s="5" t="s">
        <v>1202</v>
      </c>
      <c r="C559" s="5"/>
      <c r="D559" s="5" t="s">
        <v>559</v>
      </c>
      <c r="E559" s="7" t="str">
        <f>IFERROR(VLOOKUP(D559,EQUIPOS!A:B,2,FALSE),"?")</f>
        <v>ESCALERA GLOSS ALUMINIO ARTICULADA 4 X 4 ESCALONES HASTA 150KG</v>
      </c>
      <c r="F559" s="5"/>
      <c r="G559" s="11">
        <v>0.10526315999999999</v>
      </c>
      <c r="H559" s="12">
        <v>0</v>
      </c>
      <c r="I559" s="7">
        <f>IFERROR(VLOOKUP(D559,EQUIPOS!A:C,3,FALSE),0)</f>
        <v>136.52590000000001</v>
      </c>
      <c r="J559" s="8">
        <f t="shared" si="32"/>
        <v>14.371147655844</v>
      </c>
      <c r="K559" s="7" t="str">
        <f t="shared" si="33"/>
        <v>PTO-1402|EQ</v>
      </c>
      <c r="L559" s="7">
        <f>COUNTIFS($K$2:K559,K559)</f>
        <v>1</v>
      </c>
      <c r="M559" s="7" t="str">
        <f t="shared" si="34"/>
        <v>PTO-1402|EQ|1</v>
      </c>
      <c r="N559" s="7">
        <f>IFERROR(VLOOKUP(A559,PARTIDAS!A:F,6,FALSE),0)</f>
        <v>1</v>
      </c>
      <c r="O559" s="7">
        <f t="shared" si="35"/>
        <v>0</v>
      </c>
      <c r="P559" s="7">
        <f>IFERROR(_xlfn.XLOOKUP(A559,PPTO_GENERADOR!$Q:$Q,PPTO_GENERADOR!$E:$E,"-",0),"-")</f>
        <v>280.3913</v>
      </c>
    </row>
    <row r="560" spans="1:16" x14ac:dyDescent="0.35">
      <c r="A560" s="5" t="s">
        <v>989</v>
      </c>
      <c r="B560" s="5" t="s">
        <v>1202</v>
      </c>
      <c r="C560" s="5"/>
      <c r="D560" s="5" t="s">
        <v>561</v>
      </c>
      <c r="E560" s="7" t="str">
        <f>IFERROR(VLOOKUP(D560,EQUIPOS!A:B,2,FALSE),"?")</f>
        <v>EQUIPO DE CONSTRUCCION EN SECO</v>
      </c>
      <c r="F560" s="5"/>
      <c r="G560" s="11">
        <v>0.10526315999999999</v>
      </c>
      <c r="H560" s="12">
        <v>0</v>
      </c>
      <c r="I560" s="7">
        <f>IFERROR(VLOOKUP(D560,EQUIPOS!A:C,3,FALSE),0)</f>
        <v>2303.2865000000002</v>
      </c>
      <c r="J560" s="8">
        <f t="shared" si="32"/>
        <v>242.45121537534001</v>
      </c>
      <c r="K560" s="7" t="str">
        <f t="shared" si="33"/>
        <v>PTO-1402|EQ</v>
      </c>
      <c r="L560" s="7">
        <f>COUNTIFS($K$2:K560,K560)</f>
        <v>2</v>
      </c>
      <c r="M560" s="7" t="str">
        <f t="shared" si="34"/>
        <v>PTO-1402|EQ|2</v>
      </c>
      <c r="N560" s="7">
        <f>IFERROR(VLOOKUP(A560,PARTIDAS!A:F,6,FALSE),0)</f>
        <v>1</v>
      </c>
      <c r="O560" s="7">
        <f t="shared" si="35"/>
        <v>0</v>
      </c>
      <c r="P560" s="7">
        <f>IFERROR(_xlfn.XLOOKUP(A560,PPTO_GENERADOR!$Q:$Q,PPTO_GENERADOR!$E:$E,"-",0),"-")</f>
        <v>280.3913</v>
      </c>
    </row>
    <row r="561" spans="1:16" x14ac:dyDescent="0.35">
      <c r="A561" s="5" t="s">
        <v>991</v>
      </c>
      <c r="B561" s="5" t="s">
        <v>1203</v>
      </c>
      <c r="C561" s="5" t="s">
        <v>1205</v>
      </c>
      <c r="D561" s="5" t="s">
        <v>235</v>
      </c>
      <c r="E561" s="7" t="str">
        <f>IFERROR(VLOOKUP(D561,MATERIALES!A:B,2,FALSE),"?")</f>
        <v>Solera 35mm x 2.60m</v>
      </c>
      <c r="F561" s="5"/>
      <c r="G561" s="11">
        <v>0.50769226999999995</v>
      </c>
      <c r="H561" s="12">
        <v>0.1</v>
      </c>
      <c r="I561" s="7">
        <f>IFERROR(VLOOKUP(D561,MATERIALES!A:D,4,FALSE),0)</f>
        <v>2077.152</v>
      </c>
      <c r="J561" s="8">
        <f t="shared" si="32"/>
        <v>1160.009415416544</v>
      </c>
      <c r="K561" s="7" t="str">
        <f t="shared" si="33"/>
        <v>PTO-1403|MAT</v>
      </c>
      <c r="L561" s="7">
        <f>COUNTIFS($K$2:K561,K561)</f>
        <v>1</v>
      </c>
      <c r="M561" s="7" t="str">
        <f t="shared" si="34"/>
        <v>PTO-1403|MAT|1</v>
      </c>
      <c r="N561" s="7">
        <f>IFERROR(VLOOKUP(A561,PARTIDAS!A:F,6,FALSE),0)</f>
        <v>1</v>
      </c>
      <c r="O561" s="7">
        <f t="shared" si="35"/>
        <v>0</v>
      </c>
      <c r="P561" s="7">
        <f>IFERROR(_xlfn.XLOOKUP(A561,PPTO_GENERADOR!$Q:$Q,PPTO_GENERADOR!$E:$E,"-",0),"-")</f>
        <v>60.8</v>
      </c>
    </row>
    <row r="562" spans="1:16" x14ac:dyDescent="0.35">
      <c r="A562" s="5" t="s">
        <v>991</v>
      </c>
      <c r="B562" s="5" t="s">
        <v>1203</v>
      </c>
      <c r="C562" s="5" t="s">
        <v>1205</v>
      </c>
      <c r="D562" s="5" t="s">
        <v>237</v>
      </c>
      <c r="E562" s="7" t="str">
        <f>IFERROR(VLOOKUP(D562,MATERIALES!A:B,2,FALSE),"?")</f>
        <v>Montante 34mm x 2.60m</v>
      </c>
      <c r="F562" s="5"/>
      <c r="G562" s="11">
        <v>1.2307691300000001</v>
      </c>
      <c r="H562" s="12">
        <v>0.1</v>
      </c>
      <c r="I562" s="7">
        <f>IFERROR(VLOOKUP(D562,MATERIALES!A:D,4,FALSE),0)</f>
        <v>2310.5940000000001</v>
      </c>
      <c r="J562" s="8">
        <f t="shared" si="32"/>
        <v>3128.1885438795425</v>
      </c>
      <c r="K562" s="7" t="str">
        <f t="shared" si="33"/>
        <v>PTO-1403|MAT</v>
      </c>
      <c r="L562" s="7">
        <f>COUNTIFS($K$2:K562,K562)</f>
        <v>2</v>
      </c>
      <c r="M562" s="7" t="str">
        <f t="shared" si="34"/>
        <v>PTO-1403|MAT|2</v>
      </c>
      <c r="N562" s="7">
        <f>IFERROR(VLOOKUP(A562,PARTIDAS!A:F,6,FALSE),0)</f>
        <v>1</v>
      </c>
      <c r="O562" s="7">
        <f t="shared" si="35"/>
        <v>0</v>
      </c>
      <c r="P562" s="7">
        <f>IFERROR(_xlfn.XLOOKUP(A562,PPTO_GENERADOR!$Q:$Q,PPTO_GENERADOR!$E:$E,"-",0),"-")</f>
        <v>60.8</v>
      </c>
    </row>
    <row r="563" spans="1:16" x14ac:dyDescent="0.35">
      <c r="A563" s="5" t="s">
        <v>991</v>
      </c>
      <c r="B563" s="5" t="s">
        <v>1203</v>
      </c>
      <c r="C563" s="5" t="s">
        <v>1205</v>
      </c>
      <c r="D563" s="5" t="s">
        <v>239</v>
      </c>
      <c r="E563" s="7" t="str">
        <f>IFERROR(VLOOKUP(D563,MATERIALES!A:B,2,FALSE),"?")</f>
        <v>Tornillo T1 - Aguja</v>
      </c>
      <c r="F563" s="5"/>
      <c r="G563" s="11">
        <v>15.999998679999999</v>
      </c>
      <c r="H563" s="12">
        <v>0.05</v>
      </c>
      <c r="I563" s="7">
        <f>IFERROR(VLOOKUP(D563,MATERIALES!A:D,4,FALSE),0)</f>
        <v>6.9505999999999997</v>
      </c>
      <c r="J563" s="8">
        <f t="shared" si="32"/>
        <v>116.77007036646839</v>
      </c>
      <c r="K563" s="7" t="str">
        <f t="shared" si="33"/>
        <v>PTO-1403|MAT</v>
      </c>
      <c r="L563" s="7">
        <f>COUNTIFS($K$2:K563,K563)</f>
        <v>3</v>
      </c>
      <c r="M563" s="7" t="str">
        <f t="shared" si="34"/>
        <v>PTO-1403|MAT|3</v>
      </c>
      <c r="N563" s="7">
        <f>IFERROR(VLOOKUP(A563,PARTIDAS!A:F,6,FALSE),0)</f>
        <v>1</v>
      </c>
      <c r="O563" s="7">
        <f t="shared" si="35"/>
        <v>0</v>
      </c>
      <c r="P563" s="7">
        <f>IFERROR(_xlfn.XLOOKUP(A563,PPTO_GENERADOR!$Q:$Q,PPTO_GENERADOR!$E:$E,"-",0),"-")</f>
        <v>60.8</v>
      </c>
    </row>
    <row r="564" spans="1:16" x14ac:dyDescent="0.35">
      <c r="A564" s="5" t="s">
        <v>991</v>
      </c>
      <c r="B564" s="5" t="s">
        <v>1203</v>
      </c>
      <c r="C564" s="5" t="s">
        <v>1205</v>
      </c>
      <c r="D564" s="5" t="s">
        <v>241</v>
      </c>
      <c r="E564" s="7" t="str">
        <f>IFERROR(VLOOKUP(D564,MATERIALES!A:B,2,FALSE),"?")</f>
        <v>Tornillo T2 - Aguja</v>
      </c>
      <c r="F564" s="5"/>
      <c r="G564" s="11">
        <v>17.999998510000001</v>
      </c>
      <c r="H564" s="12">
        <v>0.05</v>
      </c>
      <c r="I564" s="7">
        <f>IFERROR(VLOOKUP(D564,MATERIALES!A:D,4,FALSE),0)</f>
        <v>6.6471</v>
      </c>
      <c r="J564" s="8">
        <f t="shared" si="32"/>
        <v>125.63017960061207</v>
      </c>
      <c r="K564" s="7" t="str">
        <f t="shared" si="33"/>
        <v>PTO-1403|MAT</v>
      </c>
      <c r="L564" s="7">
        <f>COUNTIFS($K$2:K564,K564)</f>
        <v>4</v>
      </c>
      <c r="M564" s="7" t="str">
        <f t="shared" si="34"/>
        <v>PTO-1403|MAT|4</v>
      </c>
      <c r="N564" s="7">
        <f>IFERROR(VLOOKUP(A564,PARTIDAS!A:F,6,FALSE),0)</f>
        <v>1</v>
      </c>
      <c r="O564" s="7">
        <f t="shared" si="35"/>
        <v>0</v>
      </c>
      <c r="P564" s="7">
        <f>IFERROR(_xlfn.XLOOKUP(A564,PPTO_GENERADOR!$Q:$Q,PPTO_GENERADOR!$E:$E,"-",0),"-")</f>
        <v>60.8</v>
      </c>
    </row>
    <row r="565" spans="1:16" x14ac:dyDescent="0.35">
      <c r="A565" s="5" t="s">
        <v>991</v>
      </c>
      <c r="B565" s="5" t="s">
        <v>1203</v>
      </c>
      <c r="C565" s="5" t="s">
        <v>1205</v>
      </c>
      <c r="D565" s="5" t="s">
        <v>243</v>
      </c>
      <c r="E565" s="7" t="str">
        <f>IFERROR(VLOOKUP(D565,MATERIALES!A:B,2,FALSE),"?")</f>
        <v>Fijacion completa del 8</v>
      </c>
      <c r="F565" s="5"/>
      <c r="G565" s="11">
        <v>5.9999995100000003</v>
      </c>
      <c r="H565" s="12">
        <v>0.05</v>
      </c>
      <c r="I565" s="7">
        <f>IFERROR(VLOOKUP(D565,MATERIALES!A:D,4,FALSE),0)</f>
        <v>39.519799999999996</v>
      </c>
      <c r="J565" s="8">
        <f t="shared" si="32"/>
        <v>248.97471966706289</v>
      </c>
      <c r="K565" s="7" t="str">
        <f t="shared" si="33"/>
        <v>PTO-1403|MAT</v>
      </c>
      <c r="L565" s="7">
        <f>COUNTIFS($K$2:K565,K565)</f>
        <v>5</v>
      </c>
      <c r="M565" s="7" t="str">
        <f t="shared" si="34"/>
        <v>PTO-1403|MAT|5</v>
      </c>
      <c r="N565" s="7">
        <f>IFERROR(VLOOKUP(A565,PARTIDAS!A:F,6,FALSE),0)</f>
        <v>1</v>
      </c>
      <c r="O565" s="7">
        <f t="shared" si="35"/>
        <v>0</v>
      </c>
      <c r="P565" s="7">
        <f>IFERROR(_xlfn.XLOOKUP(A565,PPTO_GENERADOR!$Q:$Q,PPTO_GENERADOR!$E:$E,"-",0),"-")</f>
        <v>60.8</v>
      </c>
    </row>
    <row r="566" spans="1:16" x14ac:dyDescent="0.35">
      <c r="A566" s="5" t="s">
        <v>991</v>
      </c>
      <c r="B566" s="5" t="s">
        <v>1203</v>
      </c>
      <c r="C566" s="5" t="s">
        <v>1205</v>
      </c>
      <c r="D566" s="5" t="s">
        <v>245</v>
      </c>
      <c r="E566" s="7" t="str">
        <f>IFERROR(VLOOKUP(D566,MATERIALES!A:B,2,FALSE),"?")</f>
        <v>Cinta Entramada - 90m</v>
      </c>
      <c r="F566" s="5"/>
      <c r="G566" s="11">
        <v>1.8333329999999998E-2</v>
      </c>
      <c r="H566" s="12">
        <v>0.05</v>
      </c>
      <c r="I566" s="7">
        <f>IFERROR(VLOOKUP(D566,MATERIALES!A:D,4,FALSE),0)</f>
        <v>3855.22</v>
      </c>
      <c r="J566" s="8">
        <f t="shared" si="32"/>
        <v>74.21297150673</v>
      </c>
      <c r="K566" s="7" t="str">
        <f t="shared" si="33"/>
        <v>PTO-1403|MAT</v>
      </c>
      <c r="L566" s="7">
        <f>COUNTIFS($K$2:K566,K566)</f>
        <v>6</v>
      </c>
      <c r="M566" s="7" t="str">
        <f t="shared" si="34"/>
        <v>PTO-1403|MAT|6</v>
      </c>
      <c r="N566" s="7">
        <f>IFERROR(VLOOKUP(A566,PARTIDAS!A:F,6,FALSE),0)</f>
        <v>1</v>
      </c>
      <c r="O566" s="7">
        <f t="shared" si="35"/>
        <v>0</v>
      </c>
      <c r="P566" s="7">
        <f>IFERROR(_xlfn.XLOOKUP(A566,PPTO_GENERADOR!$Q:$Q,PPTO_GENERADOR!$E:$E,"-",0),"-")</f>
        <v>60.8</v>
      </c>
    </row>
    <row r="567" spans="1:16" x14ac:dyDescent="0.35">
      <c r="A567" s="5" t="s">
        <v>991</v>
      </c>
      <c r="B567" s="5" t="s">
        <v>1203</v>
      </c>
      <c r="C567" s="5" t="s">
        <v>1205</v>
      </c>
      <c r="D567" s="5" t="s">
        <v>247</v>
      </c>
      <c r="E567" s="7" t="str">
        <f>IFERROR(VLOOKUP(D567,MATERIALES!A:B,2,FALSE),"?")</f>
        <v>Masilla x 32kg</v>
      </c>
      <c r="F567" s="5"/>
      <c r="G567" s="11">
        <v>2.8125000000000001E-2</v>
      </c>
      <c r="H567" s="12">
        <v>0.05</v>
      </c>
      <c r="I567" s="7">
        <f>IFERROR(VLOOKUP(D567,MATERIALES!A:D,4,FALSE),0)</f>
        <v>27038.112300000001</v>
      </c>
      <c r="J567" s="8">
        <f t="shared" si="32"/>
        <v>798.46925385937504</v>
      </c>
      <c r="K567" s="7" t="str">
        <f t="shared" si="33"/>
        <v>PTO-1403|MAT</v>
      </c>
      <c r="L567" s="7">
        <f>COUNTIFS($K$2:K567,K567)</f>
        <v>7</v>
      </c>
      <c r="M567" s="7" t="str">
        <f t="shared" si="34"/>
        <v>PTO-1403|MAT|7</v>
      </c>
      <c r="N567" s="7">
        <f>IFERROR(VLOOKUP(A567,PARTIDAS!A:F,6,FALSE),0)</f>
        <v>1</v>
      </c>
      <c r="O567" s="7">
        <f t="shared" si="35"/>
        <v>0</v>
      </c>
      <c r="P567" s="7">
        <f>IFERROR(_xlfn.XLOOKUP(A567,PPTO_GENERADOR!$Q:$Q,PPTO_GENERADOR!$E:$E,"-",0),"-")</f>
        <v>60.8</v>
      </c>
    </row>
    <row r="568" spans="1:16" x14ac:dyDescent="0.35">
      <c r="A568" s="5" t="s">
        <v>991</v>
      </c>
      <c r="B568" s="5" t="s">
        <v>1203</v>
      </c>
      <c r="C568" s="5" t="s">
        <v>1205</v>
      </c>
      <c r="D568" s="5" t="s">
        <v>249</v>
      </c>
      <c r="E568" s="7" t="str">
        <f>IFERROR(VLOOKUP(D568,MATERIALES!A:B,2,FALSE),"?")</f>
        <v>Placa Roca de Yeso 1220 x 2440 - 12.5mm - STD</v>
      </c>
      <c r="F568" s="5"/>
      <c r="G568" s="11">
        <v>0.35999997</v>
      </c>
      <c r="H568" s="12">
        <v>0.1</v>
      </c>
      <c r="I568" s="7">
        <f>IFERROR(VLOOKUP(D568,MATERIALES!A:D,4,FALSE),0)</f>
        <v>9356.76</v>
      </c>
      <c r="J568" s="8">
        <f t="shared" si="32"/>
        <v>3705.27665122692</v>
      </c>
      <c r="K568" s="7" t="str">
        <f t="shared" si="33"/>
        <v>PTO-1403|MAT</v>
      </c>
      <c r="L568" s="7">
        <f>COUNTIFS($K$2:K568,K568)</f>
        <v>8</v>
      </c>
      <c r="M568" s="7" t="str">
        <f t="shared" si="34"/>
        <v>PTO-1403|MAT|8</v>
      </c>
      <c r="N568" s="7">
        <f>IFERROR(VLOOKUP(A568,PARTIDAS!A:F,6,FALSE),0)</f>
        <v>1</v>
      </c>
      <c r="O568" s="7">
        <f t="shared" si="35"/>
        <v>0</v>
      </c>
      <c r="P568" s="7">
        <f>IFERROR(_xlfn.XLOOKUP(A568,PPTO_GENERADOR!$Q:$Q,PPTO_GENERADOR!$E:$E,"-",0),"-")</f>
        <v>60.8</v>
      </c>
    </row>
    <row r="569" spans="1:16" x14ac:dyDescent="0.35">
      <c r="A569" s="5" t="s">
        <v>991</v>
      </c>
      <c r="B569" s="5" t="s">
        <v>1198</v>
      </c>
      <c r="C569" s="5" t="s">
        <v>1199</v>
      </c>
      <c r="D569" s="5" t="s">
        <v>711</v>
      </c>
      <c r="E569" s="7" t="str">
        <f>IFERROR(VLOOKUP(D569,SUBCONTRATOS_PRY!A:B,2,FALSE),"?")</f>
        <v>OFICIAL ESPECIALIZADO PINTOR</v>
      </c>
      <c r="F569" s="5" t="s">
        <v>1200</v>
      </c>
      <c r="G569" s="11">
        <v>0.10526315999999999</v>
      </c>
      <c r="H569" s="12">
        <v>0</v>
      </c>
      <c r="I569" s="7">
        <f>IFERROR(VLOOKUP(D569,SUBCONTRATOS_PRY!A:D,4,FALSE),0)</f>
        <v>75113.048200000005</v>
      </c>
      <c r="J569" s="8">
        <f t="shared" si="32"/>
        <v>7906.636810764312</v>
      </c>
      <c r="K569" s="7" t="str">
        <f t="shared" si="33"/>
        <v>PTO-1403|MO</v>
      </c>
      <c r="L569" s="7">
        <f>COUNTIFS($K$2:K569,K569)</f>
        <v>1</v>
      </c>
      <c r="M569" s="7" t="str">
        <f t="shared" si="34"/>
        <v>PTO-1403|MO|1</v>
      </c>
      <c r="N569" s="7">
        <f>IFERROR(VLOOKUP(A569,PARTIDAS!A:F,6,FALSE),0)</f>
        <v>1</v>
      </c>
      <c r="O569" s="7">
        <f t="shared" si="35"/>
        <v>0</v>
      </c>
      <c r="P569" s="7">
        <f>IFERROR(_xlfn.XLOOKUP(A569,PPTO_GENERADOR!$Q:$Q,PPTO_GENERADOR!$E:$E,"-",0),"-")</f>
        <v>60.8</v>
      </c>
    </row>
    <row r="570" spans="1:16" x14ac:dyDescent="0.35">
      <c r="A570" s="5" t="s">
        <v>991</v>
      </c>
      <c r="B570" s="5" t="s">
        <v>1198</v>
      </c>
      <c r="C570" s="5" t="s">
        <v>1199</v>
      </c>
      <c r="D570" s="5" t="s">
        <v>713</v>
      </c>
      <c r="E570" s="7" t="str">
        <f>IFERROR(VLOOKUP(D570,SUBCONTRATOS_PRY!A:B,2,FALSE),"?")</f>
        <v>MEDIO OFICIAL PINTOR</v>
      </c>
      <c r="F570" s="5" t="s">
        <v>1200</v>
      </c>
      <c r="G570" s="11">
        <v>0.10526315999999999</v>
      </c>
      <c r="H570" s="12">
        <v>0</v>
      </c>
      <c r="I570" s="7">
        <f>IFERROR(VLOOKUP(D570,SUBCONTRATOS_PRY!A:D,4,FALSE),0)</f>
        <v>54784.071799999998</v>
      </c>
      <c r="J570" s="8">
        <f t="shared" si="32"/>
        <v>5766.7445153348872</v>
      </c>
      <c r="K570" s="7" t="str">
        <f t="shared" si="33"/>
        <v>PTO-1403|MO</v>
      </c>
      <c r="L570" s="7">
        <f>COUNTIFS($K$2:K570,K570)</f>
        <v>2</v>
      </c>
      <c r="M570" s="7" t="str">
        <f t="shared" si="34"/>
        <v>PTO-1403|MO|2</v>
      </c>
      <c r="N570" s="7">
        <f>IFERROR(VLOOKUP(A570,PARTIDAS!A:F,6,FALSE),0)</f>
        <v>1</v>
      </c>
      <c r="O570" s="7">
        <f t="shared" si="35"/>
        <v>0</v>
      </c>
      <c r="P570" s="7">
        <f>IFERROR(_xlfn.XLOOKUP(A570,PPTO_GENERADOR!$Q:$Q,PPTO_GENERADOR!$E:$E,"-",0),"-")</f>
        <v>60.8</v>
      </c>
    </row>
    <row r="571" spans="1:16" x14ac:dyDescent="0.35">
      <c r="A571" s="5" t="s">
        <v>991</v>
      </c>
      <c r="B571" s="5" t="s">
        <v>1202</v>
      </c>
      <c r="C571" s="5"/>
      <c r="D571" s="5" t="s">
        <v>559</v>
      </c>
      <c r="E571" s="7" t="str">
        <f>IFERROR(VLOOKUP(D571,EQUIPOS!A:B,2,FALSE),"?")</f>
        <v>ESCALERA GLOSS ALUMINIO ARTICULADA 4 X 4 ESCALONES HASTA 150KG</v>
      </c>
      <c r="F571" s="5"/>
      <c r="G571" s="11">
        <v>0.10526315999999999</v>
      </c>
      <c r="H571" s="12">
        <v>0</v>
      </c>
      <c r="I571" s="7">
        <f>IFERROR(VLOOKUP(D571,EQUIPOS!A:C,3,FALSE),0)</f>
        <v>136.52590000000001</v>
      </c>
      <c r="J571" s="8">
        <f t="shared" si="32"/>
        <v>14.371147655844</v>
      </c>
      <c r="K571" s="7" t="str">
        <f t="shared" si="33"/>
        <v>PTO-1403|EQ</v>
      </c>
      <c r="L571" s="7">
        <f>COUNTIFS($K$2:K571,K571)</f>
        <v>1</v>
      </c>
      <c r="M571" s="7" t="str">
        <f t="shared" si="34"/>
        <v>PTO-1403|EQ|1</v>
      </c>
      <c r="N571" s="7">
        <f>IFERROR(VLOOKUP(A571,PARTIDAS!A:F,6,FALSE),0)</f>
        <v>1</v>
      </c>
      <c r="O571" s="7">
        <f t="shared" si="35"/>
        <v>0</v>
      </c>
      <c r="P571" s="7">
        <f>IFERROR(_xlfn.XLOOKUP(A571,PPTO_GENERADOR!$Q:$Q,PPTO_GENERADOR!$E:$E,"-",0),"-")</f>
        <v>60.8</v>
      </c>
    </row>
    <row r="572" spans="1:16" x14ac:dyDescent="0.35">
      <c r="A572" s="5" t="s">
        <v>991</v>
      </c>
      <c r="B572" s="5" t="s">
        <v>1202</v>
      </c>
      <c r="C572" s="5"/>
      <c r="D572" s="5" t="s">
        <v>561</v>
      </c>
      <c r="E572" s="7" t="str">
        <f>IFERROR(VLOOKUP(D572,EQUIPOS!A:B,2,FALSE),"?")</f>
        <v>EQUIPO DE CONSTRUCCION EN SECO</v>
      </c>
      <c r="F572" s="5"/>
      <c r="G572" s="11">
        <v>0.10526315999999999</v>
      </c>
      <c r="H572" s="12">
        <v>0</v>
      </c>
      <c r="I572" s="7">
        <f>IFERROR(VLOOKUP(D572,EQUIPOS!A:C,3,FALSE),0)</f>
        <v>2303.2865000000002</v>
      </c>
      <c r="J572" s="8">
        <f t="shared" si="32"/>
        <v>242.45121537534001</v>
      </c>
      <c r="K572" s="7" t="str">
        <f t="shared" si="33"/>
        <v>PTO-1403|EQ</v>
      </c>
      <c r="L572" s="7">
        <f>COUNTIFS($K$2:K572,K572)</f>
        <v>2</v>
      </c>
      <c r="M572" s="7" t="str">
        <f t="shared" si="34"/>
        <v>PTO-1403|EQ|2</v>
      </c>
      <c r="N572" s="7">
        <f>IFERROR(VLOOKUP(A572,PARTIDAS!A:F,6,FALSE),0)</f>
        <v>1</v>
      </c>
      <c r="O572" s="7">
        <f t="shared" si="35"/>
        <v>0</v>
      </c>
      <c r="P572" s="7">
        <f>IFERROR(_xlfn.XLOOKUP(A572,PPTO_GENERADOR!$Q:$Q,PPTO_GENERADOR!$E:$E,"-",0),"-")</f>
        <v>60.8</v>
      </c>
    </row>
    <row r="573" spans="1:16" x14ac:dyDescent="0.35">
      <c r="A573" s="5" t="s">
        <v>993</v>
      </c>
      <c r="B573" s="5" t="s">
        <v>1203</v>
      </c>
      <c r="C573" s="5" t="s">
        <v>1205</v>
      </c>
      <c r="D573" s="5" t="s">
        <v>257</v>
      </c>
      <c r="E573" s="7" t="str">
        <f>IFERROR(VLOOKUP(D573,MATERIALES!A:B,2,FALSE),"?")</f>
        <v>Buña Z x 2.60m</v>
      </c>
      <c r="F573" s="5"/>
      <c r="G573" s="11">
        <v>0.39000002</v>
      </c>
      <c r="H573" s="12">
        <v>0.1</v>
      </c>
      <c r="I573" s="7">
        <f>IFERROR(VLOOKUP(D573,MATERIALES!A:D,4,FALSE),0)</f>
        <v>2499.6799999999998</v>
      </c>
      <c r="J573" s="8">
        <f t="shared" si="32"/>
        <v>1072.3627749929601</v>
      </c>
      <c r="K573" s="7" t="str">
        <f t="shared" si="33"/>
        <v>PTO-1404|MAT</v>
      </c>
      <c r="L573" s="7">
        <f>COUNTIFS($K$2:K573,K573)</f>
        <v>1</v>
      </c>
      <c r="M573" s="7" t="str">
        <f t="shared" si="34"/>
        <v>PTO-1404|MAT|1</v>
      </c>
      <c r="N573" s="7">
        <f>IFERROR(VLOOKUP(A573,PARTIDAS!A:F,6,FALSE),0)</f>
        <v>1</v>
      </c>
      <c r="O573" s="7">
        <f t="shared" si="35"/>
        <v>0</v>
      </c>
      <c r="P573" s="7">
        <f>IFERROR(_xlfn.XLOOKUP(A573,PPTO_GENERADOR!$Q:$Q,PPTO_GENERADOR!$E:$E,"-",0),"-")</f>
        <v>1058.3800000000001</v>
      </c>
    </row>
    <row r="574" spans="1:16" x14ac:dyDescent="0.35">
      <c r="A574" s="5" t="s">
        <v>993</v>
      </c>
      <c r="B574" s="5" t="s">
        <v>1203</v>
      </c>
      <c r="C574" s="5" t="s">
        <v>1205</v>
      </c>
      <c r="D574" s="5" t="s">
        <v>241</v>
      </c>
      <c r="E574" s="7" t="str">
        <f>IFERROR(VLOOKUP(D574,MATERIALES!A:B,2,FALSE),"?")</f>
        <v>Tornillo T2 - Aguja</v>
      </c>
      <c r="F574" s="5"/>
      <c r="G574" s="11">
        <v>3.0000001599999999</v>
      </c>
      <c r="H574" s="12">
        <v>0.05</v>
      </c>
      <c r="I574" s="7">
        <f>IFERROR(VLOOKUP(D574,MATERIALES!A:D,4,FALSE),0)</f>
        <v>6.6471</v>
      </c>
      <c r="J574" s="8">
        <f t="shared" si="32"/>
        <v>20.9383661167128</v>
      </c>
      <c r="K574" s="7" t="str">
        <f t="shared" si="33"/>
        <v>PTO-1404|MAT</v>
      </c>
      <c r="L574" s="7">
        <f>COUNTIFS($K$2:K574,K574)</f>
        <v>2</v>
      </c>
      <c r="M574" s="7" t="str">
        <f t="shared" si="34"/>
        <v>PTO-1404|MAT|2</v>
      </c>
      <c r="N574" s="7">
        <f>IFERROR(VLOOKUP(A574,PARTIDAS!A:F,6,FALSE),0)</f>
        <v>1</v>
      </c>
      <c r="O574" s="7">
        <f t="shared" si="35"/>
        <v>0</v>
      </c>
      <c r="P574" s="7">
        <f>IFERROR(_xlfn.XLOOKUP(A574,PPTO_GENERADOR!$Q:$Q,PPTO_GENERADOR!$E:$E,"-",0),"-")</f>
        <v>1058.3800000000001</v>
      </c>
    </row>
    <row r="575" spans="1:16" x14ac:dyDescent="0.35">
      <c r="A575" s="5" t="s">
        <v>993</v>
      </c>
      <c r="B575" s="5" t="s">
        <v>1198</v>
      </c>
      <c r="C575" s="5" t="s">
        <v>1199</v>
      </c>
      <c r="D575" s="5" t="s">
        <v>711</v>
      </c>
      <c r="E575" s="7" t="str">
        <f>IFERROR(VLOOKUP(D575,SUBCONTRATOS_PRY!A:B,2,FALSE),"?")</f>
        <v>OFICIAL ESPECIALIZADO PINTOR</v>
      </c>
      <c r="F575" s="5" t="s">
        <v>1200</v>
      </c>
      <c r="G575" s="11">
        <v>6.6666669999999997E-2</v>
      </c>
      <c r="H575" s="12">
        <v>0</v>
      </c>
      <c r="I575" s="7">
        <f>IFERROR(VLOOKUP(D575,SUBCONTRATOS_PRY!A:D,4,FALSE),0)</f>
        <v>75113.048200000005</v>
      </c>
      <c r="J575" s="8">
        <f t="shared" si="32"/>
        <v>5007.5367970434945</v>
      </c>
      <c r="K575" s="7" t="str">
        <f t="shared" si="33"/>
        <v>PTO-1404|MO</v>
      </c>
      <c r="L575" s="7">
        <f>COUNTIFS($K$2:K575,K575)</f>
        <v>1</v>
      </c>
      <c r="M575" s="7" t="str">
        <f t="shared" si="34"/>
        <v>PTO-1404|MO|1</v>
      </c>
      <c r="N575" s="7">
        <f>IFERROR(VLOOKUP(A575,PARTIDAS!A:F,6,FALSE),0)</f>
        <v>1</v>
      </c>
      <c r="O575" s="7">
        <f t="shared" si="35"/>
        <v>0</v>
      </c>
      <c r="P575" s="7">
        <f>IFERROR(_xlfn.XLOOKUP(A575,PPTO_GENERADOR!$Q:$Q,PPTO_GENERADOR!$E:$E,"-",0),"-")</f>
        <v>1058.3800000000001</v>
      </c>
    </row>
    <row r="576" spans="1:16" x14ac:dyDescent="0.35">
      <c r="A576" s="5" t="s">
        <v>993</v>
      </c>
      <c r="B576" s="5" t="s">
        <v>1202</v>
      </c>
      <c r="C576" s="5"/>
      <c r="D576" s="5" t="s">
        <v>559</v>
      </c>
      <c r="E576" s="7" t="str">
        <f>IFERROR(VLOOKUP(D576,EQUIPOS!A:B,2,FALSE),"?")</f>
        <v>ESCALERA GLOSS ALUMINIO ARTICULADA 4 X 4 ESCALONES HASTA 150KG</v>
      </c>
      <c r="F576" s="5"/>
      <c r="G576" s="11">
        <v>6.6666669999999997E-2</v>
      </c>
      <c r="H576" s="12">
        <v>0</v>
      </c>
      <c r="I576" s="7">
        <f>IFERROR(VLOOKUP(D576,EQUIPOS!A:C,3,FALSE),0)</f>
        <v>136.52590000000001</v>
      </c>
      <c r="J576" s="8">
        <f t="shared" si="32"/>
        <v>9.1017271217530009</v>
      </c>
      <c r="K576" s="7" t="str">
        <f t="shared" si="33"/>
        <v>PTO-1404|EQ</v>
      </c>
      <c r="L576" s="7">
        <f>COUNTIFS($K$2:K576,K576)</f>
        <v>1</v>
      </c>
      <c r="M576" s="7" t="str">
        <f t="shared" si="34"/>
        <v>PTO-1404|EQ|1</v>
      </c>
      <c r="N576" s="7">
        <f>IFERROR(VLOOKUP(A576,PARTIDAS!A:F,6,FALSE),0)</f>
        <v>1</v>
      </c>
      <c r="O576" s="7">
        <f t="shared" si="35"/>
        <v>0</v>
      </c>
      <c r="P576" s="7">
        <f>IFERROR(_xlfn.XLOOKUP(A576,PPTO_GENERADOR!$Q:$Q,PPTO_GENERADOR!$E:$E,"-",0),"-")</f>
        <v>1058.3800000000001</v>
      </c>
    </row>
    <row r="577" spans="1:16" x14ac:dyDescent="0.35">
      <c r="A577" s="5" t="s">
        <v>993</v>
      </c>
      <c r="B577" s="5" t="s">
        <v>1202</v>
      </c>
      <c r="C577" s="5"/>
      <c r="D577" s="5" t="s">
        <v>561</v>
      </c>
      <c r="E577" s="7" t="str">
        <f>IFERROR(VLOOKUP(D577,EQUIPOS!A:B,2,FALSE),"?")</f>
        <v>EQUIPO DE CONSTRUCCION EN SECO</v>
      </c>
      <c r="F577" s="5"/>
      <c r="G577" s="11">
        <v>6.6666669999999997E-2</v>
      </c>
      <c r="H577" s="12">
        <v>0</v>
      </c>
      <c r="I577" s="7">
        <f>IFERROR(VLOOKUP(D577,EQUIPOS!A:C,3,FALSE),0)</f>
        <v>2303.2865000000002</v>
      </c>
      <c r="J577" s="8">
        <f t="shared" si="32"/>
        <v>153.55244101095499</v>
      </c>
      <c r="K577" s="7" t="str">
        <f t="shared" si="33"/>
        <v>PTO-1404|EQ</v>
      </c>
      <c r="L577" s="7">
        <f>COUNTIFS($K$2:K577,K577)</f>
        <v>2</v>
      </c>
      <c r="M577" s="7" t="str">
        <f t="shared" si="34"/>
        <v>PTO-1404|EQ|2</v>
      </c>
      <c r="N577" s="7">
        <f>IFERROR(VLOOKUP(A577,PARTIDAS!A:F,6,FALSE),0)</f>
        <v>1</v>
      </c>
      <c r="O577" s="7">
        <f t="shared" si="35"/>
        <v>0</v>
      </c>
      <c r="P577" s="7">
        <f>IFERROR(_xlfn.XLOOKUP(A577,PPTO_GENERADOR!$Q:$Q,PPTO_GENERADOR!$E:$E,"-",0),"-")</f>
        <v>1058.3800000000001</v>
      </c>
    </row>
    <row r="578" spans="1:16" x14ac:dyDescent="0.35">
      <c r="A578" s="5" t="s">
        <v>995</v>
      </c>
      <c r="B578" s="5" t="s">
        <v>1203</v>
      </c>
      <c r="C578" s="5" t="s">
        <v>1205</v>
      </c>
      <c r="D578" s="5" t="s">
        <v>185</v>
      </c>
      <c r="E578" s="7" t="str">
        <f>IFERROR(VLOOKUP(D578,MATERIALES!A:B,2,FALSE),"?")</f>
        <v>Yeso Knauf MP 40/75 Proyectable x 25 kg</v>
      </c>
      <c r="F578" s="5"/>
      <c r="G578" s="11">
        <v>0.71411256999999995</v>
      </c>
      <c r="H578" s="12">
        <v>0</v>
      </c>
      <c r="I578" s="7">
        <f>IFERROR(VLOOKUP(D578,MATERIALES!A:D,4,FALSE),0)</f>
        <v>6694.38</v>
      </c>
      <c r="J578" s="8">
        <f t="shared" ref="J578:J641" si="36">G578*I578*(1+H578)</f>
        <v>4780.5409063565994</v>
      </c>
      <c r="K578" s="7" t="str">
        <f t="shared" ref="K578:K641" si="37">A578&amp;"|"&amp;B578</f>
        <v>PTO-1405|MAT</v>
      </c>
      <c r="L578" s="7">
        <f>COUNTIFS($K$2:K578,K578)</f>
        <v>1</v>
      </c>
      <c r="M578" s="7" t="str">
        <f t="shared" ref="M578:M641" si="38">K578&amp;"|"&amp;L578</f>
        <v>PTO-1405|MAT|1</v>
      </c>
      <c r="N578" s="7">
        <f>IFERROR(VLOOKUP(A578,PARTIDAS!A:F,6,FALSE),0)</f>
        <v>1</v>
      </c>
      <c r="O578" s="7">
        <f t="shared" ref="O578:O641" si="39">IF(C578="ALB",IF(N578=0,0,G578/N578),0)</f>
        <v>0</v>
      </c>
      <c r="P578" s="7">
        <f>IFERROR(_xlfn.XLOOKUP(A578,PPTO_GENERADOR!$Q:$Q,PPTO_GENERADOR!$E:$E,"-",0),"-")</f>
        <v>504.12220000000002</v>
      </c>
    </row>
    <row r="579" spans="1:16" x14ac:dyDescent="0.35">
      <c r="A579" s="5" t="s">
        <v>995</v>
      </c>
      <c r="B579" s="5" t="s">
        <v>1203</v>
      </c>
      <c r="C579" s="5" t="s">
        <v>1205</v>
      </c>
      <c r="D579" s="5" t="s">
        <v>187</v>
      </c>
      <c r="E579" s="7" t="str">
        <f>IFERROR(VLOOKUP(D579,MATERIALES!A:B,2,FALSE),"?")</f>
        <v>PA-MAX PUENTE DE ADHERENCIA 20LT</v>
      </c>
      <c r="F579" s="5"/>
      <c r="G579" s="11">
        <v>7.9345800000000001E-3</v>
      </c>
      <c r="H579" s="12">
        <v>0</v>
      </c>
      <c r="I579" s="7">
        <f>IFERROR(VLOOKUP(D579,MATERIALES!A:D,4,FALSE),0)</f>
        <v>124738</v>
      </c>
      <c r="J579" s="8">
        <f t="shared" si="36"/>
        <v>989.74364004000006</v>
      </c>
      <c r="K579" s="7" t="str">
        <f t="shared" si="37"/>
        <v>PTO-1405|MAT</v>
      </c>
      <c r="L579" s="7">
        <f>COUNTIFS($K$2:K579,K579)</f>
        <v>2</v>
      </c>
      <c r="M579" s="7" t="str">
        <f t="shared" si="38"/>
        <v>PTO-1405|MAT|2</v>
      </c>
      <c r="N579" s="7">
        <f>IFERROR(VLOOKUP(A579,PARTIDAS!A:F,6,FALSE),0)</f>
        <v>1</v>
      </c>
      <c r="O579" s="7">
        <f t="shared" si="39"/>
        <v>0</v>
      </c>
      <c r="P579" s="7">
        <f>IFERROR(_xlfn.XLOOKUP(A579,PPTO_GENERADOR!$Q:$Q,PPTO_GENERADOR!$E:$E,"-",0),"-")</f>
        <v>504.12220000000002</v>
      </c>
    </row>
    <row r="580" spans="1:16" x14ac:dyDescent="0.35">
      <c r="A580" s="5" t="s">
        <v>995</v>
      </c>
      <c r="B580" s="5" t="s">
        <v>1198</v>
      </c>
      <c r="C580" s="5" t="s">
        <v>1199</v>
      </c>
      <c r="D580" s="5" t="s">
        <v>694</v>
      </c>
      <c r="E580" s="7" t="str">
        <f>IFERROR(VLOOKUP(D580,SUBCONTRATOS_PRY!A:B,2,FALSE),"?")</f>
        <v>Yeso</v>
      </c>
      <c r="F580" s="5" t="s">
        <v>1200</v>
      </c>
      <c r="G580" s="11">
        <v>1</v>
      </c>
      <c r="H580" s="12">
        <v>0</v>
      </c>
      <c r="I580" s="7">
        <f>IFERROR(VLOOKUP(D580,SUBCONTRATOS_PRY!A:D,4,FALSE),0)</f>
        <v>12817.951499999999</v>
      </c>
      <c r="J580" s="8">
        <f t="shared" si="36"/>
        <v>12817.951499999999</v>
      </c>
      <c r="K580" s="7" t="str">
        <f t="shared" si="37"/>
        <v>PTO-1405|MO</v>
      </c>
      <c r="L580" s="7">
        <f>COUNTIFS($K$2:K580,K580)</f>
        <v>1</v>
      </c>
      <c r="M580" s="7" t="str">
        <f t="shared" si="38"/>
        <v>PTO-1405|MO|1</v>
      </c>
      <c r="N580" s="7">
        <f>IFERROR(VLOOKUP(A580,PARTIDAS!A:F,6,FALSE),0)</f>
        <v>1</v>
      </c>
      <c r="O580" s="7">
        <f t="shared" si="39"/>
        <v>0</v>
      </c>
      <c r="P580" s="7">
        <f>IFERROR(_xlfn.XLOOKUP(A580,PPTO_GENERADOR!$Q:$Q,PPTO_GENERADOR!$E:$E,"-",0),"-")</f>
        <v>504.12220000000002</v>
      </c>
    </row>
    <row r="581" spans="1:16" x14ac:dyDescent="0.35">
      <c r="A581" s="5" t="s">
        <v>997</v>
      </c>
      <c r="B581" s="5" t="s">
        <v>1198</v>
      </c>
      <c r="C581" s="5" t="s">
        <v>1199</v>
      </c>
      <c r="D581" s="5" t="s">
        <v>696</v>
      </c>
      <c r="E581" s="7" t="str">
        <f>IFERROR(VLOOKUP(D581,SUBCONTRATOS_PRY!A:B,2,FALSE),"?")</f>
        <v>Arista / Buña</v>
      </c>
      <c r="F581" s="5" t="s">
        <v>1200</v>
      </c>
      <c r="G581" s="11">
        <v>1</v>
      </c>
      <c r="H581" s="12">
        <v>0</v>
      </c>
      <c r="I581" s="7">
        <f>IFERROR(VLOOKUP(D581,SUBCONTRATOS_PRY!A:D,4,FALSE),0)</f>
        <v>10160.5713</v>
      </c>
      <c r="J581" s="8">
        <f t="shared" si="36"/>
        <v>10160.5713</v>
      </c>
      <c r="K581" s="7" t="str">
        <f t="shared" si="37"/>
        <v>PTO-1406|MO</v>
      </c>
      <c r="L581" s="7">
        <f>COUNTIFS($K$2:K581,K581)</f>
        <v>1</v>
      </c>
      <c r="M581" s="7" t="str">
        <f t="shared" si="38"/>
        <v>PTO-1406|MO|1</v>
      </c>
      <c r="N581" s="7">
        <f>IFERROR(VLOOKUP(A581,PARTIDAS!A:F,6,FALSE),0)</f>
        <v>1</v>
      </c>
      <c r="O581" s="7">
        <f t="shared" si="39"/>
        <v>0</v>
      </c>
      <c r="P581" s="7">
        <f>IFERROR(_xlfn.XLOOKUP(A581,PPTO_GENERADOR!$Q:$Q,PPTO_GENERADOR!$E:$E,"-",0),"-")</f>
        <v>555.99</v>
      </c>
    </row>
    <row r="582" spans="1:16" x14ac:dyDescent="0.35">
      <c r="A582" s="5" t="s">
        <v>999</v>
      </c>
      <c r="B582" s="5" t="s">
        <v>1203</v>
      </c>
      <c r="C582" s="5" t="s">
        <v>1199</v>
      </c>
      <c r="D582" s="5" t="s">
        <v>259</v>
      </c>
      <c r="E582" s="7" t="str">
        <f>IFERROR(VLOOKUP(D582,MATERIALES!A:B,2,FALSE),"?")</f>
        <v>Materiales varios</v>
      </c>
      <c r="F582" s="5"/>
      <c r="G582" s="11">
        <v>2.3305800000000001E-3</v>
      </c>
      <c r="H582" s="12">
        <v>0</v>
      </c>
      <c r="I582" s="7">
        <f>IFERROR(VLOOKUP(D582,MATERIALES!A:D,4,FALSE),0)</f>
        <v>150000</v>
      </c>
      <c r="J582" s="8">
        <f t="shared" si="36"/>
        <v>349.58699999999999</v>
      </c>
      <c r="K582" s="7" t="str">
        <f t="shared" si="37"/>
        <v>PTO-1407|MAT</v>
      </c>
      <c r="L582" s="7">
        <f>COUNTIFS($K$2:K582,K582)</f>
        <v>1</v>
      </c>
      <c r="M582" s="7" t="str">
        <f t="shared" si="38"/>
        <v>PTO-1407|MAT|1</v>
      </c>
      <c r="N582" s="7">
        <f>IFERROR(VLOOKUP(A582,PARTIDAS!A:F,6,FALSE),0)</f>
        <v>1</v>
      </c>
      <c r="O582" s="7">
        <f t="shared" si="39"/>
        <v>0</v>
      </c>
      <c r="P582" s="7">
        <f>IFERROR(_xlfn.XLOOKUP(A582,PPTO_GENERADOR!$Q:$Q,PPTO_GENERADOR!$E:$E,"-",0),"-")</f>
        <v>429.07780000000002</v>
      </c>
    </row>
    <row r="583" spans="1:16" x14ac:dyDescent="0.35">
      <c r="A583" s="5" t="s">
        <v>999</v>
      </c>
      <c r="B583" s="5" t="s">
        <v>1203</v>
      </c>
      <c r="C583" s="5" t="s">
        <v>1205</v>
      </c>
      <c r="D583" s="5" t="s">
        <v>259</v>
      </c>
      <c r="E583" s="7" t="str">
        <f>IFERROR(VLOOKUP(D583,MATERIALES!A:B,2,FALSE),"?")</f>
        <v>Materiales varios</v>
      </c>
      <c r="F583" s="5"/>
      <c r="G583" s="11">
        <v>2.3305800000000001E-3</v>
      </c>
      <c r="H583" s="12">
        <v>0</v>
      </c>
      <c r="I583" s="7">
        <f>IFERROR(VLOOKUP(D583,MATERIALES!A:D,4,FALSE),0)</f>
        <v>150000</v>
      </c>
      <c r="J583" s="8">
        <f t="shared" si="36"/>
        <v>349.58699999999999</v>
      </c>
      <c r="K583" s="7" t="str">
        <f t="shared" si="37"/>
        <v>PTO-1407|MAT</v>
      </c>
      <c r="L583" s="7">
        <f>COUNTIFS($K$2:K583,K583)</f>
        <v>2</v>
      </c>
      <c r="M583" s="7" t="str">
        <f t="shared" si="38"/>
        <v>PTO-1407|MAT|2</v>
      </c>
      <c r="N583" s="7">
        <f>IFERROR(VLOOKUP(A583,PARTIDAS!A:F,6,FALSE),0)</f>
        <v>1</v>
      </c>
      <c r="O583" s="7">
        <f t="shared" si="39"/>
        <v>0</v>
      </c>
      <c r="P583" s="7">
        <f>IFERROR(_xlfn.XLOOKUP(A583,PPTO_GENERADOR!$Q:$Q,PPTO_GENERADOR!$E:$E,"-",0),"-")</f>
        <v>429.07780000000002</v>
      </c>
    </row>
    <row r="584" spans="1:16" x14ac:dyDescent="0.35">
      <c r="A584" s="5" t="s">
        <v>999</v>
      </c>
      <c r="B584" s="5" t="s">
        <v>1198</v>
      </c>
      <c r="C584" s="5" t="s">
        <v>1201</v>
      </c>
      <c r="D584" s="5" t="s">
        <v>477</v>
      </c>
      <c r="E584" s="7" t="str">
        <f>IFERROR(VLOOKUP(D584,MANO_DE_OBRA!A:B,2,FALSE),"?")</f>
        <v>ESPECIALIZADO</v>
      </c>
      <c r="F584" s="5" t="s">
        <v>1200</v>
      </c>
      <c r="G584" s="11">
        <v>2.3305800000000002E-2</v>
      </c>
      <c r="H584" s="12">
        <v>0</v>
      </c>
      <c r="I584" s="7">
        <f>IFERROR(VLOOKUP(D584,MANO_DE_OBRA!A:C,3,FALSE),0)</f>
        <v>75113.05</v>
      </c>
      <c r="J584" s="8">
        <f t="shared" si="36"/>
        <v>1750.5697206900002</v>
      </c>
      <c r="K584" s="7" t="str">
        <f t="shared" si="37"/>
        <v>PTO-1407|MO</v>
      </c>
      <c r="L584" s="7">
        <f>COUNTIFS($K$2:K584,K584)</f>
        <v>1</v>
      </c>
      <c r="M584" s="7" t="str">
        <f t="shared" si="38"/>
        <v>PTO-1407|MO|1</v>
      </c>
      <c r="N584" s="7">
        <f>IFERROR(VLOOKUP(A584,PARTIDAS!A:F,6,FALSE),0)</f>
        <v>1</v>
      </c>
      <c r="O584" s="7">
        <f t="shared" si="39"/>
        <v>2.3305800000000002E-2</v>
      </c>
      <c r="P584" s="7">
        <f>IFERROR(_xlfn.XLOOKUP(A584,PPTO_GENERADOR!$Q:$Q,PPTO_GENERADOR!$E:$E,"-",0),"-")</f>
        <v>429.07780000000002</v>
      </c>
    </row>
    <row r="585" spans="1:16" x14ac:dyDescent="0.35">
      <c r="A585" s="5" t="s">
        <v>999</v>
      </c>
      <c r="B585" s="5" t="s">
        <v>1198</v>
      </c>
      <c r="C585" s="5" t="s">
        <v>1201</v>
      </c>
      <c r="D585" s="5" t="s">
        <v>475</v>
      </c>
      <c r="E585" s="7" t="str">
        <f>IFERROR(VLOOKUP(D585,MANO_DE_OBRA!A:B,2,FALSE),"?")</f>
        <v>AYUDANTE</v>
      </c>
      <c r="F585" s="5" t="s">
        <v>1200</v>
      </c>
      <c r="G585" s="11">
        <v>2.3305800000000002E-2</v>
      </c>
      <c r="H585" s="12">
        <v>0</v>
      </c>
      <c r="I585" s="7">
        <f>IFERROR(VLOOKUP(D585,MANO_DE_OBRA!A:C,3,FALSE),0)</f>
        <v>49934.239999999998</v>
      </c>
      <c r="J585" s="8">
        <f t="shared" si="36"/>
        <v>1163.757410592</v>
      </c>
      <c r="K585" s="7" t="str">
        <f t="shared" si="37"/>
        <v>PTO-1407|MO</v>
      </c>
      <c r="L585" s="7">
        <f>COUNTIFS($K$2:K585,K585)</f>
        <v>2</v>
      </c>
      <c r="M585" s="7" t="str">
        <f t="shared" si="38"/>
        <v>PTO-1407|MO|2</v>
      </c>
      <c r="N585" s="7">
        <f>IFERROR(VLOOKUP(A585,PARTIDAS!A:F,6,FALSE),0)</f>
        <v>1</v>
      </c>
      <c r="O585" s="7">
        <f t="shared" si="39"/>
        <v>2.3305800000000002E-2</v>
      </c>
      <c r="P585" s="7">
        <f>IFERROR(_xlfn.XLOOKUP(A585,PPTO_GENERADOR!$Q:$Q,PPTO_GENERADOR!$E:$E,"-",0),"-")</f>
        <v>429.07780000000002</v>
      </c>
    </row>
    <row r="586" spans="1:16" x14ac:dyDescent="0.35">
      <c r="A586" s="5" t="s">
        <v>999</v>
      </c>
      <c r="B586" s="5" t="s">
        <v>1202</v>
      </c>
      <c r="C586" s="5"/>
      <c r="D586" s="5" t="s">
        <v>563</v>
      </c>
      <c r="E586" s="7" t="str">
        <f>IFERROR(VLOOKUP(D586,EQUIPOS!A:B,2,FALSE),"?")</f>
        <v>Herramientas/consumibles - H° Visto - Maquillaje para recibir pintu</v>
      </c>
      <c r="F586" s="5"/>
      <c r="G586" s="11">
        <v>1</v>
      </c>
      <c r="H586" s="12">
        <v>0</v>
      </c>
      <c r="I586" s="7">
        <f>IFERROR(VLOOKUP(D586,EQUIPOS!A:C,3,FALSE),0)</f>
        <v>54.202500000000001</v>
      </c>
      <c r="J586" s="8">
        <f t="shared" si="36"/>
        <v>54.202500000000001</v>
      </c>
      <c r="K586" s="7" t="str">
        <f t="shared" si="37"/>
        <v>PTO-1407|EQ</v>
      </c>
      <c r="L586" s="7">
        <f>COUNTIFS($K$2:K586,K586)</f>
        <v>1</v>
      </c>
      <c r="M586" s="7" t="str">
        <f t="shared" si="38"/>
        <v>PTO-1407|EQ|1</v>
      </c>
      <c r="N586" s="7">
        <f>IFERROR(VLOOKUP(A586,PARTIDAS!A:F,6,FALSE),0)</f>
        <v>1</v>
      </c>
      <c r="O586" s="7">
        <f t="shared" si="39"/>
        <v>0</v>
      </c>
      <c r="P586" s="7">
        <f>IFERROR(_xlfn.XLOOKUP(A586,PPTO_GENERADOR!$Q:$Q,PPTO_GENERADOR!$E:$E,"-",0),"-")</f>
        <v>429.07780000000002</v>
      </c>
    </row>
    <row r="587" spans="1:16" x14ac:dyDescent="0.35">
      <c r="A587" s="5" t="s">
        <v>1021</v>
      </c>
      <c r="B587" s="5" t="s">
        <v>1203</v>
      </c>
      <c r="C587" s="5" t="s">
        <v>1205</v>
      </c>
      <c r="D587" s="5" t="s">
        <v>136</v>
      </c>
      <c r="E587" s="7" t="str">
        <f>IFERROR(VLOOKUP(D587,MATERIALES!A:B,2,FALSE),"?")</f>
        <v>ARENA LAVADA</v>
      </c>
      <c r="F587" s="5"/>
      <c r="G587" s="11">
        <v>3.5999999999999997E-2</v>
      </c>
      <c r="H587" s="12">
        <v>0.1</v>
      </c>
      <c r="I587" s="7">
        <f>IFERROR(VLOOKUP(D587,MATERIALES!A:D,4,FALSE),0)</f>
        <v>31265.15</v>
      </c>
      <c r="J587" s="8">
        <f t="shared" si="36"/>
        <v>1238.0999400000001</v>
      </c>
      <c r="K587" s="7" t="str">
        <f t="shared" si="37"/>
        <v>PTO-1701|MAT</v>
      </c>
      <c r="L587" s="7">
        <f>COUNTIFS($K$2:K587,K587)</f>
        <v>1</v>
      </c>
      <c r="M587" s="7" t="str">
        <f t="shared" si="38"/>
        <v>PTO-1701|MAT|1</v>
      </c>
      <c r="N587" s="7">
        <f>IFERROR(VLOOKUP(A587,PARTIDAS!A:F,6,FALSE),0)</f>
        <v>1</v>
      </c>
      <c r="O587" s="7">
        <f t="shared" si="39"/>
        <v>0</v>
      </c>
      <c r="P587" s="7">
        <f>IFERROR(_xlfn.XLOOKUP(A587,PPTO_GENERADOR!$Q:$Q,PPTO_GENERADOR!$E:$E,"-",0),"-")</f>
        <v>47</v>
      </c>
    </row>
    <row r="588" spans="1:16" x14ac:dyDescent="0.35">
      <c r="A588" s="5" t="s">
        <v>1021</v>
      </c>
      <c r="B588" s="5" t="s">
        <v>1203</v>
      </c>
      <c r="C588" s="5" t="s">
        <v>1205</v>
      </c>
      <c r="D588" s="5" t="s">
        <v>140</v>
      </c>
      <c r="E588" s="7" t="str">
        <f>IFERROR(VLOOKUP(D588,MATERIALES!A:B,2,FALSE),"?")</f>
        <v>Cemento Portland x 50kg</v>
      </c>
      <c r="F588" s="5"/>
      <c r="G588" s="11">
        <v>0.32400000000000001</v>
      </c>
      <c r="H588" s="12">
        <v>0.1</v>
      </c>
      <c r="I588" s="7">
        <f>IFERROR(VLOOKUP(D588,MATERIALES!A:D,4,FALSE),0)</f>
        <v>7233.47</v>
      </c>
      <c r="J588" s="8">
        <f t="shared" si="36"/>
        <v>2578.0087080000003</v>
      </c>
      <c r="K588" s="7" t="str">
        <f t="shared" si="37"/>
        <v>PTO-1701|MAT</v>
      </c>
      <c r="L588" s="7">
        <f>COUNTIFS($K$2:K588,K588)</f>
        <v>2</v>
      </c>
      <c r="M588" s="7" t="str">
        <f t="shared" si="38"/>
        <v>PTO-1701|MAT|2</v>
      </c>
      <c r="N588" s="7">
        <f>IFERROR(VLOOKUP(A588,PARTIDAS!A:F,6,FALSE),0)</f>
        <v>1</v>
      </c>
      <c r="O588" s="7">
        <f t="shared" si="39"/>
        <v>0</v>
      </c>
      <c r="P588" s="7">
        <f>IFERROR(_xlfn.XLOOKUP(A588,PPTO_GENERADOR!$Q:$Q,PPTO_GENERADOR!$E:$E,"-",0),"-")</f>
        <v>47</v>
      </c>
    </row>
    <row r="589" spans="1:16" x14ac:dyDescent="0.35">
      <c r="A589" s="5" t="s">
        <v>1021</v>
      </c>
      <c r="B589" s="5" t="s">
        <v>1198</v>
      </c>
      <c r="C589" s="5" t="s">
        <v>1201</v>
      </c>
      <c r="D589" s="5" t="s">
        <v>475</v>
      </c>
      <c r="E589" s="7" t="str">
        <f>IFERROR(VLOOKUP(D589,MANO_DE_OBRA!A:B,2,FALSE),"?")</f>
        <v>AYUDANTE</v>
      </c>
      <c r="F589" s="5" t="s">
        <v>1200</v>
      </c>
      <c r="G589" s="11">
        <v>0.375</v>
      </c>
      <c r="H589" s="12">
        <v>0</v>
      </c>
      <c r="I589" s="7">
        <f>IFERROR(VLOOKUP(D589,MANO_DE_OBRA!A:C,3,FALSE),0)</f>
        <v>49934.239999999998</v>
      </c>
      <c r="J589" s="8">
        <f t="shared" si="36"/>
        <v>18725.34</v>
      </c>
      <c r="K589" s="7" t="str">
        <f t="shared" si="37"/>
        <v>PTO-1701|MO</v>
      </c>
      <c r="L589" s="7">
        <f>COUNTIFS($K$2:K589,K589)</f>
        <v>1</v>
      </c>
      <c r="M589" s="7" t="str">
        <f t="shared" si="38"/>
        <v>PTO-1701|MO|1</v>
      </c>
      <c r="N589" s="7">
        <f>IFERROR(VLOOKUP(A589,PARTIDAS!A:F,6,FALSE),0)</f>
        <v>1</v>
      </c>
      <c r="O589" s="7">
        <f t="shared" si="39"/>
        <v>0.375</v>
      </c>
      <c r="P589" s="7">
        <f>IFERROR(_xlfn.XLOOKUP(A589,PPTO_GENERADOR!$Q:$Q,PPTO_GENERADOR!$E:$E,"-",0),"-")</f>
        <v>47</v>
      </c>
    </row>
    <row r="590" spans="1:16" x14ac:dyDescent="0.35">
      <c r="A590" s="5" t="s">
        <v>1021</v>
      </c>
      <c r="B590" s="5" t="s">
        <v>1198</v>
      </c>
      <c r="C590" s="5" t="s">
        <v>1201</v>
      </c>
      <c r="D590" s="5" t="s">
        <v>477</v>
      </c>
      <c r="E590" s="7" t="str">
        <f>IFERROR(VLOOKUP(D590,MANO_DE_OBRA!A:B,2,FALSE),"?")</f>
        <v>ESPECIALIZADO</v>
      </c>
      <c r="F590" s="5" t="s">
        <v>1200</v>
      </c>
      <c r="G590" s="11">
        <v>0.375</v>
      </c>
      <c r="H590" s="12">
        <v>0</v>
      </c>
      <c r="I590" s="7">
        <f>IFERROR(VLOOKUP(D590,MANO_DE_OBRA!A:C,3,FALSE),0)</f>
        <v>75113.05</v>
      </c>
      <c r="J590" s="8">
        <f t="shared" si="36"/>
        <v>28167.393750000003</v>
      </c>
      <c r="K590" s="7" t="str">
        <f t="shared" si="37"/>
        <v>PTO-1701|MO</v>
      </c>
      <c r="L590" s="7">
        <f>COUNTIFS($K$2:K590,K590)</f>
        <v>2</v>
      </c>
      <c r="M590" s="7" t="str">
        <f t="shared" si="38"/>
        <v>PTO-1701|MO|2</v>
      </c>
      <c r="N590" s="7">
        <f>IFERROR(VLOOKUP(A590,PARTIDAS!A:F,6,FALSE),0)</f>
        <v>1</v>
      </c>
      <c r="O590" s="7">
        <f t="shared" si="39"/>
        <v>0.375</v>
      </c>
      <c r="P590" s="7">
        <f>IFERROR(_xlfn.XLOOKUP(A590,PPTO_GENERADOR!$Q:$Q,PPTO_GENERADOR!$E:$E,"-",0),"-")</f>
        <v>47</v>
      </c>
    </row>
    <row r="591" spans="1:16" x14ac:dyDescent="0.35">
      <c r="A591" s="5" t="s">
        <v>1021</v>
      </c>
      <c r="B591" s="5" t="s">
        <v>1202</v>
      </c>
      <c r="C591" s="5"/>
      <c r="D591" s="5" t="s">
        <v>525</v>
      </c>
      <c r="E591" s="7" t="str">
        <f>IFERROR(VLOOKUP(D591,EQUIPOS!A:B,2,FALSE),"?")</f>
        <v>EQUIPO DE ALBAÑILERIA, carpetas, ladrillo</v>
      </c>
      <c r="F591" s="5"/>
      <c r="G591" s="11">
        <v>0.125</v>
      </c>
      <c r="H591" s="12">
        <v>0</v>
      </c>
      <c r="I591" s="7">
        <f>IFERROR(VLOOKUP(D591,EQUIPOS!A:C,3,FALSE),0)</f>
        <v>2227.2298000000001</v>
      </c>
      <c r="J591" s="8">
        <f t="shared" si="36"/>
        <v>278.40372500000001</v>
      </c>
      <c r="K591" s="7" t="str">
        <f t="shared" si="37"/>
        <v>PTO-1701|EQ</v>
      </c>
      <c r="L591" s="7">
        <f>COUNTIFS($K$2:K591,K591)</f>
        <v>1</v>
      </c>
      <c r="M591" s="7" t="str">
        <f t="shared" si="38"/>
        <v>PTO-1701|EQ|1</v>
      </c>
      <c r="N591" s="7">
        <f>IFERROR(VLOOKUP(A591,PARTIDAS!A:F,6,FALSE),0)</f>
        <v>1</v>
      </c>
      <c r="O591" s="7">
        <f t="shared" si="39"/>
        <v>0</v>
      </c>
      <c r="P591" s="7">
        <f>IFERROR(_xlfn.XLOOKUP(A591,PPTO_GENERADOR!$Q:$Q,PPTO_GENERADOR!$E:$E,"-",0),"-")</f>
        <v>47</v>
      </c>
    </row>
    <row r="592" spans="1:16" x14ac:dyDescent="0.35">
      <c r="A592" s="5" t="s">
        <v>1021</v>
      </c>
      <c r="B592" s="5" t="s">
        <v>1202</v>
      </c>
      <c r="C592" s="5"/>
      <c r="D592" s="5" t="s">
        <v>529</v>
      </c>
      <c r="E592" s="7" t="str">
        <f>IFERROR(VLOOKUP(D592,EQUIPOS!A:B,2,FALSE),"?")</f>
        <v>Hormigonera De 150 Litros 1hp Con Rueda Maciza</v>
      </c>
      <c r="F592" s="5"/>
      <c r="G592" s="11">
        <v>0.125</v>
      </c>
      <c r="H592" s="12">
        <v>0</v>
      </c>
      <c r="I592" s="7">
        <f>IFERROR(VLOOKUP(D592,EQUIPOS!A:C,3,FALSE),0)</f>
        <v>932.18029999999999</v>
      </c>
      <c r="J592" s="8">
        <f t="shared" si="36"/>
        <v>116.5225375</v>
      </c>
      <c r="K592" s="7" t="str">
        <f t="shared" si="37"/>
        <v>PTO-1701|EQ</v>
      </c>
      <c r="L592" s="7">
        <f>COUNTIFS($K$2:K592,K592)</f>
        <v>2</v>
      </c>
      <c r="M592" s="7" t="str">
        <f t="shared" si="38"/>
        <v>PTO-1701|EQ|2</v>
      </c>
      <c r="N592" s="7">
        <f>IFERROR(VLOOKUP(A592,PARTIDAS!A:F,6,FALSE),0)</f>
        <v>1</v>
      </c>
      <c r="O592" s="7">
        <f t="shared" si="39"/>
        <v>0</v>
      </c>
      <c r="P592" s="7">
        <f>IFERROR(_xlfn.XLOOKUP(A592,PPTO_GENERADOR!$Q:$Q,PPTO_GENERADOR!$E:$E,"-",0),"-")</f>
        <v>47</v>
      </c>
    </row>
    <row r="593" spans="1:16" x14ac:dyDescent="0.35">
      <c r="A593" s="5" t="s">
        <v>1023</v>
      </c>
      <c r="B593" s="5" t="s">
        <v>1203</v>
      </c>
      <c r="C593" s="5" t="s">
        <v>1205</v>
      </c>
      <c r="D593" s="5" t="s">
        <v>136</v>
      </c>
      <c r="E593" s="7" t="str">
        <f>IFERROR(VLOOKUP(D593,MATERIALES!A:B,2,FALSE),"?")</f>
        <v>ARENA LAVADA</v>
      </c>
      <c r="F593" s="5"/>
      <c r="G593" s="11">
        <v>3.5999999999999997E-2</v>
      </c>
      <c r="H593" s="12">
        <v>0.1</v>
      </c>
      <c r="I593" s="7">
        <f>IFERROR(VLOOKUP(D593,MATERIALES!A:D,4,FALSE),0)</f>
        <v>31265.15</v>
      </c>
      <c r="J593" s="8">
        <f t="shared" si="36"/>
        <v>1238.0999400000001</v>
      </c>
      <c r="K593" s="7" t="str">
        <f t="shared" si="37"/>
        <v>PTO-1702|MAT</v>
      </c>
      <c r="L593" s="7">
        <f>COUNTIFS($K$2:K593,K593)</f>
        <v>1</v>
      </c>
      <c r="M593" s="7" t="str">
        <f t="shared" si="38"/>
        <v>PTO-1702|MAT|1</v>
      </c>
      <c r="N593" s="7">
        <f>IFERROR(VLOOKUP(A593,PARTIDAS!A:F,6,FALSE),0)</f>
        <v>1</v>
      </c>
      <c r="O593" s="7">
        <f t="shared" si="39"/>
        <v>0</v>
      </c>
      <c r="P593" s="7">
        <f>IFERROR(_xlfn.XLOOKUP(A593,PPTO_GENERADOR!$Q:$Q,PPTO_GENERADOR!$E:$E,"-",0),"-")</f>
        <v>23</v>
      </c>
    </row>
    <row r="594" spans="1:16" x14ac:dyDescent="0.35">
      <c r="A594" s="5" t="s">
        <v>1023</v>
      </c>
      <c r="B594" s="5" t="s">
        <v>1203</v>
      </c>
      <c r="C594" s="5" t="s">
        <v>1205</v>
      </c>
      <c r="D594" s="5" t="s">
        <v>140</v>
      </c>
      <c r="E594" s="7" t="str">
        <f>IFERROR(VLOOKUP(D594,MATERIALES!A:B,2,FALSE),"?")</f>
        <v>Cemento Portland x 50kg</v>
      </c>
      <c r="F594" s="5"/>
      <c r="G594" s="11">
        <v>0.32400000000000001</v>
      </c>
      <c r="H594" s="12">
        <v>0.1</v>
      </c>
      <c r="I594" s="7">
        <f>IFERROR(VLOOKUP(D594,MATERIALES!A:D,4,FALSE),0)</f>
        <v>7233.47</v>
      </c>
      <c r="J594" s="8">
        <f t="shared" si="36"/>
        <v>2578.0087080000003</v>
      </c>
      <c r="K594" s="7" t="str">
        <f t="shared" si="37"/>
        <v>PTO-1702|MAT</v>
      </c>
      <c r="L594" s="7">
        <f>COUNTIFS($K$2:K594,K594)</f>
        <v>2</v>
      </c>
      <c r="M594" s="7" t="str">
        <f t="shared" si="38"/>
        <v>PTO-1702|MAT|2</v>
      </c>
      <c r="N594" s="7">
        <f>IFERROR(VLOOKUP(A594,PARTIDAS!A:F,6,FALSE),0)</f>
        <v>1</v>
      </c>
      <c r="O594" s="7">
        <f t="shared" si="39"/>
        <v>0</v>
      </c>
      <c r="P594" s="7">
        <f>IFERROR(_xlfn.XLOOKUP(A594,PPTO_GENERADOR!$Q:$Q,PPTO_GENERADOR!$E:$E,"-",0),"-")</f>
        <v>23</v>
      </c>
    </row>
    <row r="595" spans="1:16" x14ac:dyDescent="0.35">
      <c r="A595" s="5" t="s">
        <v>1023</v>
      </c>
      <c r="B595" s="5" t="s">
        <v>1198</v>
      </c>
      <c r="C595" s="5" t="s">
        <v>1201</v>
      </c>
      <c r="D595" s="5" t="s">
        <v>475</v>
      </c>
      <c r="E595" s="7" t="str">
        <f>IFERROR(VLOOKUP(D595,MANO_DE_OBRA!A:B,2,FALSE),"?")</f>
        <v>AYUDANTE</v>
      </c>
      <c r="F595" s="5" t="s">
        <v>1200</v>
      </c>
      <c r="G595" s="11">
        <v>0.375</v>
      </c>
      <c r="H595" s="12">
        <v>0</v>
      </c>
      <c r="I595" s="7">
        <f>IFERROR(VLOOKUP(D595,MANO_DE_OBRA!A:C,3,FALSE),0)</f>
        <v>49934.239999999998</v>
      </c>
      <c r="J595" s="8">
        <f t="shared" si="36"/>
        <v>18725.34</v>
      </c>
      <c r="K595" s="7" t="str">
        <f t="shared" si="37"/>
        <v>PTO-1702|MO</v>
      </c>
      <c r="L595" s="7">
        <f>COUNTIFS($K$2:K595,K595)</f>
        <v>1</v>
      </c>
      <c r="M595" s="7" t="str">
        <f t="shared" si="38"/>
        <v>PTO-1702|MO|1</v>
      </c>
      <c r="N595" s="7">
        <f>IFERROR(VLOOKUP(A595,PARTIDAS!A:F,6,FALSE),0)</f>
        <v>1</v>
      </c>
      <c r="O595" s="7">
        <f t="shared" si="39"/>
        <v>0.375</v>
      </c>
      <c r="P595" s="7">
        <f>IFERROR(_xlfn.XLOOKUP(A595,PPTO_GENERADOR!$Q:$Q,PPTO_GENERADOR!$E:$E,"-",0),"-")</f>
        <v>23</v>
      </c>
    </row>
    <row r="596" spans="1:16" x14ac:dyDescent="0.35">
      <c r="A596" s="5" t="s">
        <v>1023</v>
      </c>
      <c r="B596" s="5" t="s">
        <v>1198</v>
      </c>
      <c r="C596" s="5" t="s">
        <v>1201</v>
      </c>
      <c r="D596" s="5" t="s">
        <v>477</v>
      </c>
      <c r="E596" s="7" t="str">
        <f>IFERROR(VLOOKUP(D596,MANO_DE_OBRA!A:B,2,FALSE),"?")</f>
        <v>ESPECIALIZADO</v>
      </c>
      <c r="F596" s="5" t="s">
        <v>1200</v>
      </c>
      <c r="G596" s="11">
        <v>0.375</v>
      </c>
      <c r="H596" s="12">
        <v>0</v>
      </c>
      <c r="I596" s="7">
        <f>IFERROR(VLOOKUP(D596,MANO_DE_OBRA!A:C,3,FALSE),0)</f>
        <v>75113.05</v>
      </c>
      <c r="J596" s="8">
        <f t="shared" si="36"/>
        <v>28167.393750000003</v>
      </c>
      <c r="K596" s="7" t="str">
        <f t="shared" si="37"/>
        <v>PTO-1702|MO</v>
      </c>
      <c r="L596" s="7">
        <f>COUNTIFS($K$2:K596,K596)</f>
        <v>2</v>
      </c>
      <c r="M596" s="7" t="str">
        <f t="shared" si="38"/>
        <v>PTO-1702|MO|2</v>
      </c>
      <c r="N596" s="7">
        <f>IFERROR(VLOOKUP(A596,PARTIDAS!A:F,6,FALSE),0)</f>
        <v>1</v>
      </c>
      <c r="O596" s="7">
        <f t="shared" si="39"/>
        <v>0.375</v>
      </c>
      <c r="P596" s="7">
        <f>IFERROR(_xlfn.XLOOKUP(A596,PPTO_GENERADOR!$Q:$Q,PPTO_GENERADOR!$E:$E,"-",0),"-")</f>
        <v>23</v>
      </c>
    </row>
    <row r="597" spans="1:16" x14ac:dyDescent="0.35">
      <c r="A597" s="5" t="s">
        <v>1023</v>
      </c>
      <c r="B597" s="5" t="s">
        <v>1202</v>
      </c>
      <c r="C597" s="5"/>
      <c r="D597" s="5" t="s">
        <v>525</v>
      </c>
      <c r="E597" s="7" t="str">
        <f>IFERROR(VLOOKUP(D597,EQUIPOS!A:B,2,FALSE),"?")</f>
        <v>EQUIPO DE ALBAÑILERIA, carpetas, ladrillo</v>
      </c>
      <c r="F597" s="5"/>
      <c r="G597" s="11">
        <v>0.125</v>
      </c>
      <c r="H597" s="12">
        <v>0</v>
      </c>
      <c r="I597" s="7">
        <f>IFERROR(VLOOKUP(D597,EQUIPOS!A:C,3,FALSE),0)</f>
        <v>2227.2298000000001</v>
      </c>
      <c r="J597" s="8">
        <f t="shared" si="36"/>
        <v>278.40372500000001</v>
      </c>
      <c r="K597" s="7" t="str">
        <f t="shared" si="37"/>
        <v>PTO-1702|EQ</v>
      </c>
      <c r="L597" s="7">
        <f>COUNTIFS($K$2:K597,K597)</f>
        <v>1</v>
      </c>
      <c r="M597" s="7" t="str">
        <f t="shared" si="38"/>
        <v>PTO-1702|EQ|1</v>
      </c>
      <c r="N597" s="7">
        <f>IFERROR(VLOOKUP(A597,PARTIDAS!A:F,6,FALSE),0)</f>
        <v>1</v>
      </c>
      <c r="O597" s="7">
        <f t="shared" si="39"/>
        <v>0</v>
      </c>
      <c r="P597" s="7">
        <f>IFERROR(_xlfn.XLOOKUP(A597,PPTO_GENERADOR!$Q:$Q,PPTO_GENERADOR!$E:$E,"-",0),"-")</f>
        <v>23</v>
      </c>
    </row>
    <row r="598" spans="1:16" x14ac:dyDescent="0.35">
      <c r="A598" s="5" t="s">
        <v>1023</v>
      </c>
      <c r="B598" s="5" t="s">
        <v>1202</v>
      </c>
      <c r="C598" s="5"/>
      <c r="D598" s="5" t="s">
        <v>529</v>
      </c>
      <c r="E598" s="7" t="str">
        <f>IFERROR(VLOOKUP(D598,EQUIPOS!A:B,2,FALSE),"?")</f>
        <v>Hormigonera De 150 Litros 1hp Con Rueda Maciza</v>
      </c>
      <c r="F598" s="5"/>
      <c r="G598" s="11">
        <v>0.125</v>
      </c>
      <c r="H598" s="12">
        <v>0</v>
      </c>
      <c r="I598" s="7">
        <f>IFERROR(VLOOKUP(D598,EQUIPOS!A:C,3,FALSE),0)</f>
        <v>932.18029999999999</v>
      </c>
      <c r="J598" s="8">
        <f t="shared" si="36"/>
        <v>116.5225375</v>
      </c>
      <c r="K598" s="7" t="str">
        <f t="shared" si="37"/>
        <v>PTO-1702|EQ</v>
      </c>
      <c r="L598" s="7">
        <f>COUNTIFS($K$2:K598,K598)</f>
        <v>2</v>
      </c>
      <c r="M598" s="7" t="str">
        <f t="shared" si="38"/>
        <v>PTO-1702|EQ|2</v>
      </c>
      <c r="N598" s="7">
        <f>IFERROR(VLOOKUP(A598,PARTIDAS!A:F,6,FALSE),0)</f>
        <v>1</v>
      </c>
      <c r="O598" s="7">
        <f t="shared" si="39"/>
        <v>0</v>
      </c>
      <c r="P598" s="7">
        <f>IFERROR(_xlfn.XLOOKUP(A598,PPTO_GENERADOR!$Q:$Q,PPTO_GENERADOR!$E:$E,"-",0),"-")</f>
        <v>23</v>
      </c>
    </row>
    <row r="599" spans="1:16" x14ac:dyDescent="0.35">
      <c r="A599" s="5" t="s">
        <v>1025</v>
      </c>
      <c r="B599" s="5" t="s">
        <v>1203</v>
      </c>
      <c r="C599" s="5" t="s">
        <v>1205</v>
      </c>
      <c r="D599" s="5" t="s">
        <v>136</v>
      </c>
      <c r="E599" s="7" t="str">
        <f>IFERROR(VLOOKUP(D599,MATERIALES!A:B,2,FALSE),"?")</f>
        <v>ARENA LAVADA</v>
      </c>
      <c r="F599" s="5"/>
      <c r="G599" s="11">
        <v>1.38E-2</v>
      </c>
      <c r="H599" s="12">
        <v>0.05</v>
      </c>
      <c r="I599" s="7">
        <f>IFERROR(VLOOKUP(D599,MATERIALES!A:D,4,FALSE),0)</f>
        <v>31265.15</v>
      </c>
      <c r="J599" s="8">
        <f t="shared" si="36"/>
        <v>453.03202350000004</v>
      </c>
      <c r="K599" s="7" t="str">
        <f t="shared" si="37"/>
        <v>PTO-1703|MAT</v>
      </c>
      <c r="L599" s="7">
        <f>COUNTIFS($K$2:K599,K599)</f>
        <v>1</v>
      </c>
      <c r="M599" s="7" t="str">
        <f t="shared" si="38"/>
        <v>PTO-1703|MAT|1</v>
      </c>
      <c r="N599" s="7">
        <f>IFERROR(VLOOKUP(A599,PARTIDAS!A:F,6,FALSE),0)</f>
        <v>1</v>
      </c>
      <c r="O599" s="7">
        <f t="shared" si="39"/>
        <v>0</v>
      </c>
      <c r="P599" s="7">
        <f>IFERROR(_xlfn.XLOOKUP(A599,PPTO_GENERADOR!$Q:$Q,PPTO_GENERADOR!$E:$E,"-",0),"-")</f>
        <v>51</v>
      </c>
    </row>
    <row r="600" spans="1:16" x14ac:dyDescent="0.35">
      <c r="A600" s="5" t="s">
        <v>1025</v>
      </c>
      <c r="B600" s="5" t="s">
        <v>1203</v>
      </c>
      <c r="C600" s="5" t="s">
        <v>1205</v>
      </c>
      <c r="D600" s="5" t="s">
        <v>140</v>
      </c>
      <c r="E600" s="7" t="str">
        <f>IFERROR(VLOOKUP(D600,MATERIALES!A:B,2,FALSE),"?")</f>
        <v>Cemento Portland x 50kg</v>
      </c>
      <c r="F600" s="5"/>
      <c r="G600" s="11">
        <v>0.1242</v>
      </c>
      <c r="H600" s="12">
        <v>0.05</v>
      </c>
      <c r="I600" s="7">
        <f>IFERROR(VLOOKUP(D600,MATERIALES!A:D,4,FALSE),0)</f>
        <v>7233.47</v>
      </c>
      <c r="J600" s="8">
        <f t="shared" si="36"/>
        <v>943.31682270000022</v>
      </c>
      <c r="K600" s="7" t="str">
        <f t="shared" si="37"/>
        <v>PTO-1703|MAT</v>
      </c>
      <c r="L600" s="7">
        <f>COUNTIFS($K$2:K600,K600)</f>
        <v>2</v>
      </c>
      <c r="M600" s="7" t="str">
        <f t="shared" si="38"/>
        <v>PTO-1703|MAT|2</v>
      </c>
      <c r="N600" s="7">
        <f>IFERROR(VLOOKUP(A600,PARTIDAS!A:F,6,FALSE),0)</f>
        <v>1</v>
      </c>
      <c r="O600" s="7">
        <f t="shared" si="39"/>
        <v>0</v>
      </c>
      <c r="P600" s="7">
        <f>IFERROR(_xlfn.XLOOKUP(A600,PPTO_GENERADOR!$Q:$Q,PPTO_GENERADOR!$E:$E,"-",0),"-")</f>
        <v>51</v>
      </c>
    </row>
    <row r="601" spans="1:16" x14ac:dyDescent="0.35">
      <c r="A601" s="5" t="s">
        <v>1025</v>
      </c>
      <c r="B601" s="5" t="s">
        <v>1198</v>
      </c>
      <c r="C601" s="5" t="s">
        <v>1201</v>
      </c>
      <c r="D601" s="5" t="s">
        <v>475</v>
      </c>
      <c r="E601" s="7" t="str">
        <f>IFERROR(VLOOKUP(D601,MANO_DE_OBRA!A:B,2,FALSE),"?")</f>
        <v>AYUDANTE</v>
      </c>
      <c r="F601" s="5" t="s">
        <v>1200</v>
      </c>
      <c r="G601" s="11">
        <v>0.25</v>
      </c>
      <c r="H601" s="12">
        <v>0</v>
      </c>
      <c r="I601" s="7">
        <f>IFERROR(VLOOKUP(D601,MANO_DE_OBRA!A:C,3,FALSE),0)</f>
        <v>49934.239999999998</v>
      </c>
      <c r="J601" s="8">
        <f t="shared" si="36"/>
        <v>12483.56</v>
      </c>
      <c r="K601" s="7" t="str">
        <f t="shared" si="37"/>
        <v>PTO-1703|MO</v>
      </c>
      <c r="L601" s="7">
        <f>COUNTIFS($K$2:K601,K601)</f>
        <v>1</v>
      </c>
      <c r="M601" s="7" t="str">
        <f t="shared" si="38"/>
        <v>PTO-1703|MO|1</v>
      </c>
      <c r="N601" s="7">
        <f>IFERROR(VLOOKUP(A601,PARTIDAS!A:F,6,FALSE),0)</f>
        <v>1</v>
      </c>
      <c r="O601" s="7">
        <f t="shared" si="39"/>
        <v>0.25</v>
      </c>
      <c r="P601" s="7">
        <f>IFERROR(_xlfn.XLOOKUP(A601,PPTO_GENERADOR!$Q:$Q,PPTO_GENERADOR!$E:$E,"-",0),"-")</f>
        <v>51</v>
      </c>
    </row>
    <row r="602" spans="1:16" x14ac:dyDescent="0.35">
      <c r="A602" s="5" t="s">
        <v>1025</v>
      </c>
      <c r="B602" s="5" t="s">
        <v>1198</v>
      </c>
      <c r="C602" s="5" t="s">
        <v>1201</v>
      </c>
      <c r="D602" s="5" t="s">
        <v>477</v>
      </c>
      <c r="E602" s="7" t="str">
        <f>IFERROR(VLOOKUP(D602,MANO_DE_OBRA!A:B,2,FALSE),"?")</f>
        <v>ESPECIALIZADO</v>
      </c>
      <c r="F602" s="5" t="s">
        <v>1200</v>
      </c>
      <c r="G602" s="11">
        <v>0.25</v>
      </c>
      <c r="H602" s="12">
        <v>0</v>
      </c>
      <c r="I602" s="7">
        <f>IFERROR(VLOOKUP(D602,MANO_DE_OBRA!A:C,3,FALSE),0)</f>
        <v>75113.05</v>
      </c>
      <c r="J602" s="8">
        <f t="shared" si="36"/>
        <v>18778.262500000001</v>
      </c>
      <c r="K602" s="7" t="str">
        <f t="shared" si="37"/>
        <v>PTO-1703|MO</v>
      </c>
      <c r="L602" s="7">
        <f>COUNTIFS($K$2:K602,K602)</f>
        <v>2</v>
      </c>
      <c r="M602" s="7" t="str">
        <f t="shared" si="38"/>
        <v>PTO-1703|MO|2</v>
      </c>
      <c r="N602" s="7">
        <f>IFERROR(VLOOKUP(A602,PARTIDAS!A:F,6,FALSE),0)</f>
        <v>1</v>
      </c>
      <c r="O602" s="7">
        <f t="shared" si="39"/>
        <v>0.25</v>
      </c>
      <c r="P602" s="7">
        <f>IFERROR(_xlfn.XLOOKUP(A602,PPTO_GENERADOR!$Q:$Q,PPTO_GENERADOR!$E:$E,"-",0),"-")</f>
        <v>51</v>
      </c>
    </row>
    <row r="603" spans="1:16" x14ac:dyDescent="0.35">
      <c r="A603" s="5" t="s">
        <v>1025</v>
      </c>
      <c r="B603" s="5" t="s">
        <v>1202</v>
      </c>
      <c r="C603" s="5"/>
      <c r="D603" s="5" t="s">
        <v>525</v>
      </c>
      <c r="E603" s="7" t="str">
        <f>IFERROR(VLOOKUP(D603,EQUIPOS!A:B,2,FALSE),"?")</f>
        <v>EQUIPO DE ALBAÑILERIA, carpetas, ladrillo</v>
      </c>
      <c r="F603" s="5"/>
      <c r="G603" s="11">
        <v>6.25E-2</v>
      </c>
      <c r="H603" s="12">
        <v>0</v>
      </c>
      <c r="I603" s="7">
        <f>IFERROR(VLOOKUP(D603,EQUIPOS!A:C,3,FALSE),0)</f>
        <v>2227.2298000000001</v>
      </c>
      <c r="J603" s="8">
        <f t="shared" si="36"/>
        <v>139.2018625</v>
      </c>
      <c r="K603" s="7" t="str">
        <f t="shared" si="37"/>
        <v>PTO-1703|EQ</v>
      </c>
      <c r="L603" s="7">
        <f>COUNTIFS($K$2:K603,K603)</f>
        <v>1</v>
      </c>
      <c r="M603" s="7" t="str">
        <f t="shared" si="38"/>
        <v>PTO-1703|EQ|1</v>
      </c>
      <c r="N603" s="7">
        <f>IFERROR(VLOOKUP(A603,PARTIDAS!A:F,6,FALSE),0)</f>
        <v>1</v>
      </c>
      <c r="O603" s="7">
        <f t="shared" si="39"/>
        <v>0</v>
      </c>
      <c r="P603" s="7">
        <f>IFERROR(_xlfn.XLOOKUP(A603,PPTO_GENERADOR!$Q:$Q,PPTO_GENERADOR!$E:$E,"-",0),"-")</f>
        <v>51</v>
      </c>
    </row>
    <row r="604" spans="1:16" x14ac:dyDescent="0.35">
      <c r="A604" s="5" t="s">
        <v>1025</v>
      </c>
      <c r="B604" s="5" t="s">
        <v>1202</v>
      </c>
      <c r="C604" s="5"/>
      <c r="D604" s="5" t="s">
        <v>529</v>
      </c>
      <c r="E604" s="7" t="str">
        <f>IFERROR(VLOOKUP(D604,EQUIPOS!A:B,2,FALSE),"?")</f>
        <v>Hormigonera De 150 Litros 1hp Con Rueda Maciza</v>
      </c>
      <c r="F604" s="5"/>
      <c r="G604" s="11">
        <v>6.25E-2</v>
      </c>
      <c r="H604" s="12">
        <v>0</v>
      </c>
      <c r="I604" s="7">
        <f>IFERROR(VLOOKUP(D604,EQUIPOS!A:C,3,FALSE),0)</f>
        <v>932.18029999999999</v>
      </c>
      <c r="J604" s="8">
        <f t="shared" si="36"/>
        <v>58.261268749999999</v>
      </c>
      <c r="K604" s="7" t="str">
        <f t="shared" si="37"/>
        <v>PTO-1703|EQ</v>
      </c>
      <c r="L604" s="7">
        <f>COUNTIFS($K$2:K604,K604)</f>
        <v>2</v>
      </c>
      <c r="M604" s="7" t="str">
        <f t="shared" si="38"/>
        <v>PTO-1703|EQ|2</v>
      </c>
      <c r="N604" s="7">
        <f>IFERROR(VLOOKUP(A604,PARTIDAS!A:F,6,FALSE),0)</f>
        <v>1</v>
      </c>
      <c r="O604" s="7">
        <f t="shared" si="39"/>
        <v>0</v>
      </c>
      <c r="P604" s="7">
        <f>IFERROR(_xlfn.XLOOKUP(A604,PPTO_GENERADOR!$Q:$Q,PPTO_GENERADOR!$E:$E,"-",0),"-")</f>
        <v>51</v>
      </c>
    </row>
    <row r="605" spans="1:16" x14ac:dyDescent="0.35">
      <c r="A605" s="5" t="s">
        <v>1027</v>
      </c>
      <c r="B605" s="5" t="s">
        <v>1203</v>
      </c>
      <c r="C605" s="5" t="s">
        <v>1205</v>
      </c>
      <c r="D605" s="5" t="s">
        <v>136</v>
      </c>
      <c r="E605" s="7" t="str">
        <f>IFERROR(VLOOKUP(D605,MATERIALES!A:B,2,FALSE),"?")</f>
        <v>ARENA LAVADA</v>
      </c>
      <c r="F605" s="5"/>
      <c r="G605" s="11">
        <v>3.5999999999999997E-2</v>
      </c>
      <c r="H605" s="12">
        <v>0.1</v>
      </c>
      <c r="I605" s="7">
        <f>IFERROR(VLOOKUP(D605,MATERIALES!A:D,4,FALSE),0)</f>
        <v>31265.15</v>
      </c>
      <c r="J605" s="8">
        <f t="shared" si="36"/>
        <v>1238.0999400000001</v>
      </c>
      <c r="K605" s="7" t="str">
        <f t="shared" si="37"/>
        <v>PTO-1704|MAT</v>
      </c>
      <c r="L605" s="7">
        <f>COUNTIFS($K$2:K605,K605)</f>
        <v>1</v>
      </c>
      <c r="M605" s="7" t="str">
        <f t="shared" si="38"/>
        <v>PTO-1704|MAT|1</v>
      </c>
      <c r="N605" s="7">
        <f>IFERROR(VLOOKUP(A605,PARTIDAS!A:F,6,FALSE),0)</f>
        <v>1</v>
      </c>
      <c r="O605" s="7">
        <f t="shared" si="39"/>
        <v>0</v>
      </c>
      <c r="P605" s="7">
        <f>IFERROR(_xlfn.XLOOKUP(A605,PPTO_GENERADOR!$Q:$Q,PPTO_GENERADOR!$E:$E,"-",0),"-")</f>
        <v>7</v>
      </c>
    </row>
    <row r="606" spans="1:16" x14ac:dyDescent="0.35">
      <c r="A606" s="5" t="s">
        <v>1027</v>
      </c>
      <c r="B606" s="5" t="s">
        <v>1203</v>
      </c>
      <c r="C606" s="5" t="s">
        <v>1205</v>
      </c>
      <c r="D606" s="5" t="s">
        <v>140</v>
      </c>
      <c r="E606" s="7" t="str">
        <f>IFERROR(VLOOKUP(D606,MATERIALES!A:B,2,FALSE),"?")</f>
        <v>Cemento Portland x 50kg</v>
      </c>
      <c r="F606" s="5"/>
      <c r="G606" s="11">
        <v>0.32400000000000001</v>
      </c>
      <c r="H606" s="12">
        <v>0.1</v>
      </c>
      <c r="I606" s="7">
        <f>IFERROR(VLOOKUP(D606,MATERIALES!A:D,4,FALSE),0)</f>
        <v>7233.47</v>
      </c>
      <c r="J606" s="8">
        <f t="shared" si="36"/>
        <v>2578.0087080000003</v>
      </c>
      <c r="K606" s="7" t="str">
        <f t="shared" si="37"/>
        <v>PTO-1704|MAT</v>
      </c>
      <c r="L606" s="7">
        <f>COUNTIFS($K$2:K606,K606)</f>
        <v>2</v>
      </c>
      <c r="M606" s="7" t="str">
        <f t="shared" si="38"/>
        <v>PTO-1704|MAT|2</v>
      </c>
      <c r="N606" s="7">
        <f>IFERROR(VLOOKUP(A606,PARTIDAS!A:F,6,FALSE),0)</f>
        <v>1</v>
      </c>
      <c r="O606" s="7">
        <f t="shared" si="39"/>
        <v>0</v>
      </c>
      <c r="P606" s="7">
        <f>IFERROR(_xlfn.XLOOKUP(A606,PPTO_GENERADOR!$Q:$Q,PPTO_GENERADOR!$E:$E,"-",0),"-")</f>
        <v>7</v>
      </c>
    </row>
    <row r="607" spans="1:16" x14ac:dyDescent="0.35">
      <c r="A607" s="5" t="s">
        <v>1027</v>
      </c>
      <c r="B607" s="5" t="s">
        <v>1198</v>
      </c>
      <c r="C607" s="5" t="s">
        <v>1199</v>
      </c>
      <c r="D607" s="5" t="s">
        <v>688</v>
      </c>
      <c r="E607" s="7" t="str">
        <f>IFERROR(VLOOKUP(D607,SUBCONTRATOS_PRY!A:B,2,FALSE),"?")</f>
        <v>AYUDANTE ALBAÑIL</v>
      </c>
      <c r="F607" s="5" t="s">
        <v>1200</v>
      </c>
      <c r="G607" s="11">
        <v>0.1875</v>
      </c>
      <c r="H607" s="12">
        <v>0</v>
      </c>
      <c r="I607" s="7">
        <f>IFERROR(VLOOKUP(D607,SUBCONTRATOS_PRY!A:D,4,FALSE),0)</f>
        <v>49934.237200000003</v>
      </c>
      <c r="J607" s="8">
        <f t="shared" si="36"/>
        <v>9362.6694750000006</v>
      </c>
      <c r="K607" s="7" t="str">
        <f t="shared" si="37"/>
        <v>PTO-1704|MO</v>
      </c>
      <c r="L607" s="7">
        <f>COUNTIFS($K$2:K607,K607)</f>
        <v>1</v>
      </c>
      <c r="M607" s="7" t="str">
        <f t="shared" si="38"/>
        <v>PTO-1704|MO|1</v>
      </c>
      <c r="N607" s="7">
        <f>IFERROR(VLOOKUP(A607,PARTIDAS!A:F,6,FALSE),0)</f>
        <v>1</v>
      </c>
      <c r="O607" s="7">
        <f t="shared" si="39"/>
        <v>0</v>
      </c>
      <c r="P607" s="7">
        <f>IFERROR(_xlfn.XLOOKUP(A607,PPTO_GENERADOR!$Q:$Q,PPTO_GENERADOR!$E:$E,"-",0),"-")</f>
        <v>7</v>
      </c>
    </row>
    <row r="608" spans="1:16" x14ac:dyDescent="0.35">
      <c r="A608" s="5" t="s">
        <v>1027</v>
      </c>
      <c r="B608" s="5" t="s">
        <v>1198</v>
      </c>
      <c r="C608" s="5" t="s">
        <v>1199</v>
      </c>
      <c r="D608" s="5" t="s">
        <v>686</v>
      </c>
      <c r="E608" s="7" t="str">
        <f>IFERROR(VLOOKUP(D608,SUBCONTRATOS_PRY!A:B,2,FALSE),"?")</f>
        <v>OFICIAL ESPECIALIZADO ALBAÑIL</v>
      </c>
      <c r="F608" s="5" t="s">
        <v>1200</v>
      </c>
      <c r="G608" s="11">
        <v>0.1875</v>
      </c>
      <c r="H608" s="12">
        <v>0</v>
      </c>
      <c r="I608" s="7">
        <f>IFERROR(VLOOKUP(D608,SUBCONTRATOS_PRY!A:D,4,FALSE),0)</f>
        <v>75113.048200000005</v>
      </c>
      <c r="J608" s="8">
        <f t="shared" si="36"/>
        <v>14083.6965375</v>
      </c>
      <c r="K608" s="7" t="str">
        <f t="shared" si="37"/>
        <v>PTO-1704|MO</v>
      </c>
      <c r="L608" s="7">
        <f>COUNTIFS($K$2:K608,K608)</f>
        <v>2</v>
      </c>
      <c r="M608" s="7" t="str">
        <f t="shared" si="38"/>
        <v>PTO-1704|MO|2</v>
      </c>
      <c r="N608" s="7">
        <f>IFERROR(VLOOKUP(A608,PARTIDAS!A:F,6,FALSE),0)</f>
        <v>1</v>
      </c>
      <c r="O608" s="7">
        <f t="shared" si="39"/>
        <v>0</v>
      </c>
      <c r="P608" s="7">
        <f>IFERROR(_xlfn.XLOOKUP(A608,PPTO_GENERADOR!$Q:$Q,PPTO_GENERADOR!$E:$E,"-",0),"-")</f>
        <v>7</v>
      </c>
    </row>
    <row r="609" spans="1:16" x14ac:dyDescent="0.35">
      <c r="A609" s="5" t="s">
        <v>1027</v>
      </c>
      <c r="B609" s="5" t="s">
        <v>1198</v>
      </c>
      <c r="C609" s="5" t="s">
        <v>1201</v>
      </c>
      <c r="D609" s="5" t="s">
        <v>475</v>
      </c>
      <c r="E609" s="7" t="str">
        <f>IFERROR(VLOOKUP(D609,MANO_DE_OBRA!A:B,2,FALSE),"?")</f>
        <v>AYUDANTE</v>
      </c>
      <c r="F609" s="5" t="s">
        <v>1200</v>
      </c>
      <c r="G609" s="11">
        <v>0.375</v>
      </c>
      <c r="H609" s="12">
        <v>0</v>
      </c>
      <c r="I609" s="7">
        <f>IFERROR(VLOOKUP(D609,MANO_DE_OBRA!A:C,3,FALSE),0)</f>
        <v>49934.239999999998</v>
      </c>
      <c r="J609" s="8">
        <f t="shared" si="36"/>
        <v>18725.34</v>
      </c>
      <c r="K609" s="7" t="str">
        <f t="shared" si="37"/>
        <v>PTO-1704|MO</v>
      </c>
      <c r="L609" s="7">
        <f>COUNTIFS($K$2:K609,K609)</f>
        <v>3</v>
      </c>
      <c r="M609" s="7" t="str">
        <f t="shared" si="38"/>
        <v>PTO-1704|MO|3</v>
      </c>
      <c r="N609" s="7">
        <f>IFERROR(VLOOKUP(A609,PARTIDAS!A:F,6,FALSE),0)</f>
        <v>1</v>
      </c>
      <c r="O609" s="7">
        <f t="shared" si="39"/>
        <v>0.375</v>
      </c>
      <c r="P609" s="7">
        <f>IFERROR(_xlfn.XLOOKUP(A609,PPTO_GENERADOR!$Q:$Q,PPTO_GENERADOR!$E:$E,"-",0),"-")</f>
        <v>7</v>
      </c>
    </row>
    <row r="610" spans="1:16" x14ac:dyDescent="0.35">
      <c r="A610" s="5" t="s">
        <v>1027</v>
      </c>
      <c r="B610" s="5" t="s">
        <v>1198</v>
      </c>
      <c r="C610" s="5" t="s">
        <v>1201</v>
      </c>
      <c r="D610" s="5" t="s">
        <v>477</v>
      </c>
      <c r="E610" s="7" t="str">
        <f>IFERROR(VLOOKUP(D610,MANO_DE_OBRA!A:B,2,FALSE),"?")</f>
        <v>ESPECIALIZADO</v>
      </c>
      <c r="F610" s="5" t="s">
        <v>1200</v>
      </c>
      <c r="G610" s="11">
        <v>0.375</v>
      </c>
      <c r="H610" s="12">
        <v>0</v>
      </c>
      <c r="I610" s="7">
        <f>IFERROR(VLOOKUP(D610,MANO_DE_OBRA!A:C,3,FALSE),0)</f>
        <v>75113.05</v>
      </c>
      <c r="J610" s="8">
        <f t="shared" si="36"/>
        <v>28167.393750000003</v>
      </c>
      <c r="K610" s="7" t="str">
        <f t="shared" si="37"/>
        <v>PTO-1704|MO</v>
      </c>
      <c r="L610" s="7">
        <f>COUNTIFS($K$2:K610,K610)</f>
        <v>4</v>
      </c>
      <c r="M610" s="7" t="str">
        <f t="shared" si="38"/>
        <v>PTO-1704|MO|4</v>
      </c>
      <c r="N610" s="7">
        <f>IFERROR(VLOOKUP(A610,PARTIDAS!A:F,6,FALSE),0)</f>
        <v>1</v>
      </c>
      <c r="O610" s="7">
        <f t="shared" si="39"/>
        <v>0.375</v>
      </c>
      <c r="P610" s="7">
        <f>IFERROR(_xlfn.XLOOKUP(A610,PPTO_GENERADOR!$Q:$Q,PPTO_GENERADOR!$E:$E,"-",0),"-")</f>
        <v>7</v>
      </c>
    </row>
    <row r="611" spans="1:16" x14ac:dyDescent="0.35">
      <c r="A611" s="5" t="s">
        <v>1027</v>
      </c>
      <c r="B611" s="5" t="s">
        <v>1202</v>
      </c>
      <c r="C611" s="5"/>
      <c r="D611" s="5" t="s">
        <v>565</v>
      </c>
      <c r="E611" s="7" t="str">
        <f>IFERROR(VLOOKUP(D611,EQUIPOS!A:B,2,FALSE),"?")</f>
        <v xml:space="preserve">Herramientas/consumibles - Amure Puertas de Ascensor - Provisión a </v>
      </c>
      <c r="F611" s="5"/>
      <c r="G611" s="11">
        <v>1</v>
      </c>
      <c r="H611" s="12">
        <v>0</v>
      </c>
      <c r="I611" s="7">
        <f>IFERROR(VLOOKUP(D611,EQUIPOS!A:C,3,FALSE),0)</f>
        <v>394.92630000000003</v>
      </c>
      <c r="J611" s="8">
        <f t="shared" si="36"/>
        <v>394.92630000000003</v>
      </c>
      <c r="K611" s="7" t="str">
        <f t="shared" si="37"/>
        <v>PTO-1704|EQ</v>
      </c>
      <c r="L611" s="7">
        <f>COUNTIFS($K$2:K611,K611)</f>
        <v>1</v>
      </c>
      <c r="M611" s="7" t="str">
        <f t="shared" si="38"/>
        <v>PTO-1704|EQ|1</v>
      </c>
      <c r="N611" s="7">
        <f>IFERROR(VLOOKUP(A611,PARTIDAS!A:F,6,FALSE),0)</f>
        <v>1</v>
      </c>
      <c r="O611" s="7">
        <f t="shared" si="39"/>
        <v>0</v>
      </c>
      <c r="P611" s="7">
        <f>IFERROR(_xlfn.XLOOKUP(A611,PPTO_GENERADOR!$Q:$Q,PPTO_GENERADOR!$E:$E,"-",0),"-")</f>
        <v>7</v>
      </c>
    </row>
    <row r="612" spans="1:16" x14ac:dyDescent="0.35">
      <c r="A612" s="5" t="s">
        <v>1030</v>
      </c>
      <c r="B612" s="5" t="s">
        <v>1203</v>
      </c>
      <c r="C612" s="5" t="s">
        <v>1205</v>
      </c>
      <c r="D612" s="5" t="s">
        <v>260</v>
      </c>
      <c r="E612" s="7" t="str">
        <f>IFERROR(VLOOKUP(D612,MATERIALES!A:B,2,FALSE),"?")</f>
        <v>Caño rigido 7/8"</v>
      </c>
      <c r="F612" s="5"/>
      <c r="G612" s="11">
        <v>4.0000001100000002</v>
      </c>
      <c r="H612" s="12">
        <v>0.1</v>
      </c>
      <c r="I612" s="7">
        <f>IFERROR(VLOOKUP(D612,MATERIALES!A:D,4,FALSE),0)</f>
        <v>635.55999999999995</v>
      </c>
      <c r="J612" s="8">
        <f t="shared" si="36"/>
        <v>2796.4640769027606</v>
      </c>
      <c r="K612" s="7" t="str">
        <f t="shared" si="37"/>
        <v>PTO-1801|MAT</v>
      </c>
      <c r="L612" s="7">
        <f>COUNTIFS($K$2:K612,K612)</f>
        <v>1</v>
      </c>
      <c r="M612" s="7" t="str">
        <f t="shared" si="38"/>
        <v>PTO-1801|MAT|1</v>
      </c>
      <c r="N612" s="7">
        <f>IFERROR(VLOOKUP(A612,PARTIDAS!A:F,6,FALSE),0)</f>
        <v>1</v>
      </c>
      <c r="O612" s="7">
        <f t="shared" si="39"/>
        <v>0</v>
      </c>
      <c r="P612" s="7">
        <f>IFERROR(_xlfn.XLOOKUP(A612,PPTO_GENERADOR!$Q:$Q,PPTO_GENERADOR!$E:$E,"-",0),"-")</f>
        <v>392</v>
      </c>
    </row>
    <row r="613" spans="1:16" x14ac:dyDescent="0.35">
      <c r="A613" s="5" t="s">
        <v>1030</v>
      </c>
      <c r="B613" s="5" t="s">
        <v>1203</v>
      </c>
      <c r="C613" s="5" t="s">
        <v>1205</v>
      </c>
      <c r="D613" s="5" t="s">
        <v>262</v>
      </c>
      <c r="E613" s="7" t="str">
        <f>IFERROR(VLOOKUP(D613,MATERIALES!A:B,2,FALSE),"?")</f>
        <v>Conector hierro 7/8"</v>
      </c>
      <c r="F613" s="5"/>
      <c r="G613" s="11">
        <v>3.00000008</v>
      </c>
      <c r="H613" s="12">
        <v>0.1</v>
      </c>
      <c r="I613" s="7">
        <f>IFERROR(VLOOKUP(D613,MATERIALES!A:D,4,FALSE),0)</f>
        <v>254.06100000000001</v>
      </c>
      <c r="J613" s="8">
        <f t="shared" si="36"/>
        <v>838.40132235736803</v>
      </c>
      <c r="K613" s="7" t="str">
        <f t="shared" si="37"/>
        <v>PTO-1801|MAT</v>
      </c>
      <c r="L613" s="7">
        <f>COUNTIFS($K$2:K613,K613)</f>
        <v>2</v>
      </c>
      <c r="M613" s="7" t="str">
        <f t="shared" si="38"/>
        <v>PTO-1801|MAT|2</v>
      </c>
      <c r="N613" s="7">
        <f>IFERROR(VLOOKUP(A613,PARTIDAS!A:F,6,FALSE),0)</f>
        <v>1</v>
      </c>
      <c r="O613" s="7">
        <f t="shared" si="39"/>
        <v>0</v>
      </c>
      <c r="P613" s="7">
        <f>IFERROR(_xlfn.XLOOKUP(A613,PPTO_GENERADOR!$Q:$Q,PPTO_GENERADOR!$E:$E,"-",0),"-")</f>
        <v>392</v>
      </c>
    </row>
    <row r="614" spans="1:16" x14ac:dyDescent="0.35">
      <c r="A614" s="5" t="s">
        <v>1030</v>
      </c>
      <c r="B614" s="5" t="s">
        <v>1203</v>
      </c>
      <c r="C614" s="5" t="s">
        <v>1205</v>
      </c>
      <c r="D614" s="5" t="s">
        <v>264</v>
      </c>
      <c r="E614" s="7" t="str">
        <f>IFERROR(VLOOKUP(D614,MATERIALES!A:B,2,FALSE),"?")</f>
        <v>Cupla PVC 7/8"</v>
      </c>
      <c r="F614" s="5"/>
      <c r="G614" s="11">
        <v>2.0000000500000001</v>
      </c>
      <c r="H614" s="12">
        <v>0.1</v>
      </c>
      <c r="I614" s="7">
        <f>IFERROR(VLOOKUP(D614,MATERIALES!A:D,4,FALSE),0)</f>
        <v>166.38300000000001</v>
      </c>
      <c r="J614" s="8">
        <f t="shared" si="36"/>
        <v>366.04260915106511</v>
      </c>
      <c r="K614" s="7" t="str">
        <f t="shared" si="37"/>
        <v>PTO-1801|MAT</v>
      </c>
      <c r="L614" s="7">
        <f>COUNTIFS($K$2:K614,K614)</f>
        <v>3</v>
      </c>
      <c r="M614" s="7" t="str">
        <f t="shared" si="38"/>
        <v>PTO-1801|MAT|3</v>
      </c>
      <c r="N614" s="7">
        <f>IFERROR(VLOOKUP(A614,PARTIDAS!A:F,6,FALSE),0)</f>
        <v>1</v>
      </c>
      <c r="O614" s="7">
        <f t="shared" si="39"/>
        <v>0</v>
      </c>
      <c r="P614" s="7">
        <f>IFERROR(_xlfn.XLOOKUP(A614,PPTO_GENERADOR!$Q:$Q,PPTO_GENERADOR!$E:$E,"-",0),"-")</f>
        <v>392</v>
      </c>
    </row>
    <row r="615" spans="1:16" x14ac:dyDescent="0.35">
      <c r="A615" s="5" t="s">
        <v>1030</v>
      </c>
      <c r="B615" s="5" t="s">
        <v>1203</v>
      </c>
      <c r="C615" s="5" t="s">
        <v>1205</v>
      </c>
      <c r="D615" s="5" t="s">
        <v>266</v>
      </c>
      <c r="E615" s="7" t="str">
        <f>IFERROR(VLOOKUP(D615,MATERIALES!A:B,2,FALSE),"?")</f>
        <v>Cable unipolar 1 x 1,50</v>
      </c>
      <c r="F615" s="5"/>
      <c r="G615" s="11">
        <v>5.0000001300000001</v>
      </c>
      <c r="H615" s="12">
        <v>0.1</v>
      </c>
      <c r="I615" s="7">
        <f>IFERROR(VLOOKUP(D615,MATERIALES!A:D,4,FALSE),0)</f>
        <v>284.8</v>
      </c>
      <c r="J615" s="8">
        <f t="shared" si="36"/>
        <v>1566.4000407264002</v>
      </c>
      <c r="K615" s="7" t="str">
        <f t="shared" si="37"/>
        <v>PTO-1801|MAT</v>
      </c>
      <c r="L615" s="7">
        <f>COUNTIFS($K$2:K615,K615)</f>
        <v>4</v>
      </c>
      <c r="M615" s="7" t="str">
        <f t="shared" si="38"/>
        <v>PTO-1801|MAT|4</v>
      </c>
      <c r="N615" s="7">
        <f>IFERROR(VLOOKUP(A615,PARTIDAS!A:F,6,FALSE),0)</f>
        <v>1</v>
      </c>
      <c r="O615" s="7">
        <f t="shared" si="39"/>
        <v>0</v>
      </c>
      <c r="P615" s="7">
        <f>IFERROR(_xlfn.XLOOKUP(A615,PPTO_GENERADOR!$Q:$Q,PPTO_GENERADOR!$E:$E,"-",0),"-")</f>
        <v>392</v>
      </c>
    </row>
    <row r="616" spans="1:16" x14ac:dyDescent="0.35">
      <c r="A616" s="5" t="s">
        <v>1030</v>
      </c>
      <c r="B616" s="5" t="s">
        <v>1203</v>
      </c>
      <c r="C616" s="5" t="s">
        <v>1205</v>
      </c>
      <c r="D616" s="5" t="s">
        <v>268</v>
      </c>
      <c r="E616" s="7" t="str">
        <f>IFERROR(VLOOKUP(D616,MATERIALES!A:B,2,FALSE),"?")</f>
        <v>Cable unipolar 1 x 2,50 VA</v>
      </c>
      <c r="F616" s="5"/>
      <c r="G616" s="11">
        <v>5.0000001300000001</v>
      </c>
      <c r="H616" s="12">
        <v>0.1</v>
      </c>
      <c r="I616" s="7">
        <f>IFERROR(VLOOKUP(D616,MATERIALES!A:D,4,FALSE),0)</f>
        <v>458.38339999999999</v>
      </c>
      <c r="J616" s="8">
        <f t="shared" si="36"/>
        <v>2521.1087655488268</v>
      </c>
      <c r="K616" s="7" t="str">
        <f t="shared" si="37"/>
        <v>PTO-1801|MAT</v>
      </c>
      <c r="L616" s="7">
        <f>COUNTIFS($K$2:K616,K616)</f>
        <v>5</v>
      </c>
      <c r="M616" s="7" t="str">
        <f t="shared" si="38"/>
        <v>PTO-1801|MAT|5</v>
      </c>
      <c r="N616" s="7">
        <f>IFERROR(VLOOKUP(A616,PARTIDAS!A:F,6,FALSE),0)</f>
        <v>1</v>
      </c>
      <c r="O616" s="7">
        <f t="shared" si="39"/>
        <v>0</v>
      </c>
      <c r="P616" s="7">
        <f>IFERROR(_xlfn.XLOOKUP(A616,PPTO_GENERADOR!$Q:$Q,PPTO_GENERADOR!$E:$E,"-",0),"-")</f>
        <v>392</v>
      </c>
    </row>
    <row r="617" spans="1:16" x14ac:dyDescent="0.35">
      <c r="A617" s="5" t="s">
        <v>1030</v>
      </c>
      <c r="B617" s="5" t="s">
        <v>1203</v>
      </c>
      <c r="C617" s="5" t="s">
        <v>1205</v>
      </c>
      <c r="D617" s="5" t="s">
        <v>270</v>
      </c>
      <c r="E617" s="7" t="str">
        <f>IFERROR(VLOOKUP(D617,MATERIALES!A:B,2,FALSE),"?")</f>
        <v>Cable unipolar 1 x 2,50 Rojo/Marron/Negro</v>
      </c>
      <c r="F617" s="5"/>
      <c r="G617" s="11">
        <v>5.0000001300000001</v>
      </c>
      <c r="H617" s="12">
        <v>0.1</v>
      </c>
      <c r="I617" s="7">
        <f>IFERROR(VLOOKUP(D617,MATERIALES!A:D,4,FALSE),0)</f>
        <v>458.38339999999999</v>
      </c>
      <c r="J617" s="8">
        <f t="shared" si="36"/>
        <v>2521.1087655488268</v>
      </c>
      <c r="K617" s="7" t="str">
        <f t="shared" si="37"/>
        <v>PTO-1801|MAT</v>
      </c>
      <c r="L617" s="7">
        <f>COUNTIFS($K$2:K617,K617)</f>
        <v>6</v>
      </c>
      <c r="M617" s="7" t="str">
        <f t="shared" si="38"/>
        <v>PTO-1801|MAT|6</v>
      </c>
      <c r="N617" s="7">
        <f>IFERROR(VLOOKUP(A617,PARTIDAS!A:F,6,FALSE),0)</f>
        <v>1</v>
      </c>
      <c r="O617" s="7">
        <f t="shared" si="39"/>
        <v>0</v>
      </c>
      <c r="P617" s="7">
        <f>IFERROR(_xlfn.XLOOKUP(A617,PPTO_GENERADOR!$Q:$Q,PPTO_GENERADOR!$E:$E,"-",0),"-")</f>
        <v>392</v>
      </c>
    </row>
    <row r="618" spans="1:16" x14ac:dyDescent="0.35">
      <c r="A618" s="5" t="s">
        <v>1030</v>
      </c>
      <c r="B618" s="5" t="s">
        <v>1203</v>
      </c>
      <c r="C618" s="5" t="s">
        <v>1205</v>
      </c>
      <c r="D618" s="5" t="s">
        <v>272</v>
      </c>
      <c r="E618" s="7" t="str">
        <f>IFERROR(VLOOKUP(D618,MATERIALES!A:B,2,FALSE),"?")</f>
        <v>Caja rectangular chica</v>
      </c>
      <c r="F618" s="5"/>
      <c r="G618" s="11">
        <v>0.50000001000000005</v>
      </c>
      <c r="H618" s="12">
        <v>0.05</v>
      </c>
      <c r="I618" s="7">
        <f>IFERROR(VLOOKUP(D618,MATERIALES!A:D,4,FALSE),0)</f>
        <v>182.178</v>
      </c>
      <c r="J618" s="8">
        <f t="shared" si="36"/>
        <v>95.643451912869011</v>
      </c>
      <c r="K618" s="7" t="str">
        <f t="shared" si="37"/>
        <v>PTO-1801|MAT</v>
      </c>
      <c r="L618" s="7">
        <f>COUNTIFS($K$2:K618,K618)</f>
        <v>7</v>
      </c>
      <c r="M618" s="7" t="str">
        <f t="shared" si="38"/>
        <v>PTO-1801|MAT|7</v>
      </c>
      <c r="N618" s="7">
        <f>IFERROR(VLOOKUP(A618,PARTIDAS!A:F,6,FALSE),0)</f>
        <v>1</v>
      </c>
      <c r="O618" s="7">
        <f t="shared" si="39"/>
        <v>0</v>
      </c>
      <c r="P618" s="7">
        <f>IFERROR(_xlfn.XLOOKUP(A618,PPTO_GENERADOR!$Q:$Q,PPTO_GENERADOR!$E:$E,"-",0),"-")</f>
        <v>392</v>
      </c>
    </row>
    <row r="619" spans="1:16" x14ac:dyDescent="0.35">
      <c r="A619" s="5" t="s">
        <v>1030</v>
      </c>
      <c r="B619" s="5" t="s">
        <v>1203</v>
      </c>
      <c r="C619" s="5" t="s">
        <v>1205</v>
      </c>
      <c r="D619" s="5" t="s">
        <v>274</v>
      </c>
      <c r="E619" s="7" t="str">
        <f>IFERROR(VLOOKUP(D619,MATERIALES!A:B,2,FALSE),"?")</f>
        <v>Caja octogonal chica</v>
      </c>
      <c r="F619" s="5"/>
      <c r="G619" s="11">
        <v>1.00000003</v>
      </c>
      <c r="H619" s="12">
        <v>0.05</v>
      </c>
      <c r="I619" s="7">
        <f>IFERROR(VLOOKUP(D619,MATERIALES!A:D,4,FALSE),0)</f>
        <v>182.178</v>
      </c>
      <c r="J619" s="8">
        <f t="shared" si="36"/>
        <v>191.286905738607</v>
      </c>
      <c r="K619" s="7" t="str">
        <f t="shared" si="37"/>
        <v>PTO-1801|MAT</v>
      </c>
      <c r="L619" s="7">
        <f>COUNTIFS($K$2:K619,K619)</f>
        <v>8</v>
      </c>
      <c r="M619" s="7" t="str">
        <f t="shared" si="38"/>
        <v>PTO-1801|MAT|8</v>
      </c>
      <c r="N619" s="7">
        <f>IFERROR(VLOOKUP(A619,PARTIDAS!A:F,6,FALSE),0)</f>
        <v>1</v>
      </c>
      <c r="O619" s="7">
        <f t="shared" si="39"/>
        <v>0</v>
      </c>
      <c r="P619" s="7">
        <f>IFERROR(_xlfn.XLOOKUP(A619,PPTO_GENERADOR!$Q:$Q,PPTO_GENERADOR!$E:$E,"-",0),"-")</f>
        <v>392</v>
      </c>
    </row>
    <row r="620" spans="1:16" x14ac:dyDescent="0.35">
      <c r="A620" s="5" t="s">
        <v>1030</v>
      </c>
      <c r="B620" s="5" t="s">
        <v>1198</v>
      </c>
      <c r="C620" s="5" t="s">
        <v>1199</v>
      </c>
      <c r="D620" s="5" t="s">
        <v>715</v>
      </c>
      <c r="E620" s="7" t="str">
        <f>IFERROR(VLOOKUP(D620,SUBCONTRATOS_PRY!A:B,2,FALSE),"?")</f>
        <v>Boca completa</v>
      </c>
      <c r="F620" s="5" t="s">
        <v>1200</v>
      </c>
      <c r="G620" s="11">
        <v>1</v>
      </c>
      <c r="H620" s="12">
        <v>0</v>
      </c>
      <c r="I620" s="7">
        <f>IFERROR(VLOOKUP(D620,SUBCONTRATOS_PRY!A:D,4,FALSE),0)</f>
        <v>32886.699999999997</v>
      </c>
      <c r="J620" s="8">
        <f t="shared" si="36"/>
        <v>32886.699999999997</v>
      </c>
      <c r="K620" s="7" t="str">
        <f t="shared" si="37"/>
        <v>PTO-1801|MO</v>
      </c>
      <c r="L620" s="7">
        <f>COUNTIFS($K$2:K620,K620)</f>
        <v>1</v>
      </c>
      <c r="M620" s="7" t="str">
        <f t="shared" si="38"/>
        <v>PTO-1801|MO|1</v>
      </c>
      <c r="N620" s="7">
        <f>IFERROR(VLOOKUP(A620,PARTIDAS!A:F,6,FALSE),0)</f>
        <v>1</v>
      </c>
      <c r="O620" s="7">
        <f t="shared" si="39"/>
        <v>0</v>
      </c>
      <c r="P620" s="7">
        <f>IFERROR(_xlfn.XLOOKUP(A620,PPTO_GENERADOR!$Q:$Q,PPTO_GENERADOR!$E:$E,"-",0),"-")</f>
        <v>392</v>
      </c>
    </row>
    <row r="621" spans="1:16" x14ac:dyDescent="0.35">
      <c r="A621" s="5" t="s">
        <v>1030</v>
      </c>
      <c r="B621" s="5" t="s">
        <v>1202</v>
      </c>
      <c r="C621" s="5"/>
      <c r="D621" s="5" t="s">
        <v>567</v>
      </c>
      <c r="E621" s="7" t="str">
        <f>IFERROR(VLOOKUP(D621,EQUIPOS!A:B,2,FALSE),"?")</f>
        <v>EQUIPO PARA INSTALACION ELECTRICA</v>
      </c>
      <c r="F621" s="5"/>
      <c r="G621" s="11">
        <v>0.30769231000000002</v>
      </c>
      <c r="H621" s="12">
        <v>0</v>
      </c>
      <c r="I621" s="7">
        <f>IFERROR(VLOOKUP(D621,EQUIPOS!A:C,3,FALSE),0)</f>
        <v>4930.4793</v>
      </c>
      <c r="J621" s="8">
        <f t="shared" si="36"/>
        <v>1517.0705652241832</v>
      </c>
      <c r="K621" s="7" t="str">
        <f t="shared" si="37"/>
        <v>PTO-1801|EQ</v>
      </c>
      <c r="L621" s="7">
        <f>COUNTIFS($K$2:K621,K621)</f>
        <v>1</v>
      </c>
      <c r="M621" s="7" t="str">
        <f t="shared" si="38"/>
        <v>PTO-1801|EQ|1</v>
      </c>
      <c r="N621" s="7">
        <f>IFERROR(VLOOKUP(A621,PARTIDAS!A:F,6,FALSE),0)</f>
        <v>1</v>
      </c>
      <c r="O621" s="7">
        <f t="shared" si="39"/>
        <v>0</v>
      </c>
      <c r="P621" s="7">
        <f>IFERROR(_xlfn.XLOOKUP(A621,PPTO_GENERADOR!$Q:$Q,PPTO_GENERADOR!$E:$E,"-",0),"-")</f>
        <v>392</v>
      </c>
    </row>
    <row r="622" spans="1:16" x14ac:dyDescent="0.35">
      <c r="A622" s="5" t="s">
        <v>1030</v>
      </c>
      <c r="B622" s="5" t="s">
        <v>1202</v>
      </c>
      <c r="C622" s="5"/>
      <c r="D622" s="5" t="s">
        <v>527</v>
      </c>
      <c r="E622" s="7" t="str">
        <f>IFERROR(VLOOKUP(D622,EQUIPOS!A:B,2,FALSE),"?")</f>
        <v>ANDAMIO TUBULAR DE UNO A TRES CUERPOS</v>
      </c>
      <c r="F622" s="5"/>
      <c r="G622" s="11">
        <v>0.15384614999999999</v>
      </c>
      <c r="H622" s="12">
        <v>0</v>
      </c>
      <c r="I622" s="7">
        <f>IFERROR(VLOOKUP(D622,EQUIPOS!A:C,3,FALSE),0)</f>
        <v>556.21879999999999</v>
      </c>
      <c r="J622" s="8">
        <f t="shared" si="36"/>
        <v>85.572120937619985</v>
      </c>
      <c r="K622" s="7" t="str">
        <f t="shared" si="37"/>
        <v>PTO-1801|EQ</v>
      </c>
      <c r="L622" s="7">
        <f>COUNTIFS($K$2:K622,K622)</f>
        <v>2</v>
      </c>
      <c r="M622" s="7" t="str">
        <f t="shared" si="38"/>
        <v>PTO-1801|EQ|2</v>
      </c>
      <c r="N622" s="7">
        <f>IFERROR(VLOOKUP(A622,PARTIDAS!A:F,6,FALSE),0)</f>
        <v>1</v>
      </c>
      <c r="O622" s="7">
        <f t="shared" si="39"/>
        <v>0</v>
      </c>
      <c r="P622" s="7">
        <f>IFERROR(_xlfn.XLOOKUP(A622,PPTO_GENERADOR!$Q:$Q,PPTO_GENERADOR!$E:$E,"-",0),"-")</f>
        <v>392</v>
      </c>
    </row>
    <row r="623" spans="1:16" x14ac:dyDescent="0.35">
      <c r="A623" s="5" t="s">
        <v>1030</v>
      </c>
      <c r="B623" s="5" t="s">
        <v>1202</v>
      </c>
      <c r="C623" s="5"/>
      <c r="D623" s="5" t="s">
        <v>559</v>
      </c>
      <c r="E623" s="7" t="str">
        <f>IFERROR(VLOOKUP(D623,EQUIPOS!A:B,2,FALSE),"?")</f>
        <v>ESCALERA GLOSS ALUMINIO ARTICULADA 4 X 4 ESCALONES HASTA 150KG</v>
      </c>
      <c r="F623" s="5"/>
      <c r="G623" s="11">
        <v>0.15384614999999999</v>
      </c>
      <c r="H623" s="12">
        <v>0</v>
      </c>
      <c r="I623" s="7">
        <f>IFERROR(VLOOKUP(D623,EQUIPOS!A:C,3,FALSE),0)</f>
        <v>136.52590000000001</v>
      </c>
      <c r="J623" s="8">
        <f t="shared" si="36"/>
        <v>21.003984090284998</v>
      </c>
      <c r="K623" s="7" t="str">
        <f t="shared" si="37"/>
        <v>PTO-1801|EQ</v>
      </c>
      <c r="L623" s="7">
        <f>COUNTIFS($K$2:K623,K623)</f>
        <v>3</v>
      </c>
      <c r="M623" s="7" t="str">
        <f t="shared" si="38"/>
        <v>PTO-1801|EQ|3</v>
      </c>
      <c r="N623" s="7">
        <f>IFERROR(VLOOKUP(A623,PARTIDAS!A:F,6,FALSE),0)</f>
        <v>1</v>
      </c>
      <c r="O623" s="7">
        <f t="shared" si="39"/>
        <v>0</v>
      </c>
      <c r="P623" s="7">
        <f>IFERROR(_xlfn.XLOOKUP(A623,PPTO_GENERADOR!$Q:$Q,PPTO_GENERADOR!$E:$E,"-",0),"-")</f>
        <v>392</v>
      </c>
    </row>
    <row r="624" spans="1:16" x14ac:dyDescent="0.35">
      <c r="A624" s="5" t="s">
        <v>1030</v>
      </c>
      <c r="B624" s="5" t="s">
        <v>1203</v>
      </c>
      <c r="C624" s="5" t="s">
        <v>1204</v>
      </c>
      <c r="D624" s="5" t="s">
        <v>468</v>
      </c>
      <c r="E624" s="7" t="str">
        <f>IFERROR(VLOOKUP(D624,MATERIALES!A:B,2,FALSE),"?")</f>
        <v>Consumibles</v>
      </c>
      <c r="F624" s="5"/>
      <c r="G624" s="11">
        <v>2288.2559000000001</v>
      </c>
      <c r="H624" s="12">
        <v>0</v>
      </c>
      <c r="I624" s="7">
        <f>IFERROR(VLOOKUP(D624,MATERIALES!A:D,4,FALSE),0)</f>
        <v>1</v>
      </c>
      <c r="J624" s="8">
        <f t="shared" si="36"/>
        <v>2288.2559000000001</v>
      </c>
      <c r="K624" s="7" t="str">
        <f t="shared" si="37"/>
        <v>PTO-1801|MAT</v>
      </c>
      <c r="L624" s="7">
        <f>COUNTIFS($K$2:K624,K624)</f>
        <v>9</v>
      </c>
      <c r="M624" s="7" t="str">
        <f t="shared" si="38"/>
        <v>PTO-1801|MAT|9</v>
      </c>
      <c r="N624" s="7">
        <f>IFERROR(VLOOKUP(A624,PARTIDAS!A:F,6,FALSE),0)</f>
        <v>1</v>
      </c>
      <c r="O624" s="7">
        <f t="shared" si="39"/>
        <v>0</v>
      </c>
      <c r="P624" s="7">
        <f>IFERROR(_xlfn.XLOOKUP(A624,PPTO_GENERADOR!$Q:$Q,PPTO_GENERADOR!$E:$E,"-",0),"-")</f>
        <v>392</v>
      </c>
    </row>
    <row r="625" spans="1:16" x14ac:dyDescent="0.35">
      <c r="A625" s="5" t="s">
        <v>1032</v>
      </c>
      <c r="B625" s="5" t="s">
        <v>1203</v>
      </c>
      <c r="C625" s="5" t="s">
        <v>1205</v>
      </c>
      <c r="D625" s="5" t="s">
        <v>260</v>
      </c>
      <c r="E625" s="7" t="str">
        <f>IFERROR(VLOOKUP(D625,MATERIALES!A:B,2,FALSE),"?")</f>
        <v>Caño rigido 7/8"</v>
      </c>
      <c r="F625" s="5"/>
      <c r="G625" s="11">
        <v>4.0000001100000002</v>
      </c>
      <c r="H625" s="12">
        <v>0.1</v>
      </c>
      <c r="I625" s="7">
        <f>IFERROR(VLOOKUP(D625,MATERIALES!A:D,4,FALSE),0)</f>
        <v>635.55999999999995</v>
      </c>
      <c r="J625" s="8">
        <f t="shared" si="36"/>
        <v>2796.4640769027606</v>
      </c>
      <c r="K625" s="7" t="str">
        <f t="shared" si="37"/>
        <v>PTO-1802|MAT</v>
      </c>
      <c r="L625" s="7">
        <f>COUNTIFS($K$2:K625,K625)</f>
        <v>1</v>
      </c>
      <c r="M625" s="7" t="str">
        <f t="shared" si="38"/>
        <v>PTO-1802|MAT|1</v>
      </c>
      <c r="N625" s="7">
        <f>IFERROR(VLOOKUP(A625,PARTIDAS!A:F,6,FALSE),0)</f>
        <v>1</v>
      </c>
      <c r="O625" s="7">
        <f t="shared" si="39"/>
        <v>0</v>
      </c>
      <c r="P625" s="7">
        <f>IFERROR(_xlfn.XLOOKUP(A625,PPTO_GENERADOR!$Q:$Q,PPTO_GENERADOR!$E:$E,"-",0),"-")</f>
        <v>19</v>
      </c>
    </row>
    <row r="626" spans="1:16" x14ac:dyDescent="0.35">
      <c r="A626" s="5" t="s">
        <v>1032</v>
      </c>
      <c r="B626" s="5" t="s">
        <v>1203</v>
      </c>
      <c r="C626" s="5" t="s">
        <v>1205</v>
      </c>
      <c r="D626" s="5" t="s">
        <v>262</v>
      </c>
      <c r="E626" s="7" t="str">
        <f>IFERROR(VLOOKUP(D626,MATERIALES!A:B,2,FALSE),"?")</f>
        <v>Conector hierro 7/8"</v>
      </c>
      <c r="F626" s="5"/>
      <c r="G626" s="11">
        <v>3.00000008</v>
      </c>
      <c r="H626" s="12">
        <v>0.1</v>
      </c>
      <c r="I626" s="7">
        <f>IFERROR(VLOOKUP(D626,MATERIALES!A:D,4,FALSE),0)</f>
        <v>254.06100000000001</v>
      </c>
      <c r="J626" s="8">
        <f t="shared" si="36"/>
        <v>838.40132235736803</v>
      </c>
      <c r="K626" s="7" t="str">
        <f t="shared" si="37"/>
        <v>PTO-1802|MAT</v>
      </c>
      <c r="L626" s="7">
        <f>COUNTIFS($K$2:K626,K626)</f>
        <v>2</v>
      </c>
      <c r="M626" s="7" t="str">
        <f t="shared" si="38"/>
        <v>PTO-1802|MAT|2</v>
      </c>
      <c r="N626" s="7">
        <f>IFERROR(VLOOKUP(A626,PARTIDAS!A:F,6,FALSE),0)</f>
        <v>1</v>
      </c>
      <c r="O626" s="7">
        <f t="shared" si="39"/>
        <v>0</v>
      </c>
      <c r="P626" s="7">
        <f>IFERROR(_xlfn.XLOOKUP(A626,PPTO_GENERADOR!$Q:$Q,PPTO_GENERADOR!$E:$E,"-",0),"-")</f>
        <v>19</v>
      </c>
    </row>
    <row r="627" spans="1:16" x14ac:dyDescent="0.35">
      <c r="A627" s="5" t="s">
        <v>1032</v>
      </c>
      <c r="B627" s="5" t="s">
        <v>1203</v>
      </c>
      <c r="C627" s="5" t="s">
        <v>1205</v>
      </c>
      <c r="D627" s="5" t="s">
        <v>264</v>
      </c>
      <c r="E627" s="7" t="str">
        <f>IFERROR(VLOOKUP(D627,MATERIALES!A:B,2,FALSE),"?")</f>
        <v>Cupla PVC 7/8"</v>
      </c>
      <c r="F627" s="5"/>
      <c r="G627" s="11">
        <v>2.0000000500000001</v>
      </c>
      <c r="H627" s="12">
        <v>0.1</v>
      </c>
      <c r="I627" s="7">
        <f>IFERROR(VLOOKUP(D627,MATERIALES!A:D,4,FALSE),0)</f>
        <v>166.38300000000001</v>
      </c>
      <c r="J627" s="8">
        <f t="shared" si="36"/>
        <v>366.04260915106511</v>
      </c>
      <c r="K627" s="7" t="str">
        <f t="shared" si="37"/>
        <v>PTO-1802|MAT</v>
      </c>
      <c r="L627" s="7">
        <f>COUNTIFS($K$2:K627,K627)</f>
        <v>3</v>
      </c>
      <c r="M627" s="7" t="str">
        <f t="shared" si="38"/>
        <v>PTO-1802|MAT|3</v>
      </c>
      <c r="N627" s="7">
        <f>IFERROR(VLOOKUP(A627,PARTIDAS!A:F,6,FALSE),0)</f>
        <v>1</v>
      </c>
      <c r="O627" s="7">
        <f t="shared" si="39"/>
        <v>0</v>
      </c>
      <c r="P627" s="7">
        <f>IFERROR(_xlfn.XLOOKUP(A627,PPTO_GENERADOR!$Q:$Q,PPTO_GENERADOR!$E:$E,"-",0),"-")</f>
        <v>19</v>
      </c>
    </row>
    <row r="628" spans="1:16" x14ac:dyDescent="0.35">
      <c r="A628" s="5" t="s">
        <v>1032</v>
      </c>
      <c r="B628" s="5" t="s">
        <v>1203</v>
      </c>
      <c r="C628" s="5" t="s">
        <v>1205</v>
      </c>
      <c r="D628" s="5" t="s">
        <v>266</v>
      </c>
      <c r="E628" s="7" t="str">
        <f>IFERROR(VLOOKUP(D628,MATERIALES!A:B,2,FALSE),"?")</f>
        <v>Cable unipolar 1 x 1,50</v>
      </c>
      <c r="F628" s="5"/>
      <c r="G628" s="11">
        <v>5.0000001300000001</v>
      </c>
      <c r="H628" s="12">
        <v>0.1</v>
      </c>
      <c r="I628" s="7">
        <f>IFERROR(VLOOKUP(D628,MATERIALES!A:D,4,FALSE),0)</f>
        <v>284.8</v>
      </c>
      <c r="J628" s="8">
        <f t="shared" si="36"/>
        <v>1566.4000407264002</v>
      </c>
      <c r="K628" s="7" t="str">
        <f t="shared" si="37"/>
        <v>PTO-1802|MAT</v>
      </c>
      <c r="L628" s="7">
        <f>COUNTIFS($K$2:K628,K628)</f>
        <v>4</v>
      </c>
      <c r="M628" s="7" t="str">
        <f t="shared" si="38"/>
        <v>PTO-1802|MAT|4</v>
      </c>
      <c r="N628" s="7">
        <f>IFERROR(VLOOKUP(A628,PARTIDAS!A:F,6,FALSE),0)</f>
        <v>1</v>
      </c>
      <c r="O628" s="7">
        <f t="shared" si="39"/>
        <v>0</v>
      </c>
      <c r="P628" s="7">
        <f>IFERROR(_xlfn.XLOOKUP(A628,PPTO_GENERADOR!$Q:$Q,PPTO_GENERADOR!$E:$E,"-",0),"-")</f>
        <v>19</v>
      </c>
    </row>
    <row r="629" spans="1:16" x14ac:dyDescent="0.35">
      <c r="A629" s="5" t="s">
        <v>1032</v>
      </c>
      <c r="B629" s="5" t="s">
        <v>1203</v>
      </c>
      <c r="C629" s="5" t="s">
        <v>1205</v>
      </c>
      <c r="D629" s="5" t="s">
        <v>268</v>
      </c>
      <c r="E629" s="7" t="str">
        <f>IFERROR(VLOOKUP(D629,MATERIALES!A:B,2,FALSE),"?")</f>
        <v>Cable unipolar 1 x 2,50 VA</v>
      </c>
      <c r="F629" s="5"/>
      <c r="G629" s="11">
        <v>5.0000001300000001</v>
      </c>
      <c r="H629" s="12">
        <v>0.1</v>
      </c>
      <c r="I629" s="7">
        <f>IFERROR(VLOOKUP(D629,MATERIALES!A:D,4,FALSE),0)</f>
        <v>458.38339999999999</v>
      </c>
      <c r="J629" s="8">
        <f t="shared" si="36"/>
        <v>2521.1087655488268</v>
      </c>
      <c r="K629" s="7" t="str">
        <f t="shared" si="37"/>
        <v>PTO-1802|MAT</v>
      </c>
      <c r="L629" s="7">
        <f>COUNTIFS($K$2:K629,K629)</f>
        <v>5</v>
      </c>
      <c r="M629" s="7" t="str">
        <f t="shared" si="38"/>
        <v>PTO-1802|MAT|5</v>
      </c>
      <c r="N629" s="7">
        <f>IFERROR(VLOOKUP(A629,PARTIDAS!A:F,6,FALSE),0)</f>
        <v>1</v>
      </c>
      <c r="O629" s="7">
        <f t="shared" si="39"/>
        <v>0</v>
      </c>
      <c r="P629" s="7">
        <f>IFERROR(_xlfn.XLOOKUP(A629,PPTO_GENERADOR!$Q:$Q,PPTO_GENERADOR!$E:$E,"-",0),"-")</f>
        <v>19</v>
      </c>
    </row>
    <row r="630" spans="1:16" x14ac:dyDescent="0.35">
      <c r="A630" s="5" t="s">
        <v>1032</v>
      </c>
      <c r="B630" s="5" t="s">
        <v>1203</v>
      </c>
      <c r="C630" s="5" t="s">
        <v>1205</v>
      </c>
      <c r="D630" s="5" t="s">
        <v>270</v>
      </c>
      <c r="E630" s="7" t="str">
        <f>IFERROR(VLOOKUP(D630,MATERIALES!A:B,2,FALSE),"?")</f>
        <v>Cable unipolar 1 x 2,50 Rojo/Marron/Negro</v>
      </c>
      <c r="F630" s="5"/>
      <c r="G630" s="11">
        <v>5.0000001300000001</v>
      </c>
      <c r="H630" s="12">
        <v>0.1</v>
      </c>
      <c r="I630" s="7">
        <f>IFERROR(VLOOKUP(D630,MATERIALES!A:D,4,FALSE),0)</f>
        <v>458.38339999999999</v>
      </c>
      <c r="J630" s="8">
        <f t="shared" si="36"/>
        <v>2521.1087655488268</v>
      </c>
      <c r="K630" s="7" t="str">
        <f t="shared" si="37"/>
        <v>PTO-1802|MAT</v>
      </c>
      <c r="L630" s="7">
        <f>COUNTIFS($K$2:K630,K630)</f>
        <v>6</v>
      </c>
      <c r="M630" s="7" t="str">
        <f t="shared" si="38"/>
        <v>PTO-1802|MAT|6</v>
      </c>
      <c r="N630" s="7">
        <f>IFERROR(VLOOKUP(A630,PARTIDAS!A:F,6,FALSE),0)</f>
        <v>1</v>
      </c>
      <c r="O630" s="7">
        <f t="shared" si="39"/>
        <v>0</v>
      </c>
      <c r="P630" s="7">
        <f>IFERROR(_xlfn.XLOOKUP(A630,PPTO_GENERADOR!$Q:$Q,PPTO_GENERADOR!$E:$E,"-",0),"-")</f>
        <v>19</v>
      </c>
    </row>
    <row r="631" spans="1:16" x14ac:dyDescent="0.35">
      <c r="A631" s="5" t="s">
        <v>1032</v>
      </c>
      <c r="B631" s="5" t="s">
        <v>1203</v>
      </c>
      <c r="C631" s="5" t="s">
        <v>1205</v>
      </c>
      <c r="D631" s="5" t="s">
        <v>272</v>
      </c>
      <c r="E631" s="7" t="str">
        <f>IFERROR(VLOOKUP(D631,MATERIALES!A:B,2,FALSE),"?")</f>
        <v>Caja rectangular chica</v>
      </c>
      <c r="F631" s="5"/>
      <c r="G631" s="11">
        <v>0.50000001000000005</v>
      </c>
      <c r="H631" s="12">
        <v>0.05</v>
      </c>
      <c r="I631" s="7">
        <f>IFERROR(VLOOKUP(D631,MATERIALES!A:D,4,FALSE),0)</f>
        <v>182.178</v>
      </c>
      <c r="J631" s="8">
        <f t="shared" si="36"/>
        <v>95.643451912869011</v>
      </c>
      <c r="K631" s="7" t="str">
        <f t="shared" si="37"/>
        <v>PTO-1802|MAT</v>
      </c>
      <c r="L631" s="7">
        <f>COUNTIFS($K$2:K631,K631)</f>
        <v>7</v>
      </c>
      <c r="M631" s="7" t="str">
        <f t="shared" si="38"/>
        <v>PTO-1802|MAT|7</v>
      </c>
      <c r="N631" s="7">
        <f>IFERROR(VLOOKUP(A631,PARTIDAS!A:F,6,FALSE),0)</f>
        <v>1</v>
      </c>
      <c r="O631" s="7">
        <f t="shared" si="39"/>
        <v>0</v>
      </c>
      <c r="P631" s="7">
        <f>IFERROR(_xlfn.XLOOKUP(A631,PPTO_GENERADOR!$Q:$Q,PPTO_GENERADOR!$E:$E,"-",0),"-")</f>
        <v>19</v>
      </c>
    </row>
    <row r="632" spans="1:16" x14ac:dyDescent="0.35">
      <c r="A632" s="5" t="s">
        <v>1032</v>
      </c>
      <c r="B632" s="5" t="s">
        <v>1203</v>
      </c>
      <c r="C632" s="5" t="s">
        <v>1205</v>
      </c>
      <c r="D632" s="5" t="s">
        <v>274</v>
      </c>
      <c r="E632" s="7" t="str">
        <f>IFERROR(VLOOKUP(D632,MATERIALES!A:B,2,FALSE),"?")</f>
        <v>Caja octogonal chica</v>
      </c>
      <c r="F632" s="5"/>
      <c r="G632" s="11">
        <v>1.00000003</v>
      </c>
      <c r="H632" s="12">
        <v>0.05</v>
      </c>
      <c r="I632" s="7">
        <f>IFERROR(VLOOKUP(D632,MATERIALES!A:D,4,FALSE),0)</f>
        <v>182.178</v>
      </c>
      <c r="J632" s="8">
        <f t="shared" si="36"/>
        <v>191.286905738607</v>
      </c>
      <c r="K632" s="7" t="str">
        <f t="shared" si="37"/>
        <v>PTO-1802|MAT</v>
      </c>
      <c r="L632" s="7">
        <f>COUNTIFS($K$2:K632,K632)</f>
        <v>8</v>
      </c>
      <c r="M632" s="7" t="str">
        <f t="shared" si="38"/>
        <v>PTO-1802|MAT|8</v>
      </c>
      <c r="N632" s="7">
        <f>IFERROR(VLOOKUP(A632,PARTIDAS!A:F,6,FALSE),0)</f>
        <v>1</v>
      </c>
      <c r="O632" s="7">
        <f t="shared" si="39"/>
        <v>0</v>
      </c>
      <c r="P632" s="7">
        <f>IFERROR(_xlfn.XLOOKUP(A632,PPTO_GENERADOR!$Q:$Q,PPTO_GENERADOR!$E:$E,"-",0),"-")</f>
        <v>19</v>
      </c>
    </row>
    <row r="633" spans="1:16" x14ac:dyDescent="0.35">
      <c r="A633" s="5" t="s">
        <v>1032</v>
      </c>
      <c r="B633" s="5" t="s">
        <v>1198</v>
      </c>
      <c r="C633" s="5" t="s">
        <v>1199</v>
      </c>
      <c r="D633" s="5" t="s">
        <v>715</v>
      </c>
      <c r="E633" s="7" t="str">
        <f>IFERROR(VLOOKUP(D633,SUBCONTRATOS_PRY!A:B,2,FALSE),"?")</f>
        <v>Boca completa</v>
      </c>
      <c r="F633" s="5" t="s">
        <v>1200</v>
      </c>
      <c r="G633" s="11">
        <v>1</v>
      </c>
      <c r="H633" s="12">
        <v>0</v>
      </c>
      <c r="I633" s="7">
        <f>IFERROR(VLOOKUP(D633,SUBCONTRATOS_PRY!A:D,4,FALSE),0)</f>
        <v>32886.699999999997</v>
      </c>
      <c r="J633" s="8">
        <f t="shared" si="36"/>
        <v>32886.699999999997</v>
      </c>
      <c r="K633" s="7" t="str">
        <f t="shared" si="37"/>
        <v>PTO-1802|MO</v>
      </c>
      <c r="L633" s="7">
        <f>COUNTIFS($K$2:K633,K633)</f>
        <v>1</v>
      </c>
      <c r="M633" s="7" t="str">
        <f t="shared" si="38"/>
        <v>PTO-1802|MO|1</v>
      </c>
      <c r="N633" s="7">
        <f>IFERROR(VLOOKUP(A633,PARTIDAS!A:F,6,FALSE),0)</f>
        <v>1</v>
      </c>
      <c r="O633" s="7">
        <f t="shared" si="39"/>
        <v>0</v>
      </c>
      <c r="P633" s="7">
        <f>IFERROR(_xlfn.XLOOKUP(A633,PPTO_GENERADOR!$Q:$Q,PPTO_GENERADOR!$E:$E,"-",0),"-")</f>
        <v>19</v>
      </c>
    </row>
    <row r="634" spans="1:16" x14ac:dyDescent="0.35">
      <c r="A634" s="5" t="s">
        <v>1032</v>
      </c>
      <c r="B634" s="5" t="s">
        <v>1202</v>
      </c>
      <c r="C634" s="5"/>
      <c r="D634" s="5" t="s">
        <v>567</v>
      </c>
      <c r="E634" s="7" t="str">
        <f>IFERROR(VLOOKUP(D634,EQUIPOS!A:B,2,FALSE),"?")</f>
        <v>EQUIPO PARA INSTALACION ELECTRICA</v>
      </c>
      <c r="F634" s="5"/>
      <c r="G634" s="11">
        <v>0.30769231000000002</v>
      </c>
      <c r="H634" s="12">
        <v>0</v>
      </c>
      <c r="I634" s="7">
        <f>IFERROR(VLOOKUP(D634,EQUIPOS!A:C,3,FALSE),0)</f>
        <v>4930.4793</v>
      </c>
      <c r="J634" s="8">
        <f t="shared" si="36"/>
        <v>1517.0705652241832</v>
      </c>
      <c r="K634" s="7" t="str">
        <f t="shared" si="37"/>
        <v>PTO-1802|EQ</v>
      </c>
      <c r="L634" s="7">
        <f>COUNTIFS($K$2:K634,K634)</f>
        <v>1</v>
      </c>
      <c r="M634" s="7" t="str">
        <f t="shared" si="38"/>
        <v>PTO-1802|EQ|1</v>
      </c>
      <c r="N634" s="7">
        <f>IFERROR(VLOOKUP(A634,PARTIDAS!A:F,6,FALSE),0)</f>
        <v>1</v>
      </c>
      <c r="O634" s="7">
        <f t="shared" si="39"/>
        <v>0</v>
      </c>
      <c r="P634" s="7">
        <f>IFERROR(_xlfn.XLOOKUP(A634,PPTO_GENERADOR!$Q:$Q,PPTO_GENERADOR!$E:$E,"-",0),"-")</f>
        <v>19</v>
      </c>
    </row>
    <row r="635" spans="1:16" x14ac:dyDescent="0.35">
      <c r="A635" s="5" t="s">
        <v>1032</v>
      </c>
      <c r="B635" s="5" t="s">
        <v>1202</v>
      </c>
      <c r="C635" s="5"/>
      <c r="D635" s="5" t="s">
        <v>527</v>
      </c>
      <c r="E635" s="7" t="str">
        <f>IFERROR(VLOOKUP(D635,EQUIPOS!A:B,2,FALSE),"?")</f>
        <v>ANDAMIO TUBULAR DE UNO A TRES CUERPOS</v>
      </c>
      <c r="F635" s="5"/>
      <c r="G635" s="11">
        <v>0.15384614999999999</v>
      </c>
      <c r="H635" s="12">
        <v>0</v>
      </c>
      <c r="I635" s="7">
        <f>IFERROR(VLOOKUP(D635,EQUIPOS!A:C,3,FALSE),0)</f>
        <v>556.21879999999999</v>
      </c>
      <c r="J635" s="8">
        <f t="shared" si="36"/>
        <v>85.572120937619985</v>
      </c>
      <c r="K635" s="7" t="str">
        <f t="shared" si="37"/>
        <v>PTO-1802|EQ</v>
      </c>
      <c r="L635" s="7">
        <f>COUNTIFS($K$2:K635,K635)</f>
        <v>2</v>
      </c>
      <c r="M635" s="7" t="str">
        <f t="shared" si="38"/>
        <v>PTO-1802|EQ|2</v>
      </c>
      <c r="N635" s="7">
        <f>IFERROR(VLOOKUP(A635,PARTIDAS!A:F,6,FALSE),0)</f>
        <v>1</v>
      </c>
      <c r="O635" s="7">
        <f t="shared" si="39"/>
        <v>0</v>
      </c>
      <c r="P635" s="7">
        <f>IFERROR(_xlfn.XLOOKUP(A635,PPTO_GENERADOR!$Q:$Q,PPTO_GENERADOR!$E:$E,"-",0),"-")</f>
        <v>19</v>
      </c>
    </row>
    <row r="636" spans="1:16" x14ac:dyDescent="0.35">
      <c r="A636" s="5" t="s">
        <v>1032</v>
      </c>
      <c r="B636" s="5" t="s">
        <v>1202</v>
      </c>
      <c r="C636" s="5"/>
      <c r="D636" s="5" t="s">
        <v>559</v>
      </c>
      <c r="E636" s="7" t="str">
        <f>IFERROR(VLOOKUP(D636,EQUIPOS!A:B,2,FALSE),"?")</f>
        <v>ESCALERA GLOSS ALUMINIO ARTICULADA 4 X 4 ESCALONES HASTA 150KG</v>
      </c>
      <c r="F636" s="5"/>
      <c r="G636" s="11">
        <v>0.15384614999999999</v>
      </c>
      <c r="H636" s="12">
        <v>0</v>
      </c>
      <c r="I636" s="7">
        <f>IFERROR(VLOOKUP(D636,EQUIPOS!A:C,3,FALSE),0)</f>
        <v>136.52590000000001</v>
      </c>
      <c r="J636" s="8">
        <f t="shared" si="36"/>
        <v>21.003984090284998</v>
      </c>
      <c r="K636" s="7" t="str">
        <f t="shared" si="37"/>
        <v>PTO-1802|EQ</v>
      </c>
      <c r="L636" s="7">
        <f>COUNTIFS($K$2:K636,K636)</f>
        <v>3</v>
      </c>
      <c r="M636" s="7" t="str">
        <f t="shared" si="38"/>
        <v>PTO-1802|EQ|3</v>
      </c>
      <c r="N636" s="7">
        <f>IFERROR(VLOOKUP(A636,PARTIDAS!A:F,6,FALSE),0)</f>
        <v>1</v>
      </c>
      <c r="O636" s="7">
        <f t="shared" si="39"/>
        <v>0</v>
      </c>
      <c r="P636" s="7">
        <f>IFERROR(_xlfn.XLOOKUP(A636,PPTO_GENERADOR!$Q:$Q,PPTO_GENERADOR!$E:$E,"-",0),"-")</f>
        <v>19</v>
      </c>
    </row>
    <row r="637" spans="1:16" x14ac:dyDescent="0.35">
      <c r="A637" s="5" t="s">
        <v>1032</v>
      </c>
      <c r="B637" s="5" t="s">
        <v>1203</v>
      </c>
      <c r="C637" s="5" t="s">
        <v>1204</v>
      </c>
      <c r="D637" s="5" t="s">
        <v>468</v>
      </c>
      <c r="E637" s="7" t="str">
        <f>IFERROR(VLOOKUP(D637,MATERIALES!A:B,2,FALSE),"?")</f>
        <v>Consumibles</v>
      </c>
      <c r="F637" s="5"/>
      <c r="G637" s="11">
        <v>2288.2559000000001</v>
      </c>
      <c r="H637" s="12">
        <v>0</v>
      </c>
      <c r="I637" s="7">
        <f>IFERROR(VLOOKUP(D637,MATERIALES!A:D,4,FALSE),0)</f>
        <v>1</v>
      </c>
      <c r="J637" s="8">
        <f t="shared" si="36"/>
        <v>2288.2559000000001</v>
      </c>
      <c r="K637" s="7" t="str">
        <f t="shared" si="37"/>
        <v>PTO-1802|MAT</v>
      </c>
      <c r="L637" s="7">
        <f>COUNTIFS($K$2:K637,K637)</f>
        <v>9</v>
      </c>
      <c r="M637" s="7" t="str">
        <f t="shared" si="38"/>
        <v>PTO-1802|MAT|9</v>
      </c>
      <c r="N637" s="7">
        <f>IFERROR(VLOOKUP(A637,PARTIDAS!A:F,6,FALSE),0)</f>
        <v>1</v>
      </c>
      <c r="O637" s="7">
        <f t="shared" si="39"/>
        <v>0</v>
      </c>
      <c r="P637" s="7">
        <f>IFERROR(_xlfn.XLOOKUP(A637,PPTO_GENERADOR!$Q:$Q,PPTO_GENERADOR!$E:$E,"-",0),"-")</f>
        <v>19</v>
      </c>
    </row>
    <row r="638" spans="1:16" x14ac:dyDescent="0.35">
      <c r="A638" s="5" t="s">
        <v>1034</v>
      </c>
      <c r="B638" s="5" t="s">
        <v>1203</v>
      </c>
      <c r="C638" s="5" t="s">
        <v>1205</v>
      </c>
      <c r="D638" s="5" t="s">
        <v>276</v>
      </c>
      <c r="E638" s="7" t="str">
        <f>IFERROR(VLOOKUP(D638,MATERIALES!A:B,2,FALSE),"?")</f>
        <v>Caño rigido 3/4"</v>
      </c>
      <c r="F638" s="5"/>
      <c r="G638" s="11">
        <v>4.0000000599999996</v>
      </c>
      <c r="H638" s="12">
        <v>0.05</v>
      </c>
      <c r="I638" s="7">
        <f>IFERROR(VLOOKUP(D638,MATERIALES!A:D,4,FALSE),0)</f>
        <v>472.18</v>
      </c>
      <c r="J638" s="8">
        <f t="shared" si="36"/>
        <v>1983.1560297473397</v>
      </c>
      <c r="K638" s="7" t="str">
        <f t="shared" si="37"/>
        <v>PTO-1803|MAT</v>
      </c>
      <c r="L638" s="7">
        <f>COUNTIFS($K$2:K638,K638)</f>
        <v>1</v>
      </c>
      <c r="M638" s="7" t="str">
        <f t="shared" si="38"/>
        <v>PTO-1803|MAT|1</v>
      </c>
      <c r="N638" s="7">
        <f>IFERROR(VLOOKUP(A638,PARTIDAS!A:F,6,FALSE),0)</f>
        <v>1</v>
      </c>
      <c r="O638" s="7">
        <f t="shared" si="39"/>
        <v>0</v>
      </c>
      <c r="P638" s="7">
        <f>IFERROR(_xlfn.XLOOKUP(A638,PPTO_GENERADOR!$Q:$Q,PPTO_GENERADOR!$E:$E,"-",0),"-")</f>
        <v>349</v>
      </c>
    </row>
    <row r="639" spans="1:16" x14ac:dyDescent="0.35">
      <c r="A639" s="5" t="s">
        <v>1034</v>
      </c>
      <c r="B639" s="5" t="s">
        <v>1203</v>
      </c>
      <c r="C639" s="5" t="s">
        <v>1205</v>
      </c>
      <c r="D639" s="5" t="s">
        <v>278</v>
      </c>
      <c r="E639" s="7" t="str">
        <f>IFERROR(VLOOKUP(D639,MATERIALES!A:B,2,FALSE),"?")</f>
        <v>Conector hierro 3/4"</v>
      </c>
      <c r="F639" s="5"/>
      <c r="G639" s="11">
        <v>4.0000000599999996</v>
      </c>
      <c r="H639" s="12">
        <v>0.1</v>
      </c>
      <c r="I639" s="7">
        <f>IFERROR(VLOOKUP(D639,MATERIALES!A:D,4,FALSE),0)</f>
        <v>203.24879999999999</v>
      </c>
      <c r="J639" s="8">
        <f t="shared" si="36"/>
        <v>894.29473341442065</v>
      </c>
      <c r="K639" s="7" t="str">
        <f t="shared" si="37"/>
        <v>PTO-1803|MAT</v>
      </c>
      <c r="L639" s="7">
        <f>COUNTIFS($K$2:K639,K639)</f>
        <v>2</v>
      </c>
      <c r="M639" s="7" t="str">
        <f t="shared" si="38"/>
        <v>PTO-1803|MAT|2</v>
      </c>
      <c r="N639" s="7">
        <f>IFERROR(VLOOKUP(A639,PARTIDAS!A:F,6,FALSE),0)</f>
        <v>1</v>
      </c>
      <c r="O639" s="7">
        <f t="shared" si="39"/>
        <v>0</v>
      </c>
      <c r="P639" s="7">
        <f>IFERROR(_xlfn.XLOOKUP(A639,PPTO_GENERADOR!$Q:$Q,PPTO_GENERADOR!$E:$E,"-",0),"-")</f>
        <v>349</v>
      </c>
    </row>
    <row r="640" spans="1:16" x14ac:dyDescent="0.35">
      <c r="A640" s="5" t="s">
        <v>1034</v>
      </c>
      <c r="B640" s="5" t="s">
        <v>1203</v>
      </c>
      <c r="C640" s="5" t="s">
        <v>1205</v>
      </c>
      <c r="D640" s="5" t="s">
        <v>280</v>
      </c>
      <c r="E640" s="7" t="str">
        <f>IFERROR(VLOOKUP(D640,MATERIALES!A:B,2,FALSE),"?")</f>
        <v>Cupla PVC 3/4"</v>
      </c>
      <c r="F640" s="5"/>
      <c r="G640" s="11">
        <v>1.2000000200000001</v>
      </c>
      <c r="H640" s="12">
        <v>0.1</v>
      </c>
      <c r="I640" s="7">
        <f>IFERROR(VLOOKUP(D640,MATERIALES!A:D,4,FALSE),0)</f>
        <v>99.829800000000006</v>
      </c>
      <c r="J640" s="8">
        <f t="shared" si="36"/>
        <v>131.77533819625563</v>
      </c>
      <c r="K640" s="7" t="str">
        <f t="shared" si="37"/>
        <v>PTO-1803|MAT</v>
      </c>
      <c r="L640" s="7">
        <f>COUNTIFS($K$2:K640,K640)</f>
        <v>3</v>
      </c>
      <c r="M640" s="7" t="str">
        <f t="shared" si="38"/>
        <v>PTO-1803|MAT|3</v>
      </c>
      <c r="N640" s="7">
        <f>IFERROR(VLOOKUP(A640,PARTIDAS!A:F,6,FALSE),0)</f>
        <v>1</v>
      </c>
      <c r="O640" s="7">
        <f t="shared" si="39"/>
        <v>0</v>
      </c>
      <c r="P640" s="7">
        <f>IFERROR(_xlfn.XLOOKUP(A640,PPTO_GENERADOR!$Q:$Q,PPTO_GENERADOR!$E:$E,"-",0),"-")</f>
        <v>349</v>
      </c>
    </row>
    <row r="641" spans="1:16" x14ac:dyDescent="0.35">
      <c r="A641" s="5" t="s">
        <v>1034</v>
      </c>
      <c r="B641" s="5" t="s">
        <v>1203</v>
      </c>
      <c r="C641" s="5" t="s">
        <v>1205</v>
      </c>
      <c r="D641" s="5" t="s">
        <v>268</v>
      </c>
      <c r="E641" s="7" t="str">
        <f>IFERROR(VLOOKUP(D641,MATERIALES!A:B,2,FALSE),"?")</f>
        <v>Cable unipolar 1 x 2,50 VA</v>
      </c>
      <c r="F641" s="5"/>
      <c r="G641" s="11">
        <v>4.0000000599999996</v>
      </c>
      <c r="H641" s="12">
        <v>0.1</v>
      </c>
      <c r="I641" s="7">
        <f>IFERROR(VLOOKUP(D641,MATERIALES!A:D,4,FALSE),0)</f>
        <v>458.38339999999999</v>
      </c>
      <c r="J641" s="8">
        <f t="shared" si="36"/>
        <v>2016.8869902533042</v>
      </c>
      <c r="K641" s="7" t="str">
        <f t="shared" si="37"/>
        <v>PTO-1803|MAT</v>
      </c>
      <c r="L641" s="7">
        <f>COUNTIFS($K$2:K641,K641)</f>
        <v>4</v>
      </c>
      <c r="M641" s="7" t="str">
        <f t="shared" si="38"/>
        <v>PTO-1803|MAT|4</v>
      </c>
      <c r="N641" s="7">
        <f>IFERROR(VLOOKUP(A641,PARTIDAS!A:F,6,FALSE),0)</f>
        <v>1</v>
      </c>
      <c r="O641" s="7">
        <f t="shared" si="39"/>
        <v>0</v>
      </c>
      <c r="P641" s="7">
        <f>IFERROR(_xlfn.XLOOKUP(A641,PPTO_GENERADOR!$Q:$Q,PPTO_GENERADOR!$E:$E,"-",0),"-")</f>
        <v>349</v>
      </c>
    </row>
    <row r="642" spans="1:16" x14ac:dyDescent="0.35">
      <c r="A642" s="5" t="s">
        <v>1034</v>
      </c>
      <c r="B642" s="5" t="s">
        <v>1203</v>
      </c>
      <c r="C642" s="5" t="s">
        <v>1205</v>
      </c>
      <c r="D642" s="5" t="s">
        <v>270</v>
      </c>
      <c r="E642" s="7" t="str">
        <f>IFERROR(VLOOKUP(D642,MATERIALES!A:B,2,FALSE),"?")</f>
        <v>Cable unipolar 1 x 2,50 Rojo/Marron/Negro</v>
      </c>
      <c r="F642" s="5"/>
      <c r="G642" s="11">
        <v>8.0000001199999993</v>
      </c>
      <c r="H642" s="12">
        <v>0.1</v>
      </c>
      <c r="I642" s="7">
        <f>IFERROR(VLOOKUP(D642,MATERIALES!A:D,4,FALSE),0)</f>
        <v>458.38339999999999</v>
      </c>
      <c r="J642" s="8">
        <f t="shared" ref="J642:J705" si="40">G642*I642*(1+H642)</f>
        <v>4033.7739805066085</v>
      </c>
      <c r="K642" s="7" t="str">
        <f t="shared" ref="K642:K705" si="41">A642&amp;"|"&amp;B642</f>
        <v>PTO-1803|MAT</v>
      </c>
      <c r="L642" s="7">
        <f>COUNTIFS($K$2:K642,K642)</f>
        <v>5</v>
      </c>
      <c r="M642" s="7" t="str">
        <f t="shared" ref="M642:M705" si="42">K642&amp;"|"&amp;L642</f>
        <v>PTO-1803|MAT|5</v>
      </c>
      <c r="N642" s="7">
        <f>IFERROR(VLOOKUP(A642,PARTIDAS!A:F,6,FALSE),0)</f>
        <v>1</v>
      </c>
      <c r="O642" s="7">
        <f t="shared" ref="O642:O705" si="43">IF(C642="ALB",IF(N642=0,0,G642/N642),0)</f>
        <v>0</v>
      </c>
      <c r="P642" s="7">
        <f>IFERROR(_xlfn.XLOOKUP(A642,PPTO_GENERADOR!$Q:$Q,PPTO_GENERADOR!$E:$E,"-",0),"-")</f>
        <v>349</v>
      </c>
    </row>
    <row r="643" spans="1:16" x14ac:dyDescent="0.35">
      <c r="A643" s="5" t="s">
        <v>1034</v>
      </c>
      <c r="B643" s="5" t="s">
        <v>1203</v>
      </c>
      <c r="C643" s="5" t="s">
        <v>1205</v>
      </c>
      <c r="D643" s="5" t="s">
        <v>272</v>
      </c>
      <c r="E643" s="7" t="str">
        <f>IFERROR(VLOOKUP(D643,MATERIALES!A:B,2,FALSE),"?")</f>
        <v>Caja rectangular chica</v>
      </c>
      <c r="F643" s="5"/>
      <c r="G643" s="11">
        <v>1.0000000099999999</v>
      </c>
      <c r="H643" s="12">
        <v>0.05</v>
      </c>
      <c r="I643" s="7">
        <f>IFERROR(VLOOKUP(D643,MATERIALES!A:D,4,FALSE),0)</f>
        <v>182.178</v>
      </c>
      <c r="J643" s="8">
        <f t="shared" si="40"/>
        <v>191.28690191286898</v>
      </c>
      <c r="K643" s="7" t="str">
        <f t="shared" si="41"/>
        <v>PTO-1803|MAT</v>
      </c>
      <c r="L643" s="7">
        <f>COUNTIFS($K$2:K643,K643)</f>
        <v>6</v>
      </c>
      <c r="M643" s="7" t="str">
        <f t="shared" si="42"/>
        <v>PTO-1803|MAT|6</v>
      </c>
      <c r="N643" s="7">
        <f>IFERROR(VLOOKUP(A643,PARTIDAS!A:F,6,FALSE),0)</f>
        <v>1</v>
      </c>
      <c r="O643" s="7">
        <f t="shared" si="43"/>
        <v>0</v>
      </c>
      <c r="P643" s="7">
        <f>IFERROR(_xlfn.XLOOKUP(A643,PPTO_GENERADOR!$Q:$Q,PPTO_GENERADOR!$E:$E,"-",0),"-")</f>
        <v>349</v>
      </c>
    </row>
    <row r="644" spans="1:16" x14ac:dyDescent="0.35">
      <c r="A644" s="5" t="s">
        <v>1034</v>
      </c>
      <c r="B644" s="5" t="s">
        <v>1198</v>
      </c>
      <c r="C644" s="5" t="s">
        <v>1199</v>
      </c>
      <c r="D644" s="5" t="s">
        <v>715</v>
      </c>
      <c r="E644" s="7" t="str">
        <f>IFERROR(VLOOKUP(D644,SUBCONTRATOS_PRY!A:B,2,FALSE),"?")</f>
        <v>Boca completa</v>
      </c>
      <c r="F644" s="5" t="s">
        <v>1200</v>
      </c>
      <c r="G644" s="11">
        <v>1</v>
      </c>
      <c r="H644" s="12">
        <v>0</v>
      </c>
      <c r="I644" s="7">
        <f>IFERROR(VLOOKUP(D644,SUBCONTRATOS_PRY!A:D,4,FALSE),0)</f>
        <v>32886.699999999997</v>
      </c>
      <c r="J644" s="8">
        <f t="shared" si="40"/>
        <v>32886.699999999997</v>
      </c>
      <c r="K644" s="7" t="str">
        <f t="shared" si="41"/>
        <v>PTO-1803|MO</v>
      </c>
      <c r="L644" s="7">
        <f>COUNTIFS($K$2:K644,K644)</f>
        <v>1</v>
      </c>
      <c r="M644" s="7" t="str">
        <f t="shared" si="42"/>
        <v>PTO-1803|MO|1</v>
      </c>
      <c r="N644" s="7">
        <f>IFERROR(VLOOKUP(A644,PARTIDAS!A:F,6,FALSE),0)</f>
        <v>1</v>
      </c>
      <c r="O644" s="7">
        <f t="shared" si="43"/>
        <v>0</v>
      </c>
      <c r="P644" s="7">
        <f>IFERROR(_xlfn.XLOOKUP(A644,PPTO_GENERADOR!$Q:$Q,PPTO_GENERADOR!$E:$E,"-",0),"-")</f>
        <v>349</v>
      </c>
    </row>
    <row r="645" spans="1:16" x14ac:dyDescent="0.35">
      <c r="A645" s="5" t="s">
        <v>1034</v>
      </c>
      <c r="B645" s="5" t="s">
        <v>1202</v>
      </c>
      <c r="C645" s="5"/>
      <c r="D645" s="5" t="s">
        <v>567</v>
      </c>
      <c r="E645" s="7" t="str">
        <f>IFERROR(VLOOKUP(D645,EQUIPOS!A:B,2,FALSE),"?")</f>
        <v>EQUIPO PARA INSTALACION ELECTRICA</v>
      </c>
      <c r="F645" s="5"/>
      <c r="G645" s="11">
        <v>0.30769231000000002</v>
      </c>
      <c r="H645" s="12">
        <v>0</v>
      </c>
      <c r="I645" s="7">
        <f>IFERROR(VLOOKUP(D645,EQUIPOS!A:C,3,FALSE),0)</f>
        <v>4930.4793</v>
      </c>
      <c r="J645" s="8">
        <f t="shared" si="40"/>
        <v>1517.0705652241832</v>
      </c>
      <c r="K645" s="7" t="str">
        <f t="shared" si="41"/>
        <v>PTO-1803|EQ</v>
      </c>
      <c r="L645" s="7">
        <f>COUNTIFS($K$2:K645,K645)</f>
        <v>1</v>
      </c>
      <c r="M645" s="7" t="str">
        <f t="shared" si="42"/>
        <v>PTO-1803|EQ|1</v>
      </c>
      <c r="N645" s="7">
        <f>IFERROR(VLOOKUP(A645,PARTIDAS!A:F,6,FALSE),0)</f>
        <v>1</v>
      </c>
      <c r="O645" s="7">
        <f t="shared" si="43"/>
        <v>0</v>
      </c>
      <c r="P645" s="7">
        <f>IFERROR(_xlfn.XLOOKUP(A645,PPTO_GENERADOR!$Q:$Q,PPTO_GENERADOR!$E:$E,"-",0),"-")</f>
        <v>349</v>
      </c>
    </row>
    <row r="646" spans="1:16" x14ac:dyDescent="0.35">
      <c r="A646" s="5" t="s">
        <v>1034</v>
      </c>
      <c r="B646" s="5" t="s">
        <v>1202</v>
      </c>
      <c r="C646" s="5"/>
      <c r="D646" s="5" t="s">
        <v>527</v>
      </c>
      <c r="E646" s="7" t="str">
        <f>IFERROR(VLOOKUP(D646,EQUIPOS!A:B,2,FALSE),"?")</f>
        <v>ANDAMIO TUBULAR DE UNO A TRES CUERPOS</v>
      </c>
      <c r="F646" s="5"/>
      <c r="G646" s="11">
        <v>0.15384614999999999</v>
      </c>
      <c r="H646" s="12">
        <v>0</v>
      </c>
      <c r="I646" s="7">
        <f>IFERROR(VLOOKUP(D646,EQUIPOS!A:C,3,FALSE),0)</f>
        <v>556.21879999999999</v>
      </c>
      <c r="J646" s="8">
        <f t="shared" si="40"/>
        <v>85.572120937619985</v>
      </c>
      <c r="K646" s="7" t="str">
        <f t="shared" si="41"/>
        <v>PTO-1803|EQ</v>
      </c>
      <c r="L646" s="7">
        <f>COUNTIFS($K$2:K646,K646)</f>
        <v>2</v>
      </c>
      <c r="M646" s="7" t="str">
        <f t="shared" si="42"/>
        <v>PTO-1803|EQ|2</v>
      </c>
      <c r="N646" s="7">
        <f>IFERROR(VLOOKUP(A646,PARTIDAS!A:F,6,FALSE),0)</f>
        <v>1</v>
      </c>
      <c r="O646" s="7">
        <f t="shared" si="43"/>
        <v>0</v>
      </c>
      <c r="P646" s="7">
        <f>IFERROR(_xlfn.XLOOKUP(A646,PPTO_GENERADOR!$Q:$Q,PPTO_GENERADOR!$E:$E,"-",0),"-")</f>
        <v>349</v>
      </c>
    </row>
    <row r="647" spans="1:16" x14ac:dyDescent="0.35">
      <c r="A647" s="5" t="s">
        <v>1034</v>
      </c>
      <c r="B647" s="5" t="s">
        <v>1202</v>
      </c>
      <c r="C647" s="5"/>
      <c r="D647" s="5" t="s">
        <v>559</v>
      </c>
      <c r="E647" s="7" t="str">
        <f>IFERROR(VLOOKUP(D647,EQUIPOS!A:B,2,FALSE),"?")</f>
        <v>ESCALERA GLOSS ALUMINIO ARTICULADA 4 X 4 ESCALONES HASTA 150KG</v>
      </c>
      <c r="F647" s="5"/>
      <c r="G647" s="11">
        <v>0.15384614999999999</v>
      </c>
      <c r="H647" s="12">
        <v>0</v>
      </c>
      <c r="I647" s="7">
        <f>IFERROR(VLOOKUP(D647,EQUIPOS!A:C,3,FALSE),0)</f>
        <v>136.52590000000001</v>
      </c>
      <c r="J647" s="8">
        <f t="shared" si="40"/>
        <v>21.003984090284998</v>
      </c>
      <c r="K647" s="7" t="str">
        <f t="shared" si="41"/>
        <v>PTO-1803|EQ</v>
      </c>
      <c r="L647" s="7">
        <f>COUNTIFS($K$2:K647,K647)</f>
        <v>3</v>
      </c>
      <c r="M647" s="7" t="str">
        <f t="shared" si="42"/>
        <v>PTO-1803|EQ|3</v>
      </c>
      <c r="N647" s="7">
        <f>IFERROR(VLOOKUP(A647,PARTIDAS!A:F,6,FALSE),0)</f>
        <v>1</v>
      </c>
      <c r="O647" s="7">
        <f t="shared" si="43"/>
        <v>0</v>
      </c>
      <c r="P647" s="7">
        <f>IFERROR(_xlfn.XLOOKUP(A647,PPTO_GENERADOR!$Q:$Q,PPTO_GENERADOR!$E:$E,"-",0),"-")</f>
        <v>349</v>
      </c>
    </row>
    <row r="648" spans="1:16" x14ac:dyDescent="0.35">
      <c r="A648" s="5" t="s">
        <v>1034</v>
      </c>
      <c r="B648" s="5" t="s">
        <v>1203</v>
      </c>
      <c r="C648" s="5" t="s">
        <v>1204</v>
      </c>
      <c r="D648" s="5" t="s">
        <v>468</v>
      </c>
      <c r="E648" s="7" t="str">
        <f>IFERROR(VLOOKUP(D648,MATERIALES!A:B,2,FALSE),"?")</f>
        <v>Consumibles</v>
      </c>
      <c r="F648" s="5"/>
      <c r="G648" s="11">
        <v>1942.7465</v>
      </c>
      <c r="H648" s="12">
        <v>0</v>
      </c>
      <c r="I648" s="7">
        <f>IFERROR(VLOOKUP(D648,MATERIALES!A:D,4,FALSE),0)</f>
        <v>1</v>
      </c>
      <c r="J648" s="8">
        <f t="shared" si="40"/>
        <v>1942.7465</v>
      </c>
      <c r="K648" s="7" t="str">
        <f t="shared" si="41"/>
        <v>PTO-1803|MAT</v>
      </c>
      <c r="L648" s="7">
        <f>COUNTIFS($K$2:K648,K648)</f>
        <v>7</v>
      </c>
      <c r="M648" s="7" t="str">
        <f t="shared" si="42"/>
        <v>PTO-1803|MAT|7</v>
      </c>
      <c r="N648" s="7">
        <f>IFERROR(VLOOKUP(A648,PARTIDAS!A:F,6,FALSE),0)</f>
        <v>1</v>
      </c>
      <c r="O648" s="7">
        <f t="shared" si="43"/>
        <v>0</v>
      </c>
      <c r="P648" s="7">
        <f>IFERROR(_xlfn.XLOOKUP(A648,PPTO_GENERADOR!$Q:$Q,PPTO_GENERADOR!$E:$E,"-",0),"-")</f>
        <v>349</v>
      </c>
    </row>
    <row r="649" spans="1:16" x14ac:dyDescent="0.35">
      <c r="A649" s="5" t="s">
        <v>1036</v>
      </c>
      <c r="B649" s="5" t="s">
        <v>1203</v>
      </c>
      <c r="C649" s="5" t="s">
        <v>1205</v>
      </c>
      <c r="D649" s="5" t="s">
        <v>276</v>
      </c>
      <c r="E649" s="7" t="str">
        <f>IFERROR(VLOOKUP(D649,MATERIALES!A:B,2,FALSE),"?")</f>
        <v>Caño rigido 3/4"</v>
      </c>
      <c r="F649" s="5"/>
      <c r="G649" s="11">
        <v>6.0000000900000003</v>
      </c>
      <c r="H649" s="12">
        <v>0.05</v>
      </c>
      <c r="I649" s="7">
        <f>IFERROR(VLOOKUP(D649,MATERIALES!A:D,4,FALSE),0)</f>
        <v>472.18</v>
      </c>
      <c r="J649" s="8">
        <f t="shared" si="40"/>
        <v>2974.7340446210105</v>
      </c>
      <c r="K649" s="7" t="str">
        <f t="shared" si="41"/>
        <v>PTO-1804|MAT</v>
      </c>
      <c r="L649" s="7">
        <f>COUNTIFS($K$2:K649,K649)</f>
        <v>1</v>
      </c>
      <c r="M649" s="7" t="str">
        <f t="shared" si="42"/>
        <v>PTO-1804|MAT|1</v>
      </c>
      <c r="N649" s="7">
        <f>IFERROR(VLOOKUP(A649,PARTIDAS!A:F,6,FALSE),0)</f>
        <v>1</v>
      </c>
      <c r="O649" s="7">
        <f t="shared" si="43"/>
        <v>0</v>
      </c>
      <c r="P649" s="7">
        <f>IFERROR(_xlfn.XLOOKUP(A649,PPTO_GENERADOR!$Q:$Q,PPTO_GENERADOR!$E:$E,"-",0),"-")</f>
        <v>35</v>
      </c>
    </row>
    <row r="650" spans="1:16" x14ac:dyDescent="0.35">
      <c r="A650" s="5" t="s">
        <v>1036</v>
      </c>
      <c r="B650" s="5" t="s">
        <v>1203</v>
      </c>
      <c r="C650" s="5" t="s">
        <v>1205</v>
      </c>
      <c r="D650" s="5" t="s">
        <v>278</v>
      </c>
      <c r="E650" s="7" t="str">
        <f>IFERROR(VLOOKUP(D650,MATERIALES!A:B,2,FALSE),"?")</f>
        <v>Conector hierro 3/4"</v>
      </c>
      <c r="F650" s="5"/>
      <c r="G650" s="11">
        <v>6.0000000900000003</v>
      </c>
      <c r="H650" s="12">
        <v>0.1</v>
      </c>
      <c r="I650" s="7">
        <f>IFERROR(VLOOKUP(D650,MATERIALES!A:D,4,FALSE),0)</f>
        <v>203.24879999999999</v>
      </c>
      <c r="J650" s="8">
        <f t="shared" si="40"/>
        <v>1341.4421001216313</v>
      </c>
      <c r="K650" s="7" t="str">
        <f t="shared" si="41"/>
        <v>PTO-1804|MAT</v>
      </c>
      <c r="L650" s="7">
        <f>COUNTIFS($K$2:K650,K650)</f>
        <v>2</v>
      </c>
      <c r="M650" s="7" t="str">
        <f t="shared" si="42"/>
        <v>PTO-1804|MAT|2</v>
      </c>
      <c r="N650" s="7">
        <f>IFERROR(VLOOKUP(A650,PARTIDAS!A:F,6,FALSE),0)</f>
        <v>1</v>
      </c>
      <c r="O650" s="7">
        <f t="shared" si="43"/>
        <v>0</v>
      </c>
      <c r="P650" s="7">
        <f>IFERROR(_xlfn.XLOOKUP(A650,PPTO_GENERADOR!$Q:$Q,PPTO_GENERADOR!$E:$E,"-",0),"-")</f>
        <v>35</v>
      </c>
    </row>
    <row r="651" spans="1:16" x14ac:dyDescent="0.35">
      <c r="A651" s="5" t="s">
        <v>1036</v>
      </c>
      <c r="B651" s="5" t="s">
        <v>1203</v>
      </c>
      <c r="C651" s="5" t="s">
        <v>1205</v>
      </c>
      <c r="D651" s="5" t="s">
        <v>280</v>
      </c>
      <c r="E651" s="7" t="str">
        <f>IFERROR(VLOOKUP(D651,MATERIALES!A:B,2,FALSE),"?")</f>
        <v>Cupla PVC 3/4"</v>
      </c>
      <c r="F651" s="5"/>
      <c r="G651" s="11">
        <v>1.8000000300000001</v>
      </c>
      <c r="H651" s="12">
        <v>0.1</v>
      </c>
      <c r="I651" s="7">
        <f>IFERROR(VLOOKUP(D651,MATERIALES!A:D,4,FALSE),0)</f>
        <v>99.829800000000006</v>
      </c>
      <c r="J651" s="8">
        <f t="shared" si="40"/>
        <v>197.66300729438345</v>
      </c>
      <c r="K651" s="7" t="str">
        <f t="shared" si="41"/>
        <v>PTO-1804|MAT</v>
      </c>
      <c r="L651" s="7">
        <f>COUNTIFS($K$2:K651,K651)</f>
        <v>3</v>
      </c>
      <c r="M651" s="7" t="str">
        <f t="shared" si="42"/>
        <v>PTO-1804|MAT|3</v>
      </c>
      <c r="N651" s="7">
        <f>IFERROR(VLOOKUP(A651,PARTIDAS!A:F,6,FALSE),0)</f>
        <v>1</v>
      </c>
      <c r="O651" s="7">
        <f t="shared" si="43"/>
        <v>0</v>
      </c>
      <c r="P651" s="7">
        <f>IFERROR(_xlfn.XLOOKUP(A651,PPTO_GENERADOR!$Q:$Q,PPTO_GENERADOR!$E:$E,"-",0),"-")</f>
        <v>35</v>
      </c>
    </row>
    <row r="652" spans="1:16" x14ac:dyDescent="0.35">
      <c r="A652" s="5" t="s">
        <v>1036</v>
      </c>
      <c r="B652" s="5" t="s">
        <v>1203</v>
      </c>
      <c r="C652" s="5" t="s">
        <v>1205</v>
      </c>
      <c r="D652" s="5" t="s">
        <v>268</v>
      </c>
      <c r="E652" s="7" t="str">
        <f>IFERROR(VLOOKUP(D652,MATERIALES!A:B,2,FALSE),"?")</f>
        <v>Cable unipolar 1 x 2,50 VA</v>
      </c>
      <c r="F652" s="5"/>
      <c r="G652" s="11">
        <v>6.0000000900000003</v>
      </c>
      <c r="H652" s="12">
        <v>0.1</v>
      </c>
      <c r="I652" s="7">
        <f>IFERROR(VLOOKUP(D652,MATERIALES!A:D,4,FALSE),0)</f>
        <v>458.38339999999999</v>
      </c>
      <c r="J652" s="8">
        <f t="shared" si="40"/>
        <v>3025.3304853799568</v>
      </c>
      <c r="K652" s="7" t="str">
        <f t="shared" si="41"/>
        <v>PTO-1804|MAT</v>
      </c>
      <c r="L652" s="7">
        <f>COUNTIFS($K$2:K652,K652)</f>
        <v>4</v>
      </c>
      <c r="M652" s="7" t="str">
        <f t="shared" si="42"/>
        <v>PTO-1804|MAT|4</v>
      </c>
      <c r="N652" s="7">
        <f>IFERROR(VLOOKUP(A652,PARTIDAS!A:F,6,FALSE),0)</f>
        <v>1</v>
      </c>
      <c r="O652" s="7">
        <f t="shared" si="43"/>
        <v>0</v>
      </c>
      <c r="P652" s="7">
        <f>IFERROR(_xlfn.XLOOKUP(A652,PPTO_GENERADOR!$Q:$Q,PPTO_GENERADOR!$E:$E,"-",0),"-")</f>
        <v>35</v>
      </c>
    </row>
    <row r="653" spans="1:16" x14ac:dyDescent="0.35">
      <c r="A653" s="5" t="s">
        <v>1036</v>
      </c>
      <c r="B653" s="5" t="s">
        <v>1203</v>
      </c>
      <c r="C653" s="5" t="s">
        <v>1205</v>
      </c>
      <c r="D653" s="5" t="s">
        <v>270</v>
      </c>
      <c r="E653" s="7" t="str">
        <f>IFERROR(VLOOKUP(D653,MATERIALES!A:B,2,FALSE),"?")</f>
        <v>Cable unipolar 1 x 2,50 Rojo/Marron/Negro</v>
      </c>
      <c r="F653" s="5"/>
      <c r="G653" s="11">
        <v>12.000000180000001</v>
      </c>
      <c r="H653" s="12">
        <v>0.1</v>
      </c>
      <c r="I653" s="7">
        <f>IFERROR(VLOOKUP(D653,MATERIALES!A:D,4,FALSE),0)</f>
        <v>458.38339999999999</v>
      </c>
      <c r="J653" s="8">
        <f t="shared" si="40"/>
        <v>6050.6609707599137</v>
      </c>
      <c r="K653" s="7" t="str">
        <f t="shared" si="41"/>
        <v>PTO-1804|MAT</v>
      </c>
      <c r="L653" s="7">
        <f>COUNTIFS($K$2:K653,K653)</f>
        <v>5</v>
      </c>
      <c r="M653" s="7" t="str">
        <f t="shared" si="42"/>
        <v>PTO-1804|MAT|5</v>
      </c>
      <c r="N653" s="7">
        <f>IFERROR(VLOOKUP(A653,PARTIDAS!A:F,6,FALSE),0)</f>
        <v>1</v>
      </c>
      <c r="O653" s="7">
        <f t="shared" si="43"/>
        <v>0</v>
      </c>
      <c r="P653" s="7">
        <f>IFERROR(_xlfn.XLOOKUP(A653,PPTO_GENERADOR!$Q:$Q,PPTO_GENERADOR!$E:$E,"-",0),"-")</f>
        <v>35</v>
      </c>
    </row>
    <row r="654" spans="1:16" x14ac:dyDescent="0.35">
      <c r="A654" s="5" t="s">
        <v>1036</v>
      </c>
      <c r="B654" s="5" t="s">
        <v>1203</v>
      </c>
      <c r="C654" s="5" t="s">
        <v>1205</v>
      </c>
      <c r="D654" s="5" t="s">
        <v>272</v>
      </c>
      <c r="E654" s="7" t="str">
        <f>IFERROR(VLOOKUP(D654,MATERIALES!A:B,2,FALSE),"?")</f>
        <v>Caja rectangular chica</v>
      </c>
      <c r="F654" s="5"/>
      <c r="G654" s="11">
        <v>1.5000000099999999</v>
      </c>
      <c r="H654" s="12">
        <v>0.05</v>
      </c>
      <c r="I654" s="7">
        <f>IFERROR(VLOOKUP(D654,MATERIALES!A:D,4,FALSE),0)</f>
        <v>182.178</v>
      </c>
      <c r="J654" s="8">
        <f t="shared" si="40"/>
        <v>286.93035191286896</v>
      </c>
      <c r="K654" s="7" t="str">
        <f t="shared" si="41"/>
        <v>PTO-1804|MAT</v>
      </c>
      <c r="L654" s="7">
        <f>COUNTIFS($K$2:K654,K654)</f>
        <v>6</v>
      </c>
      <c r="M654" s="7" t="str">
        <f t="shared" si="42"/>
        <v>PTO-1804|MAT|6</v>
      </c>
      <c r="N654" s="7">
        <f>IFERROR(VLOOKUP(A654,PARTIDAS!A:F,6,FALSE),0)</f>
        <v>1</v>
      </c>
      <c r="O654" s="7">
        <f t="shared" si="43"/>
        <v>0</v>
      </c>
      <c r="P654" s="7">
        <f>IFERROR(_xlfn.XLOOKUP(A654,PPTO_GENERADOR!$Q:$Q,PPTO_GENERADOR!$E:$E,"-",0),"-")</f>
        <v>35</v>
      </c>
    </row>
    <row r="655" spans="1:16" x14ac:dyDescent="0.35">
      <c r="A655" s="5" t="s">
        <v>1036</v>
      </c>
      <c r="B655" s="5" t="s">
        <v>1198</v>
      </c>
      <c r="C655" s="5" t="s">
        <v>1199</v>
      </c>
      <c r="D655" s="5" t="s">
        <v>715</v>
      </c>
      <c r="E655" s="7" t="str">
        <f>IFERROR(VLOOKUP(D655,SUBCONTRATOS_PRY!A:B,2,FALSE),"?")</f>
        <v>Boca completa</v>
      </c>
      <c r="F655" s="5" t="s">
        <v>1200</v>
      </c>
      <c r="G655" s="11">
        <v>1</v>
      </c>
      <c r="H655" s="12">
        <v>0</v>
      </c>
      <c r="I655" s="7">
        <f>IFERROR(VLOOKUP(D655,SUBCONTRATOS_PRY!A:D,4,FALSE),0)</f>
        <v>32886.699999999997</v>
      </c>
      <c r="J655" s="8">
        <f t="shared" si="40"/>
        <v>32886.699999999997</v>
      </c>
      <c r="K655" s="7" t="str">
        <f t="shared" si="41"/>
        <v>PTO-1804|MO</v>
      </c>
      <c r="L655" s="7">
        <f>COUNTIFS($K$2:K655,K655)</f>
        <v>1</v>
      </c>
      <c r="M655" s="7" t="str">
        <f t="shared" si="42"/>
        <v>PTO-1804|MO|1</v>
      </c>
      <c r="N655" s="7">
        <f>IFERROR(VLOOKUP(A655,PARTIDAS!A:F,6,FALSE),0)</f>
        <v>1</v>
      </c>
      <c r="O655" s="7">
        <f t="shared" si="43"/>
        <v>0</v>
      </c>
      <c r="P655" s="7">
        <f>IFERROR(_xlfn.XLOOKUP(A655,PPTO_GENERADOR!$Q:$Q,PPTO_GENERADOR!$E:$E,"-",0),"-")</f>
        <v>35</v>
      </c>
    </row>
    <row r="656" spans="1:16" x14ac:dyDescent="0.35">
      <c r="A656" s="5" t="s">
        <v>1036</v>
      </c>
      <c r="B656" s="5" t="s">
        <v>1202</v>
      </c>
      <c r="C656" s="5"/>
      <c r="D656" s="5" t="s">
        <v>567</v>
      </c>
      <c r="E656" s="7" t="str">
        <f>IFERROR(VLOOKUP(D656,EQUIPOS!A:B,2,FALSE),"?")</f>
        <v>EQUIPO PARA INSTALACION ELECTRICA</v>
      </c>
      <c r="F656" s="5"/>
      <c r="G656" s="11">
        <v>0.30769231000000002</v>
      </c>
      <c r="H656" s="12">
        <v>0</v>
      </c>
      <c r="I656" s="7">
        <f>IFERROR(VLOOKUP(D656,EQUIPOS!A:C,3,FALSE),0)</f>
        <v>4930.4793</v>
      </c>
      <c r="J656" s="8">
        <f t="shared" si="40"/>
        <v>1517.0705652241832</v>
      </c>
      <c r="K656" s="7" t="str">
        <f t="shared" si="41"/>
        <v>PTO-1804|EQ</v>
      </c>
      <c r="L656" s="7">
        <f>COUNTIFS($K$2:K656,K656)</f>
        <v>1</v>
      </c>
      <c r="M656" s="7" t="str">
        <f t="shared" si="42"/>
        <v>PTO-1804|EQ|1</v>
      </c>
      <c r="N656" s="7">
        <f>IFERROR(VLOOKUP(A656,PARTIDAS!A:F,6,FALSE),0)</f>
        <v>1</v>
      </c>
      <c r="O656" s="7">
        <f t="shared" si="43"/>
        <v>0</v>
      </c>
      <c r="P656" s="7">
        <f>IFERROR(_xlfn.XLOOKUP(A656,PPTO_GENERADOR!$Q:$Q,PPTO_GENERADOR!$E:$E,"-",0),"-")</f>
        <v>35</v>
      </c>
    </row>
    <row r="657" spans="1:16" x14ac:dyDescent="0.35">
      <c r="A657" s="5" t="s">
        <v>1036</v>
      </c>
      <c r="B657" s="5" t="s">
        <v>1202</v>
      </c>
      <c r="C657" s="5"/>
      <c r="D657" s="5" t="s">
        <v>527</v>
      </c>
      <c r="E657" s="7" t="str">
        <f>IFERROR(VLOOKUP(D657,EQUIPOS!A:B,2,FALSE),"?")</f>
        <v>ANDAMIO TUBULAR DE UNO A TRES CUERPOS</v>
      </c>
      <c r="F657" s="5"/>
      <c r="G657" s="11">
        <v>0.15384614999999999</v>
      </c>
      <c r="H657" s="12">
        <v>0</v>
      </c>
      <c r="I657" s="7">
        <f>IFERROR(VLOOKUP(D657,EQUIPOS!A:C,3,FALSE),0)</f>
        <v>556.21879999999999</v>
      </c>
      <c r="J657" s="8">
        <f t="shared" si="40"/>
        <v>85.572120937619985</v>
      </c>
      <c r="K657" s="7" t="str">
        <f t="shared" si="41"/>
        <v>PTO-1804|EQ</v>
      </c>
      <c r="L657" s="7">
        <f>COUNTIFS($K$2:K657,K657)</f>
        <v>2</v>
      </c>
      <c r="M657" s="7" t="str">
        <f t="shared" si="42"/>
        <v>PTO-1804|EQ|2</v>
      </c>
      <c r="N657" s="7">
        <f>IFERROR(VLOOKUP(A657,PARTIDAS!A:F,6,FALSE),0)</f>
        <v>1</v>
      </c>
      <c r="O657" s="7">
        <f t="shared" si="43"/>
        <v>0</v>
      </c>
      <c r="P657" s="7">
        <f>IFERROR(_xlfn.XLOOKUP(A657,PPTO_GENERADOR!$Q:$Q,PPTO_GENERADOR!$E:$E,"-",0),"-")</f>
        <v>35</v>
      </c>
    </row>
    <row r="658" spans="1:16" x14ac:dyDescent="0.35">
      <c r="A658" s="5" t="s">
        <v>1036</v>
      </c>
      <c r="B658" s="5" t="s">
        <v>1202</v>
      </c>
      <c r="C658" s="5"/>
      <c r="D658" s="5" t="s">
        <v>559</v>
      </c>
      <c r="E658" s="7" t="str">
        <f>IFERROR(VLOOKUP(D658,EQUIPOS!A:B,2,FALSE),"?")</f>
        <v>ESCALERA GLOSS ALUMINIO ARTICULADA 4 X 4 ESCALONES HASTA 150KG</v>
      </c>
      <c r="F658" s="5"/>
      <c r="G658" s="11">
        <v>0.15384614999999999</v>
      </c>
      <c r="H658" s="12">
        <v>0</v>
      </c>
      <c r="I658" s="7">
        <f>IFERROR(VLOOKUP(D658,EQUIPOS!A:C,3,FALSE),0)</f>
        <v>136.52590000000001</v>
      </c>
      <c r="J658" s="8">
        <f t="shared" si="40"/>
        <v>21.003984090284998</v>
      </c>
      <c r="K658" s="7" t="str">
        <f t="shared" si="41"/>
        <v>PTO-1804|EQ</v>
      </c>
      <c r="L658" s="7">
        <f>COUNTIFS($K$2:K658,K658)</f>
        <v>3</v>
      </c>
      <c r="M658" s="7" t="str">
        <f t="shared" si="42"/>
        <v>PTO-1804|EQ|3</v>
      </c>
      <c r="N658" s="7">
        <f>IFERROR(VLOOKUP(A658,PARTIDAS!A:F,6,FALSE),0)</f>
        <v>1</v>
      </c>
      <c r="O658" s="7">
        <f t="shared" si="43"/>
        <v>0</v>
      </c>
      <c r="P658" s="7">
        <f>IFERROR(_xlfn.XLOOKUP(A658,PPTO_GENERADOR!$Q:$Q,PPTO_GENERADOR!$E:$E,"-",0),"-")</f>
        <v>35</v>
      </c>
    </row>
    <row r="659" spans="1:16" x14ac:dyDescent="0.35">
      <c r="A659" s="5" t="s">
        <v>1036</v>
      </c>
      <c r="B659" s="5" t="s">
        <v>1203</v>
      </c>
      <c r="C659" s="5" t="s">
        <v>1204</v>
      </c>
      <c r="D659" s="5" t="s">
        <v>468</v>
      </c>
      <c r="E659" s="7" t="str">
        <f>IFERROR(VLOOKUP(D659,MATERIALES!A:B,2,FALSE),"?")</f>
        <v>Consumibles</v>
      </c>
      <c r="F659" s="5"/>
      <c r="G659" s="11">
        <v>2914.1197999999999</v>
      </c>
      <c r="H659" s="12">
        <v>0</v>
      </c>
      <c r="I659" s="7">
        <f>IFERROR(VLOOKUP(D659,MATERIALES!A:D,4,FALSE),0)</f>
        <v>1</v>
      </c>
      <c r="J659" s="8">
        <f t="shared" si="40"/>
        <v>2914.1197999999999</v>
      </c>
      <c r="K659" s="7" t="str">
        <f t="shared" si="41"/>
        <v>PTO-1804|MAT</v>
      </c>
      <c r="L659" s="7">
        <f>COUNTIFS($K$2:K659,K659)</f>
        <v>7</v>
      </c>
      <c r="M659" s="7" t="str">
        <f t="shared" si="42"/>
        <v>PTO-1804|MAT|7</v>
      </c>
      <c r="N659" s="7">
        <f>IFERROR(VLOOKUP(A659,PARTIDAS!A:F,6,FALSE),0)</f>
        <v>1</v>
      </c>
      <c r="O659" s="7">
        <f t="shared" si="43"/>
        <v>0</v>
      </c>
      <c r="P659" s="7">
        <f>IFERROR(_xlfn.XLOOKUP(A659,PPTO_GENERADOR!$Q:$Q,PPTO_GENERADOR!$E:$E,"-",0),"-")</f>
        <v>35</v>
      </c>
    </row>
    <row r="660" spans="1:16" x14ac:dyDescent="0.35">
      <c r="A660" s="5" t="s">
        <v>1038</v>
      </c>
      <c r="B660" s="5" t="s">
        <v>1203</v>
      </c>
      <c r="C660" s="5" t="s">
        <v>1205</v>
      </c>
      <c r="D660" s="5" t="s">
        <v>276</v>
      </c>
      <c r="E660" s="7" t="str">
        <f>IFERROR(VLOOKUP(D660,MATERIALES!A:B,2,FALSE),"?")</f>
        <v>Caño rigido 3/4"</v>
      </c>
      <c r="F660" s="5"/>
      <c r="G660" s="11">
        <v>4.0000000599999996</v>
      </c>
      <c r="H660" s="12">
        <v>0.05</v>
      </c>
      <c r="I660" s="7">
        <f>IFERROR(VLOOKUP(D660,MATERIALES!A:D,4,FALSE),0)</f>
        <v>472.18</v>
      </c>
      <c r="J660" s="8">
        <f t="shared" si="40"/>
        <v>1983.1560297473397</v>
      </c>
      <c r="K660" s="7" t="str">
        <f t="shared" si="41"/>
        <v>PTO-1805|MAT</v>
      </c>
      <c r="L660" s="7">
        <f>COUNTIFS($K$2:K660,K660)</f>
        <v>1</v>
      </c>
      <c r="M660" s="7" t="str">
        <f t="shared" si="42"/>
        <v>PTO-1805|MAT|1</v>
      </c>
      <c r="N660" s="7">
        <f>IFERROR(VLOOKUP(A660,PARTIDAS!A:F,6,FALSE),0)</f>
        <v>1</v>
      </c>
      <c r="O660" s="7">
        <f t="shared" si="43"/>
        <v>0</v>
      </c>
      <c r="P660" s="7">
        <f>IFERROR(_xlfn.XLOOKUP(A660,PPTO_GENERADOR!$Q:$Q,PPTO_GENERADOR!$E:$E,"-",0),"-")</f>
        <v>16</v>
      </c>
    </row>
    <row r="661" spans="1:16" x14ac:dyDescent="0.35">
      <c r="A661" s="5" t="s">
        <v>1038</v>
      </c>
      <c r="B661" s="5" t="s">
        <v>1203</v>
      </c>
      <c r="C661" s="5" t="s">
        <v>1205</v>
      </c>
      <c r="D661" s="5" t="s">
        <v>278</v>
      </c>
      <c r="E661" s="7" t="str">
        <f>IFERROR(VLOOKUP(D661,MATERIALES!A:B,2,FALSE),"?")</f>
        <v>Conector hierro 3/4"</v>
      </c>
      <c r="F661" s="5"/>
      <c r="G661" s="11">
        <v>4.0000000599999996</v>
      </c>
      <c r="H661" s="12">
        <v>0.1</v>
      </c>
      <c r="I661" s="7">
        <f>IFERROR(VLOOKUP(D661,MATERIALES!A:D,4,FALSE),0)</f>
        <v>203.24879999999999</v>
      </c>
      <c r="J661" s="8">
        <f t="shared" si="40"/>
        <v>894.29473341442065</v>
      </c>
      <c r="K661" s="7" t="str">
        <f t="shared" si="41"/>
        <v>PTO-1805|MAT</v>
      </c>
      <c r="L661" s="7">
        <f>COUNTIFS($K$2:K661,K661)</f>
        <v>2</v>
      </c>
      <c r="M661" s="7" t="str">
        <f t="shared" si="42"/>
        <v>PTO-1805|MAT|2</v>
      </c>
      <c r="N661" s="7">
        <f>IFERROR(VLOOKUP(A661,PARTIDAS!A:F,6,FALSE),0)</f>
        <v>1</v>
      </c>
      <c r="O661" s="7">
        <f t="shared" si="43"/>
        <v>0</v>
      </c>
      <c r="P661" s="7">
        <f>IFERROR(_xlfn.XLOOKUP(A661,PPTO_GENERADOR!$Q:$Q,PPTO_GENERADOR!$E:$E,"-",0),"-")</f>
        <v>16</v>
      </c>
    </row>
    <row r="662" spans="1:16" x14ac:dyDescent="0.35">
      <c r="A662" s="5" t="s">
        <v>1038</v>
      </c>
      <c r="B662" s="5" t="s">
        <v>1203</v>
      </c>
      <c r="C662" s="5" t="s">
        <v>1205</v>
      </c>
      <c r="D662" s="5" t="s">
        <v>280</v>
      </c>
      <c r="E662" s="7" t="str">
        <f>IFERROR(VLOOKUP(D662,MATERIALES!A:B,2,FALSE),"?")</f>
        <v>Cupla PVC 3/4"</v>
      </c>
      <c r="F662" s="5"/>
      <c r="G662" s="11">
        <v>1.2000000200000001</v>
      </c>
      <c r="H662" s="12">
        <v>0.1</v>
      </c>
      <c r="I662" s="7">
        <f>IFERROR(VLOOKUP(D662,MATERIALES!A:D,4,FALSE),0)</f>
        <v>99.829800000000006</v>
      </c>
      <c r="J662" s="8">
        <f t="shared" si="40"/>
        <v>131.77533819625563</v>
      </c>
      <c r="K662" s="7" t="str">
        <f t="shared" si="41"/>
        <v>PTO-1805|MAT</v>
      </c>
      <c r="L662" s="7">
        <f>COUNTIFS($K$2:K662,K662)</f>
        <v>3</v>
      </c>
      <c r="M662" s="7" t="str">
        <f t="shared" si="42"/>
        <v>PTO-1805|MAT|3</v>
      </c>
      <c r="N662" s="7">
        <f>IFERROR(VLOOKUP(A662,PARTIDAS!A:F,6,FALSE),0)</f>
        <v>1</v>
      </c>
      <c r="O662" s="7">
        <f t="shared" si="43"/>
        <v>0</v>
      </c>
      <c r="P662" s="7">
        <f>IFERROR(_xlfn.XLOOKUP(A662,PPTO_GENERADOR!$Q:$Q,PPTO_GENERADOR!$E:$E,"-",0),"-")</f>
        <v>16</v>
      </c>
    </row>
    <row r="663" spans="1:16" x14ac:dyDescent="0.35">
      <c r="A663" s="5" t="s">
        <v>1038</v>
      </c>
      <c r="B663" s="5" t="s">
        <v>1203</v>
      </c>
      <c r="C663" s="5" t="s">
        <v>1205</v>
      </c>
      <c r="D663" s="5" t="s">
        <v>268</v>
      </c>
      <c r="E663" s="7" t="str">
        <f>IFERROR(VLOOKUP(D663,MATERIALES!A:B,2,FALSE),"?")</f>
        <v>Cable unipolar 1 x 2,50 VA</v>
      </c>
      <c r="F663" s="5"/>
      <c r="G663" s="11">
        <v>4.0000000599999996</v>
      </c>
      <c r="H663" s="12">
        <v>0.1</v>
      </c>
      <c r="I663" s="7">
        <f>IFERROR(VLOOKUP(D663,MATERIALES!A:D,4,FALSE),0)</f>
        <v>458.38339999999999</v>
      </c>
      <c r="J663" s="8">
        <f t="shared" si="40"/>
        <v>2016.8869902533042</v>
      </c>
      <c r="K663" s="7" t="str">
        <f t="shared" si="41"/>
        <v>PTO-1805|MAT</v>
      </c>
      <c r="L663" s="7">
        <f>COUNTIFS($K$2:K663,K663)</f>
        <v>4</v>
      </c>
      <c r="M663" s="7" t="str">
        <f t="shared" si="42"/>
        <v>PTO-1805|MAT|4</v>
      </c>
      <c r="N663" s="7">
        <f>IFERROR(VLOOKUP(A663,PARTIDAS!A:F,6,FALSE),0)</f>
        <v>1</v>
      </c>
      <c r="O663" s="7">
        <f t="shared" si="43"/>
        <v>0</v>
      </c>
      <c r="P663" s="7">
        <f>IFERROR(_xlfn.XLOOKUP(A663,PPTO_GENERADOR!$Q:$Q,PPTO_GENERADOR!$E:$E,"-",0),"-")</f>
        <v>16</v>
      </c>
    </row>
    <row r="664" spans="1:16" x14ac:dyDescent="0.35">
      <c r="A664" s="5" t="s">
        <v>1038</v>
      </c>
      <c r="B664" s="5" t="s">
        <v>1203</v>
      </c>
      <c r="C664" s="5" t="s">
        <v>1205</v>
      </c>
      <c r="D664" s="5" t="s">
        <v>270</v>
      </c>
      <c r="E664" s="7" t="str">
        <f>IFERROR(VLOOKUP(D664,MATERIALES!A:B,2,FALSE),"?")</f>
        <v>Cable unipolar 1 x 2,50 Rojo/Marron/Negro</v>
      </c>
      <c r="F664" s="5"/>
      <c r="G664" s="11">
        <v>8.0000001199999993</v>
      </c>
      <c r="H664" s="12">
        <v>0.1</v>
      </c>
      <c r="I664" s="7">
        <f>IFERROR(VLOOKUP(D664,MATERIALES!A:D,4,FALSE),0)</f>
        <v>458.38339999999999</v>
      </c>
      <c r="J664" s="8">
        <f t="shared" si="40"/>
        <v>4033.7739805066085</v>
      </c>
      <c r="K664" s="7" t="str">
        <f t="shared" si="41"/>
        <v>PTO-1805|MAT</v>
      </c>
      <c r="L664" s="7">
        <f>COUNTIFS($K$2:K664,K664)</f>
        <v>5</v>
      </c>
      <c r="M664" s="7" t="str">
        <f t="shared" si="42"/>
        <v>PTO-1805|MAT|5</v>
      </c>
      <c r="N664" s="7">
        <f>IFERROR(VLOOKUP(A664,PARTIDAS!A:F,6,FALSE),0)</f>
        <v>1</v>
      </c>
      <c r="O664" s="7">
        <f t="shared" si="43"/>
        <v>0</v>
      </c>
      <c r="P664" s="7">
        <f>IFERROR(_xlfn.XLOOKUP(A664,PPTO_GENERADOR!$Q:$Q,PPTO_GENERADOR!$E:$E,"-",0),"-")</f>
        <v>16</v>
      </c>
    </row>
    <row r="665" spans="1:16" x14ac:dyDescent="0.35">
      <c r="A665" s="5" t="s">
        <v>1038</v>
      </c>
      <c r="B665" s="5" t="s">
        <v>1203</v>
      </c>
      <c r="C665" s="5" t="s">
        <v>1205</v>
      </c>
      <c r="D665" s="5" t="s">
        <v>272</v>
      </c>
      <c r="E665" s="7" t="str">
        <f>IFERROR(VLOOKUP(D665,MATERIALES!A:B,2,FALSE),"?")</f>
        <v>Caja rectangular chica</v>
      </c>
      <c r="F665" s="5"/>
      <c r="G665" s="11">
        <v>1.0000000099999999</v>
      </c>
      <c r="H665" s="12">
        <v>0.05</v>
      </c>
      <c r="I665" s="7">
        <f>IFERROR(VLOOKUP(D665,MATERIALES!A:D,4,FALSE),0)</f>
        <v>182.178</v>
      </c>
      <c r="J665" s="8">
        <f t="shared" si="40"/>
        <v>191.28690191286898</v>
      </c>
      <c r="K665" s="7" t="str">
        <f t="shared" si="41"/>
        <v>PTO-1805|MAT</v>
      </c>
      <c r="L665" s="7">
        <f>COUNTIFS($K$2:K665,K665)</f>
        <v>6</v>
      </c>
      <c r="M665" s="7" t="str">
        <f t="shared" si="42"/>
        <v>PTO-1805|MAT|6</v>
      </c>
      <c r="N665" s="7">
        <f>IFERROR(VLOOKUP(A665,PARTIDAS!A:F,6,FALSE),0)</f>
        <v>1</v>
      </c>
      <c r="O665" s="7">
        <f t="shared" si="43"/>
        <v>0</v>
      </c>
      <c r="P665" s="7">
        <f>IFERROR(_xlfn.XLOOKUP(A665,PPTO_GENERADOR!$Q:$Q,PPTO_GENERADOR!$E:$E,"-",0),"-")</f>
        <v>16</v>
      </c>
    </row>
    <row r="666" spans="1:16" x14ac:dyDescent="0.35">
      <c r="A666" s="5" t="s">
        <v>1038</v>
      </c>
      <c r="B666" s="5" t="s">
        <v>1198</v>
      </c>
      <c r="C666" s="5" t="s">
        <v>1199</v>
      </c>
      <c r="D666" s="5" t="s">
        <v>715</v>
      </c>
      <c r="E666" s="7" t="str">
        <f>IFERROR(VLOOKUP(D666,SUBCONTRATOS_PRY!A:B,2,FALSE),"?")</f>
        <v>Boca completa</v>
      </c>
      <c r="F666" s="5" t="s">
        <v>1200</v>
      </c>
      <c r="G666" s="11">
        <v>1</v>
      </c>
      <c r="H666" s="12">
        <v>0</v>
      </c>
      <c r="I666" s="7">
        <f>IFERROR(VLOOKUP(D666,SUBCONTRATOS_PRY!A:D,4,FALSE),0)</f>
        <v>32886.699999999997</v>
      </c>
      <c r="J666" s="8">
        <f t="shared" si="40"/>
        <v>32886.699999999997</v>
      </c>
      <c r="K666" s="7" t="str">
        <f t="shared" si="41"/>
        <v>PTO-1805|MO</v>
      </c>
      <c r="L666" s="7">
        <f>COUNTIFS($K$2:K666,K666)</f>
        <v>1</v>
      </c>
      <c r="M666" s="7" t="str">
        <f t="shared" si="42"/>
        <v>PTO-1805|MO|1</v>
      </c>
      <c r="N666" s="7">
        <f>IFERROR(VLOOKUP(A666,PARTIDAS!A:F,6,FALSE),0)</f>
        <v>1</v>
      </c>
      <c r="O666" s="7">
        <f t="shared" si="43"/>
        <v>0</v>
      </c>
      <c r="P666" s="7">
        <f>IFERROR(_xlfn.XLOOKUP(A666,PPTO_GENERADOR!$Q:$Q,PPTO_GENERADOR!$E:$E,"-",0),"-")</f>
        <v>16</v>
      </c>
    </row>
    <row r="667" spans="1:16" x14ac:dyDescent="0.35">
      <c r="A667" s="5" t="s">
        <v>1038</v>
      </c>
      <c r="B667" s="5" t="s">
        <v>1202</v>
      </c>
      <c r="C667" s="5"/>
      <c r="D667" s="5" t="s">
        <v>567</v>
      </c>
      <c r="E667" s="7" t="str">
        <f>IFERROR(VLOOKUP(D667,EQUIPOS!A:B,2,FALSE),"?")</f>
        <v>EQUIPO PARA INSTALACION ELECTRICA</v>
      </c>
      <c r="F667" s="5"/>
      <c r="G667" s="11">
        <v>0.30769231000000002</v>
      </c>
      <c r="H667" s="12">
        <v>0</v>
      </c>
      <c r="I667" s="7">
        <f>IFERROR(VLOOKUP(D667,EQUIPOS!A:C,3,FALSE),0)</f>
        <v>4930.4793</v>
      </c>
      <c r="J667" s="8">
        <f t="shared" si="40"/>
        <v>1517.0705652241832</v>
      </c>
      <c r="K667" s="7" t="str">
        <f t="shared" si="41"/>
        <v>PTO-1805|EQ</v>
      </c>
      <c r="L667" s="7">
        <f>COUNTIFS($K$2:K667,K667)</f>
        <v>1</v>
      </c>
      <c r="M667" s="7" t="str">
        <f t="shared" si="42"/>
        <v>PTO-1805|EQ|1</v>
      </c>
      <c r="N667" s="7">
        <f>IFERROR(VLOOKUP(A667,PARTIDAS!A:F,6,FALSE),0)</f>
        <v>1</v>
      </c>
      <c r="O667" s="7">
        <f t="shared" si="43"/>
        <v>0</v>
      </c>
      <c r="P667" s="7">
        <f>IFERROR(_xlfn.XLOOKUP(A667,PPTO_GENERADOR!$Q:$Q,PPTO_GENERADOR!$E:$E,"-",0),"-")</f>
        <v>16</v>
      </c>
    </row>
    <row r="668" spans="1:16" x14ac:dyDescent="0.35">
      <c r="A668" s="5" t="s">
        <v>1038</v>
      </c>
      <c r="B668" s="5" t="s">
        <v>1202</v>
      </c>
      <c r="C668" s="5"/>
      <c r="D668" s="5" t="s">
        <v>527</v>
      </c>
      <c r="E668" s="7" t="str">
        <f>IFERROR(VLOOKUP(D668,EQUIPOS!A:B,2,FALSE),"?")</f>
        <v>ANDAMIO TUBULAR DE UNO A TRES CUERPOS</v>
      </c>
      <c r="F668" s="5"/>
      <c r="G668" s="11">
        <v>0.15384614999999999</v>
      </c>
      <c r="H668" s="12">
        <v>0</v>
      </c>
      <c r="I668" s="7">
        <f>IFERROR(VLOOKUP(D668,EQUIPOS!A:C,3,FALSE),0)</f>
        <v>556.21879999999999</v>
      </c>
      <c r="J668" s="8">
        <f t="shared" si="40"/>
        <v>85.572120937619985</v>
      </c>
      <c r="K668" s="7" t="str">
        <f t="shared" si="41"/>
        <v>PTO-1805|EQ</v>
      </c>
      <c r="L668" s="7">
        <f>COUNTIFS($K$2:K668,K668)</f>
        <v>2</v>
      </c>
      <c r="M668" s="7" t="str">
        <f t="shared" si="42"/>
        <v>PTO-1805|EQ|2</v>
      </c>
      <c r="N668" s="7">
        <f>IFERROR(VLOOKUP(A668,PARTIDAS!A:F,6,FALSE),0)</f>
        <v>1</v>
      </c>
      <c r="O668" s="7">
        <f t="shared" si="43"/>
        <v>0</v>
      </c>
      <c r="P668" s="7">
        <f>IFERROR(_xlfn.XLOOKUP(A668,PPTO_GENERADOR!$Q:$Q,PPTO_GENERADOR!$E:$E,"-",0),"-")</f>
        <v>16</v>
      </c>
    </row>
    <row r="669" spans="1:16" x14ac:dyDescent="0.35">
      <c r="A669" s="5" t="s">
        <v>1038</v>
      </c>
      <c r="B669" s="5" t="s">
        <v>1202</v>
      </c>
      <c r="C669" s="5"/>
      <c r="D669" s="5" t="s">
        <v>559</v>
      </c>
      <c r="E669" s="7" t="str">
        <f>IFERROR(VLOOKUP(D669,EQUIPOS!A:B,2,FALSE),"?")</f>
        <v>ESCALERA GLOSS ALUMINIO ARTICULADA 4 X 4 ESCALONES HASTA 150KG</v>
      </c>
      <c r="F669" s="5"/>
      <c r="G669" s="11">
        <v>0.15384614999999999</v>
      </c>
      <c r="H669" s="12">
        <v>0</v>
      </c>
      <c r="I669" s="7">
        <f>IFERROR(VLOOKUP(D669,EQUIPOS!A:C,3,FALSE),0)</f>
        <v>136.52590000000001</v>
      </c>
      <c r="J669" s="8">
        <f t="shared" si="40"/>
        <v>21.003984090284998</v>
      </c>
      <c r="K669" s="7" t="str">
        <f t="shared" si="41"/>
        <v>PTO-1805|EQ</v>
      </c>
      <c r="L669" s="7">
        <f>COUNTIFS($K$2:K669,K669)</f>
        <v>3</v>
      </c>
      <c r="M669" s="7" t="str">
        <f t="shared" si="42"/>
        <v>PTO-1805|EQ|3</v>
      </c>
      <c r="N669" s="7">
        <f>IFERROR(VLOOKUP(A669,PARTIDAS!A:F,6,FALSE),0)</f>
        <v>1</v>
      </c>
      <c r="O669" s="7">
        <f t="shared" si="43"/>
        <v>0</v>
      </c>
      <c r="P669" s="7">
        <f>IFERROR(_xlfn.XLOOKUP(A669,PPTO_GENERADOR!$Q:$Q,PPTO_GENERADOR!$E:$E,"-",0),"-")</f>
        <v>16</v>
      </c>
    </row>
    <row r="670" spans="1:16" x14ac:dyDescent="0.35">
      <c r="A670" s="5" t="s">
        <v>1038</v>
      </c>
      <c r="B670" s="5" t="s">
        <v>1203</v>
      </c>
      <c r="C670" s="5" t="s">
        <v>1204</v>
      </c>
      <c r="D670" s="5" t="s">
        <v>468</v>
      </c>
      <c r="E670" s="7" t="str">
        <f>IFERROR(VLOOKUP(D670,MATERIALES!A:B,2,FALSE),"?")</f>
        <v>Consumibles</v>
      </c>
      <c r="F670" s="5"/>
      <c r="G670" s="11">
        <v>1942.7465</v>
      </c>
      <c r="H670" s="12">
        <v>0</v>
      </c>
      <c r="I670" s="7">
        <f>IFERROR(VLOOKUP(D670,MATERIALES!A:D,4,FALSE),0)</f>
        <v>1</v>
      </c>
      <c r="J670" s="8">
        <f t="shared" si="40"/>
        <v>1942.7465</v>
      </c>
      <c r="K670" s="7" t="str">
        <f t="shared" si="41"/>
        <v>PTO-1805|MAT</v>
      </c>
      <c r="L670" s="7">
        <f>COUNTIFS($K$2:K670,K670)</f>
        <v>7</v>
      </c>
      <c r="M670" s="7" t="str">
        <f t="shared" si="42"/>
        <v>PTO-1805|MAT|7</v>
      </c>
      <c r="N670" s="7">
        <f>IFERROR(VLOOKUP(A670,PARTIDAS!A:F,6,FALSE),0)</f>
        <v>1</v>
      </c>
      <c r="O670" s="7">
        <f t="shared" si="43"/>
        <v>0</v>
      </c>
      <c r="P670" s="7">
        <f>IFERROR(_xlfn.XLOOKUP(A670,PPTO_GENERADOR!$Q:$Q,PPTO_GENERADOR!$E:$E,"-",0),"-")</f>
        <v>16</v>
      </c>
    </row>
    <row r="671" spans="1:16" x14ac:dyDescent="0.35">
      <c r="A671" s="5" t="s">
        <v>1040</v>
      </c>
      <c r="B671" s="5" t="s">
        <v>1203</v>
      </c>
      <c r="C671" s="5" t="s">
        <v>1205</v>
      </c>
      <c r="D671" s="5" t="s">
        <v>276</v>
      </c>
      <c r="E671" s="7" t="str">
        <f>IFERROR(VLOOKUP(D671,MATERIALES!A:B,2,FALSE),"?")</f>
        <v>Caño rigido 3/4"</v>
      </c>
      <c r="F671" s="5"/>
      <c r="G671" s="11">
        <v>4.0000000599999996</v>
      </c>
      <c r="H671" s="12">
        <v>0.05</v>
      </c>
      <c r="I671" s="7">
        <f>IFERROR(VLOOKUP(D671,MATERIALES!A:D,4,FALSE),0)</f>
        <v>472.18</v>
      </c>
      <c r="J671" s="8">
        <f t="shared" si="40"/>
        <v>1983.1560297473397</v>
      </c>
      <c r="K671" s="7" t="str">
        <f t="shared" si="41"/>
        <v>PTO-1806|MAT</v>
      </c>
      <c r="L671" s="7">
        <f>COUNTIFS($K$2:K671,K671)</f>
        <v>1</v>
      </c>
      <c r="M671" s="7" t="str">
        <f t="shared" si="42"/>
        <v>PTO-1806|MAT|1</v>
      </c>
      <c r="N671" s="7">
        <f>IFERROR(VLOOKUP(A671,PARTIDAS!A:F,6,FALSE),0)</f>
        <v>1</v>
      </c>
      <c r="O671" s="7">
        <f t="shared" si="43"/>
        <v>0</v>
      </c>
      <c r="P671" s="7">
        <f>IFERROR(_xlfn.XLOOKUP(A671,PPTO_GENERADOR!$Q:$Q,PPTO_GENERADOR!$E:$E,"-",0),"-")</f>
        <v>16</v>
      </c>
    </row>
    <row r="672" spans="1:16" x14ac:dyDescent="0.35">
      <c r="A672" s="5" t="s">
        <v>1040</v>
      </c>
      <c r="B672" s="5" t="s">
        <v>1203</v>
      </c>
      <c r="C672" s="5" t="s">
        <v>1205</v>
      </c>
      <c r="D672" s="5" t="s">
        <v>278</v>
      </c>
      <c r="E672" s="7" t="str">
        <f>IFERROR(VLOOKUP(D672,MATERIALES!A:B,2,FALSE),"?")</f>
        <v>Conector hierro 3/4"</v>
      </c>
      <c r="F672" s="5"/>
      <c r="G672" s="11">
        <v>4.0000000599999996</v>
      </c>
      <c r="H672" s="12">
        <v>0.1</v>
      </c>
      <c r="I672" s="7">
        <f>IFERROR(VLOOKUP(D672,MATERIALES!A:D,4,FALSE),0)</f>
        <v>203.24879999999999</v>
      </c>
      <c r="J672" s="8">
        <f t="shared" si="40"/>
        <v>894.29473341442065</v>
      </c>
      <c r="K672" s="7" t="str">
        <f t="shared" si="41"/>
        <v>PTO-1806|MAT</v>
      </c>
      <c r="L672" s="7">
        <f>COUNTIFS($K$2:K672,K672)</f>
        <v>2</v>
      </c>
      <c r="M672" s="7" t="str">
        <f t="shared" si="42"/>
        <v>PTO-1806|MAT|2</v>
      </c>
      <c r="N672" s="7">
        <f>IFERROR(VLOOKUP(A672,PARTIDAS!A:F,6,FALSE),0)</f>
        <v>1</v>
      </c>
      <c r="O672" s="7">
        <f t="shared" si="43"/>
        <v>0</v>
      </c>
      <c r="P672" s="7">
        <f>IFERROR(_xlfn.XLOOKUP(A672,PPTO_GENERADOR!$Q:$Q,PPTO_GENERADOR!$E:$E,"-",0),"-")</f>
        <v>16</v>
      </c>
    </row>
    <row r="673" spans="1:16" x14ac:dyDescent="0.35">
      <c r="A673" s="5" t="s">
        <v>1040</v>
      </c>
      <c r="B673" s="5" t="s">
        <v>1203</v>
      </c>
      <c r="C673" s="5" t="s">
        <v>1205</v>
      </c>
      <c r="D673" s="5" t="s">
        <v>280</v>
      </c>
      <c r="E673" s="7" t="str">
        <f>IFERROR(VLOOKUP(D673,MATERIALES!A:B,2,FALSE),"?")</f>
        <v>Cupla PVC 3/4"</v>
      </c>
      <c r="F673" s="5"/>
      <c r="G673" s="11">
        <v>1.2000000200000001</v>
      </c>
      <c r="H673" s="12">
        <v>0.1</v>
      </c>
      <c r="I673" s="7">
        <f>IFERROR(VLOOKUP(D673,MATERIALES!A:D,4,FALSE),0)</f>
        <v>99.829800000000006</v>
      </c>
      <c r="J673" s="8">
        <f t="shared" si="40"/>
        <v>131.77533819625563</v>
      </c>
      <c r="K673" s="7" t="str">
        <f t="shared" si="41"/>
        <v>PTO-1806|MAT</v>
      </c>
      <c r="L673" s="7">
        <f>COUNTIFS($K$2:K673,K673)</f>
        <v>3</v>
      </c>
      <c r="M673" s="7" t="str">
        <f t="shared" si="42"/>
        <v>PTO-1806|MAT|3</v>
      </c>
      <c r="N673" s="7">
        <f>IFERROR(VLOOKUP(A673,PARTIDAS!A:F,6,FALSE),0)</f>
        <v>1</v>
      </c>
      <c r="O673" s="7">
        <f t="shared" si="43"/>
        <v>0</v>
      </c>
      <c r="P673" s="7">
        <f>IFERROR(_xlfn.XLOOKUP(A673,PPTO_GENERADOR!$Q:$Q,PPTO_GENERADOR!$E:$E,"-",0),"-")</f>
        <v>16</v>
      </c>
    </row>
    <row r="674" spans="1:16" x14ac:dyDescent="0.35">
      <c r="A674" s="5" t="s">
        <v>1040</v>
      </c>
      <c r="B674" s="5" t="s">
        <v>1203</v>
      </c>
      <c r="C674" s="5" t="s">
        <v>1205</v>
      </c>
      <c r="D674" s="5" t="s">
        <v>268</v>
      </c>
      <c r="E674" s="7" t="str">
        <f>IFERROR(VLOOKUP(D674,MATERIALES!A:B,2,FALSE),"?")</f>
        <v>Cable unipolar 1 x 2,50 VA</v>
      </c>
      <c r="F674" s="5"/>
      <c r="G674" s="11">
        <v>4.0000000599999996</v>
      </c>
      <c r="H674" s="12">
        <v>0.1</v>
      </c>
      <c r="I674" s="7">
        <f>IFERROR(VLOOKUP(D674,MATERIALES!A:D,4,FALSE),0)</f>
        <v>458.38339999999999</v>
      </c>
      <c r="J674" s="8">
        <f t="shared" si="40"/>
        <v>2016.8869902533042</v>
      </c>
      <c r="K674" s="7" t="str">
        <f t="shared" si="41"/>
        <v>PTO-1806|MAT</v>
      </c>
      <c r="L674" s="7">
        <f>COUNTIFS($K$2:K674,K674)</f>
        <v>4</v>
      </c>
      <c r="M674" s="7" t="str">
        <f t="shared" si="42"/>
        <v>PTO-1806|MAT|4</v>
      </c>
      <c r="N674" s="7">
        <f>IFERROR(VLOOKUP(A674,PARTIDAS!A:F,6,FALSE),0)</f>
        <v>1</v>
      </c>
      <c r="O674" s="7">
        <f t="shared" si="43"/>
        <v>0</v>
      </c>
      <c r="P674" s="7">
        <f>IFERROR(_xlfn.XLOOKUP(A674,PPTO_GENERADOR!$Q:$Q,PPTO_GENERADOR!$E:$E,"-",0),"-")</f>
        <v>16</v>
      </c>
    </row>
    <row r="675" spans="1:16" x14ac:dyDescent="0.35">
      <c r="A675" s="5" t="s">
        <v>1040</v>
      </c>
      <c r="B675" s="5" t="s">
        <v>1203</v>
      </c>
      <c r="C675" s="5" t="s">
        <v>1205</v>
      </c>
      <c r="D675" s="5" t="s">
        <v>270</v>
      </c>
      <c r="E675" s="7" t="str">
        <f>IFERROR(VLOOKUP(D675,MATERIALES!A:B,2,FALSE),"?")</f>
        <v>Cable unipolar 1 x 2,50 Rojo/Marron/Negro</v>
      </c>
      <c r="F675" s="5"/>
      <c r="G675" s="11">
        <v>8.0000001199999993</v>
      </c>
      <c r="H675" s="12">
        <v>0.1</v>
      </c>
      <c r="I675" s="7">
        <f>IFERROR(VLOOKUP(D675,MATERIALES!A:D,4,FALSE),0)</f>
        <v>458.38339999999999</v>
      </c>
      <c r="J675" s="8">
        <f t="shared" si="40"/>
        <v>4033.7739805066085</v>
      </c>
      <c r="K675" s="7" t="str">
        <f t="shared" si="41"/>
        <v>PTO-1806|MAT</v>
      </c>
      <c r="L675" s="7">
        <f>COUNTIFS($K$2:K675,K675)</f>
        <v>5</v>
      </c>
      <c r="M675" s="7" t="str">
        <f t="shared" si="42"/>
        <v>PTO-1806|MAT|5</v>
      </c>
      <c r="N675" s="7">
        <f>IFERROR(VLOOKUP(A675,PARTIDAS!A:F,6,FALSE),0)</f>
        <v>1</v>
      </c>
      <c r="O675" s="7">
        <f t="shared" si="43"/>
        <v>0</v>
      </c>
      <c r="P675" s="7">
        <f>IFERROR(_xlfn.XLOOKUP(A675,PPTO_GENERADOR!$Q:$Q,PPTO_GENERADOR!$E:$E,"-",0),"-")</f>
        <v>16</v>
      </c>
    </row>
    <row r="676" spans="1:16" x14ac:dyDescent="0.35">
      <c r="A676" s="5" t="s">
        <v>1040</v>
      </c>
      <c r="B676" s="5" t="s">
        <v>1203</v>
      </c>
      <c r="C676" s="5" t="s">
        <v>1205</v>
      </c>
      <c r="D676" s="5" t="s">
        <v>272</v>
      </c>
      <c r="E676" s="7" t="str">
        <f>IFERROR(VLOOKUP(D676,MATERIALES!A:B,2,FALSE),"?")</f>
        <v>Caja rectangular chica</v>
      </c>
      <c r="F676" s="5"/>
      <c r="G676" s="11">
        <v>1.0000000099999999</v>
      </c>
      <c r="H676" s="12">
        <v>0.05</v>
      </c>
      <c r="I676" s="7">
        <f>IFERROR(VLOOKUP(D676,MATERIALES!A:D,4,FALSE),0)</f>
        <v>182.178</v>
      </c>
      <c r="J676" s="8">
        <f t="shared" si="40"/>
        <v>191.28690191286898</v>
      </c>
      <c r="K676" s="7" t="str">
        <f t="shared" si="41"/>
        <v>PTO-1806|MAT</v>
      </c>
      <c r="L676" s="7">
        <f>COUNTIFS($K$2:K676,K676)</f>
        <v>6</v>
      </c>
      <c r="M676" s="7" t="str">
        <f t="shared" si="42"/>
        <v>PTO-1806|MAT|6</v>
      </c>
      <c r="N676" s="7">
        <f>IFERROR(VLOOKUP(A676,PARTIDAS!A:F,6,FALSE),0)</f>
        <v>1</v>
      </c>
      <c r="O676" s="7">
        <f t="shared" si="43"/>
        <v>0</v>
      </c>
      <c r="P676" s="7">
        <f>IFERROR(_xlfn.XLOOKUP(A676,PPTO_GENERADOR!$Q:$Q,PPTO_GENERADOR!$E:$E,"-",0),"-")</f>
        <v>16</v>
      </c>
    </row>
    <row r="677" spans="1:16" x14ac:dyDescent="0.35">
      <c r="A677" s="5" t="s">
        <v>1040</v>
      </c>
      <c r="B677" s="5" t="s">
        <v>1198</v>
      </c>
      <c r="C677" s="5" t="s">
        <v>1199</v>
      </c>
      <c r="D677" s="5" t="s">
        <v>715</v>
      </c>
      <c r="E677" s="7" t="str">
        <f>IFERROR(VLOOKUP(D677,SUBCONTRATOS_PRY!A:B,2,FALSE),"?")</f>
        <v>Boca completa</v>
      </c>
      <c r="F677" s="5" t="s">
        <v>1200</v>
      </c>
      <c r="G677" s="11">
        <v>1</v>
      </c>
      <c r="H677" s="12">
        <v>0</v>
      </c>
      <c r="I677" s="7">
        <f>IFERROR(VLOOKUP(D677,SUBCONTRATOS_PRY!A:D,4,FALSE),0)</f>
        <v>32886.699999999997</v>
      </c>
      <c r="J677" s="8">
        <f t="shared" si="40"/>
        <v>32886.699999999997</v>
      </c>
      <c r="K677" s="7" t="str">
        <f t="shared" si="41"/>
        <v>PTO-1806|MO</v>
      </c>
      <c r="L677" s="7">
        <f>COUNTIFS($K$2:K677,K677)</f>
        <v>1</v>
      </c>
      <c r="M677" s="7" t="str">
        <f t="shared" si="42"/>
        <v>PTO-1806|MO|1</v>
      </c>
      <c r="N677" s="7">
        <f>IFERROR(VLOOKUP(A677,PARTIDAS!A:F,6,FALSE),0)</f>
        <v>1</v>
      </c>
      <c r="O677" s="7">
        <f t="shared" si="43"/>
        <v>0</v>
      </c>
      <c r="P677" s="7">
        <f>IFERROR(_xlfn.XLOOKUP(A677,PPTO_GENERADOR!$Q:$Q,PPTO_GENERADOR!$E:$E,"-",0),"-")</f>
        <v>16</v>
      </c>
    </row>
    <row r="678" spans="1:16" x14ac:dyDescent="0.35">
      <c r="A678" s="5" t="s">
        <v>1040</v>
      </c>
      <c r="B678" s="5" t="s">
        <v>1202</v>
      </c>
      <c r="C678" s="5"/>
      <c r="D678" s="5" t="s">
        <v>567</v>
      </c>
      <c r="E678" s="7" t="str">
        <f>IFERROR(VLOOKUP(D678,EQUIPOS!A:B,2,FALSE),"?")</f>
        <v>EQUIPO PARA INSTALACION ELECTRICA</v>
      </c>
      <c r="F678" s="5"/>
      <c r="G678" s="11">
        <v>0.30769231000000002</v>
      </c>
      <c r="H678" s="12">
        <v>0</v>
      </c>
      <c r="I678" s="7">
        <f>IFERROR(VLOOKUP(D678,EQUIPOS!A:C,3,FALSE),0)</f>
        <v>4930.4793</v>
      </c>
      <c r="J678" s="8">
        <f t="shared" si="40"/>
        <v>1517.0705652241832</v>
      </c>
      <c r="K678" s="7" t="str">
        <f t="shared" si="41"/>
        <v>PTO-1806|EQ</v>
      </c>
      <c r="L678" s="7">
        <f>COUNTIFS($K$2:K678,K678)</f>
        <v>1</v>
      </c>
      <c r="M678" s="7" t="str">
        <f t="shared" si="42"/>
        <v>PTO-1806|EQ|1</v>
      </c>
      <c r="N678" s="7">
        <f>IFERROR(VLOOKUP(A678,PARTIDAS!A:F,6,FALSE),0)</f>
        <v>1</v>
      </c>
      <c r="O678" s="7">
        <f t="shared" si="43"/>
        <v>0</v>
      </c>
      <c r="P678" s="7">
        <f>IFERROR(_xlfn.XLOOKUP(A678,PPTO_GENERADOR!$Q:$Q,PPTO_GENERADOR!$E:$E,"-",0),"-")</f>
        <v>16</v>
      </c>
    </row>
    <row r="679" spans="1:16" x14ac:dyDescent="0.35">
      <c r="A679" s="5" t="s">
        <v>1040</v>
      </c>
      <c r="B679" s="5" t="s">
        <v>1202</v>
      </c>
      <c r="C679" s="5"/>
      <c r="D679" s="5" t="s">
        <v>527</v>
      </c>
      <c r="E679" s="7" t="str">
        <f>IFERROR(VLOOKUP(D679,EQUIPOS!A:B,2,FALSE),"?")</f>
        <v>ANDAMIO TUBULAR DE UNO A TRES CUERPOS</v>
      </c>
      <c r="F679" s="5"/>
      <c r="G679" s="11">
        <v>0.15384614999999999</v>
      </c>
      <c r="H679" s="12">
        <v>0</v>
      </c>
      <c r="I679" s="7">
        <f>IFERROR(VLOOKUP(D679,EQUIPOS!A:C,3,FALSE),0)</f>
        <v>556.21879999999999</v>
      </c>
      <c r="J679" s="8">
        <f t="shared" si="40"/>
        <v>85.572120937619985</v>
      </c>
      <c r="K679" s="7" t="str">
        <f t="shared" si="41"/>
        <v>PTO-1806|EQ</v>
      </c>
      <c r="L679" s="7">
        <f>COUNTIFS($K$2:K679,K679)</f>
        <v>2</v>
      </c>
      <c r="M679" s="7" t="str">
        <f t="shared" si="42"/>
        <v>PTO-1806|EQ|2</v>
      </c>
      <c r="N679" s="7">
        <f>IFERROR(VLOOKUP(A679,PARTIDAS!A:F,6,FALSE),0)</f>
        <v>1</v>
      </c>
      <c r="O679" s="7">
        <f t="shared" si="43"/>
        <v>0</v>
      </c>
      <c r="P679" s="7">
        <f>IFERROR(_xlfn.XLOOKUP(A679,PPTO_GENERADOR!$Q:$Q,PPTO_GENERADOR!$E:$E,"-",0),"-")</f>
        <v>16</v>
      </c>
    </row>
    <row r="680" spans="1:16" x14ac:dyDescent="0.35">
      <c r="A680" s="5" t="s">
        <v>1040</v>
      </c>
      <c r="B680" s="5" t="s">
        <v>1202</v>
      </c>
      <c r="C680" s="5"/>
      <c r="D680" s="5" t="s">
        <v>559</v>
      </c>
      <c r="E680" s="7" t="str">
        <f>IFERROR(VLOOKUP(D680,EQUIPOS!A:B,2,FALSE),"?")</f>
        <v>ESCALERA GLOSS ALUMINIO ARTICULADA 4 X 4 ESCALONES HASTA 150KG</v>
      </c>
      <c r="F680" s="5"/>
      <c r="G680" s="11">
        <v>0.15384614999999999</v>
      </c>
      <c r="H680" s="12">
        <v>0</v>
      </c>
      <c r="I680" s="7">
        <f>IFERROR(VLOOKUP(D680,EQUIPOS!A:C,3,FALSE),0)</f>
        <v>136.52590000000001</v>
      </c>
      <c r="J680" s="8">
        <f t="shared" si="40"/>
        <v>21.003984090284998</v>
      </c>
      <c r="K680" s="7" t="str">
        <f t="shared" si="41"/>
        <v>PTO-1806|EQ</v>
      </c>
      <c r="L680" s="7">
        <f>COUNTIFS($K$2:K680,K680)</f>
        <v>3</v>
      </c>
      <c r="M680" s="7" t="str">
        <f t="shared" si="42"/>
        <v>PTO-1806|EQ|3</v>
      </c>
      <c r="N680" s="7">
        <f>IFERROR(VLOOKUP(A680,PARTIDAS!A:F,6,FALSE),0)</f>
        <v>1</v>
      </c>
      <c r="O680" s="7">
        <f t="shared" si="43"/>
        <v>0</v>
      </c>
      <c r="P680" s="7">
        <f>IFERROR(_xlfn.XLOOKUP(A680,PPTO_GENERADOR!$Q:$Q,PPTO_GENERADOR!$E:$E,"-",0),"-")</f>
        <v>16</v>
      </c>
    </row>
    <row r="681" spans="1:16" x14ac:dyDescent="0.35">
      <c r="A681" s="5" t="s">
        <v>1040</v>
      </c>
      <c r="B681" s="5" t="s">
        <v>1203</v>
      </c>
      <c r="C681" s="5" t="s">
        <v>1204</v>
      </c>
      <c r="D681" s="5" t="s">
        <v>468</v>
      </c>
      <c r="E681" s="7" t="str">
        <f>IFERROR(VLOOKUP(D681,MATERIALES!A:B,2,FALSE),"?")</f>
        <v>Consumibles</v>
      </c>
      <c r="F681" s="5"/>
      <c r="G681" s="11">
        <v>1942.7465</v>
      </c>
      <c r="H681" s="12">
        <v>0</v>
      </c>
      <c r="I681" s="7">
        <f>IFERROR(VLOOKUP(D681,MATERIALES!A:D,4,FALSE),0)</f>
        <v>1</v>
      </c>
      <c r="J681" s="8">
        <f t="shared" si="40"/>
        <v>1942.7465</v>
      </c>
      <c r="K681" s="7" t="str">
        <f t="shared" si="41"/>
        <v>PTO-1806|MAT</v>
      </c>
      <c r="L681" s="7">
        <f>COUNTIFS($K$2:K681,K681)</f>
        <v>7</v>
      </c>
      <c r="M681" s="7" t="str">
        <f t="shared" si="42"/>
        <v>PTO-1806|MAT|7</v>
      </c>
      <c r="N681" s="7">
        <f>IFERROR(VLOOKUP(A681,PARTIDAS!A:F,6,FALSE),0)</f>
        <v>1</v>
      </c>
      <c r="O681" s="7">
        <f t="shared" si="43"/>
        <v>0</v>
      </c>
      <c r="P681" s="7">
        <f>IFERROR(_xlfn.XLOOKUP(A681,PPTO_GENERADOR!$Q:$Q,PPTO_GENERADOR!$E:$E,"-",0),"-")</f>
        <v>16</v>
      </c>
    </row>
    <row r="682" spans="1:16" x14ac:dyDescent="0.35">
      <c r="A682" s="5" t="s">
        <v>1042</v>
      </c>
      <c r="B682" s="5" t="s">
        <v>1203</v>
      </c>
      <c r="C682" s="5" t="s">
        <v>1205</v>
      </c>
      <c r="D682" s="5" t="s">
        <v>260</v>
      </c>
      <c r="E682" s="7" t="str">
        <f>IFERROR(VLOOKUP(D682,MATERIALES!A:B,2,FALSE),"?")</f>
        <v>Caño rigido 7/8"</v>
      </c>
      <c r="F682" s="5"/>
      <c r="G682" s="11">
        <v>3.00000008</v>
      </c>
      <c r="H682" s="12">
        <v>0.1</v>
      </c>
      <c r="I682" s="7">
        <f>IFERROR(VLOOKUP(D682,MATERIALES!A:D,4,FALSE),0)</f>
        <v>635.55999999999995</v>
      </c>
      <c r="J682" s="8">
        <f t="shared" si="40"/>
        <v>2097.3480559292798</v>
      </c>
      <c r="K682" s="7" t="str">
        <f t="shared" si="41"/>
        <v>PTO-1807|MAT</v>
      </c>
      <c r="L682" s="7">
        <f>COUNTIFS($K$2:K682,K682)</f>
        <v>1</v>
      </c>
      <c r="M682" s="7" t="str">
        <f t="shared" si="42"/>
        <v>PTO-1807|MAT|1</v>
      </c>
      <c r="N682" s="7">
        <f>IFERROR(VLOOKUP(A682,PARTIDAS!A:F,6,FALSE),0)</f>
        <v>1</v>
      </c>
      <c r="O682" s="7">
        <f t="shared" si="43"/>
        <v>0</v>
      </c>
      <c r="P682" s="7">
        <f>IFERROR(_xlfn.XLOOKUP(A682,PPTO_GENERADOR!$Q:$Q,PPTO_GENERADOR!$E:$E,"-",0),"-")</f>
        <v>46</v>
      </c>
    </row>
    <row r="683" spans="1:16" x14ac:dyDescent="0.35">
      <c r="A683" s="5" t="s">
        <v>1042</v>
      </c>
      <c r="B683" s="5" t="s">
        <v>1203</v>
      </c>
      <c r="C683" s="5" t="s">
        <v>1205</v>
      </c>
      <c r="D683" s="5" t="s">
        <v>262</v>
      </c>
      <c r="E683" s="7" t="str">
        <f>IFERROR(VLOOKUP(D683,MATERIALES!A:B,2,FALSE),"?")</f>
        <v>Conector hierro 7/8"</v>
      </c>
      <c r="F683" s="5"/>
      <c r="G683" s="11">
        <v>2.2500000600000001</v>
      </c>
      <c r="H683" s="12">
        <v>0.1</v>
      </c>
      <c r="I683" s="7">
        <f>IFERROR(VLOOKUP(D683,MATERIALES!A:D,4,FALSE),0)</f>
        <v>254.06100000000001</v>
      </c>
      <c r="J683" s="8">
        <f t="shared" si="40"/>
        <v>628.80099176802617</v>
      </c>
      <c r="K683" s="7" t="str">
        <f t="shared" si="41"/>
        <v>PTO-1807|MAT</v>
      </c>
      <c r="L683" s="7">
        <f>COUNTIFS($K$2:K683,K683)</f>
        <v>2</v>
      </c>
      <c r="M683" s="7" t="str">
        <f t="shared" si="42"/>
        <v>PTO-1807|MAT|2</v>
      </c>
      <c r="N683" s="7">
        <f>IFERROR(VLOOKUP(A683,PARTIDAS!A:F,6,FALSE),0)</f>
        <v>1</v>
      </c>
      <c r="O683" s="7">
        <f t="shared" si="43"/>
        <v>0</v>
      </c>
      <c r="P683" s="7">
        <f>IFERROR(_xlfn.XLOOKUP(A683,PPTO_GENERADOR!$Q:$Q,PPTO_GENERADOR!$E:$E,"-",0),"-")</f>
        <v>46</v>
      </c>
    </row>
    <row r="684" spans="1:16" x14ac:dyDescent="0.35">
      <c r="A684" s="5" t="s">
        <v>1042</v>
      </c>
      <c r="B684" s="5" t="s">
        <v>1203</v>
      </c>
      <c r="C684" s="5" t="s">
        <v>1205</v>
      </c>
      <c r="D684" s="5" t="s">
        <v>264</v>
      </c>
      <c r="E684" s="7" t="str">
        <f>IFERROR(VLOOKUP(D684,MATERIALES!A:B,2,FALSE),"?")</f>
        <v>Cupla PVC 7/8"</v>
      </c>
      <c r="F684" s="5"/>
      <c r="G684" s="11">
        <v>1.50000004</v>
      </c>
      <c r="H684" s="12">
        <v>0.1</v>
      </c>
      <c r="I684" s="7">
        <f>IFERROR(VLOOKUP(D684,MATERIALES!A:D,4,FALSE),0)</f>
        <v>166.38300000000001</v>
      </c>
      <c r="J684" s="8">
        <f t="shared" si="40"/>
        <v>274.53195732085203</v>
      </c>
      <c r="K684" s="7" t="str">
        <f t="shared" si="41"/>
        <v>PTO-1807|MAT</v>
      </c>
      <c r="L684" s="7">
        <f>COUNTIFS($K$2:K684,K684)</f>
        <v>3</v>
      </c>
      <c r="M684" s="7" t="str">
        <f t="shared" si="42"/>
        <v>PTO-1807|MAT|3</v>
      </c>
      <c r="N684" s="7">
        <f>IFERROR(VLOOKUP(A684,PARTIDAS!A:F,6,FALSE),0)</f>
        <v>1</v>
      </c>
      <c r="O684" s="7">
        <f t="shared" si="43"/>
        <v>0</v>
      </c>
      <c r="P684" s="7">
        <f>IFERROR(_xlfn.XLOOKUP(A684,PPTO_GENERADOR!$Q:$Q,PPTO_GENERADOR!$E:$E,"-",0),"-")</f>
        <v>46</v>
      </c>
    </row>
    <row r="685" spans="1:16" x14ac:dyDescent="0.35">
      <c r="A685" s="5" t="s">
        <v>1042</v>
      </c>
      <c r="B685" s="5" t="s">
        <v>1203</v>
      </c>
      <c r="C685" s="5" t="s">
        <v>1205</v>
      </c>
      <c r="D685" s="5" t="s">
        <v>266</v>
      </c>
      <c r="E685" s="7" t="str">
        <f>IFERROR(VLOOKUP(D685,MATERIALES!A:B,2,FALSE),"?")</f>
        <v>Cable unipolar 1 x 1,50</v>
      </c>
      <c r="F685" s="5"/>
      <c r="G685" s="11">
        <v>3.7500000999999998</v>
      </c>
      <c r="H685" s="12">
        <v>0.1</v>
      </c>
      <c r="I685" s="7">
        <f>IFERROR(VLOOKUP(D685,MATERIALES!A:D,4,FALSE),0)</f>
        <v>284.8</v>
      </c>
      <c r="J685" s="8">
        <f t="shared" si="40"/>
        <v>1174.8000313280002</v>
      </c>
      <c r="K685" s="7" t="str">
        <f t="shared" si="41"/>
        <v>PTO-1807|MAT</v>
      </c>
      <c r="L685" s="7">
        <f>COUNTIFS($K$2:K685,K685)</f>
        <v>4</v>
      </c>
      <c r="M685" s="7" t="str">
        <f t="shared" si="42"/>
        <v>PTO-1807|MAT|4</v>
      </c>
      <c r="N685" s="7">
        <f>IFERROR(VLOOKUP(A685,PARTIDAS!A:F,6,FALSE),0)</f>
        <v>1</v>
      </c>
      <c r="O685" s="7">
        <f t="shared" si="43"/>
        <v>0</v>
      </c>
      <c r="P685" s="7">
        <f>IFERROR(_xlfn.XLOOKUP(A685,PPTO_GENERADOR!$Q:$Q,PPTO_GENERADOR!$E:$E,"-",0),"-")</f>
        <v>46</v>
      </c>
    </row>
    <row r="686" spans="1:16" x14ac:dyDescent="0.35">
      <c r="A686" s="5" t="s">
        <v>1042</v>
      </c>
      <c r="B686" s="5" t="s">
        <v>1203</v>
      </c>
      <c r="C686" s="5" t="s">
        <v>1205</v>
      </c>
      <c r="D686" s="5" t="s">
        <v>268</v>
      </c>
      <c r="E686" s="7" t="str">
        <f>IFERROR(VLOOKUP(D686,MATERIALES!A:B,2,FALSE),"?")</f>
        <v>Cable unipolar 1 x 2,50 VA</v>
      </c>
      <c r="F686" s="5"/>
      <c r="G686" s="11">
        <v>3.7500000999999998</v>
      </c>
      <c r="H686" s="12">
        <v>0.1</v>
      </c>
      <c r="I686" s="7">
        <f>IFERROR(VLOOKUP(D686,MATERIALES!A:D,4,FALSE),0)</f>
        <v>458.38339999999999</v>
      </c>
      <c r="J686" s="8">
        <f t="shared" si="40"/>
        <v>1890.8315754221742</v>
      </c>
      <c r="K686" s="7" t="str">
        <f t="shared" si="41"/>
        <v>PTO-1807|MAT</v>
      </c>
      <c r="L686" s="7">
        <f>COUNTIFS($K$2:K686,K686)</f>
        <v>5</v>
      </c>
      <c r="M686" s="7" t="str">
        <f t="shared" si="42"/>
        <v>PTO-1807|MAT|5</v>
      </c>
      <c r="N686" s="7">
        <f>IFERROR(VLOOKUP(A686,PARTIDAS!A:F,6,FALSE),0)</f>
        <v>1</v>
      </c>
      <c r="O686" s="7">
        <f t="shared" si="43"/>
        <v>0</v>
      </c>
      <c r="P686" s="7">
        <f>IFERROR(_xlfn.XLOOKUP(A686,PPTO_GENERADOR!$Q:$Q,PPTO_GENERADOR!$E:$E,"-",0),"-")</f>
        <v>46</v>
      </c>
    </row>
    <row r="687" spans="1:16" x14ac:dyDescent="0.35">
      <c r="A687" s="5" t="s">
        <v>1042</v>
      </c>
      <c r="B687" s="5" t="s">
        <v>1203</v>
      </c>
      <c r="C687" s="5" t="s">
        <v>1205</v>
      </c>
      <c r="D687" s="5" t="s">
        <v>270</v>
      </c>
      <c r="E687" s="7" t="str">
        <f>IFERROR(VLOOKUP(D687,MATERIALES!A:B,2,FALSE),"?")</f>
        <v>Cable unipolar 1 x 2,50 Rojo/Marron/Negro</v>
      </c>
      <c r="F687" s="5"/>
      <c r="G687" s="11">
        <v>3.7500000999999998</v>
      </c>
      <c r="H687" s="12">
        <v>0.1</v>
      </c>
      <c r="I687" s="7">
        <f>IFERROR(VLOOKUP(D687,MATERIALES!A:D,4,FALSE),0)</f>
        <v>458.38339999999999</v>
      </c>
      <c r="J687" s="8">
        <f t="shared" si="40"/>
        <v>1890.8315754221742</v>
      </c>
      <c r="K687" s="7" t="str">
        <f t="shared" si="41"/>
        <v>PTO-1807|MAT</v>
      </c>
      <c r="L687" s="7">
        <f>COUNTIFS($K$2:K687,K687)</f>
        <v>6</v>
      </c>
      <c r="M687" s="7" t="str">
        <f t="shared" si="42"/>
        <v>PTO-1807|MAT|6</v>
      </c>
      <c r="N687" s="7">
        <f>IFERROR(VLOOKUP(A687,PARTIDAS!A:F,6,FALSE),0)</f>
        <v>1</v>
      </c>
      <c r="O687" s="7">
        <f t="shared" si="43"/>
        <v>0</v>
      </c>
      <c r="P687" s="7">
        <f>IFERROR(_xlfn.XLOOKUP(A687,PPTO_GENERADOR!$Q:$Q,PPTO_GENERADOR!$E:$E,"-",0),"-")</f>
        <v>46</v>
      </c>
    </row>
    <row r="688" spans="1:16" x14ac:dyDescent="0.35">
      <c r="A688" s="5" t="s">
        <v>1042</v>
      </c>
      <c r="B688" s="5" t="s">
        <v>1203</v>
      </c>
      <c r="C688" s="5" t="s">
        <v>1205</v>
      </c>
      <c r="D688" s="5" t="s">
        <v>272</v>
      </c>
      <c r="E688" s="7" t="str">
        <f>IFERROR(VLOOKUP(D688,MATERIALES!A:B,2,FALSE),"?")</f>
        <v>Caja rectangular chica</v>
      </c>
      <c r="F688" s="5"/>
      <c r="G688" s="11">
        <v>0.37500000999999999</v>
      </c>
      <c r="H688" s="12">
        <v>0.05</v>
      </c>
      <c r="I688" s="7">
        <f>IFERROR(VLOOKUP(D688,MATERIALES!A:D,4,FALSE),0)</f>
        <v>182.178</v>
      </c>
      <c r="J688" s="8">
        <f t="shared" si="40"/>
        <v>71.732589412869004</v>
      </c>
      <c r="K688" s="7" t="str">
        <f t="shared" si="41"/>
        <v>PTO-1807|MAT</v>
      </c>
      <c r="L688" s="7">
        <f>COUNTIFS($K$2:K688,K688)</f>
        <v>7</v>
      </c>
      <c r="M688" s="7" t="str">
        <f t="shared" si="42"/>
        <v>PTO-1807|MAT|7</v>
      </c>
      <c r="N688" s="7">
        <f>IFERROR(VLOOKUP(A688,PARTIDAS!A:F,6,FALSE),0)</f>
        <v>1</v>
      </c>
      <c r="O688" s="7">
        <f t="shared" si="43"/>
        <v>0</v>
      </c>
      <c r="P688" s="7">
        <f>IFERROR(_xlfn.XLOOKUP(A688,PPTO_GENERADOR!$Q:$Q,PPTO_GENERADOR!$E:$E,"-",0),"-")</f>
        <v>46</v>
      </c>
    </row>
    <row r="689" spans="1:16" x14ac:dyDescent="0.35">
      <c r="A689" s="5" t="s">
        <v>1042</v>
      </c>
      <c r="B689" s="5" t="s">
        <v>1203</v>
      </c>
      <c r="C689" s="5" t="s">
        <v>1205</v>
      </c>
      <c r="D689" s="5" t="s">
        <v>274</v>
      </c>
      <c r="E689" s="7" t="str">
        <f>IFERROR(VLOOKUP(D689,MATERIALES!A:B,2,FALSE),"?")</f>
        <v>Caja octogonal chica</v>
      </c>
      <c r="F689" s="5"/>
      <c r="G689" s="11">
        <v>0.75000001999999999</v>
      </c>
      <c r="H689" s="12">
        <v>0.05</v>
      </c>
      <c r="I689" s="7">
        <f>IFERROR(VLOOKUP(D689,MATERIALES!A:D,4,FALSE),0)</f>
        <v>182.178</v>
      </c>
      <c r="J689" s="8">
        <f t="shared" si="40"/>
        <v>143.46517882573801</v>
      </c>
      <c r="K689" s="7" t="str">
        <f t="shared" si="41"/>
        <v>PTO-1807|MAT</v>
      </c>
      <c r="L689" s="7">
        <f>COUNTIFS($K$2:K689,K689)</f>
        <v>8</v>
      </c>
      <c r="M689" s="7" t="str">
        <f t="shared" si="42"/>
        <v>PTO-1807|MAT|8</v>
      </c>
      <c r="N689" s="7">
        <f>IFERROR(VLOOKUP(A689,PARTIDAS!A:F,6,FALSE),0)</f>
        <v>1</v>
      </c>
      <c r="O689" s="7">
        <f t="shared" si="43"/>
        <v>0</v>
      </c>
      <c r="P689" s="7">
        <f>IFERROR(_xlfn.XLOOKUP(A689,PPTO_GENERADOR!$Q:$Q,PPTO_GENERADOR!$E:$E,"-",0),"-")</f>
        <v>46</v>
      </c>
    </row>
    <row r="690" spans="1:16" x14ac:dyDescent="0.35">
      <c r="A690" s="5" t="s">
        <v>1042</v>
      </c>
      <c r="B690" s="5" t="s">
        <v>1198</v>
      </c>
      <c r="C690" s="5" t="s">
        <v>1199</v>
      </c>
      <c r="D690" s="5" t="s">
        <v>717</v>
      </c>
      <c r="E690" s="7" t="str">
        <f>IFERROR(VLOOKUP(D690,SUBCONTRATOS_PRY!A:B,2,FALSE),"?")</f>
        <v>Canalización</v>
      </c>
      <c r="F690" s="5" t="s">
        <v>1200</v>
      </c>
      <c r="G690" s="11">
        <v>1</v>
      </c>
      <c r="H690" s="12">
        <v>0</v>
      </c>
      <c r="I690" s="7">
        <f>IFERROR(VLOOKUP(D690,SUBCONTRATOS_PRY!A:D,4,FALSE),0)</f>
        <v>22868.3</v>
      </c>
      <c r="J690" s="8">
        <f t="shared" si="40"/>
        <v>22868.3</v>
      </c>
      <c r="K690" s="7" t="str">
        <f t="shared" si="41"/>
        <v>PTO-1807|MO</v>
      </c>
      <c r="L690" s="7">
        <f>COUNTIFS($K$2:K690,K690)</f>
        <v>1</v>
      </c>
      <c r="M690" s="7" t="str">
        <f t="shared" si="42"/>
        <v>PTO-1807|MO|1</v>
      </c>
      <c r="N690" s="7">
        <f>IFERROR(VLOOKUP(A690,PARTIDAS!A:F,6,FALSE),0)</f>
        <v>1</v>
      </c>
      <c r="O690" s="7">
        <f t="shared" si="43"/>
        <v>0</v>
      </c>
      <c r="P690" s="7">
        <f>IFERROR(_xlfn.XLOOKUP(A690,PPTO_GENERADOR!$Q:$Q,PPTO_GENERADOR!$E:$E,"-",0),"-")</f>
        <v>46</v>
      </c>
    </row>
    <row r="691" spans="1:16" x14ac:dyDescent="0.35">
      <c r="A691" s="5" t="s">
        <v>1042</v>
      </c>
      <c r="B691" s="5" t="s">
        <v>1202</v>
      </c>
      <c r="C691" s="5"/>
      <c r="D691" s="5" t="s">
        <v>567</v>
      </c>
      <c r="E691" s="7" t="str">
        <f>IFERROR(VLOOKUP(D691,EQUIPOS!A:B,2,FALSE),"?")</f>
        <v>EQUIPO PARA INSTALACION ELECTRICA</v>
      </c>
      <c r="F691" s="5"/>
      <c r="G691" s="11">
        <v>0.30769231000000002</v>
      </c>
      <c r="H691" s="12">
        <v>0</v>
      </c>
      <c r="I691" s="7">
        <f>IFERROR(VLOOKUP(D691,EQUIPOS!A:C,3,FALSE),0)</f>
        <v>4930.4793</v>
      </c>
      <c r="J691" s="8">
        <f t="shared" si="40"/>
        <v>1517.0705652241832</v>
      </c>
      <c r="K691" s="7" t="str">
        <f t="shared" si="41"/>
        <v>PTO-1807|EQ</v>
      </c>
      <c r="L691" s="7">
        <f>COUNTIFS($K$2:K691,K691)</f>
        <v>1</v>
      </c>
      <c r="M691" s="7" t="str">
        <f t="shared" si="42"/>
        <v>PTO-1807|EQ|1</v>
      </c>
      <c r="N691" s="7">
        <f>IFERROR(VLOOKUP(A691,PARTIDAS!A:F,6,FALSE),0)</f>
        <v>1</v>
      </c>
      <c r="O691" s="7">
        <f t="shared" si="43"/>
        <v>0</v>
      </c>
      <c r="P691" s="7">
        <f>IFERROR(_xlfn.XLOOKUP(A691,PPTO_GENERADOR!$Q:$Q,PPTO_GENERADOR!$E:$E,"-",0),"-")</f>
        <v>46</v>
      </c>
    </row>
    <row r="692" spans="1:16" x14ac:dyDescent="0.35">
      <c r="A692" s="5" t="s">
        <v>1042</v>
      </c>
      <c r="B692" s="5" t="s">
        <v>1202</v>
      </c>
      <c r="C692" s="5"/>
      <c r="D692" s="5" t="s">
        <v>527</v>
      </c>
      <c r="E692" s="7" t="str">
        <f>IFERROR(VLOOKUP(D692,EQUIPOS!A:B,2,FALSE),"?")</f>
        <v>ANDAMIO TUBULAR DE UNO A TRES CUERPOS</v>
      </c>
      <c r="F692" s="5"/>
      <c r="G692" s="11">
        <v>0.15384614999999999</v>
      </c>
      <c r="H692" s="12">
        <v>0</v>
      </c>
      <c r="I692" s="7">
        <f>IFERROR(VLOOKUP(D692,EQUIPOS!A:C,3,FALSE),0)</f>
        <v>556.21879999999999</v>
      </c>
      <c r="J692" s="8">
        <f t="shared" si="40"/>
        <v>85.572120937619985</v>
      </c>
      <c r="K692" s="7" t="str">
        <f t="shared" si="41"/>
        <v>PTO-1807|EQ</v>
      </c>
      <c r="L692" s="7">
        <f>COUNTIFS($K$2:K692,K692)</f>
        <v>2</v>
      </c>
      <c r="M692" s="7" t="str">
        <f t="shared" si="42"/>
        <v>PTO-1807|EQ|2</v>
      </c>
      <c r="N692" s="7">
        <f>IFERROR(VLOOKUP(A692,PARTIDAS!A:F,6,FALSE),0)</f>
        <v>1</v>
      </c>
      <c r="O692" s="7">
        <f t="shared" si="43"/>
        <v>0</v>
      </c>
      <c r="P692" s="7">
        <f>IFERROR(_xlfn.XLOOKUP(A692,PPTO_GENERADOR!$Q:$Q,PPTO_GENERADOR!$E:$E,"-",0),"-")</f>
        <v>46</v>
      </c>
    </row>
    <row r="693" spans="1:16" x14ac:dyDescent="0.35">
      <c r="A693" s="5" t="s">
        <v>1042</v>
      </c>
      <c r="B693" s="5" t="s">
        <v>1202</v>
      </c>
      <c r="C693" s="5"/>
      <c r="D693" s="5" t="s">
        <v>559</v>
      </c>
      <c r="E693" s="7" t="str">
        <f>IFERROR(VLOOKUP(D693,EQUIPOS!A:B,2,FALSE),"?")</f>
        <v>ESCALERA GLOSS ALUMINIO ARTICULADA 4 X 4 ESCALONES HASTA 150KG</v>
      </c>
      <c r="F693" s="5"/>
      <c r="G693" s="11">
        <v>0.15384614999999999</v>
      </c>
      <c r="H693" s="12">
        <v>0</v>
      </c>
      <c r="I693" s="7">
        <f>IFERROR(VLOOKUP(D693,EQUIPOS!A:C,3,FALSE),0)</f>
        <v>136.52590000000001</v>
      </c>
      <c r="J693" s="8">
        <f t="shared" si="40"/>
        <v>21.003984090284998</v>
      </c>
      <c r="K693" s="7" t="str">
        <f t="shared" si="41"/>
        <v>PTO-1807|EQ</v>
      </c>
      <c r="L693" s="7">
        <f>COUNTIFS($K$2:K693,K693)</f>
        <v>3</v>
      </c>
      <c r="M693" s="7" t="str">
        <f t="shared" si="42"/>
        <v>PTO-1807|EQ|3</v>
      </c>
      <c r="N693" s="7">
        <f>IFERROR(VLOOKUP(A693,PARTIDAS!A:F,6,FALSE),0)</f>
        <v>1</v>
      </c>
      <c r="O693" s="7">
        <f t="shared" si="43"/>
        <v>0</v>
      </c>
      <c r="P693" s="7">
        <f>IFERROR(_xlfn.XLOOKUP(A693,PPTO_GENERADOR!$Q:$Q,PPTO_GENERADOR!$E:$E,"-",0),"-")</f>
        <v>46</v>
      </c>
    </row>
    <row r="694" spans="1:16" x14ac:dyDescent="0.35">
      <c r="A694" s="5" t="s">
        <v>1042</v>
      </c>
      <c r="B694" s="5" t="s">
        <v>1203</v>
      </c>
      <c r="C694" s="5" t="s">
        <v>1204</v>
      </c>
      <c r="D694" s="5" t="s">
        <v>468</v>
      </c>
      <c r="E694" s="7" t="str">
        <f>IFERROR(VLOOKUP(D694,MATERIALES!A:B,2,FALSE),"?")</f>
        <v>Consumibles</v>
      </c>
      <c r="F694" s="5"/>
      <c r="G694" s="11">
        <v>1716.1919</v>
      </c>
      <c r="H694" s="12">
        <v>0</v>
      </c>
      <c r="I694" s="7">
        <f>IFERROR(VLOOKUP(D694,MATERIALES!A:D,4,FALSE),0)</f>
        <v>1</v>
      </c>
      <c r="J694" s="8">
        <f t="shared" si="40"/>
        <v>1716.1919</v>
      </c>
      <c r="K694" s="7" t="str">
        <f t="shared" si="41"/>
        <v>PTO-1807|MAT</v>
      </c>
      <c r="L694" s="7">
        <f>COUNTIFS($K$2:K694,K694)</f>
        <v>9</v>
      </c>
      <c r="M694" s="7" t="str">
        <f t="shared" si="42"/>
        <v>PTO-1807|MAT|9</v>
      </c>
      <c r="N694" s="7">
        <f>IFERROR(VLOOKUP(A694,PARTIDAS!A:F,6,FALSE),0)</f>
        <v>1</v>
      </c>
      <c r="O694" s="7">
        <f t="shared" si="43"/>
        <v>0</v>
      </c>
      <c r="P694" s="7">
        <f>IFERROR(_xlfn.XLOOKUP(A694,PPTO_GENERADOR!$Q:$Q,PPTO_GENERADOR!$E:$E,"-",0),"-")</f>
        <v>46</v>
      </c>
    </row>
    <row r="695" spans="1:16" x14ac:dyDescent="0.35">
      <c r="A695" s="5" t="s">
        <v>1044</v>
      </c>
      <c r="B695" s="5" t="s">
        <v>1203</v>
      </c>
      <c r="C695" s="5" t="s">
        <v>1205</v>
      </c>
      <c r="D695" s="5" t="s">
        <v>260</v>
      </c>
      <c r="E695" s="7" t="str">
        <f>IFERROR(VLOOKUP(D695,MATERIALES!A:B,2,FALSE),"?")</f>
        <v>Caño rigido 7/8"</v>
      </c>
      <c r="F695" s="5"/>
      <c r="G695" s="11">
        <v>3.00000008</v>
      </c>
      <c r="H695" s="12">
        <v>0.1</v>
      </c>
      <c r="I695" s="7">
        <f>IFERROR(VLOOKUP(D695,MATERIALES!A:D,4,FALSE),0)</f>
        <v>635.55999999999995</v>
      </c>
      <c r="J695" s="8">
        <f t="shared" si="40"/>
        <v>2097.3480559292798</v>
      </c>
      <c r="K695" s="7" t="str">
        <f t="shared" si="41"/>
        <v>PTO-1808|MAT</v>
      </c>
      <c r="L695" s="7">
        <f>COUNTIFS($K$2:K695,K695)</f>
        <v>1</v>
      </c>
      <c r="M695" s="7" t="str">
        <f t="shared" si="42"/>
        <v>PTO-1808|MAT|1</v>
      </c>
      <c r="N695" s="7">
        <f>IFERROR(VLOOKUP(A695,PARTIDAS!A:F,6,FALSE),0)</f>
        <v>1</v>
      </c>
      <c r="O695" s="7">
        <f t="shared" si="43"/>
        <v>0</v>
      </c>
      <c r="P695" s="7">
        <f>IFERROR(_xlfn.XLOOKUP(A695,PPTO_GENERADOR!$Q:$Q,PPTO_GENERADOR!$E:$E,"-",0),"-")</f>
        <v>17</v>
      </c>
    </row>
    <row r="696" spans="1:16" x14ac:dyDescent="0.35">
      <c r="A696" s="5" t="s">
        <v>1044</v>
      </c>
      <c r="B696" s="5" t="s">
        <v>1203</v>
      </c>
      <c r="C696" s="5" t="s">
        <v>1205</v>
      </c>
      <c r="D696" s="5" t="s">
        <v>262</v>
      </c>
      <c r="E696" s="7" t="str">
        <f>IFERROR(VLOOKUP(D696,MATERIALES!A:B,2,FALSE),"?")</f>
        <v>Conector hierro 7/8"</v>
      </c>
      <c r="F696" s="5"/>
      <c r="G696" s="11">
        <v>2.2500000600000001</v>
      </c>
      <c r="H696" s="12">
        <v>0.1</v>
      </c>
      <c r="I696" s="7">
        <f>IFERROR(VLOOKUP(D696,MATERIALES!A:D,4,FALSE),0)</f>
        <v>254.06100000000001</v>
      </c>
      <c r="J696" s="8">
        <f t="shared" si="40"/>
        <v>628.80099176802617</v>
      </c>
      <c r="K696" s="7" t="str">
        <f t="shared" si="41"/>
        <v>PTO-1808|MAT</v>
      </c>
      <c r="L696" s="7">
        <f>COUNTIFS($K$2:K696,K696)</f>
        <v>2</v>
      </c>
      <c r="M696" s="7" t="str">
        <f t="shared" si="42"/>
        <v>PTO-1808|MAT|2</v>
      </c>
      <c r="N696" s="7">
        <f>IFERROR(VLOOKUP(A696,PARTIDAS!A:F,6,FALSE),0)</f>
        <v>1</v>
      </c>
      <c r="O696" s="7">
        <f t="shared" si="43"/>
        <v>0</v>
      </c>
      <c r="P696" s="7">
        <f>IFERROR(_xlfn.XLOOKUP(A696,PPTO_GENERADOR!$Q:$Q,PPTO_GENERADOR!$E:$E,"-",0),"-")</f>
        <v>17</v>
      </c>
    </row>
    <row r="697" spans="1:16" x14ac:dyDescent="0.35">
      <c r="A697" s="5" t="s">
        <v>1044</v>
      </c>
      <c r="B697" s="5" t="s">
        <v>1203</v>
      </c>
      <c r="C697" s="5" t="s">
        <v>1205</v>
      </c>
      <c r="D697" s="5" t="s">
        <v>264</v>
      </c>
      <c r="E697" s="7" t="str">
        <f>IFERROR(VLOOKUP(D697,MATERIALES!A:B,2,FALSE),"?")</f>
        <v>Cupla PVC 7/8"</v>
      </c>
      <c r="F697" s="5"/>
      <c r="G697" s="11">
        <v>1.50000004</v>
      </c>
      <c r="H697" s="12">
        <v>0.1</v>
      </c>
      <c r="I697" s="7">
        <f>IFERROR(VLOOKUP(D697,MATERIALES!A:D,4,FALSE),0)</f>
        <v>166.38300000000001</v>
      </c>
      <c r="J697" s="8">
        <f t="shared" si="40"/>
        <v>274.53195732085203</v>
      </c>
      <c r="K697" s="7" t="str">
        <f t="shared" si="41"/>
        <v>PTO-1808|MAT</v>
      </c>
      <c r="L697" s="7">
        <f>COUNTIFS($K$2:K697,K697)</f>
        <v>3</v>
      </c>
      <c r="M697" s="7" t="str">
        <f t="shared" si="42"/>
        <v>PTO-1808|MAT|3</v>
      </c>
      <c r="N697" s="7">
        <f>IFERROR(VLOOKUP(A697,PARTIDAS!A:F,6,FALSE),0)</f>
        <v>1</v>
      </c>
      <c r="O697" s="7">
        <f t="shared" si="43"/>
        <v>0</v>
      </c>
      <c r="P697" s="7">
        <f>IFERROR(_xlfn.XLOOKUP(A697,PPTO_GENERADOR!$Q:$Q,PPTO_GENERADOR!$E:$E,"-",0),"-")</f>
        <v>17</v>
      </c>
    </row>
    <row r="698" spans="1:16" x14ac:dyDescent="0.35">
      <c r="A698" s="5" t="s">
        <v>1044</v>
      </c>
      <c r="B698" s="5" t="s">
        <v>1203</v>
      </c>
      <c r="C698" s="5" t="s">
        <v>1205</v>
      </c>
      <c r="D698" s="5" t="s">
        <v>266</v>
      </c>
      <c r="E698" s="7" t="str">
        <f>IFERROR(VLOOKUP(D698,MATERIALES!A:B,2,FALSE),"?")</f>
        <v>Cable unipolar 1 x 1,50</v>
      </c>
      <c r="F698" s="5"/>
      <c r="G698" s="11">
        <v>3.7500000999999998</v>
      </c>
      <c r="H698" s="12">
        <v>0.1</v>
      </c>
      <c r="I698" s="7">
        <f>IFERROR(VLOOKUP(D698,MATERIALES!A:D,4,FALSE),0)</f>
        <v>284.8</v>
      </c>
      <c r="J698" s="8">
        <f t="shared" si="40"/>
        <v>1174.8000313280002</v>
      </c>
      <c r="K698" s="7" t="str">
        <f t="shared" si="41"/>
        <v>PTO-1808|MAT</v>
      </c>
      <c r="L698" s="7">
        <f>COUNTIFS($K$2:K698,K698)</f>
        <v>4</v>
      </c>
      <c r="M698" s="7" t="str">
        <f t="shared" si="42"/>
        <v>PTO-1808|MAT|4</v>
      </c>
      <c r="N698" s="7">
        <f>IFERROR(VLOOKUP(A698,PARTIDAS!A:F,6,FALSE),0)</f>
        <v>1</v>
      </c>
      <c r="O698" s="7">
        <f t="shared" si="43"/>
        <v>0</v>
      </c>
      <c r="P698" s="7">
        <f>IFERROR(_xlfn.XLOOKUP(A698,PPTO_GENERADOR!$Q:$Q,PPTO_GENERADOR!$E:$E,"-",0),"-")</f>
        <v>17</v>
      </c>
    </row>
    <row r="699" spans="1:16" x14ac:dyDescent="0.35">
      <c r="A699" s="5" t="s">
        <v>1044</v>
      </c>
      <c r="B699" s="5" t="s">
        <v>1203</v>
      </c>
      <c r="C699" s="5" t="s">
        <v>1205</v>
      </c>
      <c r="D699" s="5" t="s">
        <v>268</v>
      </c>
      <c r="E699" s="7" t="str">
        <f>IFERROR(VLOOKUP(D699,MATERIALES!A:B,2,FALSE),"?")</f>
        <v>Cable unipolar 1 x 2,50 VA</v>
      </c>
      <c r="F699" s="5"/>
      <c r="G699" s="11">
        <v>3.7500000999999998</v>
      </c>
      <c r="H699" s="12">
        <v>0.1</v>
      </c>
      <c r="I699" s="7">
        <f>IFERROR(VLOOKUP(D699,MATERIALES!A:D,4,FALSE),0)</f>
        <v>458.38339999999999</v>
      </c>
      <c r="J699" s="8">
        <f t="shared" si="40"/>
        <v>1890.8315754221742</v>
      </c>
      <c r="K699" s="7" t="str">
        <f t="shared" si="41"/>
        <v>PTO-1808|MAT</v>
      </c>
      <c r="L699" s="7">
        <f>COUNTIFS($K$2:K699,K699)</f>
        <v>5</v>
      </c>
      <c r="M699" s="7" t="str">
        <f t="shared" si="42"/>
        <v>PTO-1808|MAT|5</v>
      </c>
      <c r="N699" s="7">
        <f>IFERROR(VLOOKUP(A699,PARTIDAS!A:F,6,FALSE),0)</f>
        <v>1</v>
      </c>
      <c r="O699" s="7">
        <f t="shared" si="43"/>
        <v>0</v>
      </c>
      <c r="P699" s="7">
        <f>IFERROR(_xlfn.XLOOKUP(A699,PPTO_GENERADOR!$Q:$Q,PPTO_GENERADOR!$E:$E,"-",0),"-")</f>
        <v>17</v>
      </c>
    </row>
    <row r="700" spans="1:16" x14ac:dyDescent="0.35">
      <c r="A700" s="5" t="s">
        <v>1044</v>
      </c>
      <c r="B700" s="5" t="s">
        <v>1203</v>
      </c>
      <c r="C700" s="5" t="s">
        <v>1205</v>
      </c>
      <c r="D700" s="5" t="s">
        <v>270</v>
      </c>
      <c r="E700" s="7" t="str">
        <f>IFERROR(VLOOKUP(D700,MATERIALES!A:B,2,FALSE),"?")</f>
        <v>Cable unipolar 1 x 2,50 Rojo/Marron/Negro</v>
      </c>
      <c r="F700" s="5"/>
      <c r="G700" s="11">
        <v>3.7500000999999998</v>
      </c>
      <c r="H700" s="12">
        <v>0.1</v>
      </c>
      <c r="I700" s="7">
        <f>IFERROR(VLOOKUP(D700,MATERIALES!A:D,4,FALSE),0)</f>
        <v>458.38339999999999</v>
      </c>
      <c r="J700" s="8">
        <f t="shared" si="40"/>
        <v>1890.8315754221742</v>
      </c>
      <c r="K700" s="7" t="str">
        <f t="shared" si="41"/>
        <v>PTO-1808|MAT</v>
      </c>
      <c r="L700" s="7">
        <f>COUNTIFS($K$2:K700,K700)</f>
        <v>6</v>
      </c>
      <c r="M700" s="7" t="str">
        <f t="shared" si="42"/>
        <v>PTO-1808|MAT|6</v>
      </c>
      <c r="N700" s="7">
        <f>IFERROR(VLOOKUP(A700,PARTIDAS!A:F,6,FALSE),0)</f>
        <v>1</v>
      </c>
      <c r="O700" s="7">
        <f t="shared" si="43"/>
        <v>0</v>
      </c>
      <c r="P700" s="7">
        <f>IFERROR(_xlfn.XLOOKUP(A700,PPTO_GENERADOR!$Q:$Q,PPTO_GENERADOR!$E:$E,"-",0),"-")</f>
        <v>17</v>
      </c>
    </row>
    <row r="701" spans="1:16" x14ac:dyDescent="0.35">
      <c r="A701" s="5" t="s">
        <v>1044</v>
      </c>
      <c r="B701" s="5" t="s">
        <v>1203</v>
      </c>
      <c r="C701" s="5" t="s">
        <v>1205</v>
      </c>
      <c r="D701" s="5" t="s">
        <v>272</v>
      </c>
      <c r="E701" s="7" t="str">
        <f>IFERROR(VLOOKUP(D701,MATERIALES!A:B,2,FALSE),"?")</f>
        <v>Caja rectangular chica</v>
      </c>
      <c r="F701" s="5"/>
      <c r="G701" s="11">
        <v>0.37500000999999999</v>
      </c>
      <c r="H701" s="12">
        <v>0.05</v>
      </c>
      <c r="I701" s="7">
        <f>IFERROR(VLOOKUP(D701,MATERIALES!A:D,4,FALSE),0)</f>
        <v>182.178</v>
      </c>
      <c r="J701" s="8">
        <f t="shared" si="40"/>
        <v>71.732589412869004</v>
      </c>
      <c r="K701" s="7" t="str">
        <f t="shared" si="41"/>
        <v>PTO-1808|MAT</v>
      </c>
      <c r="L701" s="7">
        <f>COUNTIFS($K$2:K701,K701)</f>
        <v>7</v>
      </c>
      <c r="M701" s="7" t="str">
        <f t="shared" si="42"/>
        <v>PTO-1808|MAT|7</v>
      </c>
      <c r="N701" s="7">
        <f>IFERROR(VLOOKUP(A701,PARTIDAS!A:F,6,FALSE),0)</f>
        <v>1</v>
      </c>
      <c r="O701" s="7">
        <f t="shared" si="43"/>
        <v>0</v>
      </c>
      <c r="P701" s="7">
        <f>IFERROR(_xlfn.XLOOKUP(A701,PPTO_GENERADOR!$Q:$Q,PPTO_GENERADOR!$E:$E,"-",0),"-")</f>
        <v>17</v>
      </c>
    </row>
    <row r="702" spans="1:16" x14ac:dyDescent="0.35">
      <c r="A702" s="5" t="s">
        <v>1044</v>
      </c>
      <c r="B702" s="5" t="s">
        <v>1203</v>
      </c>
      <c r="C702" s="5" t="s">
        <v>1205</v>
      </c>
      <c r="D702" s="5" t="s">
        <v>274</v>
      </c>
      <c r="E702" s="7" t="str">
        <f>IFERROR(VLOOKUP(D702,MATERIALES!A:B,2,FALSE),"?")</f>
        <v>Caja octogonal chica</v>
      </c>
      <c r="F702" s="5"/>
      <c r="G702" s="11">
        <v>0.75000001999999999</v>
      </c>
      <c r="H702" s="12">
        <v>0.05</v>
      </c>
      <c r="I702" s="7">
        <f>IFERROR(VLOOKUP(D702,MATERIALES!A:D,4,FALSE),0)</f>
        <v>182.178</v>
      </c>
      <c r="J702" s="8">
        <f t="shared" si="40"/>
        <v>143.46517882573801</v>
      </c>
      <c r="K702" s="7" t="str">
        <f t="shared" si="41"/>
        <v>PTO-1808|MAT</v>
      </c>
      <c r="L702" s="7">
        <f>COUNTIFS($K$2:K702,K702)</f>
        <v>8</v>
      </c>
      <c r="M702" s="7" t="str">
        <f t="shared" si="42"/>
        <v>PTO-1808|MAT|8</v>
      </c>
      <c r="N702" s="7">
        <f>IFERROR(VLOOKUP(A702,PARTIDAS!A:F,6,FALSE),0)</f>
        <v>1</v>
      </c>
      <c r="O702" s="7">
        <f t="shared" si="43"/>
        <v>0</v>
      </c>
      <c r="P702" s="7">
        <f>IFERROR(_xlfn.XLOOKUP(A702,PPTO_GENERADOR!$Q:$Q,PPTO_GENERADOR!$E:$E,"-",0),"-")</f>
        <v>17</v>
      </c>
    </row>
    <row r="703" spans="1:16" x14ac:dyDescent="0.35">
      <c r="A703" s="5" t="s">
        <v>1044</v>
      </c>
      <c r="B703" s="5" t="s">
        <v>1198</v>
      </c>
      <c r="C703" s="5" t="s">
        <v>1199</v>
      </c>
      <c r="D703" s="5" t="s">
        <v>717</v>
      </c>
      <c r="E703" s="7" t="str">
        <f>IFERROR(VLOOKUP(D703,SUBCONTRATOS_PRY!A:B,2,FALSE),"?")</f>
        <v>Canalización</v>
      </c>
      <c r="F703" s="5" t="s">
        <v>1200</v>
      </c>
      <c r="G703" s="11">
        <v>1</v>
      </c>
      <c r="H703" s="12">
        <v>0</v>
      </c>
      <c r="I703" s="7">
        <f>IFERROR(VLOOKUP(D703,SUBCONTRATOS_PRY!A:D,4,FALSE),0)</f>
        <v>22868.3</v>
      </c>
      <c r="J703" s="8">
        <f t="shared" si="40"/>
        <v>22868.3</v>
      </c>
      <c r="K703" s="7" t="str">
        <f t="shared" si="41"/>
        <v>PTO-1808|MO</v>
      </c>
      <c r="L703" s="7">
        <f>COUNTIFS($K$2:K703,K703)</f>
        <v>1</v>
      </c>
      <c r="M703" s="7" t="str">
        <f t="shared" si="42"/>
        <v>PTO-1808|MO|1</v>
      </c>
      <c r="N703" s="7">
        <f>IFERROR(VLOOKUP(A703,PARTIDAS!A:F,6,FALSE),0)</f>
        <v>1</v>
      </c>
      <c r="O703" s="7">
        <f t="shared" si="43"/>
        <v>0</v>
      </c>
      <c r="P703" s="7">
        <f>IFERROR(_xlfn.XLOOKUP(A703,PPTO_GENERADOR!$Q:$Q,PPTO_GENERADOR!$E:$E,"-",0),"-")</f>
        <v>17</v>
      </c>
    </row>
    <row r="704" spans="1:16" x14ac:dyDescent="0.35">
      <c r="A704" s="5" t="s">
        <v>1044</v>
      </c>
      <c r="B704" s="5" t="s">
        <v>1202</v>
      </c>
      <c r="C704" s="5"/>
      <c r="D704" s="5" t="s">
        <v>567</v>
      </c>
      <c r="E704" s="7" t="str">
        <f>IFERROR(VLOOKUP(D704,EQUIPOS!A:B,2,FALSE),"?")</f>
        <v>EQUIPO PARA INSTALACION ELECTRICA</v>
      </c>
      <c r="F704" s="5"/>
      <c r="G704" s="11">
        <v>0.30769231000000002</v>
      </c>
      <c r="H704" s="12">
        <v>0</v>
      </c>
      <c r="I704" s="7">
        <f>IFERROR(VLOOKUP(D704,EQUIPOS!A:C,3,FALSE),0)</f>
        <v>4930.4793</v>
      </c>
      <c r="J704" s="8">
        <f t="shared" si="40"/>
        <v>1517.0705652241832</v>
      </c>
      <c r="K704" s="7" t="str">
        <f t="shared" si="41"/>
        <v>PTO-1808|EQ</v>
      </c>
      <c r="L704" s="7">
        <f>COUNTIFS($K$2:K704,K704)</f>
        <v>1</v>
      </c>
      <c r="M704" s="7" t="str">
        <f t="shared" si="42"/>
        <v>PTO-1808|EQ|1</v>
      </c>
      <c r="N704" s="7">
        <f>IFERROR(VLOOKUP(A704,PARTIDAS!A:F,6,FALSE),0)</f>
        <v>1</v>
      </c>
      <c r="O704" s="7">
        <f t="shared" si="43"/>
        <v>0</v>
      </c>
      <c r="P704" s="7">
        <f>IFERROR(_xlfn.XLOOKUP(A704,PPTO_GENERADOR!$Q:$Q,PPTO_GENERADOR!$E:$E,"-",0),"-")</f>
        <v>17</v>
      </c>
    </row>
    <row r="705" spans="1:16" x14ac:dyDescent="0.35">
      <c r="A705" s="5" t="s">
        <v>1044</v>
      </c>
      <c r="B705" s="5" t="s">
        <v>1202</v>
      </c>
      <c r="C705" s="5"/>
      <c r="D705" s="5" t="s">
        <v>527</v>
      </c>
      <c r="E705" s="7" t="str">
        <f>IFERROR(VLOOKUP(D705,EQUIPOS!A:B,2,FALSE),"?")</f>
        <v>ANDAMIO TUBULAR DE UNO A TRES CUERPOS</v>
      </c>
      <c r="F705" s="5"/>
      <c r="G705" s="11">
        <v>0.15384614999999999</v>
      </c>
      <c r="H705" s="12">
        <v>0</v>
      </c>
      <c r="I705" s="7">
        <f>IFERROR(VLOOKUP(D705,EQUIPOS!A:C,3,FALSE),0)</f>
        <v>556.21879999999999</v>
      </c>
      <c r="J705" s="8">
        <f t="shared" si="40"/>
        <v>85.572120937619985</v>
      </c>
      <c r="K705" s="7" t="str">
        <f t="shared" si="41"/>
        <v>PTO-1808|EQ</v>
      </c>
      <c r="L705" s="7">
        <f>COUNTIFS($K$2:K705,K705)</f>
        <v>2</v>
      </c>
      <c r="M705" s="7" t="str">
        <f t="shared" si="42"/>
        <v>PTO-1808|EQ|2</v>
      </c>
      <c r="N705" s="7">
        <f>IFERROR(VLOOKUP(A705,PARTIDAS!A:F,6,FALSE),0)</f>
        <v>1</v>
      </c>
      <c r="O705" s="7">
        <f t="shared" si="43"/>
        <v>0</v>
      </c>
      <c r="P705" s="7">
        <f>IFERROR(_xlfn.XLOOKUP(A705,PPTO_GENERADOR!$Q:$Q,PPTO_GENERADOR!$E:$E,"-",0),"-")</f>
        <v>17</v>
      </c>
    </row>
    <row r="706" spans="1:16" x14ac:dyDescent="0.35">
      <c r="A706" s="5" t="s">
        <v>1044</v>
      </c>
      <c r="B706" s="5" t="s">
        <v>1202</v>
      </c>
      <c r="C706" s="5"/>
      <c r="D706" s="5" t="s">
        <v>559</v>
      </c>
      <c r="E706" s="7" t="str">
        <f>IFERROR(VLOOKUP(D706,EQUIPOS!A:B,2,FALSE),"?")</f>
        <v>ESCALERA GLOSS ALUMINIO ARTICULADA 4 X 4 ESCALONES HASTA 150KG</v>
      </c>
      <c r="F706" s="5"/>
      <c r="G706" s="11">
        <v>0.15384614999999999</v>
      </c>
      <c r="H706" s="12">
        <v>0</v>
      </c>
      <c r="I706" s="7">
        <f>IFERROR(VLOOKUP(D706,EQUIPOS!A:C,3,FALSE),0)</f>
        <v>136.52590000000001</v>
      </c>
      <c r="J706" s="8">
        <f t="shared" ref="J706:J769" si="44">G706*I706*(1+H706)</f>
        <v>21.003984090284998</v>
      </c>
      <c r="K706" s="7" t="str">
        <f t="shared" ref="K706:K769" si="45">A706&amp;"|"&amp;B706</f>
        <v>PTO-1808|EQ</v>
      </c>
      <c r="L706" s="7">
        <f>COUNTIFS($K$2:K706,K706)</f>
        <v>3</v>
      </c>
      <c r="M706" s="7" t="str">
        <f t="shared" ref="M706:M769" si="46">K706&amp;"|"&amp;L706</f>
        <v>PTO-1808|EQ|3</v>
      </c>
      <c r="N706" s="7">
        <f>IFERROR(VLOOKUP(A706,PARTIDAS!A:F,6,FALSE),0)</f>
        <v>1</v>
      </c>
      <c r="O706" s="7">
        <f t="shared" ref="O706:O769" si="47">IF(C706="ALB",IF(N706=0,0,G706/N706),0)</f>
        <v>0</v>
      </c>
      <c r="P706" s="7">
        <f>IFERROR(_xlfn.XLOOKUP(A706,PPTO_GENERADOR!$Q:$Q,PPTO_GENERADOR!$E:$E,"-",0),"-")</f>
        <v>17</v>
      </c>
    </row>
    <row r="707" spans="1:16" x14ac:dyDescent="0.35">
      <c r="A707" s="5" t="s">
        <v>1044</v>
      </c>
      <c r="B707" s="5" t="s">
        <v>1203</v>
      </c>
      <c r="C707" s="5" t="s">
        <v>1204</v>
      </c>
      <c r="D707" s="5" t="s">
        <v>468</v>
      </c>
      <c r="E707" s="7" t="str">
        <f>IFERROR(VLOOKUP(D707,MATERIALES!A:B,2,FALSE),"?")</f>
        <v>Consumibles</v>
      </c>
      <c r="F707" s="5"/>
      <c r="G707" s="11">
        <v>1716.1919</v>
      </c>
      <c r="H707" s="12">
        <v>0</v>
      </c>
      <c r="I707" s="7">
        <f>IFERROR(VLOOKUP(D707,MATERIALES!A:D,4,FALSE),0)</f>
        <v>1</v>
      </c>
      <c r="J707" s="8">
        <f t="shared" si="44"/>
        <v>1716.1919</v>
      </c>
      <c r="K707" s="7" t="str">
        <f t="shared" si="45"/>
        <v>PTO-1808|MAT</v>
      </c>
      <c r="L707" s="7">
        <f>COUNTIFS($K$2:K707,K707)</f>
        <v>9</v>
      </c>
      <c r="M707" s="7" t="str">
        <f t="shared" si="46"/>
        <v>PTO-1808|MAT|9</v>
      </c>
      <c r="N707" s="7">
        <f>IFERROR(VLOOKUP(A707,PARTIDAS!A:F,6,FALSE),0)</f>
        <v>1</v>
      </c>
      <c r="O707" s="7">
        <f t="shared" si="47"/>
        <v>0</v>
      </c>
      <c r="P707" s="7">
        <f>IFERROR(_xlfn.XLOOKUP(A707,PPTO_GENERADOR!$Q:$Q,PPTO_GENERADOR!$E:$E,"-",0),"-")</f>
        <v>17</v>
      </c>
    </row>
    <row r="708" spans="1:16" x14ac:dyDescent="0.35">
      <c r="A708" s="5" t="s">
        <v>1046</v>
      </c>
      <c r="B708" s="5" t="s">
        <v>1203</v>
      </c>
      <c r="C708" s="5" t="s">
        <v>1205</v>
      </c>
      <c r="D708" s="5" t="s">
        <v>260</v>
      </c>
      <c r="E708" s="7" t="str">
        <f>IFERROR(VLOOKUP(D708,MATERIALES!A:B,2,FALSE),"?")</f>
        <v>Caño rigido 7/8"</v>
      </c>
      <c r="F708" s="5"/>
      <c r="G708" s="11">
        <v>3.00000008</v>
      </c>
      <c r="H708" s="12">
        <v>0.1</v>
      </c>
      <c r="I708" s="7">
        <f>IFERROR(VLOOKUP(D708,MATERIALES!A:D,4,FALSE),0)</f>
        <v>635.55999999999995</v>
      </c>
      <c r="J708" s="8">
        <f t="shared" si="44"/>
        <v>2097.3480559292798</v>
      </c>
      <c r="K708" s="7" t="str">
        <f t="shared" si="45"/>
        <v>PTO-1809|MAT</v>
      </c>
      <c r="L708" s="7">
        <f>COUNTIFS($K$2:K708,K708)</f>
        <v>1</v>
      </c>
      <c r="M708" s="7" t="str">
        <f t="shared" si="46"/>
        <v>PTO-1809|MAT|1</v>
      </c>
      <c r="N708" s="7">
        <f>IFERROR(VLOOKUP(A708,PARTIDAS!A:F,6,FALSE),0)</f>
        <v>1</v>
      </c>
      <c r="O708" s="7">
        <f t="shared" si="47"/>
        <v>0</v>
      </c>
      <c r="P708" s="7">
        <f>IFERROR(_xlfn.XLOOKUP(A708,PPTO_GENERADOR!$Q:$Q,PPTO_GENERADOR!$E:$E,"-",0),"-")</f>
        <v>11</v>
      </c>
    </row>
    <row r="709" spans="1:16" x14ac:dyDescent="0.35">
      <c r="A709" s="5" t="s">
        <v>1046</v>
      </c>
      <c r="B709" s="5" t="s">
        <v>1203</v>
      </c>
      <c r="C709" s="5" t="s">
        <v>1205</v>
      </c>
      <c r="D709" s="5" t="s">
        <v>262</v>
      </c>
      <c r="E709" s="7" t="str">
        <f>IFERROR(VLOOKUP(D709,MATERIALES!A:B,2,FALSE),"?")</f>
        <v>Conector hierro 7/8"</v>
      </c>
      <c r="F709" s="5"/>
      <c r="G709" s="11">
        <v>2.2500000600000001</v>
      </c>
      <c r="H709" s="12">
        <v>0.1</v>
      </c>
      <c r="I709" s="7">
        <f>IFERROR(VLOOKUP(D709,MATERIALES!A:D,4,FALSE),0)</f>
        <v>254.06100000000001</v>
      </c>
      <c r="J709" s="8">
        <f t="shared" si="44"/>
        <v>628.80099176802617</v>
      </c>
      <c r="K709" s="7" t="str">
        <f t="shared" si="45"/>
        <v>PTO-1809|MAT</v>
      </c>
      <c r="L709" s="7">
        <f>COUNTIFS($K$2:K709,K709)</f>
        <v>2</v>
      </c>
      <c r="M709" s="7" t="str">
        <f t="shared" si="46"/>
        <v>PTO-1809|MAT|2</v>
      </c>
      <c r="N709" s="7">
        <f>IFERROR(VLOOKUP(A709,PARTIDAS!A:F,6,FALSE),0)</f>
        <v>1</v>
      </c>
      <c r="O709" s="7">
        <f t="shared" si="47"/>
        <v>0</v>
      </c>
      <c r="P709" s="7">
        <f>IFERROR(_xlfn.XLOOKUP(A709,PPTO_GENERADOR!$Q:$Q,PPTO_GENERADOR!$E:$E,"-",0),"-")</f>
        <v>11</v>
      </c>
    </row>
    <row r="710" spans="1:16" x14ac:dyDescent="0.35">
      <c r="A710" s="5" t="s">
        <v>1046</v>
      </c>
      <c r="B710" s="5" t="s">
        <v>1203</v>
      </c>
      <c r="C710" s="5" t="s">
        <v>1205</v>
      </c>
      <c r="D710" s="5" t="s">
        <v>264</v>
      </c>
      <c r="E710" s="7" t="str">
        <f>IFERROR(VLOOKUP(D710,MATERIALES!A:B,2,FALSE),"?")</f>
        <v>Cupla PVC 7/8"</v>
      </c>
      <c r="F710" s="5"/>
      <c r="G710" s="11">
        <v>1.50000004</v>
      </c>
      <c r="H710" s="12">
        <v>0.1</v>
      </c>
      <c r="I710" s="7">
        <f>IFERROR(VLOOKUP(D710,MATERIALES!A:D,4,FALSE),0)</f>
        <v>166.38300000000001</v>
      </c>
      <c r="J710" s="8">
        <f t="shared" si="44"/>
        <v>274.53195732085203</v>
      </c>
      <c r="K710" s="7" t="str">
        <f t="shared" si="45"/>
        <v>PTO-1809|MAT</v>
      </c>
      <c r="L710" s="7">
        <f>COUNTIFS($K$2:K710,K710)</f>
        <v>3</v>
      </c>
      <c r="M710" s="7" t="str">
        <f t="shared" si="46"/>
        <v>PTO-1809|MAT|3</v>
      </c>
      <c r="N710" s="7">
        <f>IFERROR(VLOOKUP(A710,PARTIDAS!A:F,6,FALSE),0)</f>
        <v>1</v>
      </c>
      <c r="O710" s="7">
        <f t="shared" si="47"/>
        <v>0</v>
      </c>
      <c r="P710" s="7">
        <f>IFERROR(_xlfn.XLOOKUP(A710,PPTO_GENERADOR!$Q:$Q,PPTO_GENERADOR!$E:$E,"-",0),"-")</f>
        <v>11</v>
      </c>
    </row>
    <row r="711" spans="1:16" x14ac:dyDescent="0.35">
      <c r="A711" s="5" t="s">
        <v>1046</v>
      </c>
      <c r="B711" s="5" t="s">
        <v>1203</v>
      </c>
      <c r="C711" s="5" t="s">
        <v>1205</v>
      </c>
      <c r="D711" s="5" t="s">
        <v>266</v>
      </c>
      <c r="E711" s="7" t="str">
        <f>IFERROR(VLOOKUP(D711,MATERIALES!A:B,2,FALSE),"?")</f>
        <v>Cable unipolar 1 x 1,50</v>
      </c>
      <c r="F711" s="5"/>
      <c r="G711" s="11">
        <v>3.7500000999999998</v>
      </c>
      <c r="H711" s="12">
        <v>0.1</v>
      </c>
      <c r="I711" s="7">
        <f>IFERROR(VLOOKUP(D711,MATERIALES!A:D,4,FALSE),0)</f>
        <v>284.8</v>
      </c>
      <c r="J711" s="8">
        <f t="shared" si="44"/>
        <v>1174.8000313280002</v>
      </c>
      <c r="K711" s="7" t="str">
        <f t="shared" si="45"/>
        <v>PTO-1809|MAT</v>
      </c>
      <c r="L711" s="7">
        <f>COUNTIFS($K$2:K711,K711)</f>
        <v>4</v>
      </c>
      <c r="M711" s="7" t="str">
        <f t="shared" si="46"/>
        <v>PTO-1809|MAT|4</v>
      </c>
      <c r="N711" s="7">
        <f>IFERROR(VLOOKUP(A711,PARTIDAS!A:F,6,FALSE),0)</f>
        <v>1</v>
      </c>
      <c r="O711" s="7">
        <f t="shared" si="47"/>
        <v>0</v>
      </c>
      <c r="P711" s="7">
        <f>IFERROR(_xlfn.XLOOKUP(A711,PPTO_GENERADOR!$Q:$Q,PPTO_GENERADOR!$E:$E,"-",0),"-")</f>
        <v>11</v>
      </c>
    </row>
    <row r="712" spans="1:16" x14ac:dyDescent="0.35">
      <c r="A712" s="5" t="s">
        <v>1046</v>
      </c>
      <c r="B712" s="5" t="s">
        <v>1203</v>
      </c>
      <c r="C712" s="5" t="s">
        <v>1205</v>
      </c>
      <c r="D712" s="5" t="s">
        <v>268</v>
      </c>
      <c r="E712" s="7" t="str">
        <f>IFERROR(VLOOKUP(D712,MATERIALES!A:B,2,FALSE),"?")</f>
        <v>Cable unipolar 1 x 2,50 VA</v>
      </c>
      <c r="F712" s="5"/>
      <c r="G712" s="11">
        <v>3.7500000999999998</v>
      </c>
      <c r="H712" s="12">
        <v>0.1</v>
      </c>
      <c r="I712" s="7">
        <f>IFERROR(VLOOKUP(D712,MATERIALES!A:D,4,FALSE),0)</f>
        <v>458.38339999999999</v>
      </c>
      <c r="J712" s="8">
        <f t="shared" si="44"/>
        <v>1890.8315754221742</v>
      </c>
      <c r="K712" s="7" t="str">
        <f t="shared" si="45"/>
        <v>PTO-1809|MAT</v>
      </c>
      <c r="L712" s="7">
        <f>COUNTIFS($K$2:K712,K712)</f>
        <v>5</v>
      </c>
      <c r="M712" s="7" t="str">
        <f t="shared" si="46"/>
        <v>PTO-1809|MAT|5</v>
      </c>
      <c r="N712" s="7">
        <f>IFERROR(VLOOKUP(A712,PARTIDAS!A:F,6,FALSE),0)</f>
        <v>1</v>
      </c>
      <c r="O712" s="7">
        <f t="shared" si="47"/>
        <v>0</v>
      </c>
      <c r="P712" s="7">
        <f>IFERROR(_xlfn.XLOOKUP(A712,PPTO_GENERADOR!$Q:$Q,PPTO_GENERADOR!$E:$E,"-",0),"-")</f>
        <v>11</v>
      </c>
    </row>
    <row r="713" spans="1:16" x14ac:dyDescent="0.35">
      <c r="A713" s="5" t="s">
        <v>1046</v>
      </c>
      <c r="B713" s="5" t="s">
        <v>1203</v>
      </c>
      <c r="C713" s="5" t="s">
        <v>1205</v>
      </c>
      <c r="D713" s="5" t="s">
        <v>270</v>
      </c>
      <c r="E713" s="7" t="str">
        <f>IFERROR(VLOOKUP(D713,MATERIALES!A:B,2,FALSE),"?")</f>
        <v>Cable unipolar 1 x 2,50 Rojo/Marron/Negro</v>
      </c>
      <c r="F713" s="5"/>
      <c r="G713" s="11">
        <v>3.7500000999999998</v>
      </c>
      <c r="H713" s="12">
        <v>0.1</v>
      </c>
      <c r="I713" s="7">
        <f>IFERROR(VLOOKUP(D713,MATERIALES!A:D,4,FALSE),0)</f>
        <v>458.38339999999999</v>
      </c>
      <c r="J713" s="8">
        <f t="shared" si="44"/>
        <v>1890.8315754221742</v>
      </c>
      <c r="K713" s="7" t="str">
        <f t="shared" si="45"/>
        <v>PTO-1809|MAT</v>
      </c>
      <c r="L713" s="7">
        <f>COUNTIFS($K$2:K713,K713)</f>
        <v>6</v>
      </c>
      <c r="M713" s="7" t="str">
        <f t="shared" si="46"/>
        <v>PTO-1809|MAT|6</v>
      </c>
      <c r="N713" s="7">
        <f>IFERROR(VLOOKUP(A713,PARTIDAS!A:F,6,FALSE),0)</f>
        <v>1</v>
      </c>
      <c r="O713" s="7">
        <f t="shared" si="47"/>
        <v>0</v>
      </c>
      <c r="P713" s="7">
        <f>IFERROR(_xlfn.XLOOKUP(A713,PPTO_GENERADOR!$Q:$Q,PPTO_GENERADOR!$E:$E,"-",0),"-")</f>
        <v>11</v>
      </c>
    </row>
    <row r="714" spans="1:16" x14ac:dyDescent="0.35">
      <c r="A714" s="5" t="s">
        <v>1046</v>
      </c>
      <c r="B714" s="5" t="s">
        <v>1203</v>
      </c>
      <c r="C714" s="5" t="s">
        <v>1205</v>
      </c>
      <c r="D714" s="5" t="s">
        <v>272</v>
      </c>
      <c r="E714" s="7" t="str">
        <f>IFERROR(VLOOKUP(D714,MATERIALES!A:B,2,FALSE),"?")</f>
        <v>Caja rectangular chica</v>
      </c>
      <c r="F714" s="5"/>
      <c r="G714" s="11">
        <v>0.37500000999999999</v>
      </c>
      <c r="H714" s="12">
        <v>0.05</v>
      </c>
      <c r="I714" s="7">
        <f>IFERROR(VLOOKUP(D714,MATERIALES!A:D,4,FALSE),0)</f>
        <v>182.178</v>
      </c>
      <c r="J714" s="8">
        <f t="shared" si="44"/>
        <v>71.732589412869004</v>
      </c>
      <c r="K714" s="7" t="str">
        <f t="shared" si="45"/>
        <v>PTO-1809|MAT</v>
      </c>
      <c r="L714" s="7">
        <f>COUNTIFS($K$2:K714,K714)</f>
        <v>7</v>
      </c>
      <c r="M714" s="7" t="str">
        <f t="shared" si="46"/>
        <v>PTO-1809|MAT|7</v>
      </c>
      <c r="N714" s="7">
        <f>IFERROR(VLOOKUP(A714,PARTIDAS!A:F,6,FALSE),0)</f>
        <v>1</v>
      </c>
      <c r="O714" s="7">
        <f t="shared" si="47"/>
        <v>0</v>
      </c>
      <c r="P714" s="7">
        <f>IFERROR(_xlfn.XLOOKUP(A714,PPTO_GENERADOR!$Q:$Q,PPTO_GENERADOR!$E:$E,"-",0),"-")</f>
        <v>11</v>
      </c>
    </row>
    <row r="715" spans="1:16" x14ac:dyDescent="0.35">
      <c r="A715" s="5" t="s">
        <v>1046</v>
      </c>
      <c r="B715" s="5" t="s">
        <v>1203</v>
      </c>
      <c r="C715" s="5" t="s">
        <v>1205</v>
      </c>
      <c r="D715" s="5" t="s">
        <v>274</v>
      </c>
      <c r="E715" s="7" t="str">
        <f>IFERROR(VLOOKUP(D715,MATERIALES!A:B,2,FALSE),"?")</f>
        <v>Caja octogonal chica</v>
      </c>
      <c r="F715" s="5"/>
      <c r="G715" s="11">
        <v>0.75000001999999999</v>
      </c>
      <c r="H715" s="12">
        <v>0.05</v>
      </c>
      <c r="I715" s="7">
        <f>IFERROR(VLOOKUP(D715,MATERIALES!A:D,4,FALSE),0)</f>
        <v>182.178</v>
      </c>
      <c r="J715" s="8">
        <f t="shared" si="44"/>
        <v>143.46517882573801</v>
      </c>
      <c r="K715" s="7" t="str">
        <f t="shared" si="45"/>
        <v>PTO-1809|MAT</v>
      </c>
      <c r="L715" s="7">
        <f>COUNTIFS($K$2:K715,K715)</f>
        <v>8</v>
      </c>
      <c r="M715" s="7" t="str">
        <f t="shared" si="46"/>
        <v>PTO-1809|MAT|8</v>
      </c>
      <c r="N715" s="7">
        <f>IFERROR(VLOOKUP(A715,PARTIDAS!A:F,6,FALSE),0)</f>
        <v>1</v>
      </c>
      <c r="O715" s="7">
        <f t="shared" si="47"/>
        <v>0</v>
      </c>
      <c r="P715" s="7">
        <f>IFERROR(_xlfn.XLOOKUP(A715,PPTO_GENERADOR!$Q:$Q,PPTO_GENERADOR!$E:$E,"-",0),"-")</f>
        <v>11</v>
      </c>
    </row>
    <row r="716" spans="1:16" x14ac:dyDescent="0.35">
      <c r="A716" s="5" t="s">
        <v>1046</v>
      </c>
      <c r="B716" s="5" t="s">
        <v>1198</v>
      </c>
      <c r="C716" s="5" t="s">
        <v>1199</v>
      </c>
      <c r="D716" s="5" t="s">
        <v>717</v>
      </c>
      <c r="E716" s="7" t="str">
        <f>IFERROR(VLOOKUP(D716,SUBCONTRATOS_PRY!A:B,2,FALSE),"?")</f>
        <v>Canalización</v>
      </c>
      <c r="F716" s="5" t="s">
        <v>1200</v>
      </c>
      <c r="G716" s="11">
        <v>1</v>
      </c>
      <c r="H716" s="12">
        <v>0</v>
      </c>
      <c r="I716" s="7">
        <f>IFERROR(VLOOKUP(D716,SUBCONTRATOS_PRY!A:D,4,FALSE),0)</f>
        <v>22868.3</v>
      </c>
      <c r="J716" s="8">
        <f t="shared" si="44"/>
        <v>22868.3</v>
      </c>
      <c r="K716" s="7" t="str">
        <f t="shared" si="45"/>
        <v>PTO-1809|MO</v>
      </c>
      <c r="L716" s="7">
        <f>COUNTIFS($K$2:K716,K716)</f>
        <v>1</v>
      </c>
      <c r="M716" s="7" t="str">
        <f t="shared" si="46"/>
        <v>PTO-1809|MO|1</v>
      </c>
      <c r="N716" s="7">
        <f>IFERROR(VLOOKUP(A716,PARTIDAS!A:F,6,FALSE),0)</f>
        <v>1</v>
      </c>
      <c r="O716" s="7">
        <f t="shared" si="47"/>
        <v>0</v>
      </c>
      <c r="P716" s="7">
        <f>IFERROR(_xlfn.XLOOKUP(A716,PPTO_GENERADOR!$Q:$Q,PPTO_GENERADOR!$E:$E,"-",0),"-")</f>
        <v>11</v>
      </c>
    </row>
    <row r="717" spans="1:16" x14ac:dyDescent="0.35">
      <c r="A717" s="5" t="s">
        <v>1046</v>
      </c>
      <c r="B717" s="5" t="s">
        <v>1202</v>
      </c>
      <c r="C717" s="5"/>
      <c r="D717" s="5" t="s">
        <v>567</v>
      </c>
      <c r="E717" s="7" t="str">
        <f>IFERROR(VLOOKUP(D717,EQUIPOS!A:B,2,FALSE),"?")</f>
        <v>EQUIPO PARA INSTALACION ELECTRICA</v>
      </c>
      <c r="F717" s="5"/>
      <c r="G717" s="11">
        <v>0.30769231000000002</v>
      </c>
      <c r="H717" s="12">
        <v>0</v>
      </c>
      <c r="I717" s="7">
        <f>IFERROR(VLOOKUP(D717,EQUIPOS!A:C,3,FALSE),0)</f>
        <v>4930.4793</v>
      </c>
      <c r="J717" s="8">
        <f t="shared" si="44"/>
        <v>1517.0705652241832</v>
      </c>
      <c r="K717" s="7" t="str">
        <f t="shared" si="45"/>
        <v>PTO-1809|EQ</v>
      </c>
      <c r="L717" s="7">
        <f>COUNTIFS($K$2:K717,K717)</f>
        <v>1</v>
      </c>
      <c r="M717" s="7" t="str">
        <f t="shared" si="46"/>
        <v>PTO-1809|EQ|1</v>
      </c>
      <c r="N717" s="7">
        <f>IFERROR(VLOOKUP(A717,PARTIDAS!A:F,6,FALSE),0)</f>
        <v>1</v>
      </c>
      <c r="O717" s="7">
        <f t="shared" si="47"/>
        <v>0</v>
      </c>
      <c r="P717" s="7">
        <f>IFERROR(_xlfn.XLOOKUP(A717,PPTO_GENERADOR!$Q:$Q,PPTO_GENERADOR!$E:$E,"-",0),"-")</f>
        <v>11</v>
      </c>
    </row>
    <row r="718" spans="1:16" x14ac:dyDescent="0.35">
      <c r="A718" s="5" t="s">
        <v>1046</v>
      </c>
      <c r="B718" s="5" t="s">
        <v>1202</v>
      </c>
      <c r="C718" s="5"/>
      <c r="D718" s="5" t="s">
        <v>527</v>
      </c>
      <c r="E718" s="7" t="str">
        <f>IFERROR(VLOOKUP(D718,EQUIPOS!A:B,2,FALSE),"?")</f>
        <v>ANDAMIO TUBULAR DE UNO A TRES CUERPOS</v>
      </c>
      <c r="F718" s="5"/>
      <c r="G718" s="11">
        <v>0.15384614999999999</v>
      </c>
      <c r="H718" s="12">
        <v>0</v>
      </c>
      <c r="I718" s="7">
        <f>IFERROR(VLOOKUP(D718,EQUIPOS!A:C,3,FALSE),0)</f>
        <v>556.21879999999999</v>
      </c>
      <c r="J718" s="8">
        <f t="shared" si="44"/>
        <v>85.572120937619985</v>
      </c>
      <c r="K718" s="7" t="str">
        <f t="shared" si="45"/>
        <v>PTO-1809|EQ</v>
      </c>
      <c r="L718" s="7">
        <f>COUNTIFS($K$2:K718,K718)</f>
        <v>2</v>
      </c>
      <c r="M718" s="7" t="str">
        <f t="shared" si="46"/>
        <v>PTO-1809|EQ|2</v>
      </c>
      <c r="N718" s="7">
        <f>IFERROR(VLOOKUP(A718,PARTIDAS!A:F,6,FALSE),0)</f>
        <v>1</v>
      </c>
      <c r="O718" s="7">
        <f t="shared" si="47"/>
        <v>0</v>
      </c>
      <c r="P718" s="7">
        <f>IFERROR(_xlfn.XLOOKUP(A718,PPTO_GENERADOR!$Q:$Q,PPTO_GENERADOR!$E:$E,"-",0),"-")</f>
        <v>11</v>
      </c>
    </row>
    <row r="719" spans="1:16" x14ac:dyDescent="0.35">
      <c r="A719" s="5" t="s">
        <v>1046</v>
      </c>
      <c r="B719" s="5" t="s">
        <v>1202</v>
      </c>
      <c r="C719" s="5"/>
      <c r="D719" s="5" t="s">
        <v>559</v>
      </c>
      <c r="E719" s="7" t="str">
        <f>IFERROR(VLOOKUP(D719,EQUIPOS!A:B,2,FALSE),"?")</f>
        <v>ESCALERA GLOSS ALUMINIO ARTICULADA 4 X 4 ESCALONES HASTA 150KG</v>
      </c>
      <c r="F719" s="5"/>
      <c r="G719" s="11">
        <v>0.15384614999999999</v>
      </c>
      <c r="H719" s="12">
        <v>0</v>
      </c>
      <c r="I719" s="7">
        <f>IFERROR(VLOOKUP(D719,EQUIPOS!A:C,3,FALSE),0)</f>
        <v>136.52590000000001</v>
      </c>
      <c r="J719" s="8">
        <f t="shared" si="44"/>
        <v>21.003984090284998</v>
      </c>
      <c r="K719" s="7" t="str">
        <f t="shared" si="45"/>
        <v>PTO-1809|EQ</v>
      </c>
      <c r="L719" s="7">
        <f>COUNTIFS($K$2:K719,K719)</f>
        <v>3</v>
      </c>
      <c r="M719" s="7" t="str">
        <f t="shared" si="46"/>
        <v>PTO-1809|EQ|3</v>
      </c>
      <c r="N719" s="7">
        <f>IFERROR(VLOOKUP(A719,PARTIDAS!A:F,6,FALSE),0)</f>
        <v>1</v>
      </c>
      <c r="O719" s="7">
        <f t="shared" si="47"/>
        <v>0</v>
      </c>
      <c r="P719" s="7">
        <f>IFERROR(_xlfn.XLOOKUP(A719,PPTO_GENERADOR!$Q:$Q,PPTO_GENERADOR!$E:$E,"-",0),"-")</f>
        <v>11</v>
      </c>
    </row>
    <row r="720" spans="1:16" x14ac:dyDescent="0.35">
      <c r="A720" s="5" t="s">
        <v>1046</v>
      </c>
      <c r="B720" s="5" t="s">
        <v>1203</v>
      </c>
      <c r="C720" s="5" t="s">
        <v>1204</v>
      </c>
      <c r="D720" s="5" t="s">
        <v>468</v>
      </c>
      <c r="E720" s="7" t="str">
        <f>IFERROR(VLOOKUP(D720,MATERIALES!A:B,2,FALSE),"?")</f>
        <v>Consumibles</v>
      </c>
      <c r="F720" s="5"/>
      <c r="G720" s="11">
        <v>1716.1919</v>
      </c>
      <c r="H720" s="12">
        <v>0</v>
      </c>
      <c r="I720" s="7">
        <f>IFERROR(VLOOKUP(D720,MATERIALES!A:D,4,FALSE),0)</f>
        <v>1</v>
      </c>
      <c r="J720" s="8">
        <f t="shared" si="44"/>
        <v>1716.1919</v>
      </c>
      <c r="K720" s="7" t="str">
        <f t="shared" si="45"/>
        <v>PTO-1809|MAT</v>
      </c>
      <c r="L720" s="7">
        <f>COUNTIFS($K$2:K720,K720)</f>
        <v>9</v>
      </c>
      <c r="M720" s="7" t="str">
        <f t="shared" si="46"/>
        <v>PTO-1809|MAT|9</v>
      </c>
      <c r="N720" s="7">
        <f>IFERROR(VLOOKUP(A720,PARTIDAS!A:F,6,FALSE),0)</f>
        <v>1</v>
      </c>
      <c r="O720" s="7">
        <f t="shared" si="47"/>
        <v>0</v>
      </c>
      <c r="P720" s="7">
        <f>IFERROR(_xlfn.XLOOKUP(A720,PPTO_GENERADOR!$Q:$Q,PPTO_GENERADOR!$E:$E,"-",0),"-")</f>
        <v>11</v>
      </c>
    </row>
    <row r="721" spans="1:16" x14ac:dyDescent="0.35">
      <c r="A721" s="5" t="s">
        <v>1048</v>
      </c>
      <c r="B721" s="5" t="s">
        <v>1203</v>
      </c>
      <c r="C721" s="5" t="s">
        <v>1199</v>
      </c>
      <c r="D721" s="5" t="s">
        <v>282</v>
      </c>
      <c r="E721" s="7" t="str">
        <f>IFERROR(VLOOKUP(D721,MATERIALES!A:B,2,FALSE),"?")</f>
        <v>STECK DIFERENCIAL 2X25A 30MA</v>
      </c>
      <c r="F721" s="5" t="s">
        <v>284</v>
      </c>
      <c r="G721" s="11">
        <v>4</v>
      </c>
      <c r="H721" s="12">
        <v>0</v>
      </c>
      <c r="I721" s="7">
        <f>IFERROR(VLOOKUP(D721,MATERIALES!A:D,4,FALSE),0)</f>
        <v>26757.217000000001</v>
      </c>
      <c r="J721" s="8">
        <f t="shared" si="44"/>
        <v>107028.868</v>
      </c>
      <c r="K721" s="7" t="str">
        <f t="shared" si="45"/>
        <v>PTO-1810|MAT</v>
      </c>
      <c r="L721" s="7">
        <f>COUNTIFS($K$2:K721,K721)</f>
        <v>1</v>
      </c>
      <c r="M721" s="7" t="str">
        <f t="shared" si="46"/>
        <v>PTO-1810|MAT|1</v>
      </c>
      <c r="N721" s="7">
        <f>IFERROR(VLOOKUP(A721,PARTIDAS!A:F,6,FALSE),0)</f>
        <v>1</v>
      </c>
      <c r="O721" s="7">
        <f t="shared" si="47"/>
        <v>0</v>
      </c>
      <c r="P721" s="7">
        <f>IFERROR(_xlfn.XLOOKUP(A721,PPTO_GENERADOR!$Q:$Q,PPTO_GENERADOR!$E:$E,"-",0),"-")</f>
        <v>1</v>
      </c>
    </row>
    <row r="722" spans="1:16" x14ac:dyDescent="0.35">
      <c r="A722" s="5" t="s">
        <v>1048</v>
      </c>
      <c r="B722" s="5" t="s">
        <v>1203</v>
      </c>
      <c r="C722" s="5" t="s">
        <v>1199</v>
      </c>
      <c r="D722" s="5" t="s">
        <v>285</v>
      </c>
      <c r="E722" s="7" t="str">
        <f>IFERROR(VLOOKUP(D722,MATERIALES!A:B,2,FALSE),"?")</f>
        <v>STECK DIFERENCIAL 4X40A 30MA</v>
      </c>
      <c r="F722" s="5" t="s">
        <v>284</v>
      </c>
      <c r="G722" s="11">
        <v>1</v>
      </c>
      <c r="H722" s="12">
        <v>0</v>
      </c>
      <c r="I722" s="7">
        <f>IFERROR(VLOOKUP(D722,MATERIALES!A:D,4,FALSE),0)</f>
        <v>51788.8295</v>
      </c>
      <c r="J722" s="8">
        <f t="shared" si="44"/>
        <v>51788.8295</v>
      </c>
      <c r="K722" s="7" t="str">
        <f t="shared" si="45"/>
        <v>PTO-1810|MAT</v>
      </c>
      <c r="L722" s="7">
        <f>COUNTIFS($K$2:K722,K722)</f>
        <v>2</v>
      </c>
      <c r="M722" s="7" t="str">
        <f t="shared" si="46"/>
        <v>PTO-1810|MAT|2</v>
      </c>
      <c r="N722" s="7">
        <f>IFERROR(VLOOKUP(A722,PARTIDAS!A:F,6,FALSE),0)</f>
        <v>1</v>
      </c>
      <c r="O722" s="7">
        <f t="shared" si="47"/>
        <v>0</v>
      </c>
      <c r="P722" s="7">
        <f>IFERROR(_xlfn.XLOOKUP(A722,PPTO_GENERADOR!$Q:$Q,PPTO_GENERADOR!$E:$E,"-",0),"-")</f>
        <v>1</v>
      </c>
    </row>
    <row r="723" spans="1:16" x14ac:dyDescent="0.35">
      <c r="A723" s="5" t="s">
        <v>1048</v>
      </c>
      <c r="B723" s="5" t="s">
        <v>1203</v>
      </c>
      <c r="C723" s="5" t="s">
        <v>1199</v>
      </c>
      <c r="D723" s="5" t="s">
        <v>287</v>
      </c>
      <c r="E723" s="7" t="str">
        <f>IFERROR(VLOOKUP(D723,MATERIALES!A:B,2,FALSE),"?")</f>
        <v>STECK DIFERENCIAL 4X63A 30MA</v>
      </c>
      <c r="F723" s="5" t="s">
        <v>284</v>
      </c>
      <c r="G723" s="11">
        <v>1</v>
      </c>
      <c r="H723" s="12">
        <v>0</v>
      </c>
      <c r="I723" s="7">
        <f>IFERROR(VLOOKUP(D723,MATERIALES!A:D,4,FALSE),0)</f>
        <v>62722.718699999998</v>
      </c>
      <c r="J723" s="8">
        <f t="shared" si="44"/>
        <v>62722.718699999998</v>
      </c>
      <c r="K723" s="7" t="str">
        <f t="shared" si="45"/>
        <v>PTO-1810|MAT</v>
      </c>
      <c r="L723" s="7">
        <f>COUNTIFS($K$2:K723,K723)</f>
        <v>3</v>
      </c>
      <c r="M723" s="7" t="str">
        <f t="shared" si="46"/>
        <v>PTO-1810|MAT|3</v>
      </c>
      <c r="N723" s="7">
        <f>IFERROR(VLOOKUP(A723,PARTIDAS!A:F,6,FALSE),0)</f>
        <v>1</v>
      </c>
      <c r="O723" s="7">
        <f t="shared" si="47"/>
        <v>0</v>
      </c>
      <c r="P723" s="7">
        <f>IFERROR(_xlfn.XLOOKUP(A723,PPTO_GENERADOR!$Q:$Q,PPTO_GENERADOR!$E:$E,"-",0),"-")</f>
        <v>1</v>
      </c>
    </row>
    <row r="724" spans="1:16" x14ac:dyDescent="0.35">
      <c r="A724" s="5" t="s">
        <v>1048</v>
      </c>
      <c r="B724" s="5" t="s">
        <v>1203</v>
      </c>
      <c r="C724" s="5" t="s">
        <v>1199</v>
      </c>
      <c r="D724" s="5" t="s">
        <v>289</v>
      </c>
      <c r="E724" s="7" t="str">
        <f>IFERROR(VLOOKUP(D724,MATERIALES!A:B,2,FALSE),"?")</f>
        <v>STECK TM BIPOLAR 10A 6KA</v>
      </c>
      <c r="F724" s="5" t="s">
        <v>284</v>
      </c>
      <c r="G724" s="11">
        <v>5</v>
      </c>
      <c r="H724" s="12">
        <v>0</v>
      </c>
      <c r="I724" s="7">
        <f>IFERROR(VLOOKUP(D724,MATERIALES!A:D,4,FALSE),0)</f>
        <v>7624.2992000000004</v>
      </c>
      <c r="J724" s="8">
        <f t="shared" si="44"/>
        <v>38121.495999999999</v>
      </c>
      <c r="K724" s="7" t="str">
        <f t="shared" si="45"/>
        <v>PTO-1810|MAT</v>
      </c>
      <c r="L724" s="7">
        <f>COUNTIFS($K$2:K724,K724)</f>
        <v>4</v>
      </c>
      <c r="M724" s="7" t="str">
        <f t="shared" si="46"/>
        <v>PTO-1810|MAT|4</v>
      </c>
      <c r="N724" s="7">
        <f>IFERROR(VLOOKUP(A724,PARTIDAS!A:F,6,FALSE),0)</f>
        <v>1</v>
      </c>
      <c r="O724" s="7">
        <f t="shared" si="47"/>
        <v>0</v>
      </c>
      <c r="P724" s="7">
        <f>IFERROR(_xlfn.XLOOKUP(A724,PPTO_GENERADOR!$Q:$Q,PPTO_GENERADOR!$E:$E,"-",0),"-")</f>
        <v>1</v>
      </c>
    </row>
    <row r="725" spans="1:16" x14ac:dyDescent="0.35">
      <c r="A725" s="5" t="s">
        <v>1048</v>
      </c>
      <c r="B725" s="5" t="s">
        <v>1203</v>
      </c>
      <c r="C725" s="5" t="s">
        <v>1199</v>
      </c>
      <c r="D725" s="5" t="s">
        <v>291</v>
      </c>
      <c r="E725" s="7" t="str">
        <f>IFERROR(VLOOKUP(D725,MATERIALES!A:B,2,FALSE),"?")</f>
        <v>STECK TM BIPOLAR 16A 6KA</v>
      </c>
      <c r="F725" s="5" t="s">
        <v>284</v>
      </c>
      <c r="G725" s="11">
        <v>10</v>
      </c>
      <c r="H725" s="12">
        <v>0</v>
      </c>
      <c r="I725" s="7">
        <f>IFERROR(VLOOKUP(D725,MATERIALES!A:D,4,FALSE),0)</f>
        <v>7624.2992000000004</v>
      </c>
      <c r="J725" s="8">
        <f t="shared" si="44"/>
        <v>76242.991999999998</v>
      </c>
      <c r="K725" s="7" t="str">
        <f t="shared" si="45"/>
        <v>PTO-1810|MAT</v>
      </c>
      <c r="L725" s="7">
        <f>COUNTIFS($K$2:K725,K725)</f>
        <v>5</v>
      </c>
      <c r="M725" s="7" t="str">
        <f t="shared" si="46"/>
        <v>PTO-1810|MAT|5</v>
      </c>
      <c r="N725" s="7">
        <f>IFERROR(VLOOKUP(A725,PARTIDAS!A:F,6,FALSE),0)</f>
        <v>1</v>
      </c>
      <c r="O725" s="7">
        <f t="shared" si="47"/>
        <v>0</v>
      </c>
      <c r="P725" s="7">
        <f>IFERROR(_xlfn.XLOOKUP(A725,PPTO_GENERADOR!$Q:$Q,PPTO_GENERADOR!$E:$E,"-",0),"-")</f>
        <v>1</v>
      </c>
    </row>
    <row r="726" spans="1:16" x14ac:dyDescent="0.35">
      <c r="A726" s="5" t="s">
        <v>1048</v>
      </c>
      <c r="B726" s="5" t="s">
        <v>1203</v>
      </c>
      <c r="C726" s="5" t="s">
        <v>1199</v>
      </c>
      <c r="D726" s="5" t="s">
        <v>293</v>
      </c>
      <c r="E726" s="7" t="str">
        <f>IFERROR(VLOOKUP(D726,MATERIALES!A:B,2,FALSE),"?")</f>
        <v>STECK TM TETRAPOLAR 32A 6KA</v>
      </c>
      <c r="F726" s="5" t="s">
        <v>284</v>
      </c>
      <c r="G726" s="11">
        <v>1</v>
      </c>
      <c r="H726" s="12">
        <v>0</v>
      </c>
      <c r="I726" s="7">
        <f>IFERROR(VLOOKUP(D726,MATERIALES!A:D,4,FALSE),0)</f>
        <v>16112.078299999999</v>
      </c>
      <c r="J726" s="8">
        <f t="shared" si="44"/>
        <v>16112.078299999999</v>
      </c>
      <c r="K726" s="7" t="str">
        <f t="shared" si="45"/>
        <v>PTO-1810|MAT</v>
      </c>
      <c r="L726" s="7">
        <f>COUNTIFS($K$2:K726,K726)</f>
        <v>6</v>
      </c>
      <c r="M726" s="7" t="str">
        <f t="shared" si="46"/>
        <v>PTO-1810|MAT|6</v>
      </c>
      <c r="N726" s="7">
        <f>IFERROR(VLOOKUP(A726,PARTIDAS!A:F,6,FALSE),0)</f>
        <v>1</v>
      </c>
      <c r="O726" s="7">
        <f t="shared" si="47"/>
        <v>0</v>
      </c>
      <c r="P726" s="7">
        <f>IFERROR(_xlfn.XLOOKUP(A726,PPTO_GENERADOR!$Q:$Q,PPTO_GENERADOR!$E:$E,"-",0),"-")</f>
        <v>1</v>
      </c>
    </row>
    <row r="727" spans="1:16" x14ac:dyDescent="0.35">
      <c r="A727" s="5" t="s">
        <v>1048</v>
      </c>
      <c r="B727" s="5" t="s">
        <v>1203</v>
      </c>
      <c r="C727" s="5" t="s">
        <v>1199</v>
      </c>
      <c r="D727" s="5" t="s">
        <v>295</v>
      </c>
      <c r="E727" s="7" t="str">
        <f>IFERROR(VLOOKUP(D727,MATERIALES!A:B,2,FALSE),"?")</f>
        <v>STECK TM TETRAPOLAR 50A 6KA</v>
      </c>
      <c r="F727" s="5" t="s">
        <v>284</v>
      </c>
      <c r="G727" s="11">
        <v>1</v>
      </c>
      <c r="H727" s="12">
        <v>0</v>
      </c>
      <c r="I727" s="7">
        <f>IFERROR(VLOOKUP(D727,MATERIALES!A:D,4,FALSE),0)</f>
        <v>17262.943200000002</v>
      </c>
      <c r="J727" s="8">
        <f t="shared" si="44"/>
        <v>17262.943200000002</v>
      </c>
      <c r="K727" s="7" t="str">
        <f t="shared" si="45"/>
        <v>PTO-1810|MAT</v>
      </c>
      <c r="L727" s="7">
        <f>COUNTIFS($K$2:K727,K727)</f>
        <v>7</v>
      </c>
      <c r="M727" s="7" t="str">
        <f t="shared" si="46"/>
        <v>PTO-1810|MAT|7</v>
      </c>
      <c r="N727" s="7">
        <f>IFERROR(VLOOKUP(A727,PARTIDAS!A:F,6,FALSE),0)</f>
        <v>1</v>
      </c>
      <c r="O727" s="7">
        <f t="shared" si="47"/>
        <v>0</v>
      </c>
      <c r="P727" s="7">
        <f>IFERROR(_xlfn.XLOOKUP(A727,PPTO_GENERADOR!$Q:$Q,PPTO_GENERADOR!$E:$E,"-",0),"-")</f>
        <v>1</v>
      </c>
    </row>
    <row r="728" spans="1:16" x14ac:dyDescent="0.35">
      <c r="A728" s="5" t="s">
        <v>1048</v>
      </c>
      <c r="B728" s="5" t="s">
        <v>1203</v>
      </c>
      <c r="C728" s="5" t="s">
        <v>1199</v>
      </c>
      <c r="D728" s="5" t="s">
        <v>297</v>
      </c>
      <c r="E728" s="7" t="str">
        <f>IFERROR(VLOOKUP(D728,MATERIALES!A:B,2,FALSE),"?")</f>
        <v>GAB. IP65 SERIE 9000 600X900X225</v>
      </c>
      <c r="F728" s="5" t="s">
        <v>284</v>
      </c>
      <c r="G728" s="11">
        <v>1</v>
      </c>
      <c r="H728" s="12">
        <v>0</v>
      </c>
      <c r="I728" s="7">
        <f>IFERROR(VLOOKUP(D728,MATERIALES!A:D,4,FALSE),0)</f>
        <v>297024.26539999997</v>
      </c>
      <c r="J728" s="8">
        <f t="shared" si="44"/>
        <v>297024.26539999997</v>
      </c>
      <c r="K728" s="7" t="str">
        <f t="shared" si="45"/>
        <v>PTO-1810|MAT</v>
      </c>
      <c r="L728" s="7">
        <f>COUNTIFS($K$2:K728,K728)</f>
        <v>8</v>
      </c>
      <c r="M728" s="7" t="str">
        <f t="shared" si="46"/>
        <v>PTO-1810|MAT|8</v>
      </c>
      <c r="N728" s="7">
        <f>IFERROR(VLOOKUP(A728,PARTIDAS!A:F,6,FALSE),0)</f>
        <v>1</v>
      </c>
      <c r="O728" s="7">
        <f t="shared" si="47"/>
        <v>0</v>
      </c>
      <c r="P728" s="7">
        <f>IFERROR(_xlfn.XLOOKUP(A728,PPTO_GENERADOR!$Q:$Q,PPTO_GENERADOR!$E:$E,"-",0),"-")</f>
        <v>1</v>
      </c>
    </row>
    <row r="729" spans="1:16" x14ac:dyDescent="0.35">
      <c r="A729" s="5" t="s">
        <v>1048</v>
      </c>
      <c r="B729" s="5" t="s">
        <v>1203</v>
      </c>
      <c r="C729" s="5" t="s">
        <v>1199</v>
      </c>
      <c r="D729" s="5" t="s">
        <v>299</v>
      </c>
      <c r="E729" s="7" t="str">
        <f>IFERROR(VLOOKUP(D729,MATERIALES!A:B,2,FALSE),"?")</f>
        <v>CONTRAF ABISAG CALADO 60BIP S9000 600X900</v>
      </c>
      <c r="F729" s="5" t="s">
        <v>284</v>
      </c>
      <c r="G729" s="11">
        <v>1</v>
      </c>
      <c r="H729" s="12">
        <v>0</v>
      </c>
      <c r="I729" s="7">
        <f>IFERROR(VLOOKUP(D729,MATERIALES!A:D,4,FALSE),0)</f>
        <v>106731.8746</v>
      </c>
      <c r="J729" s="8">
        <f t="shared" si="44"/>
        <v>106731.8746</v>
      </c>
      <c r="K729" s="7" t="str">
        <f t="shared" si="45"/>
        <v>PTO-1810|MAT</v>
      </c>
      <c r="L729" s="7">
        <f>COUNTIFS($K$2:K729,K729)</f>
        <v>9</v>
      </c>
      <c r="M729" s="7" t="str">
        <f t="shared" si="46"/>
        <v>PTO-1810|MAT|9</v>
      </c>
      <c r="N729" s="7">
        <f>IFERROR(VLOOKUP(A729,PARTIDAS!A:F,6,FALSE),0)</f>
        <v>1</v>
      </c>
      <c r="O729" s="7">
        <f t="shared" si="47"/>
        <v>0</v>
      </c>
      <c r="P729" s="7">
        <f>IFERROR(_xlfn.XLOOKUP(A729,PPTO_GENERADOR!$Q:$Q,PPTO_GENERADOR!$E:$E,"-",0),"-")</f>
        <v>1</v>
      </c>
    </row>
    <row r="730" spans="1:16" x14ac:dyDescent="0.35">
      <c r="A730" s="5" t="s">
        <v>1048</v>
      </c>
      <c r="B730" s="5" t="s">
        <v>1203</v>
      </c>
      <c r="C730" s="5" t="s">
        <v>1199</v>
      </c>
      <c r="D730" s="5" t="s">
        <v>301</v>
      </c>
      <c r="E730" s="7" t="str">
        <f>IFERROR(VLOOKUP(D730,MATERIALES!A:B,2,FALSE),"?")</f>
        <v>RIEL DIN 35MM 1 METRO PERFOR.</v>
      </c>
      <c r="F730" s="5" t="s">
        <v>284</v>
      </c>
      <c r="G730" s="11">
        <v>4</v>
      </c>
      <c r="H730" s="12">
        <v>0</v>
      </c>
      <c r="I730" s="7">
        <f>IFERROR(VLOOKUP(D730,MATERIALES!A:D,4,FALSE),0)</f>
        <v>5662.3777</v>
      </c>
      <c r="J730" s="8">
        <f t="shared" si="44"/>
        <v>22649.5108</v>
      </c>
      <c r="K730" s="7" t="str">
        <f t="shared" si="45"/>
        <v>PTO-1810|MAT</v>
      </c>
      <c r="L730" s="7">
        <f>COUNTIFS($K$2:K730,K730)</f>
        <v>10</v>
      </c>
      <c r="M730" s="7" t="str">
        <f t="shared" si="46"/>
        <v>PTO-1810|MAT|10</v>
      </c>
      <c r="N730" s="7">
        <f>IFERROR(VLOOKUP(A730,PARTIDAS!A:F,6,FALSE),0)</f>
        <v>1</v>
      </c>
      <c r="O730" s="7">
        <f t="shared" si="47"/>
        <v>0</v>
      </c>
      <c r="P730" s="7">
        <f>IFERROR(_xlfn.XLOOKUP(A730,PPTO_GENERADOR!$Q:$Q,PPTO_GENERADOR!$E:$E,"-",0),"-")</f>
        <v>1</v>
      </c>
    </row>
    <row r="731" spans="1:16" x14ac:dyDescent="0.35">
      <c r="A731" s="5" t="s">
        <v>1048</v>
      </c>
      <c r="B731" s="5" t="s">
        <v>1203</v>
      </c>
      <c r="C731" s="5" t="s">
        <v>1199</v>
      </c>
      <c r="D731" s="5" t="s">
        <v>303</v>
      </c>
      <c r="E731" s="7" t="str">
        <f>IFERROR(VLOOKUP(D731,MATERIALES!A:B,2,FALSE),"?")</f>
        <v>RIEL PORTA ELEMENTOS X 1 METRO</v>
      </c>
      <c r="F731" s="5" t="s">
        <v>284</v>
      </c>
      <c r="G731" s="11">
        <v>4</v>
      </c>
      <c r="H731" s="12">
        <v>0</v>
      </c>
      <c r="I731" s="7">
        <f>IFERROR(VLOOKUP(D731,MATERIALES!A:D,4,FALSE),0)</f>
        <v>16325.561400000001</v>
      </c>
      <c r="J731" s="8">
        <f t="shared" si="44"/>
        <v>65302.245600000002</v>
      </c>
      <c r="K731" s="7" t="str">
        <f t="shared" si="45"/>
        <v>PTO-1810|MAT</v>
      </c>
      <c r="L731" s="7">
        <f>COUNTIFS($K$2:K731,K731)</f>
        <v>11</v>
      </c>
      <c r="M731" s="7" t="str">
        <f t="shared" si="46"/>
        <v>PTO-1810|MAT|11</v>
      </c>
      <c r="N731" s="7">
        <f>IFERROR(VLOOKUP(A731,PARTIDAS!A:F,6,FALSE),0)</f>
        <v>1</v>
      </c>
      <c r="O731" s="7">
        <f t="shared" si="47"/>
        <v>0</v>
      </c>
      <c r="P731" s="7">
        <f>IFERROR(_xlfn.XLOOKUP(A731,PPTO_GENERADOR!$Q:$Q,PPTO_GENERADOR!$E:$E,"-",0),"-")</f>
        <v>1</v>
      </c>
    </row>
    <row r="732" spans="1:16" x14ac:dyDescent="0.35">
      <c r="A732" s="5" t="s">
        <v>1048</v>
      </c>
      <c r="B732" s="5" t="s">
        <v>1203</v>
      </c>
      <c r="C732" s="5" t="s">
        <v>1199</v>
      </c>
      <c r="D732" s="5" t="s">
        <v>305</v>
      </c>
      <c r="E732" s="7" t="str">
        <f>IFERROR(VLOOKUP(D732,MATERIALES!A:B,2,FALSE),"?")</f>
        <v>SOP REG P/CONTRAFRENTE PROF 225 X1</v>
      </c>
      <c r="F732" s="5" t="s">
        <v>284</v>
      </c>
      <c r="G732" s="11">
        <v>12</v>
      </c>
      <c r="H732" s="12">
        <v>0</v>
      </c>
      <c r="I732" s="7">
        <f>IFERROR(VLOOKUP(D732,MATERIALES!A:D,4,FALSE),0)</f>
        <v>10323.0087</v>
      </c>
      <c r="J732" s="8">
        <f t="shared" si="44"/>
        <v>123876.10440000001</v>
      </c>
      <c r="K732" s="7" t="str">
        <f t="shared" si="45"/>
        <v>PTO-1810|MAT</v>
      </c>
      <c r="L732" s="7">
        <f>COUNTIFS($K$2:K732,K732)</f>
        <v>12</v>
      </c>
      <c r="M732" s="7" t="str">
        <f t="shared" si="46"/>
        <v>PTO-1810|MAT|12</v>
      </c>
      <c r="N732" s="7">
        <f>IFERROR(VLOOKUP(A732,PARTIDAS!A:F,6,FALSE),0)</f>
        <v>1</v>
      </c>
      <c r="O732" s="7">
        <f t="shared" si="47"/>
        <v>0</v>
      </c>
      <c r="P732" s="7">
        <f>IFERROR(_xlfn.XLOOKUP(A732,PPTO_GENERADOR!$Q:$Q,PPTO_GENERADOR!$E:$E,"-",0),"-")</f>
        <v>1</v>
      </c>
    </row>
    <row r="733" spans="1:16" x14ac:dyDescent="0.35">
      <c r="A733" s="5" t="s">
        <v>1048</v>
      </c>
      <c r="B733" s="5" t="s">
        <v>1203</v>
      </c>
      <c r="C733" s="5" t="s">
        <v>1199</v>
      </c>
      <c r="D733" s="5" t="s">
        <v>307</v>
      </c>
      <c r="E733" s="7" t="str">
        <f>IFERROR(VLOOKUP(D733,MATERIALES!A:B,2,FALSE),"?")</f>
        <v>INTERRUPTOR COMPACTO 4X125A S250</v>
      </c>
      <c r="F733" s="5" t="s">
        <v>284</v>
      </c>
      <c r="G733" s="11">
        <v>1</v>
      </c>
      <c r="H733" s="12">
        <v>0</v>
      </c>
      <c r="I733" s="7">
        <f>IFERROR(VLOOKUP(D733,MATERIALES!A:D,4,FALSE),0)</f>
        <v>174931.16149999999</v>
      </c>
      <c r="J733" s="8">
        <f t="shared" si="44"/>
        <v>174931.16149999999</v>
      </c>
      <c r="K733" s="7" t="str">
        <f t="shared" si="45"/>
        <v>PTO-1810|MAT</v>
      </c>
      <c r="L733" s="7">
        <f>COUNTIFS($K$2:K733,K733)</f>
        <v>13</v>
      </c>
      <c r="M733" s="7" t="str">
        <f t="shared" si="46"/>
        <v>PTO-1810|MAT|13</v>
      </c>
      <c r="N733" s="7">
        <f>IFERROR(VLOOKUP(A733,PARTIDAS!A:F,6,FALSE),0)</f>
        <v>1</v>
      </c>
      <c r="O733" s="7">
        <f t="shared" si="47"/>
        <v>0</v>
      </c>
      <c r="P733" s="7">
        <f>IFERROR(_xlfn.XLOOKUP(A733,PPTO_GENERADOR!$Q:$Q,PPTO_GENERADOR!$E:$E,"-",0),"-")</f>
        <v>1</v>
      </c>
    </row>
    <row r="734" spans="1:16" x14ac:dyDescent="0.35">
      <c r="A734" s="5" t="s">
        <v>1048</v>
      </c>
      <c r="B734" s="5" t="s">
        <v>1203</v>
      </c>
      <c r="C734" s="5" t="s">
        <v>1199</v>
      </c>
      <c r="D734" s="5" t="s">
        <v>309</v>
      </c>
      <c r="E734" s="7" t="str">
        <f>IFERROR(VLOOKUP(D734,MATERIALES!A:B,2,FALSE),"?")</f>
        <v>DISTRIBUIDOR TETRAP.160A 15 STD</v>
      </c>
      <c r="F734" s="5" t="s">
        <v>284</v>
      </c>
      <c r="G734" s="11">
        <v>1</v>
      </c>
      <c r="H734" s="12">
        <v>0</v>
      </c>
      <c r="I734" s="7">
        <f>IFERROR(VLOOKUP(D734,MATERIALES!A:D,4,FALSE),0)</f>
        <v>157716.45379999999</v>
      </c>
      <c r="J734" s="8">
        <f t="shared" si="44"/>
        <v>157716.45379999999</v>
      </c>
      <c r="K734" s="7" t="str">
        <f t="shared" si="45"/>
        <v>PTO-1810|MAT</v>
      </c>
      <c r="L734" s="7">
        <f>COUNTIFS($K$2:K734,K734)</f>
        <v>14</v>
      </c>
      <c r="M734" s="7" t="str">
        <f t="shared" si="46"/>
        <v>PTO-1810|MAT|14</v>
      </c>
      <c r="N734" s="7">
        <f>IFERROR(VLOOKUP(A734,PARTIDAS!A:F,6,FALSE),0)</f>
        <v>1</v>
      </c>
      <c r="O734" s="7">
        <f t="shared" si="47"/>
        <v>0</v>
      </c>
      <c r="P734" s="7">
        <f>IFERROR(_xlfn.XLOOKUP(A734,PPTO_GENERADOR!$Q:$Q,PPTO_GENERADOR!$E:$E,"-",0),"-")</f>
        <v>1</v>
      </c>
    </row>
    <row r="735" spans="1:16" x14ac:dyDescent="0.35">
      <c r="A735" s="5" t="s">
        <v>1048</v>
      </c>
      <c r="B735" s="5" t="s">
        <v>1203</v>
      </c>
      <c r="C735" s="5" t="s">
        <v>1199</v>
      </c>
      <c r="D735" s="5" t="s">
        <v>311</v>
      </c>
      <c r="E735" s="7" t="str">
        <f>IFERROR(VLOOKUP(D735,MATERIALES!A:B,2,FALSE),"?")</f>
        <v>TERMINAL COBRE SCC 120-2 (5/8)</v>
      </c>
      <c r="F735" s="5" t="s">
        <v>284</v>
      </c>
      <c r="G735" s="11">
        <v>10</v>
      </c>
      <c r="H735" s="12">
        <v>0</v>
      </c>
      <c r="I735" s="7">
        <f>IFERROR(VLOOKUP(D735,MATERIALES!A:D,4,FALSE),0)</f>
        <v>5329.6100999999999</v>
      </c>
      <c r="J735" s="8">
        <f t="shared" si="44"/>
        <v>53296.100999999995</v>
      </c>
      <c r="K735" s="7" t="str">
        <f t="shared" si="45"/>
        <v>PTO-1810|MAT</v>
      </c>
      <c r="L735" s="7">
        <f>COUNTIFS($K$2:K735,K735)</f>
        <v>15</v>
      </c>
      <c r="M735" s="7" t="str">
        <f t="shared" si="46"/>
        <v>PTO-1810|MAT|15</v>
      </c>
      <c r="N735" s="7">
        <f>IFERROR(VLOOKUP(A735,PARTIDAS!A:F,6,FALSE),0)</f>
        <v>1</v>
      </c>
      <c r="O735" s="7">
        <f t="shared" si="47"/>
        <v>0</v>
      </c>
      <c r="P735" s="7">
        <f>IFERROR(_xlfn.XLOOKUP(A735,PPTO_GENERADOR!$Q:$Q,PPTO_GENERADOR!$E:$E,"-",0),"-")</f>
        <v>1</v>
      </c>
    </row>
    <row r="736" spans="1:16" x14ac:dyDescent="0.35">
      <c r="A736" s="5" t="s">
        <v>1048</v>
      </c>
      <c r="B736" s="5" t="s">
        <v>1203</v>
      </c>
      <c r="C736" s="5" t="s">
        <v>1199</v>
      </c>
      <c r="D736" s="5" t="s">
        <v>313</v>
      </c>
      <c r="E736" s="7" t="str">
        <f>IFERROR(VLOOKUP(D736,MATERIALES!A:B,2,FALSE),"?")</f>
        <v>Voltimetro Display Ojo de Buey 22 mm</v>
      </c>
      <c r="F736" s="5" t="s">
        <v>284</v>
      </c>
      <c r="G736" s="11">
        <v>3</v>
      </c>
      <c r="H736" s="12">
        <v>0</v>
      </c>
      <c r="I736" s="7">
        <f>IFERROR(VLOOKUP(D736,MATERIALES!A:D,4,FALSE),0)</f>
        <v>4138.8173999999999</v>
      </c>
      <c r="J736" s="8">
        <f t="shared" si="44"/>
        <v>12416.4522</v>
      </c>
      <c r="K736" s="7" t="str">
        <f t="shared" si="45"/>
        <v>PTO-1810|MAT</v>
      </c>
      <c r="L736" s="7">
        <f>COUNTIFS($K$2:K736,K736)</f>
        <v>16</v>
      </c>
      <c r="M736" s="7" t="str">
        <f t="shared" si="46"/>
        <v>PTO-1810|MAT|16</v>
      </c>
      <c r="N736" s="7">
        <f>IFERROR(VLOOKUP(A736,PARTIDAS!A:F,6,FALSE),0)</f>
        <v>1</v>
      </c>
      <c r="O736" s="7">
        <f t="shared" si="47"/>
        <v>0</v>
      </c>
      <c r="P736" s="7">
        <f>IFERROR(_xlfn.XLOOKUP(A736,PPTO_GENERADOR!$Q:$Q,PPTO_GENERADOR!$E:$E,"-",0),"-")</f>
        <v>1</v>
      </c>
    </row>
    <row r="737" spans="1:16" x14ac:dyDescent="0.35">
      <c r="A737" s="5" t="s">
        <v>1048</v>
      </c>
      <c r="B737" s="5" t="s">
        <v>1198</v>
      </c>
      <c r="C737" s="5" t="s">
        <v>1199</v>
      </c>
      <c r="D737" s="5" t="s">
        <v>719</v>
      </c>
      <c r="E737" s="7" t="str">
        <f>IFERROR(VLOOKUP(D737,SUBCONTRATOS_PRY!A:B,2,FALSE),"?")</f>
        <v>Tablero seccional de 36 a 54 polos</v>
      </c>
      <c r="F737" s="5" t="s">
        <v>1200</v>
      </c>
      <c r="G737" s="11">
        <v>1</v>
      </c>
      <c r="H737" s="12">
        <v>0</v>
      </c>
      <c r="I737" s="7">
        <f>IFERROR(VLOOKUP(D737,SUBCONTRATOS_PRY!A:D,4,FALSE),0)</f>
        <v>329747.40000000002</v>
      </c>
      <c r="J737" s="8">
        <f t="shared" si="44"/>
        <v>329747.40000000002</v>
      </c>
      <c r="K737" s="7" t="str">
        <f t="shared" si="45"/>
        <v>PTO-1810|MO</v>
      </c>
      <c r="L737" s="7">
        <f>COUNTIFS($K$2:K737,K737)</f>
        <v>1</v>
      </c>
      <c r="M737" s="7" t="str">
        <f t="shared" si="46"/>
        <v>PTO-1810|MO|1</v>
      </c>
      <c r="N737" s="7">
        <f>IFERROR(VLOOKUP(A737,PARTIDAS!A:F,6,FALSE),0)</f>
        <v>1</v>
      </c>
      <c r="O737" s="7">
        <f t="shared" si="47"/>
        <v>0</v>
      </c>
      <c r="P737" s="7">
        <f>IFERROR(_xlfn.XLOOKUP(A737,PPTO_GENERADOR!$Q:$Q,PPTO_GENERADOR!$E:$E,"-",0),"-")</f>
        <v>1</v>
      </c>
    </row>
    <row r="738" spans="1:16" x14ac:dyDescent="0.35">
      <c r="A738" s="5" t="s">
        <v>1048</v>
      </c>
      <c r="B738" s="5" t="s">
        <v>1202</v>
      </c>
      <c r="C738" s="5"/>
      <c r="D738" s="5" t="s">
        <v>569</v>
      </c>
      <c r="E738" s="7" t="str">
        <f>IFERROR(VLOOKUP(D738,EQUIPOS!A:B,2,FALSE),"?")</f>
        <v>Herramientas/consumibles - Tablero Servicios generales - TSG</v>
      </c>
      <c r="F738" s="5"/>
      <c r="G738" s="11">
        <v>1</v>
      </c>
      <c r="H738" s="12">
        <v>0</v>
      </c>
      <c r="I738" s="7">
        <f>IFERROR(VLOOKUP(D738,EQUIPOS!A:C,3,FALSE),0)</f>
        <v>27808.654900000001</v>
      </c>
      <c r="J738" s="8">
        <f t="shared" si="44"/>
        <v>27808.654900000001</v>
      </c>
      <c r="K738" s="7" t="str">
        <f t="shared" si="45"/>
        <v>PTO-1810|EQ</v>
      </c>
      <c r="L738" s="7">
        <f>COUNTIFS($K$2:K738,K738)</f>
        <v>1</v>
      </c>
      <c r="M738" s="7" t="str">
        <f t="shared" si="46"/>
        <v>PTO-1810|EQ|1</v>
      </c>
      <c r="N738" s="7">
        <f>IFERROR(VLOOKUP(A738,PARTIDAS!A:F,6,FALSE),0)</f>
        <v>1</v>
      </c>
      <c r="O738" s="7">
        <f t="shared" si="47"/>
        <v>0</v>
      </c>
      <c r="P738" s="7">
        <f>IFERROR(_xlfn.XLOOKUP(A738,PPTO_GENERADOR!$Q:$Q,PPTO_GENERADOR!$E:$E,"-",0),"-")</f>
        <v>1</v>
      </c>
    </row>
    <row r="739" spans="1:16" x14ac:dyDescent="0.35">
      <c r="A739" s="5" t="s">
        <v>1048</v>
      </c>
      <c r="B739" s="5" t="s">
        <v>1203</v>
      </c>
      <c r="C739" s="5" t="s">
        <v>1204</v>
      </c>
      <c r="D739" s="5" t="s">
        <v>468</v>
      </c>
      <c r="E739" s="7" t="str">
        <f>IFERROR(VLOOKUP(D739,MATERIALES!A:B,2,FALSE),"?")</f>
        <v>Consumibles</v>
      </c>
      <c r="F739" s="5"/>
      <c r="G739" s="11">
        <v>140938.8297</v>
      </c>
      <c r="H739" s="12">
        <v>0</v>
      </c>
      <c r="I739" s="7">
        <f>IFERROR(VLOOKUP(D739,MATERIALES!A:D,4,FALSE),0)</f>
        <v>1</v>
      </c>
      <c r="J739" s="8">
        <f t="shared" si="44"/>
        <v>140938.8297</v>
      </c>
      <c r="K739" s="7" t="str">
        <f t="shared" si="45"/>
        <v>PTO-1810|MAT</v>
      </c>
      <c r="L739" s="7">
        <f>COUNTIFS($K$2:K739,K739)</f>
        <v>17</v>
      </c>
      <c r="M739" s="7" t="str">
        <f t="shared" si="46"/>
        <v>PTO-1810|MAT|17</v>
      </c>
      <c r="N739" s="7">
        <f>IFERROR(VLOOKUP(A739,PARTIDAS!A:F,6,FALSE),0)</f>
        <v>1</v>
      </c>
      <c r="O739" s="7">
        <f t="shared" si="47"/>
        <v>0</v>
      </c>
      <c r="P739" s="7">
        <f>IFERROR(_xlfn.XLOOKUP(A739,PPTO_GENERADOR!$Q:$Q,PPTO_GENERADOR!$E:$E,"-",0),"-")</f>
        <v>1</v>
      </c>
    </row>
    <row r="740" spans="1:16" x14ac:dyDescent="0.35">
      <c r="A740" s="5" t="s">
        <v>1050</v>
      </c>
      <c r="B740" s="5" t="s">
        <v>1203</v>
      </c>
      <c r="C740" s="5" t="s">
        <v>1199</v>
      </c>
      <c r="D740" s="5" t="s">
        <v>282</v>
      </c>
      <c r="E740" s="7" t="str">
        <f>IFERROR(VLOOKUP(D740,MATERIALES!A:B,2,FALSE),"?")</f>
        <v>STECK DIFERENCIAL 2X25A 30MA</v>
      </c>
      <c r="F740" s="5" t="s">
        <v>284</v>
      </c>
      <c r="G740" s="11">
        <v>1</v>
      </c>
      <c r="H740" s="12">
        <v>0</v>
      </c>
      <c r="I740" s="7">
        <f>IFERROR(VLOOKUP(D740,MATERIALES!A:D,4,FALSE),0)</f>
        <v>26757.217000000001</v>
      </c>
      <c r="J740" s="8">
        <f t="shared" si="44"/>
        <v>26757.217000000001</v>
      </c>
      <c r="K740" s="7" t="str">
        <f t="shared" si="45"/>
        <v>PTO-1811|MAT</v>
      </c>
      <c r="L740" s="7">
        <f>COUNTIFS($K$2:K740,K740)</f>
        <v>1</v>
      </c>
      <c r="M740" s="7" t="str">
        <f t="shared" si="46"/>
        <v>PTO-1811|MAT|1</v>
      </c>
      <c r="N740" s="7">
        <f>IFERROR(VLOOKUP(A740,PARTIDAS!A:F,6,FALSE),0)</f>
        <v>1</v>
      </c>
      <c r="O740" s="7">
        <f t="shared" si="47"/>
        <v>0</v>
      </c>
      <c r="P740" s="7">
        <f>IFERROR(_xlfn.XLOOKUP(A740,PPTO_GENERADOR!$Q:$Q,PPTO_GENERADOR!$E:$E,"-",0),"-")</f>
        <v>1</v>
      </c>
    </row>
    <row r="741" spans="1:16" x14ac:dyDescent="0.35">
      <c r="A741" s="5" t="s">
        <v>1050</v>
      </c>
      <c r="B741" s="5" t="s">
        <v>1203</v>
      </c>
      <c r="C741" s="5" t="s">
        <v>1199</v>
      </c>
      <c r="D741" s="5" t="s">
        <v>291</v>
      </c>
      <c r="E741" s="7" t="str">
        <f>IFERROR(VLOOKUP(D741,MATERIALES!A:B,2,FALSE),"?")</f>
        <v>STECK TM BIPOLAR 16A 6KA</v>
      </c>
      <c r="F741" s="5" t="s">
        <v>284</v>
      </c>
      <c r="G741" s="11">
        <v>2</v>
      </c>
      <c r="H741" s="12">
        <v>0</v>
      </c>
      <c r="I741" s="7">
        <f>IFERROR(VLOOKUP(D741,MATERIALES!A:D,4,FALSE),0)</f>
        <v>7624.2992000000004</v>
      </c>
      <c r="J741" s="8">
        <f t="shared" si="44"/>
        <v>15248.598400000001</v>
      </c>
      <c r="K741" s="7" t="str">
        <f t="shared" si="45"/>
        <v>PTO-1811|MAT</v>
      </c>
      <c r="L741" s="7">
        <f>COUNTIFS($K$2:K741,K741)</f>
        <v>2</v>
      </c>
      <c r="M741" s="7" t="str">
        <f t="shared" si="46"/>
        <v>PTO-1811|MAT|2</v>
      </c>
      <c r="N741" s="7">
        <f>IFERROR(VLOOKUP(A741,PARTIDAS!A:F,6,FALSE),0)</f>
        <v>1</v>
      </c>
      <c r="O741" s="7">
        <f t="shared" si="47"/>
        <v>0</v>
      </c>
      <c r="P741" s="7">
        <f>IFERROR(_xlfn.XLOOKUP(A741,PPTO_GENERADOR!$Q:$Q,PPTO_GENERADOR!$E:$E,"-",0),"-")</f>
        <v>1</v>
      </c>
    </row>
    <row r="742" spans="1:16" x14ac:dyDescent="0.35">
      <c r="A742" s="5" t="s">
        <v>1050</v>
      </c>
      <c r="B742" s="5" t="s">
        <v>1203</v>
      </c>
      <c r="C742" s="5" t="s">
        <v>1199</v>
      </c>
      <c r="D742" s="5" t="s">
        <v>289</v>
      </c>
      <c r="E742" s="7" t="str">
        <f>IFERROR(VLOOKUP(D742,MATERIALES!A:B,2,FALSE),"?")</f>
        <v>STECK TM BIPOLAR 10A 6KA</v>
      </c>
      <c r="F742" s="5" t="s">
        <v>284</v>
      </c>
      <c r="G742" s="11">
        <v>1</v>
      </c>
      <c r="H742" s="12">
        <v>0</v>
      </c>
      <c r="I742" s="7">
        <f>IFERROR(VLOOKUP(D742,MATERIALES!A:D,4,FALSE),0)</f>
        <v>7624.2992000000004</v>
      </c>
      <c r="J742" s="8">
        <f t="shared" si="44"/>
        <v>7624.2992000000004</v>
      </c>
      <c r="K742" s="7" t="str">
        <f t="shared" si="45"/>
        <v>PTO-1811|MAT</v>
      </c>
      <c r="L742" s="7">
        <f>COUNTIFS($K$2:K742,K742)</f>
        <v>3</v>
      </c>
      <c r="M742" s="7" t="str">
        <f t="shared" si="46"/>
        <v>PTO-1811|MAT|3</v>
      </c>
      <c r="N742" s="7">
        <f>IFERROR(VLOOKUP(A742,PARTIDAS!A:F,6,FALSE),0)</f>
        <v>1</v>
      </c>
      <c r="O742" s="7">
        <f t="shared" si="47"/>
        <v>0</v>
      </c>
      <c r="P742" s="7">
        <f>IFERROR(_xlfn.XLOOKUP(A742,PPTO_GENERADOR!$Q:$Q,PPTO_GENERADOR!$E:$E,"-",0),"-")</f>
        <v>1</v>
      </c>
    </row>
    <row r="743" spans="1:16" x14ac:dyDescent="0.35">
      <c r="A743" s="5" t="s">
        <v>1050</v>
      </c>
      <c r="B743" s="5" t="s">
        <v>1203</v>
      </c>
      <c r="C743" s="5" t="s">
        <v>1199</v>
      </c>
      <c r="D743" s="5" t="s">
        <v>315</v>
      </c>
      <c r="E743" s="7" t="str">
        <f>IFERROR(VLOOKUP(D743,MATERIALES!A:B,2,FALSE),"?")</f>
        <v>LC1D18M7 18A 7,5KW 1+1 220V</v>
      </c>
      <c r="F743" s="5" t="s">
        <v>284</v>
      </c>
      <c r="G743" s="11">
        <v>2</v>
      </c>
      <c r="H743" s="12">
        <v>0</v>
      </c>
      <c r="I743" s="7">
        <f>IFERROR(VLOOKUP(D743,MATERIALES!A:D,4,FALSE),0)</f>
        <v>99169.454100000003</v>
      </c>
      <c r="J743" s="8">
        <f t="shared" si="44"/>
        <v>198338.90820000001</v>
      </c>
      <c r="K743" s="7" t="str">
        <f t="shared" si="45"/>
        <v>PTO-1811|MAT</v>
      </c>
      <c r="L743" s="7">
        <f>COUNTIFS($K$2:K743,K743)</f>
        <v>4</v>
      </c>
      <c r="M743" s="7" t="str">
        <f t="shared" si="46"/>
        <v>PTO-1811|MAT|4</v>
      </c>
      <c r="N743" s="7">
        <f>IFERROR(VLOOKUP(A743,PARTIDAS!A:F,6,FALSE),0)</f>
        <v>1</v>
      </c>
      <c r="O743" s="7">
        <f t="shared" si="47"/>
        <v>0</v>
      </c>
      <c r="P743" s="7">
        <f>IFERROR(_xlfn.XLOOKUP(A743,PPTO_GENERADOR!$Q:$Q,PPTO_GENERADOR!$E:$E,"-",0),"-")</f>
        <v>1</v>
      </c>
    </row>
    <row r="744" spans="1:16" x14ac:dyDescent="0.35">
      <c r="A744" s="5" t="s">
        <v>1050</v>
      </c>
      <c r="B744" s="5" t="s">
        <v>1203</v>
      </c>
      <c r="C744" s="5" t="s">
        <v>1199</v>
      </c>
      <c r="D744" s="5" t="s">
        <v>317</v>
      </c>
      <c r="E744" s="7" t="str">
        <f>IFERROR(VLOOKUP(D744,MATERIALES!A:B,2,FALSE),"?")</f>
        <v>ALTERNADOR 2 BOMBA DIGITAL 24/110/220VCA</v>
      </c>
      <c r="F744" s="5" t="s">
        <v>284</v>
      </c>
      <c r="G744" s="11">
        <v>1</v>
      </c>
      <c r="H744" s="12">
        <v>0</v>
      </c>
      <c r="I744" s="7">
        <f>IFERROR(VLOOKUP(D744,MATERIALES!A:D,4,FALSE),0)</f>
        <v>143446.73759999999</v>
      </c>
      <c r="J744" s="8">
        <f t="shared" si="44"/>
        <v>143446.73759999999</v>
      </c>
      <c r="K744" s="7" t="str">
        <f t="shared" si="45"/>
        <v>PTO-1811|MAT</v>
      </c>
      <c r="L744" s="7">
        <f>COUNTIFS($K$2:K744,K744)</f>
        <v>5</v>
      </c>
      <c r="M744" s="7" t="str">
        <f t="shared" si="46"/>
        <v>PTO-1811|MAT|5</v>
      </c>
      <c r="N744" s="7">
        <f>IFERROR(VLOOKUP(A744,PARTIDAS!A:F,6,FALSE),0)</f>
        <v>1</v>
      </c>
      <c r="O744" s="7">
        <f t="shared" si="47"/>
        <v>0</v>
      </c>
      <c r="P744" s="7">
        <f>IFERROR(_xlfn.XLOOKUP(A744,PPTO_GENERADOR!$Q:$Q,PPTO_GENERADOR!$E:$E,"-",0),"-")</f>
        <v>1</v>
      </c>
    </row>
    <row r="745" spans="1:16" x14ac:dyDescent="0.35">
      <c r="A745" s="5" t="s">
        <v>1050</v>
      </c>
      <c r="B745" s="5" t="s">
        <v>1203</v>
      </c>
      <c r="C745" s="5" t="s">
        <v>1199</v>
      </c>
      <c r="D745" s="5" t="s">
        <v>313</v>
      </c>
      <c r="E745" s="7" t="str">
        <f>IFERROR(VLOOKUP(D745,MATERIALES!A:B,2,FALSE),"?")</f>
        <v>Voltimetro Display Ojo de Buey 22 mm</v>
      </c>
      <c r="F745" s="5" t="s">
        <v>284</v>
      </c>
      <c r="G745" s="11">
        <v>1</v>
      </c>
      <c r="H745" s="12">
        <v>0</v>
      </c>
      <c r="I745" s="7">
        <f>IFERROR(VLOOKUP(D745,MATERIALES!A:D,4,FALSE),0)</f>
        <v>4138.8173999999999</v>
      </c>
      <c r="J745" s="8">
        <f t="shared" si="44"/>
        <v>4138.8173999999999</v>
      </c>
      <c r="K745" s="7" t="str">
        <f t="shared" si="45"/>
        <v>PTO-1811|MAT</v>
      </c>
      <c r="L745" s="7">
        <f>COUNTIFS($K$2:K745,K745)</f>
        <v>6</v>
      </c>
      <c r="M745" s="7" t="str">
        <f t="shared" si="46"/>
        <v>PTO-1811|MAT|6</v>
      </c>
      <c r="N745" s="7">
        <f>IFERROR(VLOOKUP(A745,PARTIDAS!A:F,6,FALSE),0)</f>
        <v>1</v>
      </c>
      <c r="O745" s="7">
        <f t="shared" si="47"/>
        <v>0</v>
      </c>
      <c r="P745" s="7">
        <f>IFERROR(_xlfn.XLOOKUP(A745,PPTO_GENERADOR!$Q:$Q,PPTO_GENERADOR!$E:$E,"-",0),"-")</f>
        <v>1</v>
      </c>
    </row>
    <row r="746" spans="1:16" x14ac:dyDescent="0.35">
      <c r="A746" s="5" t="s">
        <v>1050</v>
      </c>
      <c r="B746" s="5" t="s">
        <v>1203</v>
      </c>
      <c r="C746" s="5" t="s">
        <v>1199</v>
      </c>
      <c r="D746" s="5" t="s">
        <v>319</v>
      </c>
      <c r="E746" s="7" t="str">
        <f>IFERROR(VLOOKUP(D746,MATERIALES!A:B,2,FALSE),"?")</f>
        <v>GAB. IP65 SERIE 9000 450X450X225</v>
      </c>
      <c r="F746" s="5" t="s">
        <v>284</v>
      </c>
      <c r="G746" s="11">
        <v>1</v>
      </c>
      <c r="H746" s="12">
        <v>0</v>
      </c>
      <c r="I746" s="7">
        <f>IFERROR(VLOOKUP(D746,MATERIALES!A:D,4,FALSE),0)</f>
        <v>131120.3273</v>
      </c>
      <c r="J746" s="8">
        <f t="shared" si="44"/>
        <v>131120.3273</v>
      </c>
      <c r="K746" s="7" t="str">
        <f t="shared" si="45"/>
        <v>PTO-1811|MAT</v>
      </c>
      <c r="L746" s="7">
        <f>COUNTIFS($K$2:K746,K746)</f>
        <v>7</v>
      </c>
      <c r="M746" s="7" t="str">
        <f t="shared" si="46"/>
        <v>PTO-1811|MAT|7</v>
      </c>
      <c r="N746" s="7">
        <f>IFERROR(VLOOKUP(A746,PARTIDAS!A:F,6,FALSE),0)</f>
        <v>1</v>
      </c>
      <c r="O746" s="7">
        <f t="shared" si="47"/>
        <v>0</v>
      </c>
      <c r="P746" s="7">
        <f>IFERROR(_xlfn.XLOOKUP(A746,PPTO_GENERADOR!$Q:$Q,PPTO_GENERADOR!$E:$E,"-",0),"-")</f>
        <v>1</v>
      </c>
    </row>
    <row r="747" spans="1:16" x14ac:dyDescent="0.35">
      <c r="A747" s="5" t="s">
        <v>1050</v>
      </c>
      <c r="B747" s="5" t="s">
        <v>1203</v>
      </c>
      <c r="C747" s="5" t="s">
        <v>1199</v>
      </c>
      <c r="D747" s="5" t="s">
        <v>321</v>
      </c>
      <c r="E747" s="7" t="str">
        <f>IFERROR(VLOOKUP(D747,MATERIALES!A:B,2,FALSE),"?")</f>
        <v>CONTRAF ABISAG.CALADO 18BIP S9000 450X450</v>
      </c>
      <c r="F747" s="5" t="s">
        <v>284</v>
      </c>
      <c r="G747" s="11">
        <v>1</v>
      </c>
      <c r="H747" s="12">
        <v>0</v>
      </c>
      <c r="I747" s="7">
        <f>IFERROR(VLOOKUP(D747,MATERIALES!A:D,4,FALSE),0)</f>
        <v>64963.7212</v>
      </c>
      <c r="J747" s="8">
        <f t="shared" si="44"/>
        <v>64963.7212</v>
      </c>
      <c r="K747" s="7" t="str">
        <f t="shared" si="45"/>
        <v>PTO-1811|MAT</v>
      </c>
      <c r="L747" s="7">
        <f>COUNTIFS($K$2:K747,K747)</f>
        <v>8</v>
      </c>
      <c r="M747" s="7" t="str">
        <f t="shared" si="46"/>
        <v>PTO-1811|MAT|8</v>
      </c>
      <c r="N747" s="7">
        <f>IFERROR(VLOOKUP(A747,PARTIDAS!A:F,6,FALSE),0)</f>
        <v>1</v>
      </c>
      <c r="O747" s="7">
        <f t="shared" si="47"/>
        <v>0</v>
      </c>
      <c r="P747" s="7">
        <f>IFERROR(_xlfn.XLOOKUP(A747,PPTO_GENERADOR!$Q:$Q,PPTO_GENERADOR!$E:$E,"-",0),"-")</f>
        <v>1</v>
      </c>
    </row>
    <row r="748" spans="1:16" x14ac:dyDescent="0.35">
      <c r="A748" s="5" t="s">
        <v>1050</v>
      </c>
      <c r="B748" s="5" t="s">
        <v>1198</v>
      </c>
      <c r="C748" s="5" t="s">
        <v>1199</v>
      </c>
      <c r="D748" s="5" t="s">
        <v>721</v>
      </c>
      <c r="E748" s="7" t="str">
        <f>IFERROR(VLOOKUP(D748,SUBCONTRATOS_PRY!A:B,2,FALSE),"?")</f>
        <v>Tablero seccional de 8 a 36 polos</v>
      </c>
      <c r="F748" s="5" t="s">
        <v>1200</v>
      </c>
      <c r="G748" s="11">
        <v>1</v>
      </c>
      <c r="H748" s="12">
        <v>0</v>
      </c>
      <c r="I748" s="7">
        <f>IFERROR(VLOOKUP(D748,SUBCONTRATOS_PRY!A:D,4,FALSE),0)</f>
        <v>219841.65</v>
      </c>
      <c r="J748" s="8">
        <f t="shared" si="44"/>
        <v>219841.65</v>
      </c>
      <c r="K748" s="7" t="str">
        <f t="shared" si="45"/>
        <v>PTO-1811|MO</v>
      </c>
      <c r="L748" s="7">
        <f>COUNTIFS($K$2:K748,K748)</f>
        <v>1</v>
      </c>
      <c r="M748" s="7" t="str">
        <f t="shared" si="46"/>
        <v>PTO-1811|MO|1</v>
      </c>
      <c r="N748" s="7">
        <f>IFERROR(VLOOKUP(A748,PARTIDAS!A:F,6,FALSE),0)</f>
        <v>1</v>
      </c>
      <c r="O748" s="7">
        <f t="shared" si="47"/>
        <v>0</v>
      </c>
      <c r="P748" s="7">
        <f>IFERROR(_xlfn.XLOOKUP(A748,PPTO_GENERADOR!$Q:$Q,PPTO_GENERADOR!$E:$E,"-",0),"-")</f>
        <v>1</v>
      </c>
    </row>
    <row r="749" spans="1:16" x14ac:dyDescent="0.35">
      <c r="A749" s="5" t="s">
        <v>1050</v>
      </c>
      <c r="B749" s="5" t="s">
        <v>1202</v>
      </c>
      <c r="C749" s="5"/>
      <c r="D749" s="5" t="s">
        <v>571</v>
      </c>
      <c r="E749" s="7" t="str">
        <f>IFERROR(VLOOKUP(D749,EQUIPOS!A:B,2,FALSE),"?")</f>
        <v>Herramientas/consumibles - Tablero Bombas impulsión - TS BI</v>
      </c>
      <c r="F749" s="5"/>
      <c r="G749" s="11">
        <v>1</v>
      </c>
      <c r="H749" s="12">
        <v>0</v>
      </c>
      <c r="I749" s="7">
        <f>IFERROR(VLOOKUP(D749,EQUIPOS!A:C,3,FALSE),0)</f>
        <v>13076.448700000001</v>
      </c>
      <c r="J749" s="8">
        <f t="shared" si="44"/>
        <v>13076.448700000001</v>
      </c>
      <c r="K749" s="7" t="str">
        <f t="shared" si="45"/>
        <v>PTO-1811|EQ</v>
      </c>
      <c r="L749" s="7">
        <f>COUNTIFS($K$2:K749,K749)</f>
        <v>1</v>
      </c>
      <c r="M749" s="7" t="str">
        <f t="shared" si="46"/>
        <v>PTO-1811|EQ|1</v>
      </c>
      <c r="N749" s="7">
        <f>IFERROR(VLOOKUP(A749,PARTIDAS!A:F,6,FALSE),0)</f>
        <v>1</v>
      </c>
      <c r="O749" s="7">
        <f t="shared" si="47"/>
        <v>0</v>
      </c>
      <c r="P749" s="7">
        <f>IFERROR(_xlfn.XLOOKUP(A749,PPTO_GENERADOR!$Q:$Q,PPTO_GENERADOR!$E:$E,"-",0),"-")</f>
        <v>1</v>
      </c>
    </row>
    <row r="750" spans="1:16" x14ac:dyDescent="0.35">
      <c r="A750" s="5" t="s">
        <v>1050</v>
      </c>
      <c r="B750" s="5" t="s">
        <v>1203</v>
      </c>
      <c r="C750" s="5" t="s">
        <v>1204</v>
      </c>
      <c r="D750" s="5" t="s">
        <v>468</v>
      </c>
      <c r="E750" s="7" t="str">
        <f>IFERROR(VLOOKUP(D750,MATERIALES!A:B,2,FALSE),"?")</f>
        <v>Consumibles</v>
      </c>
      <c r="F750" s="5"/>
      <c r="G750" s="11">
        <v>60282.969299999997</v>
      </c>
      <c r="H750" s="12">
        <v>0</v>
      </c>
      <c r="I750" s="7">
        <f>IFERROR(VLOOKUP(D750,MATERIALES!A:D,4,FALSE),0)</f>
        <v>1</v>
      </c>
      <c r="J750" s="8">
        <f t="shared" si="44"/>
        <v>60282.969299999997</v>
      </c>
      <c r="K750" s="7" t="str">
        <f t="shared" si="45"/>
        <v>PTO-1811|MAT</v>
      </c>
      <c r="L750" s="7">
        <f>COUNTIFS($K$2:K750,K750)</f>
        <v>9</v>
      </c>
      <c r="M750" s="7" t="str">
        <f t="shared" si="46"/>
        <v>PTO-1811|MAT|9</v>
      </c>
      <c r="N750" s="7">
        <f>IFERROR(VLOOKUP(A750,PARTIDAS!A:F,6,FALSE),0)</f>
        <v>1</v>
      </c>
      <c r="O750" s="7">
        <f t="shared" si="47"/>
        <v>0</v>
      </c>
      <c r="P750" s="7">
        <f>IFERROR(_xlfn.XLOOKUP(A750,PPTO_GENERADOR!$Q:$Q,PPTO_GENERADOR!$E:$E,"-",0),"-")</f>
        <v>1</v>
      </c>
    </row>
    <row r="751" spans="1:16" x14ac:dyDescent="0.35">
      <c r="A751" s="5" t="s">
        <v>1052</v>
      </c>
      <c r="B751" s="5" t="s">
        <v>1203</v>
      </c>
      <c r="C751" s="5" t="s">
        <v>1199</v>
      </c>
      <c r="D751" s="5" t="s">
        <v>293</v>
      </c>
      <c r="E751" s="7" t="str">
        <f>IFERROR(VLOOKUP(D751,MATERIALES!A:B,2,FALSE),"?")</f>
        <v>STECK TM TETRAPOLAR 32A 6KA</v>
      </c>
      <c r="F751" s="5" t="s">
        <v>284</v>
      </c>
      <c r="G751" s="11">
        <v>1</v>
      </c>
      <c r="H751" s="12">
        <v>0</v>
      </c>
      <c r="I751" s="7">
        <f>IFERROR(VLOOKUP(D751,MATERIALES!A:D,4,FALSE),0)</f>
        <v>16112.078299999999</v>
      </c>
      <c r="J751" s="8">
        <f t="shared" si="44"/>
        <v>16112.078299999999</v>
      </c>
      <c r="K751" s="7" t="str">
        <f t="shared" si="45"/>
        <v>PTO-1812|MAT</v>
      </c>
      <c r="L751" s="7">
        <f>COUNTIFS($K$2:K751,K751)</f>
        <v>1</v>
      </c>
      <c r="M751" s="7" t="str">
        <f t="shared" si="46"/>
        <v>PTO-1812|MAT|1</v>
      </c>
      <c r="N751" s="7">
        <f>IFERROR(VLOOKUP(A751,PARTIDAS!A:F,6,FALSE),0)</f>
        <v>1</v>
      </c>
      <c r="O751" s="7">
        <f t="shared" si="47"/>
        <v>0</v>
      </c>
      <c r="P751" s="7">
        <f>IFERROR(_xlfn.XLOOKUP(A751,PPTO_GENERADOR!$Q:$Q,PPTO_GENERADOR!$E:$E,"-",0),"-")</f>
        <v>1</v>
      </c>
    </row>
    <row r="752" spans="1:16" x14ac:dyDescent="0.35">
      <c r="A752" s="5" t="s">
        <v>1052</v>
      </c>
      <c r="B752" s="5" t="s">
        <v>1203</v>
      </c>
      <c r="C752" s="5" t="s">
        <v>1199</v>
      </c>
      <c r="D752" s="5" t="s">
        <v>285</v>
      </c>
      <c r="E752" s="7" t="str">
        <f>IFERROR(VLOOKUP(D752,MATERIALES!A:B,2,FALSE),"?")</f>
        <v>STECK DIFERENCIAL 4X40A 30MA</v>
      </c>
      <c r="F752" s="5" t="s">
        <v>284</v>
      </c>
      <c r="G752" s="11">
        <v>1</v>
      </c>
      <c r="H752" s="12">
        <v>0</v>
      </c>
      <c r="I752" s="7">
        <f>IFERROR(VLOOKUP(D752,MATERIALES!A:D,4,FALSE),0)</f>
        <v>51788.8295</v>
      </c>
      <c r="J752" s="8">
        <f t="shared" si="44"/>
        <v>51788.8295</v>
      </c>
      <c r="K752" s="7" t="str">
        <f t="shared" si="45"/>
        <v>PTO-1812|MAT</v>
      </c>
      <c r="L752" s="7">
        <f>COUNTIFS($K$2:K752,K752)</f>
        <v>2</v>
      </c>
      <c r="M752" s="7" t="str">
        <f t="shared" si="46"/>
        <v>PTO-1812|MAT|2</v>
      </c>
      <c r="N752" s="7">
        <f>IFERROR(VLOOKUP(A752,PARTIDAS!A:F,6,FALSE),0)</f>
        <v>1</v>
      </c>
      <c r="O752" s="7">
        <f t="shared" si="47"/>
        <v>0</v>
      </c>
      <c r="P752" s="7">
        <f>IFERROR(_xlfn.XLOOKUP(A752,PPTO_GENERADOR!$Q:$Q,PPTO_GENERADOR!$E:$E,"-",0),"-")</f>
        <v>1</v>
      </c>
    </row>
    <row r="753" spans="1:16" x14ac:dyDescent="0.35">
      <c r="A753" s="5" t="s">
        <v>1052</v>
      </c>
      <c r="B753" s="5" t="s">
        <v>1203</v>
      </c>
      <c r="C753" s="5" t="s">
        <v>1199</v>
      </c>
      <c r="D753" s="5" t="s">
        <v>313</v>
      </c>
      <c r="E753" s="7" t="str">
        <f>IFERROR(VLOOKUP(D753,MATERIALES!A:B,2,FALSE),"?")</f>
        <v>Voltimetro Display Ojo de Buey 22 mm</v>
      </c>
      <c r="F753" s="5" t="s">
        <v>284</v>
      </c>
      <c r="G753" s="11">
        <v>3</v>
      </c>
      <c r="H753" s="12">
        <v>0</v>
      </c>
      <c r="I753" s="7">
        <f>IFERROR(VLOOKUP(D753,MATERIALES!A:D,4,FALSE),0)</f>
        <v>4138.8173999999999</v>
      </c>
      <c r="J753" s="8">
        <f t="shared" si="44"/>
        <v>12416.4522</v>
      </c>
      <c r="K753" s="7" t="str">
        <f t="shared" si="45"/>
        <v>PTO-1812|MAT</v>
      </c>
      <c r="L753" s="7">
        <f>COUNTIFS($K$2:K753,K753)</f>
        <v>3</v>
      </c>
      <c r="M753" s="7" t="str">
        <f t="shared" si="46"/>
        <v>PTO-1812|MAT|3</v>
      </c>
      <c r="N753" s="7">
        <f>IFERROR(VLOOKUP(A753,PARTIDAS!A:F,6,FALSE),0)</f>
        <v>1</v>
      </c>
      <c r="O753" s="7">
        <f t="shared" si="47"/>
        <v>0</v>
      </c>
      <c r="P753" s="7">
        <f>IFERROR(_xlfn.XLOOKUP(A753,PPTO_GENERADOR!$Q:$Q,PPTO_GENERADOR!$E:$E,"-",0),"-")</f>
        <v>1</v>
      </c>
    </row>
    <row r="754" spans="1:16" x14ac:dyDescent="0.35">
      <c r="A754" s="5" t="s">
        <v>1052</v>
      </c>
      <c r="B754" s="5" t="s">
        <v>1203</v>
      </c>
      <c r="C754" s="5" t="s">
        <v>1199</v>
      </c>
      <c r="D754" s="5" t="s">
        <v>319</v>
      </c>
      <c r="E754" s="7" t="str">
        <f>IFERROR(VLOOKUP(D754,MATERIALES!A:B,2,FALSE),"?")</f>
        <v>GAB. IP65 SERIE 9000 450X450X225</v>
      </c>
      <c r="F754" s="5" t="s">
        <v>284</v>
      </c>
      <c r="G754" s="11">
        <v>1</v>
      </c>
      <c r="H754" s="12">
        <v>0</v>
      </c>
      <c r="I754" s="7">
        <f>IFERROR(VLOOKUP(D754,MATERIALES!A:D,4,FALSE),0)</f>
        <v>131120.3273</v>
      </c>
      <c r="J754" s="8">
        <f t="shared" si="44"/>
        <v>131120.3273</v>
      </c>
      <c r="K754" s="7" t="str">
        <f t="shared" si="45"/>
        <v>PTO-1812|MAT</v>
      </c>
      <c r="L754" s="7">
        <f>COUNTIFS($K$2:K754,K754)</f>
        <v>4</v>
      </c>
      <c r="M754" s="7" t="str">
        <f t="shared" si="46"/>
        <v>PTO-1812|MAT|4</v>
      </c>
      <c r="N754" s="7">
        <f>IFERROR(VLOOKUP(A754,PARTIDAS!A:F,6,FALSE),0)</f>
        <v>1</v>
      </c>
      <c r="O754" s="7">
        <f t="shared" si="47"/>
        <v>0</v>
      </c>
      <c r="P754" s="7">
        <f>IFERROR(_xlfn.XLOOKUP(A754,PPTO_GENERADOR!$Q:$Q,PPTO_GENERADOR!$E:$E,"-",0),"-")</f>
        <v>1</v>
      </c>
    </row>
    <row r="755" spans="1:16" x14ac:dyDescent="0.35">
      <c r="A755" s="5" t="s">
        <v>1052</v>
      </c>
      <c r="B755" s="5" t="s">
        <v>1203</v>
      </c>
      <c r="C755" s="5" t="s">
        <v>1199</v>
      </c>
      <c r="D755" s="5" t="s">
        <v>321</v>
      </c>
      <c r="E755" s="7" t="str">
        <f>IFERROR(VLOOKUP(D755,MATERIALES!A:B,2,FALSE),"?")</f>
        <v>CONTRAF ABISAG.CALADO 18BIP S9000 450X450</v>
      </c>
      <c r="F755" s="5" t="s">
        <v>284</v>
      </c>
      <c r="G755" s="11">
        <v>1</v>
      </c>
      <c r="H755" s="12">
        <v>0</v>
      </c>
      <c r="I755" s="7">
        <f>IFERROR(VLOOKUP(D755,MATERIALES!A:D,4,FALSE),0)</f>
        <v>64963.7212</v>
      </c>
      <c r="J755" s="8">
        <f t="shared" si="44"/>
        <v>64963.7212</v>
      </c>
      <c r="K755" s="7" t="str">
        <f t="shared" si="45"/>
        <v>PTO-1812|MAT</v>
      </c>
      <c r="L755" s="7">
        <f>COUNTIFS($K$2:K755,K755)</f>
        <v>5</v>
      </c>
      <c r="M755" s="7" t="str">
        <f t="shared" si="46"/>
        <v>PTO-1812|MAT|5</v>
      </c>
      <c r="N755" s="7">
        <f>IFERROR(VLOOKUP(A755,PARTIDAS!A:F,6,FALSE),0)</f>
        <v>1</v>
      </c>
      <c r="O755" s="7">
        <f t="shared" si="47"/>
        <v>0</v>
      </c>
      <c r="P755" s="7">
        <f>IFERROR(_xlfn.XLOOKUP(A755,PPTO_GENERADOR!$Q:$Q,PPTO_GENERADOR!$E:$E,"-",0),"-")</f>
        <v>1</v>
      </c>
    </row>
    <row r="756" spans="1:16" x14ac:dyDescent="0.35">
      <c r="A756" s="5" t="s">
        <v>1052</v>
      </c>
      <c r="B756" s="5" t="s">
        <v>1198</v>
      </c>
      <c r="C756" s="5" t="s">
        <v>1199</v>
      </c>
      <c r="D756" s="5" t="s">
        <v>721</v>
      </c>
      <c r="E756" s="7" t="str">
        <f>IFERROR(VLOOKUP(D756,SUBCONTRATOS_PRY!A:B,2,FALSE),"?")</f>
        <v>Tablero seccional de 8 a 36 polos</v>
      </c>
      <c r="F756" s="5" t="s">
        <v>1200</v>
      </c>
      <c r="G756" s="11">
        <v>1</v>
      </c>
      <c r="H756" s="12">
        <v>0</v>
      </c>
      <c r="I756" s="7">
        <f>IFERROR(VLOOKUP(D756,SUBCONTRATOS_PRY!A:D,4,FALSE),0)</f>
        <v>219841.65</v>
      </c>
      <c r="J756" s="8">
        <f t="shared" si="44"/>
        <v>219841.65</v>
      </c>
      <c r="K756" s="7" t="str">
        <f t="shared" si="45"/>
        <v>PTO-1812|MO</v>
      </c>
      <c r="L756" s="7">
        <f>COUNTIFS($K$2:K756,K756)</f>
        <v>1</v>
      </c>
      <c r="M756" s="7" t="str">
        <f t="shared" si="46"/>
        <v>PTO-1812|MO|1</v>
      </c>
      <c r="N756" s="7">
        <f>IFERROR(VLOOKUP(A756,PARTIDAS!A:F,6,FALSE),0)</f>
        <v>1</v>
      </c>
      <c r="O756" s="7">
        <f t="shared" si="47"/>
        <v>0</v>
      </c>
      <c r="P756" s="7">
        <f>IFERROR(_xlfn.XLOOKUP(A756,PPTO_GENERADOR!$Q:$Q,PPTO_GENERADOR!$E:$E,"-",0),"-")</f>
        <v>1</v>
      </c>
    </row>
    <row r="757" spans="1:16" x14ac:dyDescent="0.35">
      <c r="A757" s="5" t="s">
        <v>1052</v>
      </c>
      <c r="B757" s="5" t="s">
        <v>1202</v>
      </c>
      <c r="C757" s="5"/>
      <c r="D757" s="5" t="s">
        <v>573</v>
      </c>
      <c r="E757" s="7" t="str">
        <f>IFERROR(VLOOKUP(D757,EQUIPOS!A:B,2,FALSE),"?")</f>
        <v>Herramientas/consumibles - Tablero Seccional ascensor - TS.ASC.</v>
      </c>
      <c r="F757" s="5"/>
      <c r="G757" s="11">
        <v>1</v>
      </c>
      <c r="H757" s="12">
        <v>0</v>
      </c>
      <c r="I757" s="7">
        <f>IFERROR(VLOOKUP(D757,EQUIPOS!A:C,3,FALSE),0)</f>
        <v>7866.0902999999998</v>
      </c>
      <c r="J757" s="8">
        <f t="shared" si="44"/>
        <v>7866.0902999999998</v>
      </c>
      <c r="K757" s="7" t="str">
        <f t="shared" si="45"/>
        <v>PTO-1812|EQ</v>
      </c>
      <c r="L757" s="7">
        <f>COUNTIFS($K$2:K757,K757)</f>
        <v>1</v>
      </c>
      <c r="M757" s="7" t="str">
        <f t="shared" si="46"/>
        <v>PTO-1812|EQ|1</v>
      </c>
      <c r="N757" s="7">
        <f>IFERROR(VLOOKUP(A757,PARTIDAS!A:F,6,FALSE),0)</f>
        <v>1</v>
      </c>
      <c r="O757" s="7">
        <f t="shared" si="47"/>
        <v>0</v>
      </c>
      <c r="P757" s="7">
        <f>IFERROR(_xlfn.XLOOKUP(A757,PPTO_GENERADOR!$Q:$Q,PPTO_GENERADOR!$E:$E,"-",0),"-")</f>
        <v>1</v>
      </c>
    </row>
    <row r="758" spans="1:16" x14ac:dyDescent="0.35">
      <c r="A758" s="5" t="s">
        <v>1052</v>
      </c>
      <c r="B758" s="5" t="s">
        <v>1203</v>
      </c>
      <c r="C758" s="5" t="s">
        <v>1204</v>
      </c>
      <c r="D758" s="5" t="s">
        <v>468</v>
      </c>
      <c r="E758" s="7" t="str">
        <f>IFERROR(VLOOKUP(D758,MATERIALES!A:B,2,FALSE),"?")</f>
        <v>Consumibles</v>
      </c>
      <c r="F758" s="5"/>
      <c r="G758" s="11">
        <v>28162.964499999998</v>
      </c>
      <c r="H758" s="12">
        <v>0</v>
      </c>
      <c r="I758" s="7">
        <f>IFERROR(VLOOKUP(D758,MATERIALES!A:D,4,FALSE),0)</f>
        <v>1</v>
      </c>
      <c r="J758" s="8">
        <f t="shared" si="44"/>
        <v>28162.964499999998</v>
      </c>
      <c r="K758" s="7" t="str">
        <f t="shared" si="45"/>
        <v>PTO-1812|MAT</v>
      </c>
      <c r="L758" s="7">
        <f>COUNTIFS($K$2:K758,K758)</f>
        <v>6</v>
      </c>
      <c r="M758" s="7" t="str">
        <f t="shared" si="46"/>
        <v>PTO-1812|MAT|6</v>
      </c>
      <c r="N758" s="7">
        <f>IFERROR(VLOOKUP(A758,PARTIDAS!A:F,6,FALSE),0)</f>
        <v>1</v>
      </c>
      <c r="O758" s="7">
        <f t="shared" si="47"/>
        <v>0</v>
      </c>
      <c r="P758" s="7">
        <f>IFERROR(_xlfn.XLOOKUP(A758,PPTO_GENERADOR!$Q:$Q,PPTO_GENERADOR!$E:$E,"-",0),"-")</f>
        <v>1</v>
      </c>
    </row>
    <row r="759" spans="1:16" x14ac:dyDescent="0.35">
      <c r="A759" s="5" t="s">
        <v>1054</v>
      </c>
      <c r="B759" s="5" t="s">
        <v>1203</v>
      </c>
      <c r="C759" s="5" t="s">
        <v>1199</v>
      </c>
      <c r="D759" s="5" t="s">
        <v>291</v>
      </c>
      <c r="E759" s="7" t="str">
        <f>IFERROR(VLOOKUP(D759,MATERIALES!A:B,2,FALSE),"?")</f>
        <v>STECK TM BIPOLAR 16A 6KA</v>
      </c>
      <c r="F759" s="5" t="s">
        <v>284</v>
      </c>
      <c r="G759" s="11">
        <v>2</v>
      </c>
      <c r="H759" s="12">
        <v>0</v>
      </c>
      <c r="I759" s="7">
        <f>IFERROR(VLOOKUP(D759,MATERIALES!A:D,4,FALSE),0)</f>
        <v>7624.2992000000004</v>
      </c>
      <c r="J759" s="8">
        <f t="shared" si="44"/>
        <v>15248.598400000001</v>
      </c>
      <c r="K759" s="7" t="str">
        <f t="shared" si="45"/>
        <v>PTO-1813|MAT</v>
      </c>
      <c r="L759" s="7">
        <f>COUNTIFS($K$2:K759,K759)</f>
        <v>1</v>
      </c>
      <c r="M759" s="7" t="str">
        <f t="shared" si="46"/>
        <v>PTO-1813|MAT|1</v>
      </c>
      <c r="N759" s="7">
        <f>IFERROR(VLOOKUP(A759,PARTIDAS!A:F,6,FALSE),0)</f>
        <v>1</v>
      </c>
      <c r="O759" s="7">
        <f t="shared" si="47"/>
        <v>0</v>
      </c>
      <c r="P759" s="7">
        <f>IFERROR(_xlfn.XLOOKUP(A759,PPTO_GENERADOR!$Q:$Q,PPTO_GENERADOR!$E:$E,"-",0),"-")</f>
        <v>1</v>
      </c>
    </row>
    <row r="760" spans="1:16" x14ac:dyDescent="0.35">
      <c r="A760" s="5" t="s">
        <v>1054</v>
      </c>
      <c r="B760" s="5" t="s">
        <v>1203</v>
      </c>
      <c r="C760" s="5" t="s">
        <v>1199</v>
      </c>
      <c r="D760" s="5" t="s">
        <v>289</v>
      </c>
      <c r="E760" s="7" t="str">
        <f>IFERROR(VLOOKUP(D760,MATERIALES!A:B,2,FALSE),"?")</f>
        <v>STECK TM BIPOLAR 10A 6KA</v>
      </c>
      <c r="F760" s="5" t="s">
        <v>284</v>
      </c>
      <c r="G760" s="11">
        <v>1</v>
      </c>
      <c r="H760" s="12">
        <v>0</v>
      </c>
      <c r="I760" s="7">
        <f>IFERROR(VLOOKUP(D760,MATERIALES!A:D,4,FALSE),0)</f>
        <v>7624.2992000000004</v>
      </c>
      <c r="J760" s="8">
        <f t="shared" si="44"/>
        <v>7624.2992000000004</v>
      </c>
      <c r="K760" s="7" t="str">
        <f t="shared" si="45"/>
        <v>PTO-1813|MAT</v>
      </c>
      <c r="L760" s="7">
        <f>COUNTIFS($K$2:K760,K760)</f>
        <v>2</v>
      </c>
      <c r="M760" s="7" t="str">
        <f t="shared" si="46"/>
        <v>PTO-1813|MAT|2</v>
      </c>
      <c r="N760" s="7">
        <f>IFERROR(VLOOKUP(A760,PARTIDAS!A:F,6,FALSE),0)</f>
        <v>1</v>
      </c>
      <c r="O760" s="7">
        <f t="shared" si="47"/>
        <v>0</v>
      </c>
      <c r="P760" s="7">
        <f>IFERROR(_xlfn.XLOOKUP(A760,PPTO_GENERADOR!$Q:$Q,PPTO_GENERADOR!$E:$E,"-",0),"-")</f>
        <v>1</v>
      </c>
    </row>
    <row r="761" spans="1:16" x14ac:dyDescent="0.35">
      <c r="A761" s="5" t="s">
        <v>1054</v>
      </c>
      <c r="B761" s="5" t="s">
        <v>1203</v>
      </c>
      <c r="C761" s="5" t="s">
        <v>1199</v>
      </c>
      <c r="D761" s="5" t="s">
        <v>282</v>
      </c>
      <c r="E761" s="7" t="str">
        <f>IFERROR(VLOOKUP(D761,MATERIALES!A:B,2,FALSE),"?")</f>
        <v>STECK DIFERENCIAL 2X25A 30MA</v>
      </c>
      <c r="F761" s="5" t="s">
        <v>284</v>
      </c>
      <c r="G761" s="11">
        <v>1</v>
      </c>
      <c r="H761" s="12">
        <v>0</v>
      </c>
      <c r="I761" s="7">
        <f>IFERROR(VLOOKUP(D761,MATERIALES!A:D,4,FALSE),0)</f>
        <v>26757.217000000001</v>
      </c>
      <c r="J761" s="8">
        <f t="shared" si="44"/>
        <v>26757.217000000001</v>
      </c>
      <c r="K761" s="7" t="str">
        <f t="shared" si="45"/>
        <v>PTO-1813|MAT</v>
      </c>
      <c r="L761" s="7">
        <f>COUNTIFS($K$2:K761,K761)</f>
        <v>3</v>
      </c>
      <c r="M761" s="7" t="str">
        <f t="shared" si="46"/>
        <v>PTO-1813|MAT|3</v>
      </c>
      <c r="N761" s="7">
        <f>IFERROR(VLOOKUP(A761,PARTIDAS!A:F,6,FALSE),0)</f>
        <v>1</v>
      </c>
      <c r="O761" s="7">
        <f t="shared" si="47"/>
        <v>0</v>
      </c>
      <c r="P761" s="7">
        <f>IFERROR(_xlfn.XLOOKUP(A761,PPTO_GENERADOR!$Q:$Q,PPTO_GENERADOR!$E:$E,"-",0),"-")</f>
        <v>1</v>
      </c>
    </row>
    <row r="762" spans="1:16" x14ac:dyDescent="0.35">
      <c r="A762" s="5" t="s">
        <v>1054</v>
      </c>
      <c r="B762" s="5" t="s">
        <v>1203</v>
      </c>
      <c r="C762" s="5" t="s">
        <v>1199</v>
      </c>
      <c r="D762" s="5" t="s">
        <v>313</v>
      </c>
      <c r="E762" s="7" t="str">
        <f>IFERROR(VLOOKUP(D762,MATERIALES!A:B,2,FALSE),"?")</f>
        <v>Voltimetro Display Ojo de Buey 22 mm</v>
      </c>
      <c r="F762" s="5" t="s">
        <v>284</v>
      </c>
      <c r="G762" s="11">
        <v>1</v>
      </c>
      <c r="H762" s="12">
        <v>0</v>
      </c>
      <c r="I762" s="7">
        <f>IFERROR(VLOOKUP(D762,MATERIALES!A:D,4,FALSE),0)</f>
        <v>4138.8173999999999</v>
      </c>
      <c r="J762" s="8">
        <f t="shared" si="44"/>
        <v>4138.8173999999999</v>
      </c>
      <c r="K762" s="7" t="str">
        <f t="shared" si="45"/>
        <v>PTO-1813|MAT</v>
      </c>
      <c r="L762" s="7">
        <f>COUNTIFS($K$2:K762,K762)</f>
        <v>4</v>
      </c>
      <c r="M762" s="7" t="str">
        <f t="shared" si="46"/>
        <v>PTO-1813|MAT|4</v>
      </c>
      <c r="N762" s="7">
        <f>IFERROR(VLOOKUP(A762,PARTIDAS!A:F,6,FALSE),0)</f>
        <v>1</v>
      </c>
      <c r="O762" s="7">
        <f t="shared" si="47"/>
        <v>0</v>
      </c>
      <c r="P762" s="7">
        <f>IFERROR(_xlfn.XLOOKUP(A762,PPTO_GENERADOR!$Q:$Q,PPTO_GENERADOR!$E:$E,"-",0),"-")</f>
        <v>1</v>
      </c>
    </row>
    <row r="763" spans="1:16" x14ac:dyDescent="0.35">
      <c r="A763" s="5" t="s">
        <v>1054</v>
      </c>
      <c r="B763" s="5" t="s">
        <v>1203</v>
      </c>
      <c r="C763" s="5" t="s">
        <v>1199</v>
      </c>
      <c r="D763" s="5" t="s">
        <v>315</v>
      </c>
      <c r="E763" s="7" t="str">
        <f>IFERROR(VLOOKUP(D763,MATERIALES!A:B,2,FALSE),"?")</f>
        <v>LC1D18M7 18A 7,5KW 1+1 220V</v>
      </c>
      <c r="F763" s="5" t="s">
        <v>284</v>
      </c>
      <c r="G763" s="11">
        <v>2</v>
      </c>
      <c r="H763" s="12">
        <v>0</v>
      </c>
      <c r="I763" s="7">
        <f>IFERROR(VLOOKUP(D763,MATERIALES!A:D,4,FALSE),0)</f>
        <v>99169.454100000003</v>
      </c>
      <c r="J763" s="8">
        <f t="shared" si="44"/>
        <v>198338.90820000001</v>
      </c>
      <c r="K763" s="7" t="str">
        <f t="shared" si="45"/>
        <v>PTO-1813|MAT</v>
      </c>
      <c r="L763" s="7">
        <f>COUNTIFS($K$2:K763,K763)</f>
        <v>5</v>
      </c>
      <c r="M763" s="7" t="str">
        <f t="shared" si="46"/>
        <v>PTO-1813|MAT|5</v>
      </c>
      <c r="N763" s="7">
        <f>IFERROR(VLOOKUP(A763,PARTIDAS!A:F,6,FALSE),0)</f>
        <v>1</v>
      </c>
      <c r="O763" s="7">
        <f t="shared" si="47"/>
        <v>0</v>
      </c>
      <c r="P763" s="7">
        <f>IFERROR(_xlfn.XLOOKUP(A763,PPTO_GENERADOR!$Q:$Q,PPTO_GENERADOR!$E:$E,"-",0),"-")</f>
        <v>1</v>
      </c>
    </row>
    <row r="764" spans="1:16" x14ac:dyDescent="0.35">
      <c r="A764" s="5" t="s">
        <v>1054</v>
      </c>
      <c r="B764" s="5" t="s">
        <v>1203</v>
      </c>
      <c r="C764" s="5" t="s">
        <v>1199</v>
      </c>
      <c r="D764" s="5" t="s">
        <v>317</v>
      </c>
      <c r="E764" s="7" t="str">
        <f>IFERROR(VLOOKUP(D764,MATERIALES!A:B,2,FALSE),"?")</f>
        <v>ALTERNADOR 2 BOMBA DIGITAL 24/110/220VCA</v>
      </c>
      <c r="F764" s="5" t="s">
        <v>284</v>
      </c>
      <c r="G764" s="11">
        <v>1</v>
      </c>
      <c r="H764" s="12">
        <v>0</v>
      </c>
      <c r="I764" s="7">
        <f>IFERROR(VLOOKUP(D764,MATERIALES!A:D,4,FALSE),0)</f>
        <v>143446.73759999999</v>
      </c>
      <c r="J764" s="8">
        <f t="shared" si="44"/>
        <v>143446.73759999999</v>
      </c>
      <c r="K764" s="7" t="str">
        <f t="shared" si="45"/>
        <v>PTO-1813|MAT</v>
      </c>
      <c r="L764" s="7">
        <f>COUNTIFS($K$2:K764,K764)</f>
        <v>6</v>
      </c>
      <c r="M764" s="7" t="str">
        <f t="shared" si="46"/>
        <v>PTO-1813|MAT|6</v>
      </c>
      <c r="N764" s="7">
        <f>IFERROR(VLOOKUP(A764,PARTIDAS!A:F,6,FALSE),0)</f>
        <v>1</v>
      </c>
      <c r="O764" s="7">
        <f t="shared" si="47"/>
        <v>0</v>
      </c>
      <c r="P764" s="7">
        <f>IFERROR(_xlfn.XLOOKUP(A764,PPTO_GENERADOR!$Q:$Q,PPTO_GENERADOR!$E:$E,"-",0),"-")</f>
        <v>1</v>
      </c>
    </row>
    <row r="765" spans="1:16" x14ac:dyDescent="0.35">
      <c r="A765" s="5" t="s">
        <v>1054</v>
      </c>
      <c r="B765" s="5" t="s">
        <v>1203</v>
      </c>
      <c r="C765" s="5" t="s">
        <v>1199</v>
      </c>
      <c r="D765" s="5" t="s">
        <v>323</v>
      </c>
      <c r="E765" s="7" t="str">
        <f>IFERROR(VLOOKUP(D765,MATERIALES!A:B,2,FALSE),"?")</f>
        <v>GAB. IP65 SERIE 9000 300X300X150</v>
      </c>
      <c r="F765" s="5" t="s">
        <v>284</v>
      </c>
      <c r="G765" s="11">
        <v>1</v>
      </c>
      <c r="H765" s="12">
        <v>0</v>
      </c>
      <c r="I765" s="7">
        <f>IFERROR(VLOOKUP(D765,MATERIALES!A:D,4,FALSE),0)</f>
        <v>57566.354800000001</v>
      </c>
      <c r="J765" s="8">
        <f t="shared" si="44"/>
        <v>57566.354800000001</v>
      </c>
      <c r="K765" s="7" t="str">
        <f t="shared" si="45"/>
        <v>PTO-1813|MAT</v>
      </c>
      <c r="L765" s="7">
        <f>COUNTIFS($K$2:K765,K765)</f>
        <v>7</v>
      </c>
      <c r="M765" s="7" t="str">
        <f t="shared" si="46"/>
        <v>PTO-1813|MAT|7</v>
      </c>
      <c r="N765" s="7">
        <f>IFERROR(VLOOKUP(A765,PARTIDAS!A:F,6,FALSE),0)</f>
        <v>1</v>
      </c>
      <c r="O765" s="7">
        <f t="shared" si="47"/>
        <v>0</v>
      </c>
      <c r="P765" s="7">
        <f>IFERROR(_xlfn.XLOOKUP(A765,PPTO_GENERADOR!$Q:$Q,PPTO_GENERADOR!$E:$E,"-",0),"-")</f>
        <v>1</v>
      </c>
    </row>
    <row r="766" spans="1:16" x14ac:dyDescent="0.35">
      <c r="A766" s="5" t="s">
        <v>1054</v>
      </c>
      <c r="B766" s="5" t="s">
        <v>1203</v>
      </c>
      <c r="C766" s="5" t="s">
        <v>1199</v>
      </c>
      <c r="D766" s="5" t="s">
        <v>325</v>
      </c>
      <c r="E766" s="7" t="str">
        <f>IFERROR(VLOOKUP(D766,MATERIALES!A:B,2,FALSE),"?")</f>
        <v>CONTRAF ABISAG.CALADO 10BIP S9000 300X300</v>
      </c>
      <c r="F766" s="5" t="s">
        <v>284</v>
      </c>
      <c r="G766" s="11">
        <v>1</v>
      </c>
      <c r="H766" s="12">
        <v>0</v>
      </c>
      <c r="I766" s="7">
        <f>IFERROR(VLOOKUP(D766,MATERIALES!A:D,4,FALSE),0)</f>
        <v>37586.7693</v>
      </c>
      <c r="J766" s="8">
        <f t="shared" si="44"/>
        <v>37586.7693</v>
      </c>
      <c r="K766" s="7" t="str">
        <f t="shared" si="45"/>
        <v>PTO-1813|MAT</v>
      </c>
      <c r="L766" s="7">
        <f>COUNTIFS($K$2:K766,K766)</f>
        <v>8</v>
      </c>
      <c r="M766" s="7" t="str">
        <f t="shared" si="46"/>
        <v>PTO-1813|MAT|8</v>
      </c>
      <c r="N766" s="7">
        <f>IFERROR(VLOOKUP(A766,PARTIDAS!A:F,6,FALSE),0)</f>
        <v>1</v>
      </c>
      <c r="O766" s="7">
        <f t="shared" si="47"/>
        <v>0</v>
      </c>
      <c r="P766" s="7">
        <f>IFERROR(_xlfn.XLOOKUP(A766,PPTO_GENERADOR!$Q:$Q,PPTO_GENERADOR!$E:$E,"-",0),"-")</f>
        <v>1</v>
      </c>
    </row>
    <row r="767" spans="1:16" x14ac:dyDescent="0.35">
      <c r="A767" s="5" t="s">
        <v>1054</v>
      </c>
      <c r="B767" s="5" t="s">
        <v>1198</v>
      </c>
      <c r="C767" s="5" t="s">
        <v>1199</v>
      </c>
      <c r="D767" s="5" t="s">
        <v>721</v>
      </c>
      <c r="E767" s="7" t="str">
        <f>IFERROR(VLOOKUP(D767,SUBCONTRATOS_PRY!A:B,2,FALSE),"?")</f>
        <v>Tablero seccional de 8 a 36 polos</v>
      </c>
      <c r="F767" s="5" t="s">
        <v>1200</v>
      </c>
      <c r="G767" s="11">
        <v>1</v>
      </c>
      <c r="H767" s="12">
        <v>0</v>
      </c>
      <c r="I767" s="7">
        <f>IFERROR(VLOOKUP(D767,SUBCONTRATOS_PRY!A:D,4,FALSE),0)</f>
        <v>219841.65</v>
      </c>
      <c r="J767" s="8">
        <f t="shared" si="44"/>
        <v>219841.65</v>
      </c>
      <c r="K767" s="7" t="str">
        <f t="shared" si="45"/>
        <v>PTO-1813|MO</v>
      </c>
      <c r="L767" s="7">
        <f>COUNTIFS($K$2:K767,K767)</f>
        <v>1</v>
      </c>
      <c r="M767" s="7" t="str">
        <f t="shared" si="46"/>
        <v>PTO-1813|MO|1</v>
      </c>
      <c r="N767" s="7">
        <f>IFERROR(VLOOKUP(A767,PARTIDAS!A:F,6,FALSE),0)</f>
        <v>1</v>
      </c>
      <c r="O767" s="7">
        <f t="shared" si="47"/>
        <v>0</v>
      </c>
      <c r="P767" s="7">
        <f>IFERROR(_xlfn.XLOOKUP(A767,PPTO_GENERADOR!$Q:$Q,PPTO_GENERADOR!$E:$E,"-",0),"-")</f>
        <v>1</v>
      </c>
    </row>
    <row r="768" spans="1:16" x14ac:dyDescent="0.35">
      <c r="A768" s="5" t="s">
        <v>1054</v>
      </c>
      <c r="B768" s="5" t="s">
        <v>1202</v>
      </c>
      <c r="C768" s="5"/>
      <c r="D768" s="5" t="s">
        <v>575</v>
      </c>
      <c r="E768" s="7" t="str">
        <f>IFERROR(VLOOKUP(D768,EQUIPOS!A:B,2,FALSE),"?")</f>
        <v>Herramientas/consumibles - Tablero de Bomba presurizadora - TS BR</v>
      </c>
      <c r="F768" s="5"/>
      <c r="G768" s="11">
        <v>1</v>
      </c>
      <c r="H768" s="12">
        <v>0</v>
      </c>
      <c r="I768" s="7">
        <f>IFERROR(VLOOKUP(D768,EQUIPOS!A:C,3,FALSE),0)</f>
        <v>11408.224700000001</v>
      </c>
      <c r="J768" s="8">
        <f t="shared" si="44"/>
        <v>11408.224700000001</v>
      </c>
      <c r="K768" s="7" t="str">
        <f t="shared" si="45"/>
        <v>PTO-1813|EQ</v>
      </c>
      <c r="L768" s="7">
        <f>COUNTIFS($K$2:K768,K768)</f>
        <v>1</v>
      </c>
      <c r="M768" s="7" t="str">
        <f t="shared" si="46"/>
        <v>PTO-1813|EQ|1</v>
      </c>
      <c r="N768" s="7">
        <f>IFERROR(VLOOKUP(A768,PARTIDAS!A:F,6,FALSE),0)</f>
        <v>1</v>
      </c>
      <c r="O768" s="7">
        <f t="shared" si="47"/>
        <v>0</v>
      </c>
      <c r="P768" s="7">
        <f>IFERROR(_xlfn.XLOOKUP(A768,PPTO_GENERADOR!$Q:$Q,PPTO_GENERADOR!$E:$E,"-",0),"-")</f>
        <v>1</v>
      </c>
    </row>
    <row r="769" spans="1:16" x14ac:dyDescent="0.35">
      <c r="A769" s="5" t="s">
        <v>1054</v>
      </c>
      <c r="B769" s="5" t="s">
        <v>1203</v>
      </c>
      <c r="C769" s="5" t="s">
        <v>1204</v>
      </c>
      <c r="D769" s="5" t="s">
        <v>468</v>
      </c>
      <c r="E769" s="7" t="str">
        <f>IFERROR(VLOOKUP(D769,MATERIALES!A:B,2,FALSE),"?")</f>
        <v>Consumibles</v>
      </c>
      <c r="F769" s="5"/>
      <c r="G769" s="11">
        <v>49998.962200000002</v>
      </c>
      <c r="H769" s="12">
        <v>0</v>
      </c>
      <c r="I769" s="7">
        <f>IFERROR(VLOOKUP(D769,MATERIALES!A:D,4,FALSE),0)</f>
        <v>1</v>
      </c>
      <c r="J769" s="8">
        <f t="shared" si="44"/>
        <v>49998.962200000002</v>
      </c>
      <c r="K769" s="7" t="str">
        <f t="shared" si="45"/>
        <v>PTO-1813|MAT</v>
      </c>
      <c r="L769" s="7">
        <f>COUNTIFS($K$2:K769,K769)</f>
        <v>9</v>
      </c>
      <c r="M769" s="7" t="str">
        <f t="shared" si="46"/>
        <v>PTO-1813|MAT|9</v>
      </c>
      <c r="N769" s="7">
        <f>IFERROR(VLOOKUP(A769,PARTIDAS!A:F,6,FALSE),0)</f>
        <v>1</v>
      </c>
      <c r="O769" s="7">
        <f t="shared" si="47"/>
        <v>0</v>
      </c>
      <c r="P769" s="7">
        <f>IFERROR(_xlfn.XLOOKUP(A769,PPTO_GENERADOR!$Q:$Q,PPTO_GENERADOR!$E:$E,"-",0),"-")</f>
        <v>1</v>
      </c>
    </row>
    <row r="770" spans="1:16" x14ac:dyDescent="0.35">
      <c r="A770" s="5" t="s">
        <v>1056</v>
      </c>
      <c r="B770" s="5" t="s">
        <v>1203</v>
      </c>
      <c r="C770" s="5" t="s">
        <v>1199</v>
      </c>
      <c r="D770" s="5" t="s">
        <v>289</v>
      </c>
      <c r="E770" s="7" t="str">
        <f>IFERROR(VLOOKUP(D770,MATERIALES!A:B,2,FALSE),"?")</f>
        <v>STECK TM BIPOLAR 10A 6KA</v>
      </c>
      <c r="F770" s="5" t="s">
        <v>284</v>
      </c>
      <c r="G770" s="11">
        <v>1</v>
      </c>
      <c r="H770" s="12">
        <v>0</v>
      </c>
      <c r="I770" s="7">
        <f>IFERROR(VLOOKUP(D770,MATERIALES!A:D,4,FALSE),0)</f>
        <v>7624.2992000000004</v>
      </c>
      <c r="J770" s="8">
        <f t="shared" ref="J770:J833" si="48">G770*I770*(1+H770)</f>
        <v>7624.2992000000004</v>
      </c>
      <c r="K770" s="7" t="str">
        <f t="shared" ref="K770:K833" si="49">A770&amp;"|"&amp;B770</f>
        <v>PTO-1814|MAT</v>
      </c>
      <c r="L770" s="7">
        <f>COUNTIFS($K$2:K770,K770)</f>
        <v>1</v>
      </c>
      <c r="M770" s="7" t="str">
        <f t="shared" ref="M770:M833" si="50">K770&amp;"|"&amp;L770</f>
        <v>PTO-1814|MAT|1</v>
      </c>
      <c r="N770" s="7">
        <f>IFERROR(VLOOKUP(A770,PARTIDAS!A:F,6,FALSE),0)</f>
        <v>1</v>
      </c>
      <c r="O770" s="7">
        <f t="shared" ref="O770:O833" si="51">IF(C770="ALB",IF(N770=0,0,G770/N770),0)</f>
        <v>0</v>
      </c>
      <c r="P770" s="7">
        <f>IFERROR(_xlfn.XLOOKUP(A770,PPTO_GENERADOR!$Q:$Q,PPTO_GENERADOR!$E:$E,"-",0),"-")</f>
        <v>1</v>
      </c>
    </row>
    <row r="771" spans="1:16" x14ac:dyDescent="0.35">
      <c r="A771" s="5" t="s">
        <v>1056</v>
      </c>
      <c r="B771" s="5" t="s">
        <v>1203</v>
      </c>
      <c r="C771" s="5" t="s">
        <v>1199</v>
      </c>
      <c r="D771" s="5" t="s">
        <v>291</v>
      </c>
      <c r="E771" s="7" t="str">
        <f>IFERROR(VLOOKUP(D771,MATERIALES!A:B,2,FALSE),"?")</f>
        <v>STECK TM BIPOLAR 16A 6KA</v>
      </c>
      <c r="F771" s="5" t="s">
        <v>284</v>
      </c>
      <c r="G771" s="11">
        <v>3</v>
      </c>
      <c r="H771" s="12">
        <v>0</v>
      </c>
      <c r="I771" s="7">
        <f>IFERROR(VLOOKUP(D771,MATERIALES!A:D,4,FALSE),0)</f>
        <v>7624.2992000000004</v>
      </c>
      <c r="J771" s="8">
        <f t="shared" si="48"/>
        <v>22872.8976</v>
      </c>
      <c r="K771" s="7" t="str">
        <f t="shared" si="49"/>
        <v>PTO-1814|MAT</v>
      </c>
      <c r="L771" s="7">
        <f>COUNTIFS($K$2:K771,K771)</f>
        <v>2</v>
      </c>
      <c r="M771" s="7" t="str">
        <f t="shared" si="50"/>
        <v>PTO-1814|MAT|2</v>
      </c>
      <c r="N771" s="7">
        <f>IFERROR(VLOOKUP(A771,PARTIDAS!A:F,6,FALSE),0)</f>
        <v>1</v>
      </c>
      <c r="O771" s="7">
        <f t="shared" si="51"/>
        <v>0</v>
      </c>
      <c r="P771" s="7">
        <f>IFERROR(_xlfn.XLOOKUP(A771,PPTO_GENERADOR!$Q:$Q,PPTO_GENERADOR!$E:$E,"-",0),"-")</f>
        <v>1</v>
      </c>
    </row>
    <row r="772" spans="1:16" x14ac:dyDescent="0.35">
      <c r="A772" s="5" t="s">
        <v>1056</v>
      </c>
      <c r="B772" s="5" t="s">
        <v>1203</v>
      </c>
      <c r="C772" s="5" t="s">
        <v>1199</v>
      </c>
      <c r="D772" s="5" t="s">
        <v>282</v>
      </c>
      <c r="E772" s="7" t="str">
        <f>IFERROR(VLOOKUP(D772,MATERIALES!A:B,2,FALSE),"?")</f>
        <v>STECK DIFERENCIAL 2X25A 30MA</v>
      </c>
      <c r="F772" s="5" t="s">
        <v>284</v>
      </c>
      <c r="G772" s="11">
        <v>4</v>
      </c>
      <c r="H772" s="12">
        <v>0</v>
      </c>
      <c r="I772" s="7">
        <f>IFERROR(VLOOKUP(D772,MATERIALES!A:D,4,FALSE),0)</f>
        <v>26757.217000000001</v>
      </c>
      <c r="J772" s="8">
        <f t="shared" si="48"/>
        <v>107028.868</v>
      </c>
      <c r="K772" s="7" t="str">
        <f t="shared" si="49"/>
        <v>PTO-1814|MAT</v>
      </c>
      <c r="L772" s="7">
        <f>COUNTIFS($K$2:K772,K772)</f>
        <v>3</v>
      </c>
      <c r="M772" s="7" t="str">
        <f t="shared" si="50"/>
        <v>PTO-1814|MAT|3</v>
      </c>
      <c r="N772" s="7">
        <f>IFERROR(VLOOKUP(A772,PARTIDAS!A:F,6,FALSE),0)</f>
        <v>1</v>
      </c>
      <c r="O772" s="7">
        <f t="shared" si="51"/>
        <v>0</v>
      </c>
      <c r="P772" s="7">
        <f>IFERROR(_xlfn.XLOOKUP(A772,PPTO_GENERADOR!$Q:$Q,PPTO_GENERADOR!$E:$E,"-",0),"-")</f>
        <v>1</v>
      </c>
    </row>
    <row r="773" spans="1:16" x14ac:dyDescent="0.35">
      <c r="A773" s="5" t="s">
        <v>1056</v>
      </c>
      <c r="B773" s="5" t="s">
        <v>1203</v>
      </c>
      <c r="C773" s="5" t="s">
        <v>1199</v>
      </c>
      <c r="D773" s="5" t="s">
        <v>327</v>
      </c>
      <c r="E773" s="7" t="str">
        <f>IFERROR(VLOOKUP(D773,MATERIALES!A:B,2,FALSE),"?")</f>
        <v>CAJA EMB P/ TM 24 POLOS BC T/FUME</v>
      </c>
      <c r="F773" s="5" t="s">
        <v>284</v>
      </c>
      <c r="G773" s="11">
        <v>1</v>
      </c>
      <c r="H773" s="12">
        <v>0</v>
      </c>
      <c r="I773" s="7">
        <f>IFERROR(VLOOKUP(D773,MATERIALES!A:D,4,FALSE),0)</f>
        <v>24268.1698</v>
      </c>
      <c r="J773" s="8">
        <f t="shared" si="48"/>
        <v>24268.1698</v>
      </c>
      <c r="K773" s="7" t="str">
        <f t="shared" si="49"/>
        <v>PTO-1814|MAT</v>
      </c>
      <c r="L773" s="7">
        <f>COUNTIFS($K$2:K773,K773)</f>
        <v>4</v>
      </c>
      <c r="M773" s="7" t="str">
        <f t="shared" si="50"/>
        <v>PTO-1814|MAT|4</v>
      </c>
      <c r="N773" s="7">
        <f>IFERROR(VLOOKUP(A773,PARTIDAS!A:F,6,FALSE),0)</f>
        <v>1</v>
      </c>
      <c r="O773" s="7">
        <f t="shared" si="51"/>
        <v>0</v>
      </c>
      <c r="P773" s="7">
        <f>IFERROR(_xlfn.XLOOKUP(A773,PPTO_GENERADOR!$Q:$Q,PPTO_GENERADOR!$E:$E,"-",0),"-")</f>
        <v>1</v>
      </c>
    </row>
    <row r="774" spans="1:16" x14ac:dyDescent="0.35">
      <c r="A774" s="5" t="s">
        <v>1056</v>
      </c>
      <c r="B774" s="5" t="s">
        <v>1198</v>
      </c>
      <c r="C774" s="5" t="s">
        <v>1199</v>
      </c>
      <c r="D774" s="5" t="s">
        <v>721</v>
      </c>
      <c r="E774" s="7" t="str">
        <f>IFERROR(VLOOKUP(D774,SUBCONTRATOS_PRY!A:B,2,FALSE),"?")</f>
        <v>Tablero seccional de 8 a 36 polos</v>
      </c>
      <c r="F774" s="5" t="s">
        <v>1200</v>
      </c>
      <c r="G774" s="11">
        <v>1</v>
      </c>
      <c r="H774" s="12">
        <v>0</v>
      </c>
      <c r="I774" s="7">
        <f>IFERROR(VLOOKUP(D774,SUBCONTRATOS_PRY!A:D,4,FALSE),0)</f>
        <v>219841.65</v>
      </c>
      <c r="J774" s="8">
        <f t="shared" si="48"/>
        <v>219841.65</v>
      </c>
      <c r="K774" s="7" t="str">
        <f t="shared" si="49"/>
        <v>PTO-1814|MO</v>
      </c>
      <c r="L774" s="7">
        <f>COUNTIFS($K$2:K774,K774)</f>
        <v>1</v>
      </c>
      <c r="M774" s="7" t="str">
        <f t="shared" si="50"/>
        <v>PTO-1814|MO|1</v>
      </c>
      <c r="N774" s="7">
        <f>IFERROR(VLOOKUP(A774,PARTIDAS!A:F,6,FALSE),0)</f>
        <v>1</v>
      </c>
      <c r="O774" s="7">
        <f t="shared" si="51"/>
        <v>0</v>
      </c>
      <c r="P774" s="7">
        <f>IFERROR(_xlfn.XLOOKUP(A774,PPTO_GENERADOR!$Q:$Q,PPTO_GENERADOR!$E:$E,"-",0),"-")</f>
        <v>1</v>
      </c>
    </row>
    <row r="775" spans="1:16" x14ac:dyDescent="0.35">
      <c r="A775" s="5" t="s">
        <v>1056</v>
      </c>
      <c r="B775" s="5" t="s">
        <v>1202</v>
      </c>
      <c r="C775" s="5"/>
      <c r="D775" s="5" t="s">
        <v>577</v>
      </c>
      <c r="E775" s="7" t="str">
        <f>IFERROR(VLOOKUP(D775,EQUIPOS!A:B,2,FALSE),"?")</f>
        <v>Herramientas/consumibles - Tablero TS Local</v>
      </c>
      <c r="F775" s="5"/>
      <c r="G775" s="11">
        <v>1</v>
      </c>
      <c r="H775" s="12">
        <v>0</v>
      </c>
      <c r="I775" s="7">
        <f>IFERROR(VLOOKUP(D775,EQUIPOS!A:C,3,FALSE),0)</f>
        <v>5971.8202000000001</v>
      </c>
      <c r="J775" s="8">
        <f t="shared" si="48"/>
        <v>5971.8202000000001</v>
      </c>
      <c r="K775" s="7" t="str">
        <f t="shared" si="49"/>
        <v>PTO-1814|EQ</v>
      </c>
      <c r="L775" s="7">
        <f>COUNTIFS($K$2:K775,K775)</f>
        <v>1</v>
      </c>
      <c r="M775" s="7" t="str">
        <f t="shared" si="50"/>
        <v>PTO-1814|EQ|1</v>
      </c>
      <c r="N775" s="7">
        <f>IFERROR(VLOOKUP(A775,PARTIDAS!A:F,6,FALSE),0)</f>
        <v>1</v>
      </c>
      <c r="O775" s="7">
        <f t="shared" si="51"/>
        <v>0</v>
      </c>
      <c r="P775" s="7">
        <f>IFERROR(_xlfn.XLOOKUP(A775,PPTO_GENERADOR!$Q:$Q,PPTO_GENERADOR!$E:$E,"-",0),"-")</f>
        <v>1</v>
      </c>
    </row>
    <row r="776" spans="1:16" x14ac:dyDescent="0.35">
      <c r="A776" s="5" t="s">
        <v>1056</v>
      </c>
      <c r="B776" s="5" t="s">
        <v>1203</v>
      </c>
      <c r="C776" s="5" t="s">
        <v>1204</v>
      </c>
      <c r="D776" s="5" t="s">
        <v>468</v>
      </c>
      <c r="E776" s="7" t="str">
        <f>IFERROR(VLOOKUP(D776,MATERIALES!A:B,2,FALSE),"?")</f>
        <v>Consumibles</v>
      </c>
      <c r="F776" s="5"/>
      <c r="G776" s="11">
        <v>16485.463299999999</v>
      </c>
      <c r="H776" s="12">
        <v>0</v>
      </c>
      <c r="I776" s="7">
        <f>IFERROR(VLOOKUP(D776,MATERIALES!A:D,4,FALSE),0)</f>
        <v>1</v>
      </c>
      <c r="J776" s="8">
        <f t="shared" si="48"/>
        <v>16485.463299999999</v>
      </c>
      <c r="K776" s="7" t="str">
        <f t="shared" si="49"/>
        <v>PTO-1814|MAT</v>
      </c>
      <c r="L776" s="7">
        <f>COUNTIFS($K$2:K776,K776)</f>
        <v>5</v>
      </c>
      <c r="M776" s="7" t="str">
        <f t="shared" si="50"/>
        <v>PTO-1814|MAT|5</v>
      </c>
      <c r="N776" s="7">
        <f>IFERROR(VLOOKUP(A776,PARTIDAS!A:F,6,FALSE),0)</f>
        <v>1</v>
      </c>
      <c r="O776" s="7">
        <f t="shared" si="51"/>
        <v>0</v>
      </c>
      <c r="P776" s="7">
        <f>IFERROR(_xlfn.XLOOKUP(A776,PPTO_GENERADOR!$Q:$Q,PPTO_GENERADOR!$E:$E,"-",0),"-")</f>
        <v>1</v>
      </c>
    </row>
    <row r="777" spans="1:16" x14ac:dyDescent="0.35">
      <c r="A777" s="5" t="s">
        <v>1058</v>
      </c>
      <c r="B777" s="5" t="s">
        <v>1203</v>
      </c>
      <c r="C777" s="5" t="s">
        <v>1199</v>
      </c>
      <c r="D777" s="5" t="s">
        <v>289</v>
      </c>
      <c r="E777" s="7" t="str">
        <f>IFERROR(VLOOKUP(D777,MATERIALES!A:B,2,FALSE),"?")</f>
        <v>STECK TM BIPOLAR 10A 6KA</v>
      </c>
      <c r="F777" s="5" t="s">
        <v>284</v>
      </c>
      <c r="G777" s="11">
        <v>1</v>
      </c>
      <c r="H777" s="12">
        <v>0</v>
      </c>
      <c r="I777" s="7">
        <f>IFERROR(VLOOKUP(D777,MATERIALES!A:D,4,FALSE),0)</f>
        <v>7624.2992000000004</v>
      </c>
      <c r="J777" s="8">
        <f t="shared" si="48"/>
        <v>7624.2992000000004</v>
      </c>
      <c r="K777" s="7" t="str">
        <f t="shared" si="49"/>
        <v>PTO-1815|MAT</v>
      </c>
      <c r="L777" s="7">
        <f>COUNTIFS($K$2:K777,K777)</f>
        <v>1</v>
      </c>
      <c r="M777" s="7" t="str">
        <f t="shared" si="50"/>
        <v>PTO-1815|MAT|1</v>
      </c>
      <c r="N777" s="7">
        <f>IFERROR(VLOOKUP(A777,PARTIDAS!A:F,6,FALSE),0)</f>
        <v>1</v>
      </c>
      <c r="O777" s="7">
        <f t="shared" si="51"/>
        <v>0</v>
      </c>
      <c r="P777" s="7">
        <f>IFERROR(_xlfn.XLOOKUP(A777,PPTO_GENERADOR!$Q:$Q,PPTO_GENERADOR!$E:$E,"-",0),"-")</f>
        <v>7</v>
      </c>
    </row>
    <row r="778" spans="1:16" x14ac:dyDescent="0.35">
      <c r="A778" s="5" t="s">
        <v>1058</v>
      </c>
      <c r="B778" s="5" t="s">
        <v>1203</v>
      </c>
      <c r="C778" s="5" t="s">
        <v>1199</v>
      </c>
      <c r="D778" s="5" t="s">
        <v>291</v>
      </c>
      <c r="E778" s="7" t="str">
        <f>IFERROR(VLOOKUP(D778,MATERIALES!A:B,2,FALSE),"?")</f>
        <v>STECK TM BIPOLAR 16A 6KA</v>
      </c>
      <c r="F778" s="5" t="s">
        <v>284</v>
      </c>
      <c r="G778" s="11">
        <v>3</v>
      </c>
      <c r="H778" s="12">
        <v>0</v>
      </c>
      <c r="I778" s="7">
        <f>IFERROR(VLOOKUP(D778,MATERIALES!A:D,4,FALSE),0)</f>
        <v>7624.2992000000004</v>
      </c>
      <c r="J778" s="8">
        <f t="shared" si="48"/>
        <v>22872.8976</v>
      </c>
      <c r="K778" s="7" t="str">
        <f t="shared" si="49"/>
        <v>PTO-1815|MAT</v>
      </c>
      <c r="L778" s="7">
        <f>COUNTIFS($K$2:K778,K778)</f>
        <v>2</v>
      </c>
      <c r="M778" s="7" t="str">
        <f t="shared" si="50"/>
        <v>PTO-1815|MAT|2</v>
      </c>
      <c r="N778" s="7">
        <f>IFERROR(VLOOKUP(A778,PARTIDAS!A:F,6,FALSE),0)</f>
        <v>1</v>
      </c>
      <c r="O778" s="7">
        <f t="shared" si="51"/>
        <v>0</v>
      </c>
      <c r="P778" s="7">
        <f>IFERROR(_xlfn.XLOOKUP(A778,PPTO_GENERADOR!$Q:$Q,PPTO_GENERADOR!$E:$E,"-",0),"-")</f>
        <v>7</v>
      </c>
    </row>
    <row r="779" spans="1:16" x14ac:dyDescent="0.35">
      <c r="A779" s="5" t="s">
        <v>1058</v>
      </c>
      <c r="B779" s="5" t="s">
        <v>1203</v>
      </c>
      <c r="C779" s="5" t="s">
        <v>1199</v>
      </c>
      <c r="D779" s="5" t="s">
        <v>282</v>
      </c>
      <c r="E779" s="7" t="str">
        <f>IFERROR(VLOOKUP(D779,MATERIALES!A:B,2,FALSE),"?")</f>
        <v>STECK DIFERENCIAL 2X25A 30MA</v>
      </c>
      <c r="F779" s="5" t="s">
        <v>284</v>
      </c>
      <c r="G779" s="11">
        <v>4</v>
      </c>
      <c r="H779" s="12">
        <v>0</v>
      </c>
      <c r="I779" s="7">
        <f>IFERROR(VLOOKUP(D779,MATERIALES!A:D,4,FALSE),0)</f>
        <v>26757.217000000001</v>
      </c>
      <c r="J779" s="8">
        <f t="shared" si="48"/>
        <v>107028.868</v>
      </c>
      <c r="K779" s="7" t="str">
        <f t="shared" si="49"/>
        <v>PTO-1815|MAT</v>
      </c>
      <c r="L779" s="7">
        <f>COUNTIFS($K$2:K779,K779)</f>
        <v>3</v>
      </c>
      <c r="M779" s="7" t="str">
        <f t="shared" si="50"/>
        <v>PTO-1815|MAT|3</v>
      </c>
      <c r="N779" s="7">
        <f>IFERROR(VLOOKUP(A779,PARTIDAS!A:F,6,FALSE),0)</f>
        <v>1</v>
      </c>
      <c r="O779" s="7">
        <f t="shared" si="51"/>
        <v>0</v>
      </c>
      <c r="P779" s="7">
        <f>IFERROR(_xlfn.XLOOKUP(A779,PPTO_GENERADOR!$Q:$Q,PPTO_GENERADOR!$E:$E,"-",0),"-")</f>
        <v>7</v>
      </c>
    </row>
    <row r="780" spans="1:16" x14ac:dyDescent="0.35">
      <c r="A780" s="5" t="s">
        <v>1058</v>
      </c>
      <c r="B780" s="5" t="s">
        <v>1203</v>
      </c>
      <c r="C780" s="5" t="s">
        <v>1199</v>
      </c>
      <c r="D780" s="5" t="s">
        <v>327</v>
      </c>
      <c r="E780" s="7" t="str">
        <f>IFERROR(VLOOKUP(D780,MATERIALES!A:B,2,FALSE),"?")</f>
        <v>CAJA EMB P/ TM 24 POLOS BC T/FUME</v>
      </c>
      <c r="F780" s="5" t="s">
        <v>284</v>
      </c>
      <c r="G780" s="11">
        <v>1</v>
      </c>
      <c r="H780" s="12">
        <v>0</v>
      </c>
      <c r="I780" s="7">
        <f>IFERROR(VLOOKUP(D780,MATERIALES!A:D,4,FALSE),0)</f>
        <v>24268.1698</v>
      </c>
      <c r="J780" s="8">
        <f t="shared" si="48"/>
        <v>24268.1698</v>
      </c>
      <c r="K780" s="7" t="str">
        <f t="shared" si="49"/>
        <v>PTO-1815|MAT</v>
      </c>
      <c r="L780" s="7">
        <f>COUNTIFS($K$2:K780,K780)</f>
        <v>4</v>
      </c>
      <c r="M780" s="7" t="str">
        <f t="shared" si="50"/>
        <v>PTO-1815|MAT|4</v>
      </c>
      <c r="N780" s="7">
        <f>IFERROR(VLOOKUP(A780,PARTIDAS!A:F,6,FALSE),0)</f>
        <v>1</v>
      </c>
      <c r="O780" s="7">
        <f t="shared" si="51"/>
        <v>0</v>
      </c>
      <c r="P780" s="7">
        <f>IFERROR(_xlfn.XLOOKUP(A780,PPTO_GENERADOR!$Q:$Q,PPTO_GENERADOR!$E:$E,"-",0),"-")</f>
        <v>7</v>
      </c>
    </row>
    <row r="781" spans="1:16" x14ac:dyDescent="0.35">
      <c r="A781" s="5" t="s">
        <v>1058</v>
      </c>
      <c r="B781" s="5" t="s">
        <v>1198</v>
      </c>
      <c r="C781" s="5" t="s">
        <v>1199</v>
      </c>
      <c r="D781" s="5" t="s">
        <v>721</v>
      </c>
      <c r="E781" s="7" t="str">
        <f>IFERROR(VLOOKUP(D781,SUBCONTRATOS_PRY!A:B,2,FALSE),"?")</f>
        <v>Tablero seccional de 8 a 36 polos</v>
      </c>
      <c r="F781" s="5" t="s">
        <v>1200</v>
      </c>
      <c r="G781" s="11">
        <v>1</v>
      </c>
      <c r="H781" s="12">
        <v>0</v>
      </c>
      <c r="I781" s="7">
        <f>IFERROR(VLOOKUP(D781,SUBCONTRATOS_PRY!A:D,4,FALSE),0)</f>
        <v>219841.65</v>
      </c>
      <c r="J781" s="8">
        <f t="shared" si="48"/>
        <v>219841.65</v>
      </c>
      <c r="K781" s="7" t="str">
        <f t="shared" si="49"/>
        <v>PTO-1815|MO</v>
      </c>
      <c r="L781" s="7">
        <f>COUNTIFS($K$2:K781,K781)</f>
        <v>1</v>
      </c>
      <c r="M781" s="7" t="str">
        <f t="shared" si="50"/>
        <v>PTO-1815|MO|1</v>
      </c>
      <c r="N781" s="7">
        <f>IFERROR(VLOOKUP(A781,PARTIDAS!A:F,6,FALSE),0)</f>
        <v>1</v>
      </c>
      <c r="O781" s="7">
        <f t="shared" si="51"/>
        <v>0</v>
      </c>
      <c r="P781" s="7">
        <f>IFERROR(_xlfn.XLOOKUP(A781,PPTO_GENERADOR!$Q:$Q,PPTO_GENERADOR!$E:$E,"-",0),"-")</f>
        <v>7</v>
      </c>
    </row>
    <row r="782" spans="1:16" x14ac:dyDescent="0.35">
      <c r="A782" s="5" t="s">
        <v>1058</v>
      </c>
      <c r="B782" s="5" t="s">
        <v>1202</v>
      </c>
      <c r="C782" s="5"/>
      <c r="D782" s="5" t="s">
        <v>579</v>
      </c>
      <c r="E782" s="7" t="str">
        <f>IFERROR(VLOOKUP(D782,EQUIPOS!A:B,2,FALSE),"?")</f>
        <v>Herramientas/consumibles - Tablero de UF (monoambiente)</v>
      </c>
      <c r="F782" s="5"/>
      <c r="G782" s="11">
        <v>1</v>
      </c>
      <c r="H782" s="12">
        <v>0</v>
      </c>
      <c r="I782" s="7">
        <f>IFERROR(VLOOKUP(D782,EQUIPOS!A:C,3,FALSE),0)</f>
        <v>5971.8202000000001</v>
      </c>
      <c r="J782" s="8">
        <f t="shared" si="48"/>
        <v>5971.8202000000001</v>
      </c>
      <c r="K782" s="7" t="str">
        <f t="shared" si="49"/>
        <v>PTO-1815|EQ</v>
      </c>
      <c r="L782" s="7">
        <f>COUNTIFS($K$2:K782,K782)</f>
        <v>1</v>
      </c>
      <c r="M782" s="7" t="str">
        <f t="shared" si="50"/>
        <v>PTO-1815|EQ|1</v>
      </c>
      <c r="N782" s="7">
        <f>IFERROR(VLOOKUP(A782,PARTIDAS!A:F,6,FALSE),0)</f>
        <v>1</v>
      </c>
      <c r="O782" s="7">
        <f t="shared" si="51"/>
        <v>0</v>
      </c>
      <c r="P782" s="7">
        <f>IFERROR(_xlfn.XLOOKUP(A782,PPTO_GENERADOR!$Q:$Q,PPTO_GENERADOR!$E:$E,"-",0),"-")</f>
        <v>7</v>
      </c>
    </row>
    <row r="783" spans="1:16" x14ac:dyDescent="0.35">
      <c r="A783" s="5" t="s">
        <v>1058</v>
      </c>
      <c r="B783" s="5" t="s">
        <v>1203</v>
      </c>
      <c r="C783" s="5" t="s">
        <v>1204</v>
      </c>
      <c r="D783" s="5" t="s">
        <v>468</v>
      </c>
      <c r="E783" s="7" t="str">
        <f>IFERROR(VLOOKUP(D783,MATERIALES!A:B,2,FALSE),"?")</f>
        <v>Consumibles</v>
      </c>
      <c r="F783" s="5"/>
      <c r="G783" s="11">
        <v>16485.463299999999</v>
      </c>
      <c r="H783" s="12">
        <v>0</v>
      </c>
      <c r="I783" s="7">
        <f>IFERROR(VLOOKUP(D783,MATERIALES!A:D,4,FALSE),0)</f>
        <v>1</v>
      </c>
      <c r="J783" s="8">
        <f t="shared" si="48"/>
        <v>16485.463299999999</v>
      </c>
      <c r="K783" s="7" t="str">
        <f t="shared" si="49"/>
        <v>PTO-1815|MAT</v>
      </c>
      <c r="L783" s="7">
        <f>COUNTIFS($K$2:K783,K783)</f>
        <v>5</v>
      </c>
      <c r="M783" s="7" t="str">
        <f t="shared" si="50"/>
        <v>PTO-1815|MAT|5</v>
      </c>
      <c r="N783" s="7">
        <f>IFERROR(VLOOKUP(A783,PARTIDAS!A:F,6,FALSE),0)</f>
        <v>1</v>
      </c>
      <c r="O783" s="7">
        <f t="shared" si="51"/>
        <v>0</v>
      </c>
      <c r="P783" s="7">
        <f>IFERROR(_xlfn.XLOOKUP(A783,PPTO_GENERADOR!$Q:$Q,PPTO_GENERADOR!$E:$E,"-",0),"-")</f>
        <v>7</v>
      </c>
    </row>
    <row r="784" spans="1:16" x14ac:dyDescent="0.35">
      <c r="A784" s="5" t="s">
        <v>1060</v>
      </c>
      <c r="B784" s="5" t="s">
        <v>1203</v>
      </c>
      <c r="C784" s="5" t="s">
        <v>1199</v>
      </c>
      <c r="D784" s="5" t="s">
        <v>285</v>
      </c>
      <c r="E784" s="7" t="str">
        <f>IFERROR(VLOOKUP(D784,MATERIALES!A:B,2,FALSE),"?")</f>
        <v>STECK DIFERENCIAL 4X40A 30MA</v>
      </c>
      <c r="F784" s="5" t="s">
        <v>284</v>
      </c>
      <c r="G784" s="11">
        <v>1</v>
      </c>
      <c r="H784" s="12">
        <v>0</v>
      </c>
      <c r="I784" s="7">
        <f>IFERROR(VLOOKUP(D784,MATERIALES!A:D,4,FALSE),0)</f>
        <v>51788.8295</v>
      </c>
      <c r="J784" s="8">
        <f t="shared" si="48"/>
        <v>51788.8295</v>
      </c>
      <c r="K784" s="7" t="str">
        <f t="shared" si="49"/>
        <v>PTO-1816|MAT</v>
      </c>
      <c r="L784" s="7">
        <f>COUNTIFS($K$2:K784,K784)</f>
        <v>1</v>
      </c>
      <c r="M784" s="7" t="str">
        <f t="shared" si="50"/>
        <v>PTO-1816|MAT|1</v>
      </c>
      <c r="N784" s="7">
        <f>IFERROR(VLOOKUP(A784,PARTIDAS!A:F,6,FALSE),0)</f>
        <v>1</v>
      </c>
      <c r="O784" s="7">
        <f t="shared" si="51"/>
        <v>0</v>
      </c>
      <c r="P784" s="7">
        <f>IFERROR(_xlfn.XLOOKUP(A784,PPTO_GENERADOR!$Q:$Q,PPTO_GENERADOR!$E:$E,"-",0),"-")</f>
        <v>9</v>
      </c>
    </row>
    <row r="785" spans="1:16" x14ac:dyDescent="0.35">
      <c r="A785" s="5" t="s">
        <v>1060</v>
      </c>
      <c r="B785" s="5" t="s">
        <v>1203</v>
      </c>
      <c r="C785" s="5" t="s">
        <v>1199</v>
      </c>
      <c r="D785" s="5" t="s">
        <v>329</v>
      </c>
      <c r="E785" s="7" t="str">
        <f>IFERROR(VLOOKUP(D785,MATERIALES!A:B,2,FALSE),"?")</f>
        <v>STECK DIFERENCIAL 4X25A 30MA</v>
      </c>
      <c r="F785" s="5" t="s">
        <v>284</v>
      </c>
      <c r="G785" s="11">
        <v>1</v>
      </c>
      <c r="H785" s="12">
        <v>0</v>
      </c>
      <c r="I785" s="7">
        <f>IFERROR(VLOOKUP(D785,MATERIALES!A:D,4,FALSE),0)</f>
        <v>49487.109900000003</v>
      </c>
      <c r="J785" s="8">
        <f t="shared" si="48"/>
        <v>49487.109900000003</v>
      </c>
      <c r="K785" s="7" t="str">
        <f t="shared" si="49"/>
        <v>PTO-1816|MAT</v>
      </c>
      <c r="L785" s="7">
        <f>COUNTIFS($K$2:K785,K785)</f>
        <v>2</v>
      </c>
      <c r="M785" s="7" t="str">
        <f t="shared" si="50"/>
        <v>PTO-1816|MAT|2</v>
      </c>
      <c r="N785" s="7">
        <f>IFERROR(VLOOKUP(A785,PARTIDAS!A:F,6,FALSE),0)</f>
        <v>1</v>
      </c>
      <c r="O785" s="7">
        <f t="shared" si="51"/>
        <v>0</v>
      </c>
      <c r="P785" s="7">
        <f>IFERROR(_xlfn.XLOOKUP(A785,PPTO_GENERADOR!$Q:$Q,PPTO_GENERADOR!$E:$E,"-",0),"-")</f>
        <v>9</v>
      </c>
    </row>
    <row r="786" spans="1:16" x14ac:dyDescent="0.35">
      <c r="A786" s="5" t="s">
        <v>1060</v>
      </c>
      <c r="B786" s="5" t="s">
        <v>1203</v>
      </c>
      <c r="C786" s="5" t="s">
        <v>1199</v>
      </c>
      <c r="D786" s="5" t="s">
        <v>282</v>
      </c>
      <c r="E786" s="7" t="str">
        <f>IFERROR(VLOOKUP(D786,MATERIALES!A:B,2,FALSE),"?")</f>
        <v>STECK DIFERENCIAL 2X25A 30MA</v>
      </c>
      <c r="F786" s="5" t="s">
        <v>284</v>
      </c>
      <c r="G786" s="11">
        <v>2</v>
      </c>
      <c r="H786" s="12">
        <v>0</v>
      </c>
      <c r="I786" s="7">
        <f>IFERROR(VLOOKUP(D786,MATERIALES!A:D,4,FALSE),0)</f>
        <v>26757.217000000001</v>
      </c>
      <c r="J786" s="8">
        <f t="shared" si="48"/>
        <v>53514.434000000001</v>
      </c>
      <c r="K786" s="7" t="str">
        <f t="shared" si="49"/>
        <v>PTO-1816|MAT</v>
      </c>
      <c r="L786" s="7">
        <f>COUNTIFS($K$2:K786,K786)</f>
        <v>3</v>
      </c>
      <c r="M786" s="7" t="str">
        <f t="shared" si="50"/>
        <v>PTO-1816|MAT|3</v>
      </c>
      <c r="N786" s="7">
        <f>IFERROR(VLOOKUP(A786,PARTIDAS!A:F,6,FALSE),0)</f>
        <v>1</v>
      </c>
      <c r="O786" s="7">
        <f t="shared" si="51"/>
        <v>0</v>
      </c>
      <c r="P786" s="7">
        <f>IFERROR(_xlfn.XLOOKUP(A786,PPTO_GENERADOR!$Q:$Q,PPTO_GENERADOR!$E:$E,"-",0),"-")</f>
        <v>9</v>
      </c>
    </row>
    <row r="787" spans="1:16" x14ac:dyDescent="0.35">
      <c r="A787" s="5" t="s">
        <v>1060</v>
      </c>
      <c r="B787" s="5" t="s">
        <v>1203</v>
      </c>
      <c r="C787" s="5" t="s">
        <v>1199</v>
      </c>
      <c r="D787" s="5" t="s">
        <v>331</v>
      </c>
      <c r="E787" s="7" t="str">
        <f>IFERROR(VLOOKUP(D787,MATERIALES!A:B,2,FALSE),"?")</f>
        <v>STECK TM TETRAPOLAR 16A 6KA</v>
      </c>
      <c r="F787" s="5" t="s">
        <v>284</v>
      </c>
      <c r="G787" s="11">
        <v>1</v>
      </c>
      <c r="H787" s="12">
        <v>0</v>
      </c>
      <c r="I787" s="7">
        <f>IFERROR(VLOOKUP(D787,MATERIALES!A:D,4,FALSE),0)</f>
        <v>16112.078299999999</v>
      </c>
      <c r="J787" s="8">
        <f t="shared" si="48"/>
        <v>16112.078299999999</v>
      </c>
      <c r="K787" s="7" t="str">
        <f t="shared" si="49"/>
        <v>PTO-1816|MAT</v>
      </c>
      <c r="L787" s="7">
        <f>COUNTIFS($K$2:K787,K787)</f>
        <v>4</v>
      </c>
      <c r="M787" s="7" t="str">
        <f t="shared" si="50"/>
        <v>PTO-1816|MAT|4</v>
      </c>
      <c r="N787" s="7">
        <f>IFERROR(VLOOKUP(A787,PARTIDAS!A:F,6,FALSE),0)</f>
        <v>1</v>
      </c>
      <c r="O787" s="7">
        <f t="shared" si="51"/>
        <v>0</v>
      </c>
      <c r="P787" s="7">
        <f>IFERROR(_xlfn.XLOOKUP(A787,PPTO_GENERADOR!$Q:$Q,PPTO_GENERADOR!$E:$E,"-",0),"-")</f>
        <v>9</v>
      </c>
    </row>
    <row r="788" spans="1:16" x14ac:dyDescent="0.35">
      <c r="A788" s="5" t="s">
        <v>1060</v>
      </c>
      <c r="B788" s="5" t="s">
        <v>1203</v>
      </c>
      <c r="C788" s="5" t="s">
        <v>1199</v>
      </c>
      <c r="D788" s="5" t="s">
        <v>291</v>
      </c>
      <c r="E788" s="7" t="str">
        <f>IFERROR(VLOOKUP(D788,MATERIALES!A:B,2,FALSE),"?")</f>
        <v>STECK TM BIPOLAR 16A 6KA</v>
      </c>
      <c r="F788" s="5" t="s">
        <v>284</v>
      </c>
      <c r="G788" s="11">
        <v>2</v>
      </c>
      <c r="H788" s="12">
        <v>0</v>
      </c>
      <c r="I788" s="7">
        <f>IFERROR(VLOOKUP(D788,MATERIALES!A:D,4,FALSE),0)</f>
        <v>7624.2992000000004</v>
      </c>
      <c r="J788" s="8">
        <f t="shared" si="48"/>
        <v>15248.598400000001</v>
      </c>
      <c r="K788" s="7" t="str">
        <f t="shared" si="49"/>
        <v>PTO-1816|MAT</v>
      </c>
      <c r="L788" s="7">
        <f>COUNTIFS($K$2:K788,K788)</f>
        <v>5</v>
      </c>
      <c r="M788" s="7" t="str">
        <f t="shared" si="50"/>
        <v>PTO-1816|MAT|5</v>
      </c>
      <c r="N788" s="7">
        <f>IFERROR(VLOOKUP(A788,PARTIDAS!A:F,6,FALSE),0)</f>
        <v>1</v>
      </c>
      <c r="O788" s="7">
        <f t="shared" si="51"/>
        <v>0</v>
      </c>
      <c r="P788" s="7">
        <f>IFERROR(_xlfn.XLOOKUP(A788,PPTO_GENERADOR!$Q:$Q,PPTO_GENERADOR!$E:$E,"-",0),"-")</f>
        <v>9</v>
      </c>
    </row>
    <row r="789" spans="1:16" x14ac:dyDescent="0.35">
      <c r="A789" s="5" t="s">
        <v>1060</v>
      </c>
      <c r="B789" s="5" t="s">
        <v>1203</v>
      </c>
      <c r="C789" s="5" t="s">
        <v>1199</v>
      </c>
      <c r="D789" s="5" t="s">
        <v>289</v>
      </c>
      <c r="E789" s="7" t="str">
        <f>IFERROR(VLOOKUP(D789,MATERIALES!A:B,2,FALSE),"?")</f>
        <v>STECK TM BIPOLAR 10A 6KA</v>
      </c>
      <c r="F789" s="5" t="s">
        <v>284</v>
      </c>
      <c r="G789" s="11">
        <v>1</v>
      </c>
      <c r="H789" s="12">
        <v>0</v>
      </c>
      <c r="I789" s="7">
        <f>IFERROR(VLOOKUP(D789,MATERIALES!A:D,4,FALSE),0)</f>
        <v>7624.2992000000004</v>
      </c>
      <c r="J789" s="8">
        <f t="shared" si="48"/>
        <v>7624.2992000000004</v>
      </c>
      <c r="K789" s="7" t="str">
        <f t="shared" si="49"/>
        <v>PTO-1816|MAT</v>
      </c>
      <c r="L789" s="7">
        <f>COUNTIFS($K$2:K789,K789)</f>
        <v>6</v>
      </c>
      <c r="M789" s="7" t="str">
        <f t="shared" si="50"/>
        <v>PTO-1816|MAT|6</v>
      </c>
      <c r="N789" s="7">
        <f>IFERROR(VLOOKUP(A789,PARTIDAS!A:F,6,FALSE),0)</f>
        <v>1</v>
      </c>
      <c r="O789" s="7">
        <f t="shared" si="51"/>
        <v>0</v>
      </c>
      <c r="P789" s="7">
        <f>IFERROR(_xlfn.XLOOKUP(A789,PPTO_GENERADOR!$Q:$Q,PPTO_GENERADOR!$E:$E,"-",0),"-")</f>
        <v>9</v>
      </c>
    </row>
    <row r="790" spans="1:16" x14ac:dyDescent="0.35">
      <c r="A790" s="5" t="s">
        <v>1060</v>
      </c>
      <c r="B790" s="5" t="s">
        <v>1203</v>
      </c>
      <c r="C790" s="5" t="s">
        <v>1199</v>
      </c>
      <c r="D790" s="5" t="s">
        <v>333</v>
      </c>
      <c r="E790" s="7" t="str">
        <f>IFERROR(VLOOKUP(D790,MATERIALES!A:B,2,FALSE),"?")</f>
        <v>CAJA EMB P/ TM 36 POLOS BC T/FUME</v>
      </c>
      <c r="F790" s="5" t="s">
        <v>284</v>
      </c>
      <c r="G790" s="11">
        <v>1</v>
      </c>
      <c r="H790" s="12">
        <v>0</v>
      </c>
      <c r="I790" s="7">
        <f>IFERROR(VLOOKUP(D790,MATERIALES!A:D,4,FALSE),0)</f>
        <v>30335.3727</v>
      </c>
      <c r="J790" s="8">
        <f t="shared" si="48"/>
        <v>30335.3727</v>
      </c>
      <c r="K790" s="7" t="str">
        <f t="shared" si="49"/>
        <v>PTO-1816|MAT</v>
      </c>
      <c r="L790" s="7">
        <f>COUNTIFS($K$2:K790,K790)</f>
        <v>7</v>
      </c>
      <c r="M790" s="7" t="str">
        <f t="shared" si="50"/>
        <v>PTO-1816|MAT|7</v>
      </c>
      <c r="N790" s="7">
        <f>IFERROR(VLOOKUP(A790,PARTIDAS!A:F,6,FALSE),0)</f>
        <v>1</v>
      </c>
      <c r="O790" s="7">
        <f t="shared" si="51"/>
        <v>0</v>
      </c>
      <c r="P790" s="7">
        <f>IFERROR(_xlfn.XLOOKUP(A790,PPTO_GENERADOR!$Q:$Q,PPTO_GENERADOR!$E:$E,"-",0),"-")</f>
        <v>9</v>
      </c>
    </row>
    <row r="791" spans="1:16" x14ac:dyDescent="0.35">
      <c r="A791" s="5" t="s">
        <v>1060</v>
      </c>
      <c r="B791" s="5" t="s">
        <v>1198</v>
      </c>
      <c r="C791" s="5" t="s">
        <v>1199</v>
      </c>
      <c r="D791" s="5" t="s">
        <v>721</v>
      </c>
      <c r="E791" s="7" t="str">
        <f>IFERROR(VLOOKUP(D791,SUBCONTRATOS_PRY!A:B,2,FALSE),"?")</f>
        <v>Tablero seccional de 8 a 36 polos</v>
      </c>
      <c r="F791" s="5" t="s">
        <v>1200</v>
      </c>
      <c r="G791" s="11">
        <v>1</v>
      </c>
      <c r="H791" s="12">
        <v>0</v>
      </c>
      <c r="I791" s="7">
        <f>IFERROR(VLOOKUP(D791,SUBCONTRATOS_PRY!A:D,4,FALSE),0)</f>
        <v>219841.65</v>
      </c>
      <c r="J791" s="8">
        <f t="shared" si="48"/>
        <v>219841.65</v>
      </c>
      <c r="K791" s="7" t="str">
        <f t="shared" si="49"/>
        <v>PTO-1816|MO</v>
      </c>
      <c r="L791" s="7">
        <f>COUNTIFS($K$2:K791,K791)</f>
        <v>1</v>
      </c>
      <c r="M791" s="7" t="str">
        <f t="shared" si="50"/>
        <v>PTO-1816|MO|1</v>
      </c>
      <c r="N791" s="7">
        <f>IFERROR(VLOOKUP(A791,PARTIDAS!A:F,6,FALSE),0)</f>
        <v>1</v>
      </c>
      <c r="O791" s="7">
        <f t="shared" si="51"/>
        <v>0</v>
      </c>
      <c r="P791" s="7">
        <f>IFERROR(_xlfn.XLOOKUP(A791,PPTO_GENERADOR!$Q:$Q,PPTO_GENERADOR!$E:$E,"-",0),"-")</f>
        <v>9</v>
      </c>
    </row>
    <row r="792" spans="1:16" x14ac:dyDescent="0.35">
      <c r="A792" s="5" t="s">
        <v>1060</v>
      </c>
      <c r="B792" s="5" t="s">
        <v>1202</v>
      </c>
      <c r="C792" s="5"/>
      <c r="D792" s="5" t="s">
        <v>581</v>
      </c>
      <c r="E792" s="7" t="str">
        <f>IFERROR(VLOOKUP(D792,EQUIPOS!A:B,2,FALSE),"?")</f>
        <v>Herramientas/consumibles - Tablero de UF (2 y 3 ambientes)</v>
      </c>
      <c r="F792" s="5"/>
      <c r="G792" s="11">
        <v>1</v>
      </c>
      <c r="H792" s="12">
        <v>0</v>
      </c>
      <c r="I792" s="7">
        <f>IFERROR(VLOOKUP(D792,EQUIPOS!A:C,3,FALSE),0)</f>
        <v>7001.8104000000003</v>
      </c>
      <c r="J792" s="8">
        <f t="shared" si="48"/>
        <v>7001.8104000000003</v>
      </c>
      <c r="K792" s="7" t="str">
        <f t="shared" si="49"/>
        <v>PTO-1816|EQ</v>
      </c>
      <c r="L792" s="7">
        <f>COUNTIFS($K$2:K792,K792)</f>
        <v>1</v>
      </c>
      <c r="M792" s="7" t="str">
        <f t="shared" si="50"/>
        <v>PTO-1816|EQ|1</v>
      </c>
      <c r="N792" s="7">
        <f>IFERROR(VLOOKUP(A792,PARTIDAS!A:F,6,FALSE),0)</f>
        <v>1</v>
      </c>
      <c r="O792" s="7">
        <f t="shared" si="51"/>
        <v>0</v>
      </c>
      <c r="P792" s="7">
        <f>IFERROR(_xlfn.XLOOKUP(A792,PPTO_GENERADOR!$Q:$Q,PPTO_GENERADOR!$E:$E,"-",0),"-")</f>
        <v>9</v>
      </c>
    </row>
    <row r="793" spans="1:16" x14ac:dyDescent="0.35">
      <c r="A793" s="5" t="s">
        <v>1060</v>
      </c>
      <c r="B793" s="5" t="s">
        <v>1203</v>
      </c>
      <c r="C793" s="5" t="s">
        <v>1204</v>
      </c>
      <c r="D793" s="5" t="s">
        <v>468</v>
      </c>
      <c r="E793" s="7" t="str">
        <f>IFERROR(VLOOKUP(D793,MATERIALES!A:B,2,FALSE),"?")</f>
        <v>Consumibles</v>
      </c>
      <c r="F793" s="5"/>
      <c r="G793" s="11">
        <v>22834.986000000001</v>
      </c>
      <c r="H793" s="12">
        <v>0</v>
      </c>
      <c r="I793" s="7">
        <f>IFERROR(VLOOKUP(D793,MATERIALES!A:D,4,FALSE),0)</f>
        <v>1</v>
      </c>
      <c r="J793" s="8">
        <f t="shared" si="48"/>
        <v>22834.986000000001</v>
      </c>
      <c r="K793" s="7" t="str">
        <f t="shared" si="49"/>
        <v>PTO-1816|MAT</v>
      </c>
      <c r="L793" s="7">
        <f>COUNTIFS($K$2:K793,K793)</f>
        <v>8</v>
      </c>
      <c r="M793" s="7" t="str">
        <f t="shared" si="50"/>
        <v>PTO-1816|MAT|8</v>
      </c>
      <c r="N793" s="7">
        <f>IFERROR(VLOOKUP(A793,PARTIDAS!A:F,6,FALSE),0)</f>
        <v>1</v>
      </c>
      <c r="O793" s="7">
        <f t="shared" si="51"/>
        <v>0</v>
      </c>
      <c r="P793" s="7">
        <f>IFERROR(_xlfn.XLOOKUP(A793,PPTO_GENERADOR!$Q:$Q,PPTO_GENERADOR!$E:$E,"-",0),"-")</f>
        <v>9</v>
      </c>
    </row>
    <row r="794" spans="1:16" x14ac:dyDescent="0.35">
      <c r="A794" s="5" t="s">
        <v>1061</v>
      </c>
      <c r="B794" s="5" t="s">
        <v>1203</v>
      </c>
      <c r="C794" s="5" t="s">
        <v>1199</v>
      </c>
      <c r="D794" s="5" t="s">
        <v>335</v>
      </c>
      <c r="E794" s="7" t="str">
        <f>IFERROR(VLOOKUP(D794,MATERIALES!A:B,2,FALSE),"?")</f>
        <v>Montante eléctrica</v>
      </c>
      <c r="F794" s="5"/>
      <c r="G794" s="11">
        <v>1</v>
      </c>
      <c r="H794" s="12">
        <v>0</v>
      </c>
      <c r="I794" s="7">
        <f>IFERROR(VLOOKUP(D794,MATERIALES!A:D,4,FALSE),0)</f>
        <v>5500000</v>
      </c>
      <c r="J794" s="8">
        <f t="shared" si="48"/>
        <v>5500000</v>
      </c>
      <c r="K794" s="7" t="str">
        <f t="shared" si="49"/>
        <v>PTO-1817|MAT</v>
      </c>
      <c r="L794" s="7">
        <f>COUNTIFS($K$2:K794,K794)</f>
        <v>1</v>
      </c>
      <c r="M794" s="7" t="str">
        <f t="shared" si="50"/>
        <v>PTO-1817|MAT|1</v>
      </c>
      <c r="N794" s="7">
        <f>IFERROR(VLOOKUP(A794,PARTIDAS!A:F,6,FALSE),0)</f>
        <v>1</v>
      </c>
      <c r="O794" s="7">
        <f t="shared" si="51"/>
        <v>0</v>
      </c>
      <c r="P794" s="7">
        <f>IFERROR(_xlfn.XLOOKUP(A794,PPTO_GENERADOR!$Q:$Q,PPTO_GENERADOR!$E:$E,"-",0),"-")</f>
        <v>1</v>
      </c>
    </row>
    <row r="795" spans="1:16" x14ac:dyDescent="0.35">
      <c r="A795" s="5" t="s">
        <v>1061</v>
      </c>
      <c r="B795" s="5" t="s">
        <v>1198</v>
      </c>
      <c r="C795" s="5" t="s">
        <v>1199</v>
      </c>
      <c r="D795" s="5" t="s">
        <v>723</v>
      </c>
      <c r="E795" s="7" t="str">
        <f>IFERROR(VLOOKUP(D795,SUBCONTRATOS_PRY!A:B,2,FALSE),"?")</f>
        <v>ESPECIALIZADO</v>
      </c>
      <c r="F795" s="5" t="s">
        <v>1200</v>
      </c>
      <c r="G795" s="11">
        <v>10</v>
      </c>
      <c r="H795" s="12">
        <v>0</v>
      </c>
      <c r="I795" s="7">
        <f>IFERROR(VLOOKUP(D795,SUBCONTRATOS_PRY!A:D,4,FALSE),0)</f>
        <v>75113.048200000005</v>
      </c>
      <c r="J795" s="8">
        <f t="shared" si="48"/>
        <v>751130.48200000008</v>
      </c>
      <c r="K795" s="7" t="str">
        <f t="shared" si="49"/>
        <v>PTO-1817|MO</v>
      </c>
      <c r="L795" s="7">
        <f>COUNTIFS($K$2:K795,K795)</f>
        <v>1</v>
      </c>
      <c r="M795" s="7" t="str">
        <f t="shared" si="50"/>
        <v>PTO-1817|MO|1</v>
      </c>
      <c r="N795" s="7">
        <f>IFERROR(VLOOKUP(A795,PARTIDAS!A:F,6,FALSE),0)</f>
        <v>1</v>
      </c>
      <c r="O795" s="7">
        <f t="shared" si="51"/>
        <v>0</v>
      </c>
      <c r="P795" s="7">
        <f>IFERROR(_xlfn.XLOOKUP(A795,PPTO_GENERADOR!$Q:$Q,PPTO_GENERADOR!$E:$E,"-",0),"-")</f>
        <v>1</v>
      </c>
    </row>
    <row r="796" spans="1:16" x14ac:dyDescent="0.35">
      <c r="A796" s="5" t="s">
        <v>1061</v>
      </c>
      <c r="B796" s="5" t="s">
        <v>1198</v>
      </c>
      <c r="C796" s="5" t="s">
        <v>1199</v>
      </c>
      <c r="D796" s="5" t="s">
        <v>724</v>
      </c>
      <c r="E796" s="7" t="str">
        <f>IFERROR(VLOOKUP(D796,SUBCONTRATOS_PRY!A:B,2,FALSE),"?")</f>
        <v>MEDIO OFICIAL</v>
      </c>
      <c r="F796" s="5" t="s">
        <v>1200</v>
      </c>
      <c r="G796" s="11">
        <v>10</v>
      </c>
      <c r="H796" s="12">
        <v>0</v>
      </c>
      <c r="I796" s="7">
        <f>IFERROR(VLOOKUP(D796,SUBCONTRATOS_PRY!A:D,4,FALSE),0)</f>
        <v>54784.071799999998</v>
      </c>
      <c r="J796" s="8">
        <f t="shared" si="48"/>
        <v>547840.71799999999</v>
      </c>
      <c r="K796" s="7" t="str">
        <f t="shared" si="49"/>
        <v>PTO-1817|MO</v>
      </c>
      <c r="L796" s="7">
        <f>COUNTIFS($K$2:K796,K796)</f>
        <v>2</v>
      </c>
      <c r="M796" s="7" t="str">
        <f t="shared" si="50"/>
        <v>PTO-1817|MO|2</v>
      </c>
      <c r="N796" s="7">
        <f>IFERROR(VLOOKUP(A796,PARTIDAS!A:F,6,FALSE),0)</f>
        <v>1</v>
      </c>
      <c r="O796" s="7">
        <f t="shared" si="51"/>
        <v>0</v>
      </c>
      <c r="P796" s="7">
        <f>IFERROR(_xlfn.XLOOKUP(A796,PPTO_GENERADOR!$Q:$Q,PPTO_GENERADOR!$E:$E,"-",0),"-")</f>
        <v>1</v>
      </c>
    </row>
    <row r="797" spans="1:16" x14ac:dyDescent="0.35">
      <c r="A797" s="5" t="s">
        <v>1061</v>
      </c>
      <c r="B797" s="5" t="s">
        <v>1198</v>
      </c>
      <c r="C797" s="5" t="s">
        <v>1201</v>
      </c>
      <c r="D797" s="5" t="s">
        <v>477</v>
      </c>
      <c r="E797" s="7" t="str">
        <f>IFERROR(VLOOKUP(D797,MANO_DE_OBRA!A:B,2,FALSE),"?")</f>
        <v>ESPECIALIZADO</v>
      </c>
      <c r="F797" s="5" t="s">
        <v>1200</v>
      </c>
      <c r="G797" s="11">
        <v>5</v>
      </c>
      <c r="H797" s="12">
        <v>0</v>
      </c>
      <c r="I797" s="7">
        <f>IFERROR(VLOOKUP(D797,MANO_DE_OBRA!A:C,3,FALSE),0)</f>
        <v>75113.05</v>
      </c>
      <c r="J797" s="8">
        <f t="shared" si="48"/>
        <v>375565.25</v>
      </c>
      <c r="K797" s="7" t="str">
        <f t="shared" si="49"/>
        <v>PTO-1817|MO</v>
      </c>
      <c r="L797" s="7">
        <f>COUNTIFS($K$2:K797,K797)</f>
        <v>3</v>
      </c>
      <c r="M797" s="7" t="str">
        <f t="shared" si="50"/>
        <v>PTO-1817|MO|3</v>
      </c>
      <c r="N797" s="7">
        <f>IFERROR(VLOOKUP(A797,PARTIDAS!A:F,6,FALSE),0)</f>
        <v>1</v>
      </c>
      <c r="O797" s="7">
        <f t="shared" si="51"/>
        <v>5</v>
      </c>
      <c r="P797" s="7">
        <f>IFERROR(_xlfn.XLOOKUP(A797,PPTO_GENERADOR!$Q:$Q,PPTO_GENERADOR!$E:$E,"-",0),"-")</f>
        <v>1</v>
      </c>
    </row>
    <row r="798" spans="1:16" x14ac:dyDescent="0.35">
      <c r="A798" s="5" t="s">
        <v>1061</v>
      </c>
      <c r="B798" s="5" t="s">
        <v>1198</v>
      </c>
      <c r="C798" s="5" t="s">
        <v>1201</v>
      </c>
      <c r="D798" s="5" t="s">
        <v>479</v>
      </c>
      <c r="E798" s="7" t="str">
        <f>IFERROR(VLOOKUP(D798,MANO_DE_OBRA!A:B,2,FALSE),"?")</f>
        <v>MEDIO OFICIAL</v>
      </c>
      <c r="F798" s="5" t="s">
        <v>1200</v>
      </c>
      <c r="G798" s="11">
        <v>5</v>
      </c>
      <c r="H798" s="12">
        <v>0</v>
      </c>
      <c r="I798" s="7">
        <f>IFERROR(VLOOKUP(D798,MANO_DE_OBRA!A:C,3,FALSE),0)</f>
        <v>54784.07</v>
      </c>
      <c r="J798" s="8">
        <f t="shared" si="48"/>
        <v>273920.34999999998</v>
      </c>
      <c r="K798" s="7" t="str">
        <f t="shared" si="49"/>
        <v>PTO-1817|MO</v>
      </c>
      <c r="L798" s="7">
        <f>COUNTIFS($K$2:K798,K798)</f>
        <v>4</v>
      </c>
      <c r="M798" s="7" t="str">
        <f t="shared" si="50"/>
        <v>PTO-1817|MO|4</v>
      </c>
      <c r="N798" s="7">
        <f>IFERROR(VLOOKUP(A798,PARTIDAS!A:F,6,FALSE),0)</f>
        <v>1</v>
      </c>
      <c r="O798" s="7">
        <f t="shared" si="51"/>
        <v>5</v>
      </c>
      <c r="P798" s="7">
        <f>IFERROR(_xlfn.XLOOKUP(A798,PPTO_GENERADOR!$Q:$Q,PPTO_GENERADOR!$E:$E,"-",0),"-")</f>
        <v>1</v>
      </c>
    </row>
    <row r="799" spans="1:16" x14ac:dyDescent="0.35">
      <c r="A799" s="5" t="s">
        <v>1061</v>
      </c>
      <c r="B799" s="5" t="s">
        <v>1202</v>
      </c>
      <c r="C799" s="5"/>
      <c r="D799" s="5" t="s">
        <v>583</v>
      </c>
      <c r="E799" s="7" t="str">
        <f>IFERROR(VLOOKUP(D799,EQUIPOS!A:B,2,FALSE),"?")</f>
        <v>Herramientas/consumibles - Montante eléctrica</v>
      </c>
      <c r="F799" s="5"/>
      <c r="G799" s="11">
        <v>1</v>
      </c>
      <c r="H799" s="12">
        <v>0</v>
      </c>
      <c r="I799" s="7">
        <f>IFERROR(VLOOKUP(D799,EQUIPOS!A:C,3,FALSE),0)</f>
        <v>111726.852</v>
      </c>
      <c r="J799" s="8">
        <f t="shared" si="48"/>
        <v>111726.852</v>
      </c>
      <c r="K799" s="7" t="str">
        <f t="shared" si="49"/>
        <v>PTO-1817|EQ</v>
      </c>
      <c r="L799" s="7">
        <f>COUNTIFS($K$2:K799,K799)</f>
        <v>1</v>
      </c>
      <c r="M799" s="7" t="str">
        <f t="shared" si="50"/>
        <v>PTO-1817|EQ|1</v>
      </c>
      <c r="N799" s="7">
        <f>IFERROR(VLOOKUP(A799,PARTIDAS!A:F,6,FALSE),0)</f>
        <v>1</v>
      </c>
      <c r="O799" s="7">
        <f t="shared" si="51"/>
        <v>0</v>
      </c>
      <c r="P799" s="7">
        <f>IFERROR(_xlfn.XLOOKUP(A799,PPTO_GENERADOR!$Q:$Q,PPTO_GENERADOR!$E:$E,"-",0),"-")</f>
        <v>1</v>
      </c>
    </row>
    <row r="800" spans="1:16" x14ac:dyDescent="0.35">
      <c r="A800" s="5" t="s">
        <v>1063</v>
      </c>
      <c r="B800" s="5" t="s">
        <v>1203</v>
      </c>
      <c r="C800" s="5" t="s">
        <v>1199</v>
      </c>
      <c r="D800" s="5" t="s">
        <v>337</v>
      </c>
      <c r="E800" s="7" t="str">
        <f>IFERROR(VLOOKUP(D800,MATERIALES!A:B,2,FALSE),"?")</f>
        <v>CAÑOX3M RIGIDO 25MM PVC TUBE</v>
      </c>
      <c r="F800" s="5" t="s">
        <v>284</v>
      </c>
      <c r="G800" s="11">
        <v>33</v>
      </c>
      <c r="H800" s="12">
        <v>0</v>
      </c>
      <c r="I800" s="7">
        <f>IFERROR(VLOOKUP(D800,MATERIALES!A:D,4,FALSE),0)</f>
        <v>2038.6255000000001</v>
      </c>
      <c r="J800" s="8">
        <f t="shared" si="48"/>
        <v>67274.641499999998</v>
      </c>
      <c r="K800" s="7" t="str">
        <f t="shared" si="49"/>
        <v>PTO-1818|MAT</v>
      </c>
      <c r="L800" s="7">
        <f>COUNTIFS($K$2:K800,K800)</f>
        <v>1</v>
      </c>
      <c r="M800" s="7" t="str">
        <f t="shared" si="50"/>
        <v>PTO-1818|MAT|1</v>
      </c>
      <c r="N800" s="7">
        <f>IFERROR(VLOOKUP(A800,PARTIDAS!A:F,6,FALSE),0)</f>
        <v>1</v>
      </c>
      <c r="O800" s="7">
        <f t="shared" si="51"/>
        <v>0</v>
      </c>
      <c r="P800" s="7">
        <f>IFERROR(_xlfn.XLOOKUP(A800,PPTO_GENERADOR!$Q:$Q,PPTO_GENERADOR!$E:$E,"-",0),"-")</f>
        <v>1</v>
      </c>
    </row>
    <row r="801" spans="1:16" x14ac:dyDescent="0.35">
      <c r="A801" s="5" t="s">
        <v>1063</v>
      </c>
      <c r="B801" s="5" t="s">
        <v>1203</v>
      </c>
      <c r="C801" s="5" t="s">
        <v>1199</v>
      </c>
      <c r="D801" s="5" t="s">
        <v>339</v>
      </c>
      <c r="E801" s="7" t="str">
        <f>IFERROR(VLOOKUP(D801,MATERIALES!A:B,2,FALSE),"?")</f>
        <v>RIEL DE FIJAC.1.22 OLMAR</v>
      </c>
      <c r="F801" s="5" t="s">
        <v>284</v>
      </c>
      <c r="G801" s="11">
        <v>8</v>
      </c>
      <c r="H801" s="12">
        <v>0</v>
      </c>
      <c r="I801" s="7">
        <f>IFERROR(VLOOKUP(D801,MATERIALES!A:D,4,FALSE),0)</f>
        <v>5626.8379000000004</v>
      </c>
      <c r="J801" s="8">
        <f t="shared" si="48"/>
        <v>45014.703200000004</v>
      </c>
      <c r="K801" s="7" t="str">
        <f t="shared" si="49"/>
        <v>PTO-1818|MAT</v>
      </c>
      <c r="L801" s="7">
        <f>COUNTIFS($K$2:K801,K801)</f>
        <v>2</v>
      </c>
      <c r="M801" s="7" t="str">
        <f t="shared" si="50"/>
        <v>PTO-1818|MAT|2</v>
      </c>
      <c r="N801" s="7">
        <f>IFERROR(VLOOKUP(A801,PARTIDAS!A:F,6,FALSE),0)</f>
        <v>1</v>
      </c>
      <c r="O801" s="7">
        <f t="shared" si="51"/>
        <v>0</v>
      </c>
      <c r="P801" s="7">
        <f>IFERROR(_xlfn.XLOOKUP(A801,PPTO_GENERADOR!$Q:$Q,PPTO_GENERADOR!$E:$E,"-",0),"-")</f>
        <v>1</v>
      </c>
    </row>
    <row r="802" spans="1:16" x14ac:dyDescent="0.35">
      <c r="A802" s="5" t="s">
        <v>1063</v>
      </c>
      <c r="B802" s="5" t="s">
        <v>1203</v>
      </c>
      <c r="C802" s="5" t="s">
        <v>1199</v>
      </c>
      <c r="D802" s="5" t="s">
        <v>341</v>
      </c>
      <c r="E802" s="7" t="str">
        <f>IFERROR(VLOOKUP(D802,MATERIALES!A:B,2,FALSE),"?")</f>
        <v>BROCA METALICA 1/4 CJA X 100</v>
      </c>
      <c r="F802" s="5" t="s">
        <v>284</v>
      </c>
      <c r="G802" s="11">
        <v>0.48</v>
      </c>
      <c r="H802" s="12">
        <v>0</v>
      </c>
      <c r="I802" s="7">
        <f>IFERROR(VLOOKUP(D802,MATERIALES!A:D,4,FALSE),0)</f>
        <v>78570.602400000003</v>
      </c>
      <c r="J802" s="8">
        <f t="shared" si="48"/>
        <v>37713.889152000003</v>
      </c>
      <c r="K802" s="7" t="str">
        <f t="shared" si="49"/>
        <v>PTO-1818|MAT</v>
      </c>
      <c r="L802" s="7">
        <f>COUNTIFS($K$2:K802,K802)</f>
        <v>3</v>
      </c>
      <c r="M802" s="7" t="str">
        <f t="shared" si="50"/>
        <v>PTO-1818|MAT|3</v>
      </c>
      <c r="N802" s="7">
        <f>IFERROR(VLOOKUP(A802,PARTIDAS!A:F,6,FALSE),0)</f>
        <v>1</v>
      </c>
      <c r="O802" s="7">
        <f t="shared" si="51"/>
        <v>0</v>
      </c>
      <c r="P802" s="7">
        <f>IFERROR(_xlfn.XLOOKUP(A802,PPTO_GENERADOR!$Q:$Q,PPTO_GENERADOR!$E:$E,"-",0),"-")</f>
        <v>1</v>
      </c>
    </row>
    <row r="803" spans="1:16" x14ac:dyDescent="0.35">
      <c r="A803" s="5" t="s">
        <v>1063</v>
      </c>
      <c r="B803" s="5" t="s">
        <v>1203</v>
      </c>
      <c r="C803" s="5" t="s">
        <v>1199</v>
      </c>
      <c r="D803" s="5" t="s">
        <v>343</v>
      </c>
      <c r="E803" s="7" t="str">
        <f>IFERROR(VLOOKUP(D803,MATERIALES!A:B,2,FALSE),"?")</f>
        <v>VARILLA ROSCADA 1/4"X1MTC/BUL.</v>
      </c>
      <c r="F803" s="5" t="s">
        <v>284</v>
      </c>
      <c r="G803" s="11">
        <v>8</v>
      </c>
      <c r="H803" s="12">
        <v>0</v>
      </c>
      <c r="I803" s="7">
        <f>IFERROR(VLOOKUP(D803,MATERIALES!A:D,4,FALSE),0)</f>
        <v>1220.4670000000001</v>
      </c>
      <c r="J803" s="8">
        <f t="shared" si="48"/>
        <v>9763.7360000000008</v>
      </c>
      <c r="K803" s="7" t="str">
        <f t="shared" si="49"/>
        <v>PTO-1818|MAT</v>
      </c>
      <c r="L803" s="7">
        <f>COUNTIFS($K$2:K803,K803)</f>
        <v>4</v>
      </c>
      <c r="M803" s="7" t="str">
        <f t="shared" si="50"/>
        <v>PTO-1818|MAT|4</v>
      </c>
      <c r="N803" s="7">
        <f>IFERROR(VLOOKUP(A803,PARTIDAS!A:F,6,FALSE),0)</f>
        <v>1</v>
      </c>
      <c r="O803" s="7">
        <f t="shared" si="51"/>
        <v>0</v>
      </c>
      <c r="P803" s="7">
        <f>IFERROR(_xlfn.XLOOKUP(A803,PPTO_GENERADOR!$Q:$Q,PPTO_GENERADOR!$E:$E,"-",0),"-")</f>
        <v>1</v>
      </c>
    </row>
    <row r="804" spans="1:16" x14ac:dyDescent="0.35">
      <c r="A804" s="5" t="s">
        <v>1063</v>
      </c>
      <c r="B804" s="5" t="s">
        <v>1203</v>
      </c>
      <c r="C804" s="5" t="s">
        <v>1199</v>
      </c>
      <c r="D804" s="5" t="s">
        <v>345</v>
      </c>
      <c r="E804" s="7" t="str">
        <f>IFERROR(VLOOKUP(D804,MATERIALES!A:B,2,FALSE),"?")</f>
        <v>GRAMPA P/RIEL 1</v>
      </c>
      <c r="F804" s="5" t="s">
        <v>284</v>
      </c>
      <c r="G804" s="11">
        <v>99</v>
      </c>
      <c r="H804" s="12">
        <v>0</v>
      </c>
      <c r="I804" s="7">
        <f>IFERROR(VLOOKUP(D804,MATERIALES!A:D,4,FALSE),0)</f>
        <v>793.12369999999999</v>
      </c>
      <c r="J804" s="8">
        <f t="shared" si="48"/>
        <v>78519.246299999999</v>
      </c>
      <c r="K804" s="7" t="str">
        <f t="shared" si="49"/>
        <v>PTO-1818|MAT</v>
      </c>
      <c r="L804" s="7">
        <f>COUNTIFS($K$2:K804,K804)</f>
        <v>5</v>
      </c>
      <c r="M804" s="7" t="str">
        <f t="shared" si="50"/>
        <v>PTO-1818|MAT|5</v>
      </c>
      <c r="N804" s="7">
        <f>IFERROR(VLOOKUP(A804,PARTIDAS!A:F,6,FALSE),0)</f>
        <v>1</v>
      </c>
      <c r="O804" s="7">
        <f t="shared" si="51"/>
        <v>0</v>
      </c>
      <c r="P804" s="7">
        <f>IFERROR(_xlfn.XLOOKUP(A804,PPTO_GENERADOR!$Q:$Q,PPTO_GENERADOR!$E:$E,"-",0),"-")</f>
        <v>1</v>
      </c>
    </row>
    <row r="805" spans="1:16" x14ac:dyDescent="0.35">
      <c r="A805" s="5" t="s">
        <v>1063</v>
      </c>
      <c r="B805" s="5" t="s">
        <v>1203</v>
      </c>
      <c r="C805" s="5" t="s">
        <v>1199</v>
      </c>
      <c r="D805" s="5" t="s">
        <v>347</v>
      </c>
      <c r="E805" s="7" t="str">
        <f>IFERROR(VLOOKUP(D805,MATERIALES!A:B,2,FALSE),"?")</f>
        <v>CAJA DE CONEXION 30X40X10 CH20</v>
      </c>
      <c r="F805" s="5" t="s">
        <v>284</v>
      </c>
      <c r="G805" s="11">
        <v>8</v>
      </c>
      <c r="H805" s="12">
        <v>0</v>
      </c>
      <c r="I805" s="7">
        <f>IFERROR(VLOOKUP(D805,MATERIALES!A:D,4,FALSE),0)</f>
        <v>18494.353299999999</v>
      </c>
      <c r="J805" s="8">
        <f t="shared" si="48"/>
        <v>147954.82639999999</v>
      </c>
      <c r="K805" s="7" t="str">
        <f t="shared" si="49"/>
        <v>PTO-1818|MAT</v>
      </c>
      <c r="L805" s="7">
        <f>COUNTIFS($K$2:K805,K805)</f>
        <v>6</v>
      </c>
      <c r="M805" s="7" t="str">
        <f t="shared" si="50"/>
        <v>PTO-1818|MAT|6</v>
      </c>
      <c r="N805" s="7">
        <f>IFERROR(VLOOKUP(A805,PARTIDAS!A:F,6,FALSE),0)</f>
        <v>1</v>
      </c>
      <c r="O805" s="7">
        <f t="shared" si="51"/>
        <v>0</v>
      </c>
      <c r="P805" s="7">
        <f>IFERROR(_xlfn.XLOOKUP(A805,PPTO_GENERADOR!$Q:$Q,PPTO_GENERADOR!$E:$E,"-",0),"-")</f>
        <v>1</v>
      </c>
    </row>
    <row r="806" spans="1:16" x14ac:dyDescent="0.35">
      <c r="A806" s="5" t="s">
        <v>1063</v>
      </c>
      <c r="B806" s="5" t="s">
        <v>1203</v>
      </c>
      <c r="C806" s="5" t="s">
        <v>1199</v>
      </c>
      <c r="D806" s="5" t="s">
        <v>349</v>
      </c>
      <c r="E806" s="7" t="str">
        <f>IFERROR(VLOOKUP(D806,MATERIALES!A:B,2,FALSE),"?")</f>
        <v>CONECTOR 25MM PVC RIG IP54 TUBE</v>
      </c>
      <c r="F806" s="5" t="s">
        <v>284</v>
      </c>
      <c r="G806" s="11">
        <v>66</v>
      </c>
      <c r="H806" s="12">
        <v>0</v>
      </c>
      <c r="I806" s="7">
        <f>IFERROR(VLOOKUP(D806,MATERIALES!A:D,4,FALSE),0)</f>
        <v>263.46089999999998</v>
      </c>
      <c r="J806" s="8">
        <f t="shared" si="48"/>
        <v>17388.419399999999</v>
      </c>
      <c r="K806" s="7" t="str">
        <f t="shared" si="49"/>
        <v>PTO-1818|MAT</v>
      </c>
      <c r="L806" s="7">
        <f>COUNTIFS($K$2:K806,K806)</f>
        <v>7</v>
      </c>
      <c r="M806" s="7" t="str">
        <f t="shared" si="50"/>
        <v>PTO-1818|MAT|7</v>
      </c>
      <c r="N806" s="7">
        <f>IFERROR(VLOOKUP(A806,PARTIDAS!A:F,6,FALSE),0)</f>
        <v>1</v>
      </c>
      <c r="O806" s="7">
        <f t="shared" si="51"/>
        <v>0</v>
      </c>
      <c r="P806" s="7">
        <f>IFERROR(_xlfn.XLOOKUP(A806,PPTO_GENERADOR!$Q:$Q,PPTO_GENERADOR!$E:$E,"-",0),"-")</f>
        <v>1</v>
      </c>
    </row>
    <row r="807" spans="1:16" x14ac:dyDescent="0.35">
      <c r="A807" s="5" t="s">
        <v>1063</v>
      </c>
      <c r="B807" s="5" t="s">
        <v>1203</v>
      </c>
      <c r="C807" s="5" t="s">
        <v>1199</v>
      </c>
      <c r="D807" s="5" t="s">
        <v>351</v>
      </c>
      <c r="E807" s="7" t="str">
        <f>IFERROR(VLOOKUP(D807,MATERIALES!A:B,2,FALSE),"?")</f>
        <v>RLLOX100M 1X 1,5MM NEGRO N.IRAM</v>
      </c>
      <c r="F807" s="5" t="s">
        <v>353</v>
      </c>
      <c r="G807" s="11">
        <v>5.95</v>
      </c>
      <c r="H807" s="12">
        <v>0</v>
      </c>
      <c r="I807" s="7">
        <f>IFERROR(VLOOKUP(D807,MATERIALES!A:D,4,FALSE),0)</f>
        <v>34314.522499999999</v>
      </c>
      <c r="J807" s="8">
        <f t="shared" si="48"/>
        <v>204171.40887499999</v>
      </c>
      <c r="K807" s="7" t="str">
        <f t="shared" si="49"/>
        <v>PTO-1818|MAT</v>
      </c>
      <c r="L807" s="7">
        <f>COUNTIFS($K$2:K807,K807)</f>
        <v>8</v>
      </c>
      <c r="M807" s="7" t="str">
        <f t="shared" si="50"/>
        <v>PTO-1818|MAT|8</v>
      </c>
      <c r="N807" s="7">
        <f>IFERROR(VLOOKUP(A807,PARTIDAS!A:F,6,FALSE),0)</f>
        <v>1</v>
      </c>
      <c r="O807" s="7">
        <f t="shared" si="51"/>
        <v>0</v>
      </c>
      <c r="P807" s="7">
        <f>IFERROR(_xlfn.XLOOKUP(A807,PPTO_GENERADOR!$Q:$Q,PPTO_GENERADOR!$E:$E,"-",0),"-")</f>
        <v>1</v>
      </c>
    </row>
    <row r="808" spans="1:16" x14ac:dyDescent="0.35">
      <c r="A808" s="5" t="s">
        <v>1063</v>
      </c>
      <c r="B808" s="5" t="s">
        <v>1198</v>
      </c>
      <c r="C808" s="5" t="s">
        <v>1199</v>
      </c>
      <c r="D808" s="5" t="s">
        <v>725</v>
      </c>
      <c r="E808" s="7" t="str">
        <f>IFERROR(VLOOKUP(D808,SUBCONTRATOS_PRY!A:B,2,FALSE),"?")</f>
        <v>OFICIAL</v>
      </c>
      <c r="F808" s="5" t="s">
        <v>1200</v>
      </c>
      <c r="G808" s="11">
        <v>5</v>
      </c>
      <c r="H808" s="12">
        <v>0</v>
      </c>
      <c r="I808" s="7">
        <f>IFERROR(VLOOKUP(D808,SUBCONTRATOS_PRY!A:D,4,FALSE),0)</f>
        <v>65360.248299999999</v>
      </c>
      <c r="J808" s="8">
        <f t="shared" si="48"/>
        <v>326801.2415</v>
      </c>
      <c r="K808" s="7" t="str">
        <f t="shared" si="49"/>
        <v>PTO-1818|MO</v>
      </c>
      <c r="L808" s="7">
        <f>COUNTIFS($K$2:K808,K808)</f>
        <v>1</v>
      </c>
      <c r="M808" s="7" t="str">
        <f t="shared" si="50"/>
        <v>PTO-1818|MO|1</v>
      </c>
      <c r="N808" s="7">
        <f>IFERROR(VLOOKUP(A808,PARTIDAS!A:F,6,FALSE),0)</f>
        <v>1</v>
      </c>
      <c r="O808" s="7">
        <f t="shared" si="51"/>
        <v>0</v>
      </c>
      <c r="P808" s="7">
        <f>IFERROR(_xlfn.XLOOKUP(A808,PPTO_GENERADOR!$Q:$Q,PPTO_GENERADOR!$E:$E,"-",0),"-")</f>
        <v>1</v>
      </c>
    </row>
    <row r="809" spans="1:16" x14ac:dyDescent="0.35">
      <c r="A809" s="5" t="s">
        <v>1063</v>
      </c>
      <c r="B809" s="5" t="s">
        <v>1198</v>
      </c>
      <c r="C809" s="5" t="s">
        <v>1199</v>
      </c>
      <c r="D809" s="5" t="s">
        <v>726</v>
      </c>
      <c r="E809" s="7" t="str">
        <f>IFERROR(VLOOKUP(D809,SUBCONTRATOS_PRY!A:B,2,FALSE),"?")</f>
        <v>AYUDANTE</v>
      </c>
      <c r="F809" s="5" t="s">
        <v>1200</v>
      </c>
      <c r="G809" s="11">
        <v>5</v>
      </c>
      <c r="H809" s="12">
        <v>0</v>
      </c>
      <c r="I809" s="7">
        <f>IFERROR(VLOOKUP(D809,SUBCONTRATOS_PRY!A:D,4,FALSE),0)</f>
        <v>49934.237200000003</v>
      </c>
      <c r="J809" s="8">
        <f t="shared" si="48"/>
        <v>249671.18600000002</v>
      </c>
      <c r="K809" s="7" t="str">
        <f t="shared" si="49"/>
        <v>PTO-1818|MO</v>
      </c>
      <c r="L809" s="7">
        <f>COUNTIFS($K$2:K809,K809)</f>
        <v>2</v>
      </c>
      <c r="M809" s="7" t="str">
        <f t="shared" si="50"/>
        <v>PTO-1818|MO|2</v>
      </c>
      <c r="N809" s="7">
        <f>IFERROR(VLOOKUP(A809,PARTIDAS!A:F,6,FALSE),0)</f>
        <v>1</v>
      </c>
      <c r="O809" s="7">
        <f t="shared" si="51"/>
        <v>0</v>
      </c>
      <c r="P809" s="7">
        <f>IFERROR(_xlfn.XLOOKUP(A809,PPTO_GENERADOR!$Q:$Q,PPTO_GENERADOR!$E:$E,"-",0),"-")</f>
        <v>1</v>
      </c>
    </row>
    <row r="810" spans="1:16" x14ac:dyDescent="0.35">
      <c r="A810" s="5" t="s">
        <v>1063</v>
      </c>
      <c r="B810" s="5" t="s">
        <v>1198</v>
      </c>
      <c r="C810" s="5" t="s">
        <v>1201</v>
      </c>
      <c r="D810" s="5" t="s">
        <v>481</v>
      </c>
      <c r="E810" s="7" t="str">
        <f>IFERROR(VLOOKUP(D810,MANO_DE_OBRA!A:B,2,FALSE),"?")</f>
        <v>OFICIAL</v>
      </c>
      <c r="F810" s="5" t="s">
        <v>1200</v>
      </c>
      <c r="G810" s="11">
        <v>2.5</v>
      </c>
      <c r="H810" s="12">
        <v>0</v>
      </c>
      <c r="I810" s="7">
        <f>IFERROR(VLOOKUP(D810,MANO_DE_OBRA!A:C,3,FALSE),0)</f>
        <v>65360.25</v>
      </c>
      <c r="J810" s="8">
        <f t="shared" si="48"/>
        <v>163400.625</v>
      </c>
      <c r="K810" s="7" t="str">
        <f t="shared" si="49"/>
        <v>PTO-1818|MO</v>
      </c>
      <c r="L810" s="7">
        <f>COUNTIFS($K$2:K810,K810)</f>
        <v>3</v>
      </c>
      <c r="M810" s="7" t="str">
        <f t="shared" si="50"/>
        <v>PTO-1818|MO|3</v>
      </c>
      <c r="N810" s="7">
        <f>IFERROR(VLOOKUP(A810,PARTIDAS!A:F,6,FALSE),0)</f>
        <v>1</v>
      </c>
      <c r="O810" s="7">
        <f t="shared" si="51"/>
        <v>2.5</v>
      </c>
      <c r="P810" s="7">
        <f>IFERROR(_xlfn.XLOOKUP(A810,PPTO_GENERADOR!$Q:$Q,PPTO_GENERADOR!$E:$E,"-",0),"-")</f>
        <v>1</v>
      </c>
    </row>
    <row r="811" spans="1:16" x14ac:dyDescent="0.35">
      <c r="A811" s="5" t="s">
        <v>1063</v>
      </c>
      <c r="B811" s="5" t="s">
        <v>1198</v>
      </c>
      <c r="C811" s="5" t="s">
        <v>1201</v>
      </c>
      <c r="D811" s="5" t="s">
        <v>475</v>
      </c>
      <c r="E811" s="7" t="str">
        <f>IFERROR(VLOOKUP(D811,MANO_DE_OBRA!A:B,2,FALSE),"?")</f>
        <v>AYUDANTE</v>
      </c>
      <c r="F811" s="5" t="s">
        <v>1200</v>
      </c>
      <c r="G811" s="11">
        <v>2.5</v>
      </c>
      <c r="H811" s="12">
        <v>0</v>
      </c>
      <c r="I811" s="7">
        <f>IFERROR(VLOOKUP(D811,MANO_DE_OBRA!A:C,3,FALSE),0)</f>
        <v>49934.239999999998</v>
      </c>
      <c r="J811" s="8">
        <f t="shared" si="48"/>
        <v>124835.59999999999</v>
      </c>
      <c r="K811" s="7" t="str">
        <f t="shared" si="49"/>
        <v>PTO-1818|MO</v>
      </c>
      <c r="L811" s="7">
        <f>COUNTIFS($K$2:K811,K811)</f>
        <v>4</v>
      </c>
      <c r="M811" s="7" t="str">
        <f t="shared" si="50"/>
        <v>PTO-1818|MO|4</v>
      </c>
      <c r="N811" s="7">
        <f>IFERROR(VLOOKUP(A811,PARTIDAS!A:F,6,FALSE),0)</f>
        <v>1</v>
      </c>
      <c r="O811" s="7">
        <f t="shared" si="51"/>
        <v>2.5</v>
      </c>
      <c r="P811" s="7">
        <f>IFERROR(_xlfn.XLOOKUP(A811,PPTO_GENERADOR!$Q:$Q,PPTO_GENERADOR!$E:$E,"-",0),"-")</f>
        <v>1</v>
      </c>
    </row>
    <row r="812" spans="1:16" x14ac:dyDescent="0.35">
      <c r="A812" s="5" t="s">
        <v>1063</v>
      </c>
      <c r="B812" s="5" t="s">
        <v>1202</v>
      </c>
      <c r="C812" s="5"/>
      <c r="D812" s="5" t="s">
        <v>585</v>
      </c>
      <c r="E812" s="7" t="str">
        <f>IFERROR(VLOOKUP(D812,EQUIPOS!A:B,2,FALSE),"?")</f>
        <v>Herramientas/consumibles - Montante TV + Tablero TV - Cañería c/cab</v>
      </c>
      <c r="F812" s="5"/>
      <c r="G812" s="11">
        <v>1</v>
      </c>
      <c r="H812" s="12">
        <v>0</v>
      </c>
      <c r="I812" s="7">
        <f>IFERROR(VLOOKUP(D812,EQUIPOS!A:C,3,FALSE),0)</f>
        <v>22087.642800000001</v>
      </c>
      <c r="J812" s="8">
        <f t="shared" si="48"/>
        <v>22087.642800000001</v>
      </c>
      <c r="K812" s="7" t="str">
        <f t="shared" si="49"/>
        <v>PTO-1818|EQ</v>
      </c>
      <c r="L812" s="7">
        <f>COUNTIFS($K$2:K812,K812)</f>
        <v>1</v>
      </c>
      <c r="M812" s="7" t="str">
        <f t="shared" si="50"/>
        <v>PTO-1818|EQ|1</v>
      </c>
      <c r="N812" s="7">
        <f>IFERROR(VLOOKUP(A812,PARTIDAS!A:F,6,FALSE),0)</f>
        <v>1</v>
      </c>
      <c r="O812" s="7">
        <f t="shared" si="51"/>
        <v>0</v>
      </c>
      <c r="P812" s="7">
        <f>IFERROR(_xlfn.XLOOKUP(A812,PPTO_GENERADOR!$Q:$Q,PPTO_GENERADOR!$E:$E,"-",0),"-")</f>
        <v>1</v>
      </c>
    </row>
    <row r="813" spans="1:16" x14ac:dyDescent="0.35">
      <c r="A813" s="5" t="s">
        <v>1065</v>
      </c>
      <c r="B813" s="5" t="s">
        <v>1203</v>
      </c>
      <c r="C813" s="5" t="s">
        <v>1199</v>
      </c>
      <c r="D813" s="5" t="s">
        <v>337</v>
      </c>
      <c r="E813" s="7" t="str">
        <f>IFERROR(VLOOKUP(D813,MATERIALES!A:B,2,FALSE),"?")</f>
        <v>CAÑOX3M RIGIDO 25MM PVC TUBE</v>
      </c>
      <c r="F813" s="5" t="s">
        <v>284</v>
      </c>
      <c r="G813" s="11">
        <v>33</v>
      </c>
      <c r="H813" s="12">
        <v>0</v>
      </c>
      <c r="I813" s="7">
        <f>IFERROR(VLOOKUP(D813,MATERIALES!A:D,4,FALSE),0)</f>
        <v>2038.6255000000001</v>
      </c>
      <c r="J813" s="8">
        <f t="shared" si="48"/>
        <v>67274.641499999998</v>
      </c>
      <c r="K813" s="7" t="str">
        <f t="shared" si="49"/>
        <v>PTO-1819|MAT</v>
      </c>
      <c r="L813" s="7">
        <f>COUNTIFS($K$2:K813,K813)</f>
        <v>1</v>
      </c>
      <c r="M813" s="7" t="str">
        <f t="shared" si="50"/>
        <v>PTO-1819|MAT|1</v>
      </c>
      <c r="N813" s="7">
        <f>IFERROR(VLOOKUP(A813,PARTIDAS!A:F,6,FALSE),0)</f>
        <v>1</v>
      </c>
      <c r="O813" s="7">
        <f t="shared" si="51"/>
        <v>0</v>
      </c>
      <c r="P813" s="7">
        <f>IFERROR(_xlfn.XLOOKUP(A813,PPTO_GENERADOR!$Q:$Q,PPTO_GENERADOR!$E:$E,"-",0),"-")</f>
        <v>1</v>
      </c>
    </row>
    <row r="814" spans="1:16" x14ac:dyDescent="0.35">
      <c r="A814" s="5" t="s">
        <v>1065</v>
      </c>
      <c r="B814" s="5" t="s">
        <v>1203</v>
      </c>
      <c r="C814" s="5" t="s">
        <v>1199</v>
      </c>
      <c r="D814" s="5" t="s">
        <v>339</v>
      </c>
      <c r="E814" s="7" t="str">
        <f>IFERROR(VLOOKUP(D814,MATERIALES!A:B,2,FALSE),"?")</f>
        <v>RIEL DE FIJAC.1.22 OLMAR</v>
      </c>
      <c r="F814" s="5" t="s">
        <v>284</v>
      </c>
      <c r="G814" s="11">
        <v>8</v>
      </c>
      <c r="H814" s="12">
        <v>0</v>
      </c>
      <c r="I814" s="7">
        <f>IFERROR(VLOOKUP(D814,MATERIALES!A:D,4,FALSE),0)</f>
        <v>5626.8379000000004</v>
      </c>
      <c r="J814" s="8">
        <f t="shared" si="48"/>
        <v>45014.703200000004</v>
      </c>
      <c r="K814" s="7" t="str">
        <f t="shared" si="49"/>
        <v>PTO-1819|MAT</v>
      </c>
      <c r="L814" s="7">
        <f>COUNTIFS($K$2:K814,K814)</f>
        <v>2</v>
      </c>
      <c r="M814" s="7" t="str">
        <f t="shared" si="50"/>
        <v>PTO-1819|MAT|2</v>
      </c>
      <c r="N814" s="7">
        <f>IFERROR(VLOOKUP(A814,PARTIDAS!A:F,6,FALSE),0)</f>
        <v>1</v>
      </c>
      <c r="O814" s="7">
        <f t="shared" si="51"/>
        <v>0</v>
      </c>
      <c r="P814" s="7">
        <f>IFERROR(_xlfn.XLOOKUP(A814,PPTO_GENERADOR!$Q:$Q,PPTO_GENERADOR!$E:$E,"-",0),"-")</f>
        <v>1</v>
      </c>
    </row>
    <row r="815" spans="1:16" x14ac:dyDescent="0.35">
      <c r="A815" s="5" t="s">
        <v>1065</v>
      </c>
      <c r="B815" s="5" t="s">
        <v>1203</v>
      </c>
      <c r="C815" s="5" t="s">
        <v>1199</v>
      </c>
      <c r="D815" s="5" t="s">
        <v>341</v>
      </c>
      <c r="E815" s="7" t="str">
        <f>IFERROR(VLOOKUP(D815,MATERIALES!A:B,2,FALSE),"?")</f>
        <v>BROCA METALICA 1/4 CJA X 100</v>
      </c>
      <c r="F815" s="5" t="s">
        <v>284</v>
      </c>
      <c r="G815" s="11">
        <v>0.48</v>
      </c>
      <c r="H815" s="12">
        <v>0</v>
      </c>
      <c r="I815" s="7">
        <f>IFERROR(VLOOKUP(D815,MATERIALES!A:D,4,FALSE),0)</f>
        <v>78570.602400000003</v>
      </c>
      <c r="J815" s="8">
        <f t="shared" si="48"/>
        <v>37713.889152000003</v>
      </c>
      <c r="K815" s="7" t="str">
        <f t="shared" si="49"/>
        <v>PTO-1819|MAT</v>
      </c>
      <c r="L815" s="7">
        <f>COUNTIFS($K$2:K815,K815)</f>
        <v>3</v>
      </c>
      <c r="M815" s="7" t="str">
        <f t="shared" si="50"/>
        <v>PTO-1819|MAT|3</v>
      </c>
      <c r="N815" s="7">
        <f>IFERROR(VLOOKUP(A815,PARTIDAS!A:F,6,FALSE),0)</f>
        <v>1</v>
      </c>
      <c r="O815" s="7">
        <f t="shared" si="51"/>
        <v>0</v>
      </c>
      <c r="P815" s="7">
        <f>IFERROR(_xlfn.XLOOKUP(A815,PPTO_GENERADOR!$Q:$Q,PPTO_GENERADOR!$E:$E,"-",0),"-")</f>
        <v>1</v>
      </c>
    </row>
    <row r="816" spans="1:16" x14ac:dyDescent="0.35">
      <c r="A816" s="5" t="s">
        <v>1065</v>
      </c>
      <c r="B816" s="5" t="s">
        <v>1203</v>
      </c>
      <c r="C816" s="5" t="s">
        <v>1199</v>
      </c>
      <c r="D816" s="5" t="s">
        <v>343</v>
      </c>
      <c r="E816" s="7" t="str">
        <f>IFERROR(VLOOKUP(D816,MATERIALES!A:B,2,FALSE),"?")</f>
        <v>VARILLA ROSCADA 1/4"X1MTC/BUL.</v>
      </c>
      <c r="F816" s="5" t="s">
        <v>284</v>
      </c>
      <c r="G816" s="11">
        <v>8</v>
      </c>
      <c r="H816" s="12">
        <v>0</v>
      </c>
      <c r="I816" s="7">
        <f>IFERROR(VLOOKUP(D816,MATERIALES!A:D,4,FALSE),0)</f>
        <v>1220.4670000000001</v>
      </c>
      <c r="J816" s="8">
        <f t="shared" si="48"/>
        <v>9763.7360000000008</v>
      </c>
      <c r="K816" s="7" t="str">
        <f t="shared" si="49"/>
        <v>PTO-1819|MAT</v>
      </c>
      <c r="L816" s="7">
        <f>COUNTIFS($K$2:K816,K816)</f>
        <v>4</v>
      </c>
      <c r="M816" s="7" t="str">
        <f t="shared" si="50"/>
        <v>PTO-1819|MAT|4</v>
      </c>
      <c r="N816" s="7">
        <f>IFERROR(VLOOKUP(A816,PARTIDAS!A:F,6,FALSE),0)</f>
        <v>1</v>
      </c>
      <c r="O816" s="7">
        <f t="shared" si="51"/>
        <v>0</v>
      </c>
      <c r="P816" s="7">
        <f>IFERROR(_xlfn.XLOOKUP(A816,PPTO_GENERADOR!$Q:$Q,PPTO_GENERADOR!$E:$E,"-",0),"-")</f>
        <v>1</v>
      </c>
    </row>
    <row r="817" spans="1:16" x14ac:dyDescent="0.35">
      <c r="A817" s="5" t="s">
        <v>1065</v>
      </c>
      <c r="B817" s="5" t="s">
        <v>1203</v>
      </c>
      <c r="C817" s="5" t="s">
        <v>1199</v>
      </c>
      <c r="D817" s="5" t="s">
        <v>345</v>
      </c>
      <c r="E817" s="7" t="str">
        <f>IFERROR(VLOOKUP(D817,MATERIALES!A:B,2,FALSE),"?")</f>
        <v>GRAMPA P/RIEL 1</v>
      </c>
      <c r="F817" s="5" t="s">
        <v>284</v>
      </c>
      <c r="G817" s="11">
        <v>99</v>
      </c>
      <c r="H817" s="12">
        <v>0</v>
      </c>
      <c r="I817" s="7">
        <f>IFERROR(VLOOKUP(D817,MATERIALES!A:D,4,FALSE),0)</f>
        <v>793.12369999999999</v>
      </c>
      <c r="J817" s="8">
        <f t="shared" si="48"/>
        <v>78519.246299999999</v>
      </c>
      <c r="K817" s="7" t="str">
        <f t="shared" si="49"/>
        <v>PTO-1819|MAT</v>
      </c>
      <c r="L817" s="7">
        <f>COUNTIFS($K$2:K817,K817)</f>
        <v>5</v>
      </c>
      <c r="M817" s="7" t="str">
        <f t="shared" si="50"/>
        <v>PTO-1819|MAT|5</v>
      </c>
      <c r="N817" s="7">
        <f>IFERROR(VLOOKUP(A817,PARTIDAS!A:F,6,FALSE),0)</f>
        <v>1</v>
      </c>
      <c r="O817" s="7">
        <f t="shared" si="51"/>
        <v>0</v>
      </c>
      <c r="P817" s="7">
        <f>IFERROR(_xlfn.XLOOKUP(A817,PPTO_GENERADOR!$Q:$Q,PPTO_GENERADOR!$E:$E,"-",0),"-")</f>
        <v>1</v>
      </c>
    </row>
    <row r="818" spans="1:16" x14ac:dyDescent="0.35">
      <c r="A818" s="5" t="s">
        <v>1065</v>
      </c>
      <c r="B818" s="5" t="s">
        <v>1203</v>
      </c>
      <c r="C818" s="5" t="s">
        <v>1199</v>
      </c>
      <c r="D818" s="5" t="s">
        <v>347</v>
      </c>
      <c r="E818" s="7" t="str">
        <f>IFERROR(VLOOKUP(D818,MATERIALES!A:B,2,FALSE),"?")</f>
        <v>CAJA DE CONEXION 30X40X10 CH20</v>
      </c>
      <c r="F818" s="5" t="s">
        <v>284</v>
      </c>
      <c r="G818" s="11">
        <v>8</v>
      </c>
      <c r="H818" s="12">
        <v>0</v>
      </c>
      <c r="I818" s="7">
        <f>IFERROR(VLOOKUP(D818,MATERIALES!A:D,4,FALSE),0)</f>
        <v>18494.353299999999</v>
      </c>
      <c r="J818" s="8">
        <f t="shared" si="48"/>
        <v>147954.82639999999</v>
      </c>
      <c r="K818" s="7" t="str">
        <f t="shared" si="49"/>
        <v>PTO-1819|MAT</v>
      </c>
      <c r="L818" s="7">
        <f>COUNTIFS($K$2:K818,K818)</f>
        <v>6</v>
      </c>
      <c r="M818" s="7" t="str">
        <f t="shared" si="50"/>
        <v>PTO-1819|MAT|6</v>
      </c>
      <c r="N818" s="7">
        <f>IFERROR(VLOOKUP(A818,PARTIDAS!A:F,6,FALSE),0)</f>
        <v>1</v>
      </c>
      <c r="O818" s="7">
        <f t="shared" si="51"/>
        <v>0</v>
      </c>
      <c r="P818" s="7">
        <f>IFERROR(_xlfn.XLOOKUP(A818,PPTO_GENERADOR!$Q:$Q,PPTO_GENERADOR!$E:$E,"-",0),"-")</f>
        <v>1</v>
      </c>
    </row>
    <row r="819" spans="1:16" x14ac:dyDescent="0.35">
      <c r="A819" s="5" t="s">
        <v>1065</v>
      </c>
      <c r="B819" s="5" t="s">
        <v>1203</v>
      </c>
      <c r="C819" s="5" t="s">
        <v>1199</v>
      </c>
      <c r="D819" s="5" t="s">
        <v>349</v>
      </c>
      <c r="E819" s="7" t="str">
        <f>IFERROR(VLOOKUP(D819,MATERIALES!A:B,2,FALSE),"?")</f>
        <v>CONECTOR 25MM PVC RIG IP54 TUBE</v>
      </c>
      <c r="F819" s="5" t="s">
        <v>284</v>
      </c>
      <c r="G819" s="11">
        <v>66</v>
      </c>
      <c r="H819" s="12">
        <v>0</v>
      </c>
      <c r="I819" s="7">
        <f>IFERROR(VLOOKUP(D819,MATERIALES!A:D,4,FALSE),0)</f>
        <v>263.46089999999998</v>
      </c>
      <c r="J819" s="8">
        <f t="shared" si="48"/>
        <v>17388.419399999999</v>
      </c>
      <c r="K819" s="7" t="str">
        <f t="shared" si="49"/>
        <v>PTO-1819|MAT</v>
      </c>
      <c r="L819" s="7">
        <f>COUNTIFS($K$2:K819,K819)</f>
        <v>7</v>
      </c>
      <c r="M819" s="7" t="str">
        <f t="shared" si="50"/>
        <v>PTO-1819|MAT|7</v>
      </c>
      <c r="N819" s="7">
        <f>IFERROR(VLOOKUP(A819,PARTIDAS!A:F,6,FALSE),0)</f>
        <v>1</v>
      </c>
      <c r="O819" s="7">
        <f t="shared" si="51"/>
        <v>0</v>
      </c>
      <c r="P819" s="7">
        <f>IFERROR(_xlfn.XLOOKUP(A819,PPTO_GENERADOR!$Q:$Q,PPTO_GENERADOR!$E:$E,"-",0),"-")</f>
        <v>1</v>
      </c>
    </row>
    <row r="820" spans="1:16" x14ac:dyDescent="0.35">
      <c r="A820" s="5" t="s">
        <v>1065</v>
      </c>
      <c r="B820" s="5" t="s">
        <v>1203</v>
      </c>
      <c r="C820" s="5" t="s">
        <v>1199</v>
      </c>
      <c r="D820" s="5" t="s">
        <v>351</v>
      </c>
      <c r="E820" s="7" t="str">
        <f>IFERROR(VLOOKUP(D820,MATERIALES!A:B,2,FALSE),"?")</f>
        <v>RLLOX100M 1X 1,5MM NEGRO N.IRAM</v>
      </c>
      <c r="F820" s="5" t="s">
        <v>353</v>
      </c>
      <c r="G820" s="11">
        <v>5.95</v>
      </c>
      <c r="H820" s="12">
        <v>0</v>
      </c>
      <c r="I820" s="7">
        <f>IFERROR(VLOOKUP(D820,MATERIALES!A:D,4,FALSE),0)</f>
        <v>34314.522499999999</v>
      </c>
      <c r="J820" s="8">
        <f t="shared" si="48"/>
        <v>204171.40887499999</v>
      </c>
      <c r="K820" s="7" t="str">
        <f t="shared" si="49"/>
        <v>PTO-1819|MAT</v>
      </c>
      <c r="L820" s="7">
        <f>COUNTIFS($K$2:K820,K820)</f>
        <v>8</v>
      </c>
      <c r="M820" s="7" t="str">
        <f t="shared" si="50"/>
        <v>PTO-1819|MAT|8</v>
      </c>
      <c r="N820" s="7">
        <f>IFERROR(VLOOKUP(A820,PARTIDAS!A:F,6,FALSE),0)</f>
        <v>1</v>
      </c>
      <c r="O820" s="7">
        <f t="shared" si="51"/>
        <v>0</v>
      </c>
      <c r="P820" s="7">
        <f>IFERROR(_xlfn.XLOOKUP(A820,PPTO_GENERADOR!$Q:$Q,PPTO_GENERADOR!$E:$E,"-",0),"-")</f>
        <v>1</v>
      </c>
    </row>
    <row r="821" spans="1:16" x14ac:dyDescent="0.35">
      <c r="A821" s="5" t="s">
        <v>1065</v>
      </c>
      <c r="B821" s="5" t="s">
        <v>1198</v>
      </c>
      <c r="C821" s="5" t="s">
        <v>1199</v>
      </c>
      <c r="D821" s="5" t="s">
        <v>725</v>
      </c>
      <c r="E821" s="7" t="str">
        <f>IFERROR(VLOOKUP(D821,SUBCONTRATOS_PRY!A:B,2,FALSE),"?")</f>
        <v>OFICIAL</v>
      </c>
      <c r="F821" s="5" t="s">
        <v>1200</v>
      </c>
      <c r="G821" s="11">
        <v>5</v>
      </c>
      <c r="H821" s="12">
        <v>0</v>
      </c>
      <c r="I821" s="7">
        <f>IFERROR(VLOOKUP(D821,SUBCONTRATOS_PRY!A:D,4,FALSE),0)</f>
        <v>65360.248299999999</v>
      </c>
      <c r="J821" s="8">
        <f t="shared" si="48"/>
        <v>326801.2415</v>
      </c>
      <c r="K821" s="7" t="str">
        <f t="shared" si="49"/>
        <v>PTO-1819|MO</v>
      </c>
      <c r="L821" s="7">
        <f>COUNTIFS($K$2:K821,K821)</f>
        <v>1</v>
      </c>
      <c r="M821" s="7" t="str">
        <f t="shared" si="50"/>
        <v>PTO-1819|MO|1</v>
      </c>
      <c r="N821" s="7">
        <f>IFERROR(VLOOKUP(A821,PARTIDAS!A:F,6,FALSE),0)</f>
        <v>1</v>
      </c>
      <c r="O821" s="7">
        <f t="shared" si="51"/>
        <v>0</v>
      </c>
      <c r="P821" s="7">
        <f>IFERROR(_xlfn.XLOOKUP(A821,PPTO_GENERADOR!$Q:$Q,PPTO_GENERADOR!$E:$E,"-",0),"-")</f>
        <v>1</v>
      </c>
    </row>
    <row r="822" spans="1:16" x14ac:dyDescent="0.35">
      <c r="A822" s="5" t="s">
        <v>1065</v>
      </c>
      <c r="B822" s="5" t="s">
        <v>1198</v>
      </c>
      <c r="C822" s="5" t="s">
        <v>1199</v>
      </c>
      <c r="D822" s="5" t="s">
        <v>726</v>
      </c>
      <c r="E822" s="7" t="str">
        <f>IFERROR(VLOOKUP(D822,SUBCONTRATOS_PRY!A:B,2,FALSE),"?")</f>
        <v>AYUDANTE</v>
      </c>
      <c r="F822" s="5" t="s">
        <v>1200</v>
      </c>
      <c r="G822" s="11">
        <v>5</v>
      </c>
      <c r="H822" s="12">
        <v>0</v>
      </c>
      <c r="I822" s="7">
        <f>IFERROR(VLOOKUP(D822,SUBCONTRATOS_PRY!A:D,4,FALSE),0)</f>
        <v>49934.237200000003</v>
      </c>
      <c r="J822" s="8">
        <f t="shared" si="48"/>
        <v>249671.18600000002</v>
      </c>
      <c r="K822" s="7" t="str">
        <f t="shared" si="49"/>
        <v>PTO-1819|MO</v>
      </c>
      <c r="L822" s="7">
        <f>COUNTIFS($K$2:K822,K822)</f>
        <v>2</v>
      </c>
      <c r="M822" s="7" t="str">
        <f t="shared" si="50"/>
        <v>PTO-1819|MO|2</v>
      </c>
      <c r="N822" s="7">
        <f>IFERROR(VLOOKUP(A822,PARTIDAS!A:F,6,FALSE),0)</f>
        <v>1</v>
      </c>
      <c r="O822" s="7">
        <f t="shared" si="51"/>
        <v>0</v>
      </c>
      <c r="P822" s="7">
        <f>IFERROR(_xlfn.XLOOKUP(A822,PPTO_GENERADOR!$Q:$Q,PPTO_GENERADOR!$E:$E,"-",0),"-")</f>
        <v>1</v>
      </c>
    </row>
    <row r="823" spans="1:16" x14ac:dyDescent="0.35">
      <c r="A823" s="5" t="s">
        <v>1065</v>
      </c>
      <c r="B823" s="5" t="s">
        <v>1198</v>
      </c>
      <c r="C823" s="5" t="s">
        <v>1201</v>
      </c>
      <c r="D823" s="5" t="s">
        <v>481</v>
      </c>
      <c r="E823" s="7" t="str">
        <f>IFERROR(VLOOKUP(D823,MANO_DE_OBRA!A:B,2,FALSE),"?")</f>
        <v>OFICIAL</v>
      </c>
      <c r="F823" s="5" t="s">
        <v>1200</v>
      </c>
      <c r="G823" s="11">
        <v>2.5</v>
      </c>
      <c r="H823" s="12">
        <v>0</v>
      </c>
      <c r="I823" s="7">
        <f>IFERROR(VLOOKUP(D823,MANO_DE_OBRA!A:C,3,FALSE),0)</f>
        <v>65360.25</v>
      </c>
      <c r="J823" s="8">
        <f t="shared" si="48"/>
        <v>163400.625</v>
      </c>
      <c r="K823" s="7" t="str">
        <f t="shared" si="49"/>
        <v>PTO-1819|MO</v>
      </c>
      <c r="L823" s="7">
        <f>COUNTIFS($K$2:K823,K823)</f>
        <v>3</v>
      </c>
      <c r="M823" s="7" t="str">
        <f t="shared" si="50"/>
        <v>PTO-1819|MO|3</v>
      </c>
      <c r="N823" s="7">
        <f>IFERROR(VLOOKUP(A823,PARTIDAS!A:F,6,FALSE),0)</f>
        <v>1</v>
      </c>
      <c r="O823" s="7">
        <f t="shared" si="51"/>
        <v>2.5</v>
      </c>
      <c r="P823" s="7">
        <f>IFERROR(_xlfn.XLOOKUP(A823,PPTO_GENERADOR!$Q:$Q,PPTO_GENERADOR!$E:$E,"-",0),"-")</f>
        <v>1</v>
      </c>
    </row>
    <row r="824" spans="1:16" x14ac:dyDescent="0.35">
      <c r="A824" s="5" t="s">
        <v>1065</v>
      </c>
      <c r="B824" s="5" t="s">
        <v>1198</v>
      </c>
      <c r="C824" s="5" t="s">
        <v>1201</v>
      </c>
      <c r="D824" s="5" t="s">
        <v>475</v>
      </c>
      <c r="E824" s="7" t="str">
        <f>IFERROR(VLOOKUP(D824,MANO_DE_OBRA!A:B,2,FALSE),"?")</f>
        <v>AYUDANTE</v>
      </c>
      <c r="F824" s="5" t="s">
        <v>1200</v>
      </c>
      <c r="G824" s="11">
        <v>2.5</v>
      </c>
      <c r="H824" s="12">
        <v>0</v>
      </c>
      <c r="I824" s="7">
        <f>IFERROR(VLOOKUP(D824,MANO_DE_OBRA!A:C,3,FALSE),0)</f>
        <v>49934.239999999998</v>
      </c>
      <c r="J824" s="8">
        <f t="shared" si="48"/>
        <v>124835.59999999999</v>
      </c>
      <c r="K824" s="7" t="str">
        <f t="shared" si="49"/>
        <v>PTO-1819|MO</v>
      </c>
      <c r="L824" s="7">
        <f>COUNTIFS($K$2:K824,K824)</f>
        <v>4</v>
      </c>
      <c r="M824" s="7" t="str">
        <f t="shared" si="50"/>
        <v>PTO-1819|MO|4</v>
      </c>
      <c r="N824" s="7">
        <f>IFERROR(VLOOKUP(A824,PARTIDAS!A:F,6,FALSE),0)</f>
        <v>1</v>
      </c>
      <c r="O824" s="7">
        <f t="shared" si="51"/>
        <v>2.5</v>
      </c>
      <c r="P824" s="7">
        <f>IFERROR(_xlfn.XLOOKUP(A824,PPTO_GENERADOR!$Q:$Q,PPTO_GENERADOR!$E:$E,"-",0),"-")</f>
        <v>1</v>
      </c>
    </row>
    <row r="825" spans="1:16" x14ac:dyDescent="0.35">
      <c r="A825" s="5" t="s">
        <v>1065</v>
      </c>
      <c r="B825" s="5" t="s">
        <v>1202</v>
      </c>
      <c r="C825" s="5"/>
      <c r="D825" s="5" t="s">
        <v>587</v>
      </c>
      <c r="E825" s="7" t="str">
        <f>IFERROR(VLOOKUP(D825,EQUIPOS!A:B,2,FALSE),"?")</f>
        <v>Herramientas/consumibles - Montante PE + Tablero PE- Cañería c/cabl</v>
      </c>
      <c r="F825" s="5"/>
      <c r="G825" s="11">
        <v>1</v>
      </c>
      <c r="H825" s="12">
        <v>0</v>
      </c>
      <c r="I825" s="7">
        <f>IFERROR(VLOOKUP(D825,EQUIPOS!A:C,3,FALSE),0)</f>
        <v>22087.642800000001</v>
      </c>
      <c r="J825" s="8">
        <f t="shared" si="48"/>
        <v>22087.642800000001</v>
      </c>
      <c r="K825" s="7" t="str">
        <f t="shared" si="49"/>
        <v>PTO-1819|EQ</v>
      </c>
      <c r="L825" s="7">
        <f>COUNTIFS($K$2:K825,K825)</f>
        <v>1</v>
      </c>
      <c r="M825" s="7" t="str">
        <f t="shared" si="50"/>
        <v>PTO-1819|EQ|1</v>
      </c>
      <c r="N825" s="7">
        <f>IFERROR(VLOOKUP(A825,PARTIDAS!A:F,6,FALSE),0)</f>
        <v>1</v>
      </c>
      <c r="O825" s="7">
        <f t="shared" si="51"/>
        <v>0</v>
      </c>
      <c r="P825" s="7">
        <f>IFERROR(_xlfn.XLOOKUP(A825,PPTO_GENERADOR!$Q:$Q,PPTO_GENERADOR!$E:$E,"-",0),"-")</f>
        <v>1</v>
      </c>
    </row>
    <row r="826" spans="1:16" x14ac:dyDescent="0.35">
      <c r="A826" s="5" t="s">
        <v>1067</v>
      </c>
      <c r="B826" s="5" t="s">
        <v>1198</v>
      </c>
      <c r="C826" s="5" t="s">
        <v>1199</v>
      </c>
      <c r="D826" s="5" t="s">
        <v>727</v>
      </c>
      <c r="E826" s="7" t="str">
        <f>IFERROR(VLOOKUP(D826,SUBCONTRATOS_PRY!A:B,2,FALSE),"?")</f>
        <v>Colocación artefacto</v>
      </c>
      <c r="F826" s="5" t="s">
        <v>1200</v>
      </c>
      <c r="G826" s="11">
        <v>1</v>
      </c>
      <c r="H826" s="12">
        <v>0</v>
      </c>
      <c r="I826" s="7">
        <f>IFERROR(VLOOKUP(D826,SUBCONTRATOS_PRY!A:D,4,FALSE),0)</f>
        <v>11158</v>
      </c>
      <c r="J826" s="8">
        <f t="shared" si="48"/>
        <v>11158</v>
      </c>
      <c r="K826" s="7" t="str">
        <f t="shared" si="49"/>
        <v>PTO-1820|MO</v>
      </c>
      <c r="L826" s="7">
        <f>COUNTIFS($K$2:K826,K826)</f>
        <v>1</v>
      </c>
      <c r="M826" s="7" t="str">
        <f t="shared" si="50"/>
        <v>PTO-1820|MO|1</v>
      </c>
      <c r="N826" s="7">
        <f>IFERROR(VLOOKUP(A826,PARTIDAS!A:F,6,FALSE),0)</f>
        <v>1</v>
      </c>
      <c r="O826" s="7">
        <f t="shared" si="51"/>
        <v>0</v>
      </c>
      <c r="P826" s="7">
        <f>IFERROR(_xlfn.XLOOKUP(A826,PPTO_GENERADOR!$Q:$Q,PPTO_GENERADOR!$E:$E,"-",0),"-")</f>
        <v>33</v>
      </c>
    </row>
    <row r="827" spans="1:16" x14ac:dyDescent="0.35">
      <c r="A827" s="5" t="s">
        <v>1067</v>
      </c>
      <c r="B827" s="5" t="s">
        <v>1202</v>
      </c>
      <c r="C827" s="5"/>
      <c r="D827" s="5" t="s">
        <v>589</v>
      </c>
      <c r="E827" s="7" t="str">
        <f>IFERROR(VLOOKUP(D827,EQUIPOS!A:B,2,FALSE),"?")</f>
        <v>Herramientas/consumibles - Colocación de sensor de movimiento - Pro</v>
      </c>
      <c r="F827" s="5"/>
      <c r="G827" s="11">
        <v>1</v>
      </c>
      <c r="H827" s="12">
        <v>0</v>
      </c>
      <c r="I827" s="7">
        <f>IFERROR(VLOOKUP(D827,EQUIPOS!A:C,3,FALSE),0)</f>
        <v>167.37</v>
      </c>
      <c r="J827" s="8">
        <f t="shared" si="48"/>
        <v>167.37</v>
      </c>
      <c r="K827" s="7" t="str">
        <f t="shared" si="49"/>
        <v>PTO-1820|EQ</v>
      </c>
      <c r="L827" s="7">
        <f>COUNTIFS($K$2:K827,K827)</f>
        <v>1</v>
      </c>
      <c r="M827" s="7" t="str">
        <f t="shared" si="50"/>
        <v>PTO-1820|EQ|1</v>
      </c>
      <c r="N827" s="7">
        <f>IFERROR(VLOOKUP(A827,PARTIDAS!A:F,6,FALSE),0)</f>
        <v>1</v>
      </c>
      <c r="O827" s="7">
        <f t="shared" si="51"/>
        <v>0</v>
      </c>
      <c r="P827" s="7">
        <f>IFERROR(_xlfn.XLOOKUP(A827,PPTO_GENERADOR!$Q:$Q,PPTO_GENERADOR!$E:$E,"-",0),"-")</f>
        <v>33</v>
      </c>
    </row>
    <row r="828" spans="1:16" x14ac:dyDescent="0.35">
      <c r="A828" s="5" t="s">
        <v>1069</v>
      </c>
      <c r="B828" s="5" t="s">
        <v>1198</v>
      </c>
      <c r="C828" s="5" t="s">
        <v>1199</v>
      </c>
      <c r="D828" s="5" t="s">
        <v>729</v>
      </c>
      <c r="E828" s="7" t="str">
        <f>IFERROR(VLOOKUP(D828,SUBCONTRATOS_PRY!A:B,2,FALSE),"?")</f>
        <v>Conexión de punto y toma</v>
      </c>
      <c r="F828" s="5" t="s">
        <v>1200</v>
      </c>
      <c r="G828" s="11">
        <v>1</v>
      </c>
      <c r="H828" s="12">
        <v>0</v>
      </c>
      <c r="I828" s="7">
        <f>IFERROR(VLOOKUP(D828,SUBCONTRATOS_PRY!A:D,4,FALSE),0)</f>
        <v>7270.9</v>
      </c>
      <c r="J828" s="8">
        <f t="shared" si="48"/>
        <v>7270.9</v>
      </c>
      <c r="K828" s="7" t="str">
        <f t="shared" si="49"/>
        <v>PTO-1821|MO</v>
      </c>
      <c r="L828" s="7">
        <f>COUNTIFS($K$2:K828,K828)</f>
        <v>1</v>
      </c>
      <c r="M828" s="7" t="str">
        <f t="shared" si="50"/>
        <v>PTO-1821|MO|1</v>
      </c>
      <c r="N828" s="7">
        <f>IFERROR(VLOOKUP(A828,PARTIDAS!A:F,6,FALSE),0)</f>
        <v>1</v>
      </c>
      <c r="O828" s="7">
        <f t="shared" si="51"/>
        <v>0</v>
      </c>
      <c r="P828" s="7">
        <f>IFERROR(_xlfn.XLOOKUP(A828,PPTO_GENERADOR!$Q:$Q,PPTO_GENERADOR!$E:$E,"-",0),"-")</f>
        <v>150</v>
      </c>
    </row>
    <row r="829" spans="1:16" x14ac:dyDescent="0.35">
      <c r="A829" s="5" t="s">
        <v>1069</v>
      </c>
      <c r="B829" s="5" t="s">
        <v>1202</v>
      </c>
      <c r="C829" s="5"/>
      <c r="D829" s="5" t="s">
        <v>591</v>
      </c>
      <c r="E829" s="7" t="str">
        <f>IFERROR(VLOOKUP(D829,EQUIPOS!A:B,2,FALSE),"?")</f>
        <v>Herramientas/consumibles - Colocación de teclas simples y/o combina</v>
      </c>
      <c r="F829" s="5"/>
      <c r="G829" s="11">
        <v>1</v>
      </c>
      <c r="H829" s="12">
        <v>0</v>
      </c>
      <c r="I829" s="7">
        <f>IFERROR(VLOOKUP(D829,EQUIPOS!A:C,3,FALSE),0)</f>
        <v>109.0635</v>
      </c>
      <c r="J829" s="8">
        <f t="shared" si="48"/>
        <v>109.0635</v>
      </c>
      <c r="K829" s="7" t="str">
        <f t="shared" si="49"/>
        <v>PTO-1821|EQ</v>
      </c>
      <c r="L829" s="7">
        <f>COUNTIFS($K$2:K829,K829)</f>
        <v>1</v>
      </c>
      <c r="M829" s="7" t="str">
        <f t="shared" si="50"/>
        <v>PTO-1821|EQ|1</v>
      </c>
      <c r="N829" s="7">
        <f>IFERROR(VLOOKUP(A829,PARTIDAS!A:F,6,FALSE),0)</f>
        <v>1</v>
      </c>
      <c r="O829" s="7">
        <f t="shared" si="51"/>
        <v>0</v>
      </c>
      <c r="P829" s="7">
        <f>IFERROR(_xlfn.XLOOKUP(A829,PPTO_GENERADOR!$Q:$Q,PPTO_GENERADOR!$E:$E,"-",0),"-")</f>
        <v>150</v>
      </c>
    </row>
    <row r="830" spans="1:16" x14ac:dyDescent="0.35">
      <c r="A830" s="5" t="s">
        <v>1071</v>
      </c>
      <c r="B830" s="5" t="s">
        <v>1198</v>
      </c>
      <c r="C830" s="5" t="s">
        <v>1199</v>
      </c>
      <c r="D830" s="5" t="s">
        <v>729</v>
      </c>
      <c r="E830" s="7" t="str">
        <f>IFERROR(VLOOKUP(D830,SUBCONTRATOS_PRY!A:B,2,FALSE),"?")</f>
        <v>Conexión de punto y toma</v>
      </c>
      <c r="F830" s="5" t="s">
        <v>1200</v>
      </c>
      <c r="G830" s="11">
        <v>1</v>
      </c>
      <c r="H830" s="12">
        <v>0</v>
      </c>
      <c r="I830" s="7">
        <f>IFERROR(VLOOKUP(D830,SUBCONTRATOS_PRY!A:D,4,FALSE),0)</f>
        <v>7270.9</v>
      </c>
      <c r="J830" s="8">
        <f t="shared" si="48"/>
        <v>7270.9</v>
      </c>
      <c r="K830" s="7" t="str">
        <f t="shared" si="49"/>
        <v>PTO-1822|MO</v>
      </c>
      <c r="L830" s="7">
        <f>COUNTIFS($K$2:K830,K830)</f>
        <v>1</v>
      </c>
      <c r="M830" s="7" t="str">
        <f t="shared" si="50"/>
        <v>PTO-1822|MO|1</v>
      </c>
      <c r="N830" s="7">
        <f>IFERROR(VLOOKUP(A830,PARTIDAS!A:F,6,FALSE),0)</f>
        <v>1</v>
      </c>
      <c r="O830" s="7">
        <f t="shared" si="51"/>
        <v>0</v>
      </c>
      <c r="P830" s="7">
        <f>IFERROR(_xlfn.XLOOKUP(A830,PPTO_GENERADOR!$Q:$Q,PPTO_GENERADOR!$E:$E,"-",0),"-")</f>
        <v>16</v>
      </c>
    </row>
    <row r="831" spans="1:16" x14ac:dyDescent="0.35">
      <c r="A831" s="5" t="s">
        <v>1071</v>
      </c>
      <c r="B831" s="5" t="s">
        <v>1202</v>
      </c>
      <c r="C831" s="5"/>
      <c r="D831" s="5" t="s">
        <v>593</v>
      </c>
      <c r="E831" s="7" t="str">
        <f>IFERROR(VLOOKUP(D831,EQUIPOS!A:B,2,FALSE),"?")</f>
        <v xml:space="preserve">Herramientas/consumibles - Colocación de pulsadores, circulación + </v>
      </c>
      <c r="F831" s="5"/>
      <c r="G831" s="11">
        <v>1</v>
      </c>
      <c r="H831" s="12">
        <v>0</v>
      </c>
      <c r="I831" s="7">
        <f>IFERROR(VLOOKUP(D831,EQUIPOS!A:C,3,FALSE),0)</f>
        <v>109.0635</v>
      </c>
      <c r="J831" s="8">
        <f t="shared" si="48"/>
        <v>109.0635</v>
      </c>
      <c r="K831" s="7" t="str">
        <f t="shared" si="49"/>
        <v>PTO-1822|EQ</v>
      </c>
      <c r="L831" s="7">
        <f>COUNTIFS($K$2:K831,K831)</f>
        <v>1</v>
      </c>
      <c r="M831" s="7" t="str">
        <f t="shared" si="50"/>
        <v>PTO-1822|EQ|1</v>
      </c>
      <c r="N831" s="7">
        <f>IFERROR(VLOOKUP(A831,PARTIDAS!A:F,6,FALSE),0)</f>
        <v>1</v>
      </c>
      <c r="O831" s="7">
        <f t="shared" si="51"/>
        <v>0</v>
      </c>
      <c r="P831" s="7">
        <f>IFERROR(_xlfn.XLOOKUP(A831,PPTO_GENERADOR!$Q:$Q,PPTO_GENERADOR!$E:$E,"-",0),"-")</f>
        <v>16</v>
      </c>
    </row>
    <row r="832" spans="1:16" x14ac:dyDescent="0.35">
      <c r="A832" s="5" t="s">
        <v>1073</v>
      </c>
      <c r="B832" s="5" t="s">
        <v>1198</v>
      </c>
      <c r="C832" s="5" t="s">
        <v>1199</v>
      </c>
      <c r="D832" s="5" t="s">
        <v>729</v>
      </c>
      <c r="E832" s="7" t="str">
        <f>IFERROR(VLOOKUP(D832,SUBCONTRATOS_PRY!A:B,2,FALSE),"?")</f>
        <v>Conexión de punto y toma</v>
      </c>
      <c r="F832" s="5" t="s">
        <v>1200</v>
      </c>
      <c r="G832" s="11">
        <v>1</v>
      </c>
      <c r="H832" s="12">
        <v>0</v>
      </c>
      <c r="I832" s="7">
        <f>IFERROR(VLOOKUP(D832,SUBCONTRATOS_PRY!A:D,4,FALSE),0)</f>
        <v>7270.9</v>
      </c>
      <c r="J832" s="8">
        <f t="shared" si="48"/>
        <v>7270.9</v>
      </c>
      <c r="K832" s="7" t="str">
        <f t="shared" si="49"/>
        <v>PTO-1823|MO</v>
      </c>
      <c r="L832" s="7">
        <f>COUNTIFS($K$2:K832,K832)</f>
        <v>1</v>
      </c>
      <c r="M832" s="7" t="str">
        <f t="shared" si="50"/>
        <v>PTO-1823|MO|1</v>
      </c>
      <c r="N832" s="7">
        <f>IFERROR(VLOOKUP(A832,PARTIDAS!A:F,6,FALSE),0)</f>
        <v>1</v>
      </c>
      <c r="O832" s="7">
        <f t="shared" si="51"/>
        <v>0</v>
      </c>
      <c r="P832" s="7">
        <f>IFERROR(_xlfn.XLOOKUP(A832,PPTO_GENERADOR!$Q:$Q,PPTO_GENERADOR!$E:$E,"-",0),"-")</f>
        <v>349</v>
      </c>
    </row>
    <row r="833" spans="1:16" x14ac:dyDescent="0.35">
      <c r="A833" s="5" t="s">
        <v>1073</v>
      </c>
      <c r="B833" s="5" t="s">
        <v>1202</v>
      </c>
      <c r="C833" s="5"/>
      <c r="D833" s="5" t="s">
        <v>595</v>
      </c>
      <c r="E833" s="7" t="str">
        <f>IFERROR(VLOOKUP(D833,EQUIPOS!A:B,2,FALSE),"?")</f>
        <v>Herramientas/consumibles - Colocación de tomacorriente simple y dob</v>
      </c>
      <c r="F833" s="5"/>
      <c r="G833" s="11">
        <v>1</v>
      </c>
      <c r="H833" s="12">
        <v>0</v>
      </c>
      <c r="I833" s="7">
        <f>IFERROR(VLOOKUP(D833,EQUIPOS!A:C,3,FALSE),0)</f>
        <v>109.0635</v>
      </c>
      <c r="J833" s="8">
        <f t="shared" si="48"/>
        <v>109.0635</v>
      </c>
      <c r="K833" s="7" t="str">
        <f t="shared" si="49"/>
        <v>PTO-1823|EQ</v>
      </c>
      <c r="L833" s="7">
        <f>COUNTIFS($K$2:K833,K833)</f>
        <v>1</v>
      </c>
      <c r="M833" s="7" t="str">
        <f t="shared" si="50"/>
        <v>PTO-1823|EQ|1</v>
      </c>
      <c r="N833" s="7">
        <f>IFERROR(VLOOKUP(A833,PARTIDAS!A:F,6,FALSE),0)</f>
        <v>1</v>
      </c>
      <c r="O833" s="7">
        <f t="shared" si="51"/>
        <v>0</v>
      </c>
      <c r="P833" s="7">
        <f>IFERROR(_xlfn.XLOOKUP(A833,PPTO_GENERADOR!$Q:$Q,PPTO_GENERADOR!$E:$E,"-",0),"-")</f>
        <v>349</v>
      </c>
    </row>
    <row r="834" spans="1:16" x14ac:dyDescent="0.35">
      <c r="A834" s="5" t="s">
        <v>1075</v>
      </c>
      <c r="B834" s="5" t="s">
        <v>1198</v>
      </c>
      <c r="C834" s="5" t="s">
        <v>1199</v>
      </c>
      <c r="D834" s="5" t="s">
        <v>731</v>
      </c>
      <c r="E834" s="7" t="str">
        <f>IFERROR(VLOOKUP(D834,SUBCONTRATOS_PRY!A:B,2,FALSE),"?")</f>
        <v>Luz de emergencia</v>
      </c>
      <c r="F834" s="5" t="s">
        <v>1200</v>
      </c>
      <c r="G834" s="11">
        <v>1</v>
      </c>
      <c r="H834" s="12">
        <v>0</v>
      </c>
      <c r="I834" s="7">
        <f>IFERROR(VLOOKUP(D834,SUBCONTRATOS_PRY!A:D,4,FALSE),0)</f>
        <v>17500</v>
      </c>
      <c r="J834" s="8">
        <f t="shared" ref="J834:J897" si="52">G834*I834*(1+H834)</f>
        <v>17500</v>
      </c>
      <c r="K834" s="7" t="str">
        <f t="shared" ref="K834:K897" si="53">A834&amp;"|"&amp;B834</f>
        <v>PTO-1824|MO</v>
      </c>
      <c r="L834" s="7">
        <f>COUNTIFS($K$2:K834,K834)</f>
        <v>1</v>
      </c>
      <c r="M834" s="7" t="str">
        <f t="shared" ref="M834:M897" si="54">K834&amp;"|"&amp;L834</f>
        <v>PTO-1824|MO|1</v>
      </c>
      <c r="N834" s="7">
        <f>IFERROR(VLOOKUP(A834,PARTIDAS!A:F,6,FALSE),0)</f>
        <v>1</v>
      </c>
      <c r="O834" s="7">
        <f t="shared" ref="O834:O897" si="55">IF(C834="ALB",IF(N834=0,0,G834/N834),0)</f>
        <v>0</v>
      </c>
      <c r="P834" s="7">
        <f>IFERROR(_xlfn.XLOOKUP(A834,PPTO_GENERADOR!$Q:$Q,PPTO_GENERADOR!$E:$E,"-",0),"-")</f>
        <v>27</v>
      </c>
    </row>
    <row r="835" spans="1:16" x14ac:dyDescent="0.35">
      <c r="A835" s="5" t="s">
        <v>1075</v>
      </c>
      <c r="B835" s="5" t="s">
        <v>1202</v>
      </c>
      <c r="C835" s="5"/>
      <c r="D835" s="5" t="s">
        <v>597</v>
      </c>
      <c r="E835" s="7" t="str">
        <f>IFERROR(VLOOKUP(D835,EQUIPOS!A:B,2,FALSE),"?")</f>
        <v>Herramientas/consumibles - Colocación de luz de emergencia - Provis</v>
      </c>
      <c r="F835" s="5"/>
      <c r="G835" s="11">
        <v>1</v>
      </c>
      <c r="H835" s="12">
        <v>0</v>
      </c>
      <c r="I835" s="7">
        <f>IFERROR(VLOOKUP(D835,EQUIPOS!A:C,3,FALSE),0)</f>
        <v>262.5</v>
      </c>
      <c r="J835" s="8">
        <f t="shared" si="52"/>
        <v>262.5</v>
      </c>
      <c r="K835" s="7" t="str">
        <f t="shared" si="53"/>
        <v>PTO-1824|EQ</v>
      </c>
      <c r="L835" s="7">
        <f>COUNTIFS($K$2:K835,K835)</f>
        <v>1</v>
      </c>
      <c r="M835" s="7" t="str">
        <f t="shared" si="54"/>
        <v>PTO-1824|EQ|1</v>
      </c>
      <c r="N835" s="7">
        <f>IFERROR(VLOOKUP(A835,PARTIDAS!A:F,6,FALSE),0)</f>
        <v>1</v>
      </c>
      <c r="O835" s="7">
        <f t="shared" si="55"/>
        <v>0</v>
      </c>
      <c r="P835" s="7">
        <f>IFERROR(_xlfn.XLOOKUP(A835,PPTO_GENERADOR!$Q:$Q,PPTO_GENERADOR!$E:$E,"-",0),"-")</f>
        <v>27</v>
      </c>
    </row>
    <row r="836" spans="1:16" x14ac:dyDescent="0.35">
      <c r="A836" s="5" t="s">
        <v>1077</v>
      </c>
      <c r="B836" s="5" t="s">
        <v>1198</v>
      </c>
      <c r="C836" s="5" t="s">
        <v>1199</v>
      </c>
      <c r="D836" s="5" t="s">
        <v>727</v>
      </c>
      <c r="E836" s="7" t="str">
        <f>IFERROR(VLOOKUP(D836,SUBCONTRATOS_PRY!A:B,2,FALSE),"?")</f>
        <v>Colocación artefacto</v>
      </c>
      <c r="F836" s="5" t="s">
        <v>1200</v>
      </c>
      <c r="G836" s="11">
        <v>1</v>
      </c>
      <c r="H836" s="12">
        <v>0</v>
      </c>
      <c r="I836" s="7">
        <f>IFERROR(VLOOKUP(D836,SUBCONTRATOS_PRY!A:D,4,FALSE),0)</f>
        <v>11158</v>
      </c>
      <c r="J836" s="8">
        <f t="shared" si="52"/>
        <v>11158</v>
      </c>
      <c r="K836" s="7" t="str">
        <f t="shared" si="53"/>
        <v>PTO-1825|MO</v>
      </c>
      <c r="L836" s="7">
        <f>COUNTIFS($K$2:K836,K836)</f>
        <v>1</v>
      </c>
      <c r="M836" s="7" t="str">
        <f t="shared" si="54"/>
        <v>PTO-1825|MO|1</v>
      </c>
      <c r="N836" s="7">
        <f>IFERROR(VLOOKUP(A836,PARTIDAS!A:F,6,FALSE),0)</f>
        <v>1</v>
      </c>
      <c r="O836" s="7">
        <f t="shared" si="55"/>
        <v>0</v>
      </c>
      <c r="P836" s="7">
        <f>IFERROR(_xlfn.XLOOKUP(A836,PPTO_GENERADOR!$Q:$Q,PPTO_GENERADOR!$E:$E,"-",0),"-")</f>
        <v>16</v>
      </c>
    </row>
    <row r="837" spans="1:16" x14ac:dyDescent="0.35">
      <c r="A837" s="5" t="s">
        <v>1077</v>
      </c>
      <c r="B837" s="5" t="s">
        <v>1202</v>
      </c>
      <c r="C837" s="5"/>
      <c r="D837" s="5" t="s">
        <v>599</v>
      </c>
      <c r="E837" s="7" t="str">
        <f>IFERROR(VLOOKUP(D837,EQUIPOS!A:B,2,FALSE),"?")</f>
        <v>Herramientas/consumibles - Colocación de zumbador - Provisión a car</v>
      </c>
      <c r="F837" s="5"/>
      <c r="G837" s="11">
        <v>1</v>
      </c>
      <c r="H837" s="12">
        <v>0</v>
      </c>
      <c r="I837" s="7">
        <f>IFERROR(VLOOKUP(D837,EQUIPOS!A:C,3,FALSE),0)</f>
        <v>167.37</v>
      </c>
      <c r="J837" s="8">
        <f t="shared" si="52"/>
        <v>167.37</v>
      </c>
      <c r="K837" s="7" t="str">
        <f t="shared" si="53"/>
        <v>PTO-1825|EQ</v>
      </c>
      <c r="L837" s="7">
        <f>COUNTIFS($K$2:K837,K837)</f>
        <v>1</v>
      </c>
      <c r="M837" s="7" t="str">
        <f t="shared" si="54"/>
        <v>PTO-1825|EQ|1</v>
      </c>
      <c r="N837" s="7">
        <f>IFERROR(VLOOKUP(A837,PARTIDAS!A:F,6,FALSE),0)</f>
        <v>1</v>
      </c>
      <c r="O837" s="7">
        <f t="shared" si="55"/>
        <v>0</v>
      </c>
      <c r="P837" s="7">
        <f>IFERROR(_xlfn.XLOOKUP(A837,PPTO_GENERADOR!$Q:$Q,PPTO_GENERADOR!$E:$E,"-",0),"-")</f>
        <v>16</v>
      </c>
    </row>
    <row r="838" spans="1:16" x14ac:dyDescent="0.35">
      <c r="A838" s="5" t="s">
        <v>1079</v>
      </c>
      <c r="B838" s="5" t="s">
        <v>1198</v>
      </c>
      <c r="C838" s="5" t="s">
        <v>1199</v>
      </c>
      <c r="D838" s="5" t="s">
        <v>727</v>
      </c>
      <c r="E838" s="7" t="str">
        <f>IFERROR(VLOOKUP(D838,SUBCONTRATOS_PRY!A:B,2,FALSE),"?")</f>
        <v>Colocación artefacto</v>
      </c>
      <c r="F838" s="5" t="s">
        <v>1200</v>
      </c>
      <c r="G838" s="11">
        <v>1</v>
      </c>
      <c r="H838" s="12">
        <v>0</v>
      </c>
      <c r="I838" s="7">
        <f>IFERROR(VLOOKUP(D838,SUBCONTRATOS_PRY!A:D,4,FALSE),0)</f>
        <v>11158</v>
      </c>
      <c r="J838" s="8">
        <f t="shared" si="52"/>
        <v>11158</v>
      </c>
      <c r="K838" s="7" t="str">
        <f t="shared" si="53"/>
        <v>PTO-1826|MO</v>
      </c>
      <c r="L838" s="7">
        <f>COUNTIFS($K$2:K838,K838)</f>
        <v>1</v>
      </c>
      <c r="M838" s="7" t="str">
        <f t="shared" si="54"/>
        <v>PTO-1826|MO|1</v>
      </c>
      <c r="N838" s="7">
        <f>IFERROR(VLOOKUP(A838,PARTIDAS!A:F,6,FALSE),0)</f>
        <v>1</v>
      </c>
      <c r="O838" s="7">
        <f t="shared" si="55"/>
        <v>0</v>
      </c>
      <c r="P838" s="7">
        <f>IFERROR(_xlfn.XLOOKUP(A838,PPTO_GENERADOR!$Q:$Q,PPTO_GENERADOR!$E:$E,"-",0),"-")</f>
        <v>137</v>
      </c>
    </row>
    <row r="839" spans="1:16" x14ac:dyDescent="0.35">
      <c r="A839" s="5" t="s">
        <v>1079</v>
      </c>
      <c r="B839" s="5" t="s">
        <v>1202</v>
      </c>
      <c r="C839" s="5"/>
      <c r="D839" s="5" t="s">
        <v>601</v>
      </c>
      <c r="E839" s="7" t="str">
        <f>IFERROR(VLOOKUP(D839,EQUIPOS!A:B,2,FALSE),"?")</f>
        <v>Herramientas/consumibles - Colocación artefactos en espacios comune</v>
      </c>
      <c r="F839" s="5"/>
      <c r="G839" s="11">
        <v>1</v>
      </c>
      <c r="H839" s="12">
        <v>0</v>
      </c>
      <c r="I839" s="7">
        <f>IFERROR(VLOOKUP(D839,EQUIPOS!A:C,3,FALSE),0)</f>
        <v>167.37</v>
      </c>
      <c r="J839" s="8">
        <f t="shared" si="52"/>
        <v>167.37</v>
      </c>
      <c r="K839" s="7" t="str">
        <f t="shared" si="53"/>
        <v>PTO-1826|EQ</v>
      </c>
      <c r="L839" s="7">
        <f>COUNTIFS($K$2:K839,K839)</f>
        <v>1</v>
      </c>
      <c r="M839" s="7" t="str">
        <f t="shared" si="54"/>
        <v>PTO-1826|EQ|1</v>
      </c>
      <c r="N839" s="7">
        <f>IFERROR(VLOOKUP(A839,PARTIDAS!A:F,6,FALSE),0)</f>
        <v>1</v>
      </c>
      <c r="O839" s="7">
        <f t="shared" si="55"/>
        <v>0</v>
      </c>
      <c r="P839" s="7">
        <f>IFERROR(_xlfn.XLOOKUP(A839,PPTO_GENERADOR!$Q:$Q,PPTO_GENERADOR!$E:$E,"-",0),"-")</f>
        <v>137</v>
      </c>
    </row>
    <row r="840" spans="1:16" x14ac:dyDescent="0.35">
      <c r="A840" s="5" t="s">
        <v>1081</v>
      </c>
      <c r="B840" s="5" t="s">
        <v>1198</v>
      </c>
      <c r="C840" s="5" t="s">
        <v>1199</v>
      </c>
      <c r="D840" s="5" t="s">
        <v>727</v>
      </c>
      <c r="E840" s="7" t="str">
        <f>IFERROR(VLOOKUP(D840,SUBCONTRATOS_PRY!A:B,2,FALSE),"?")</f>
        <v>Colocación artefacto</v>
      </c>
      <c r="F840" s="5" t="s">
        <v>1200</v>
      </c>
      <c r="G840" s="11">
        <v>1</v>
      </c>
      <c r="H840" s="12">
        <v>0</v>
      </c>
      <c r="I840" s="7">
        <f>IFERROR(VLOOKUP(D840,SUBCONTRATOS_PRY!A:D,4,FALSE),0)</f>
        <v>11158</v>
      </c>
      <c r="J840" s="8">
        <f t="shared" si="52"/>
        <v>11158</v>
      </c>
      <c r="K840" s="7" t="str">
        <f t="shared" si="53"/>
        <v>PTO-1827|MO</v>
      </c>
      <c r="L840" s="7">
        <f>COUNTIFS($K$2:K840,K840)</f>
        <v>1</v>
      </c>
      <c r="M840" s="7" t="str">
        <f t="shared" si="54"/>
        <v>PTO-1827|MO|1</v>
      </c>
      <c r="N840" s="7">
        <f>IFERROR(VLOOKUP(A840,PARTIDAS!A:F,6,FALSE),0)</f>
        <v>1</v>
      </c>
      <c r="O840" s="7">
        <f t="shared" si="55"/>
        <v>0</v>
      </c>
      <c r="P840" s="7">
        <f>IFERROR(_xlfn.XLOOKUP(A840,PPTO_GENERADOR!$Q:$Q,PPTO_GENERADOR!$E:$E,"-",0),"-")</f>
        <v>1</v>
      </c>
    </row>
    <row r="841" spans="1:16" x14ac:dyDescent="0.35">
      <c r="A841" s="5" t="s">
        <v>1081</v>
      </c>
      <c r="B841" s="5" t="s">
        <v>1202</v>
      </c>
      <c r="C841" s="5"/>
      <c r="D841" s="5" t="s">
        <v>603</v>
      </c>
      <c r="E841" s="7" t="str">
        <f>IFERROR(VLOOKUP(D841,EQUIPOS!A:B,2,FALSE),"?")</f>
        <v>Herramientas/consumibles - Colocación de fotocelula - Provisión a c</v>
      </c>
      <c r="F841" s="5"/>
      <c r="G841" s="11">
        <v>1</v>
      </c>
      <c r="H841" s="12">
        <v>0</v>
      </c>
      <c r="I841" s="7">
        <f>IFERROR(VLOOKUP(D841,EQUIPOS!A:C,3,FALSE),0)</f>
        <v>167.37</v>
      </c>
      <c r="J841" s="8">
        <f t="shared" si="52"/>
        <v>167.37</v>
      </c>
      <c r="K841" s="7" t="str">
        <f t="shared" si="53"/>
        <v>PTO-1827|EQ</v>
      </c>
      <c r="L841" s="7">
        <f>COUNTIFS($K$2:K841,K841)</f>
        <v>1</v>
      </c>
      <c r="M841" s="7" t="str">
        <f t="shared" si="54"/>
        <v>PTO-1827|EQ|1</v>
      </c>
      <c r="N841" s="7">
        <f>IFERROR(VLOOKUP(A841,PARTIDAS!A:F,6,FALSE),0)</f>
        <v>1</v>
      </c>
      <c r="O841" s="7">
        <f t="shared" si="55"/>
        <v>0</v>
      </c>
      <c r="P841" s="7">
        <f>IFERROR(_xlfn.XLOOKUP(A841,PPTO_GENERADOR!$Q:$Q,PPTO_GENERADOR!$E:$E,"-",0),"-")</f>
        <v>1</v>
      </c>
    </row>
    <row r="842" spans="1:16" x14ac:dyDescent="0.35">
      <c r="A842" s="5" t="s">
        <v>1083</v>
      </c>
      <c r="B842" s="5" t="s">
        <v>1203</v>
      </c>
      <c r="C842" s="5" t="s">
        <v>1199</v>
      </c>
      <c r="D842" s="5" t="s">
        <v>354</v>
      </c>
      <c r="E842" s="7" t="str">
        <f>IFERROR(VLOOKUP(D842,MATERIALES!A:B,2,FALSE),"?")</f>
        <v>M SUBTERRANEO N IRAM 1X 120MM2</v>
      </c>
      <c r="F842" s="5" t="s">
        <v>356</v>
      </c>
      <c r="G842" s="11">
        <v>50</v>
      </c>
      <c r="H842" s="12">
        <v>0</v>
      </c>
      <c r="I842" s="7">
        <f>IFERROR(VLOOKUP(D842,MATERIALES!A:D,4,FALSE),0)</f>
        <v>26626.520700000001</v>
      </c>
      <c r="J842" s="8">
        <f t="shared" si="52"/>
        <v>1331326.0350000001</v>
      </c>
      <c r="K842" s="7" t="str">
        <f t="shared" si="53"/>
        <v>PTO-1828|MAT</v>
      </c>
      <c r="L842" s="7">
        <f>COUNTIFS($K$2:K842,K842)</f>
        <v>1</v>
      </c>
      <c r="M842" s="7" t="str">
        <f t="shared" si="54"/>
        <v>PTO-1828|MAT|1</v>
      </c>
      <c r="N842" s="7">
        <f>IFERROR(VLOOKUP(A842,PARTIDAS!A:F,6,FALSE),0)</f>
        <v>1</v>
      </c>
      <c r="O842" s="7">
        <f t="shared" si="55"/>
        <v>0</v>
      </c>
      <c r="P842" s="7">
        <f>IFERROR(_xlfn.XLOOKUP(A842,PPTO_GENERADOR!$Q:$Q,PPTO_GENERADOR!$E:$E,"-",0),"-")</f>
        <v>1</v>
      </c>
    </row>
    <row r="843" spans="1:16" x14ac:dyDescent="0.35">
      <c r="A843" s="5" t="s">
        <v>1083</v>
      </c>
      <c r="B843" s="5" t="s">
        <v>1203</v>
      </c>
      <c r="C843" s="5" t="s">
        <v>1199</v>
      </c>
      <c r="D843" s="5" t="s">
        <v>357</v>
      </c>
      <c r="E843" s="7" t="str">
        <f>IFERROR(VLOOKUP(D843,MATERIALES!A:B,2,FALSE),"?")</f>
        <v>Gabinete columna 2 modulos trifasico Edesur</v>
      </c>
      <c r="F843" s="5" t="s">
        <v>284</v>
      </c>
      <c r="G843" s="11">
        <v>1</v>
      </c>
      <c r="H843" s="12">
        <v>0</v>
      </c>
      <c r="I843" s="7">
        <f>IFERROR(VLOOKUP(D843,MATERIALES!A:D,4,FALSE),0)</f>
        <v>499627.40580000001</v>
      </c>
      <c r="J843" s="8">
        <f t="shared" si="52"/>
        <v>499627.40580000001</v>
      </c>
      <c r="K843" s="7" t="str">
        <f t="shared" si="53"/>
        <v>PTO-1828|MAT</v>
      </c>
      <c r="L843" s="7">
        <f>COUNTIFS($K$2:K843,K843)</f>
        <v>2</v>
      </c>
      <c r="M843" s="7" t="str">
        <f t="shared" si="54"/>
        <v>PTO-1828|MAT|2</v>
      </c>
      <c r="N843" s="7">
        <f>IFERROR(VLOOKUP(A843,PARTIDAS!A:F,6,FALSE),0)</f>
        <v>1</v>
      </c>
      <c r="O843" s="7">
        <f t="shared" si="55"/>
        <v>0</v>
      </c>
      <c r="P843" s="7">
        <f>IFERROR(_xlfn.XLOOKUP(A843,PPTO_GENERADOR!$Q:$Q,PPTO_GENERADOR!$E:$E,"-",0),"-")</f>
        <v>1</v>
      </c>
    </row>
    <row r="844" spans="1:16" x14ac:dyDescent="0.35">
      <c r="A844" s="5" t="s">
        <v>1083</v>
      </c>
      <c r="B844" s="5" t="s">
        <v>1203</v>
      </c>
      <c r="C844" s="5" t="s">
        <v>1199</v>
      </c>
      <c r="D844" s="5" t="s">
        <v>359</v>
      </c>
      <c r="E844" s="7" t="str">
        <f>IFERROR(VLOOKUP(D844,MATERIALES!A:B,2,FALSE),"?")</f>
        <v>Gabinete columna 3 modulos monofasico Edesur</v>
      </c>
      <c r="F844" s="5" t="s">
        <v>284</v>
      </c>
      <c r="G844" s="11">
        <v>6</v>
      </c>
      <c r="H844" s="12">
        <v>0</v>
      </c>
      <c r="I844" s="7">
        <f>IFERROR(VLOOKUP(D844,MATERIALES!A:D,4,FALSE),0)</f>
        <v>448377.33799999999</v>
      </c>
      <c r="J844" s="8">
        <f t="shared" si="52"/>
        <v>2690264.0279999999</v>
      </c>
      <c r="K844" s="7" t="str">
        <f t="shared" si="53"/>
        <v>PTO-1828|MAT</v>
      </c>
      <c r="L844" s="7">
        <f>COUNTIFS($K$2:K844,K844)</f>
        <v>3</v>
      </c>
      <c r="M844" s="7" t="str">
        <f t="shared" si="54"/>
        <v>PTO-1828|MAT|3</v>
      </c>
      <c r="N844" s="7">
        <f>IFERROR(VLOOKUP(A844,PARTIDAS!A:F,6,FALSE),0)</f>
        <v>1</v>
      </c>
      <c r="O844" s="7">
        <f t="shared" si="55"/>
        <v>0</v>
      </c>
      <c r="P844" s="7">
        <f>IFERROR(_xlfn.XLOOKUP(A844,PPTO_GENERADOR!$Q:$Q,PPTO_GENERADOR!$E:$E,"-",0),"-")</f>
        <v>1</v>
      </c>
    </row>
    <row r="845" spans="1:16" x14ac:dyDescent="0.35">
      <c r="A845" s="5" t="s">
        <v>1083</v>
      </c>
      <c r="B845" s="5" t="s">
        <v>1203</v>
      </c>
      <c r="C845" s="5" t="s">
        <v>1199</v>
      </c>
      <c r="D845" s="5" t="s">
        <v>361</v>
      </c>
      <c r="E845" s="7" t="str">
        <f>IFERROR(VLOOKUP(D845,MATERIALES!A:B,2,FALSE),"?")</f>
        <v>Caja de toma y secc. 400A c/6 bases NH T3</v>
      </c>
      <c r="F845" s="5" t="s">
        <v>284</v>
      </c>
      <c r="G845" s="11">
        <v>1</v>
      </c>
      <c r="H845" s="12">
        <v>0</v>
      </c>
      <c r="I845" s="7">
        <f>IFERROR(VLOOKUP(D845,MATERIALES!A:D,4,FALSE),0)</f>
        <v>557199.73149999999</v>
      </c>
      <c r="J845" s="8">
        <f t="shared" si="52"/>
        <v>557199.73149999999</v>
      </c>
      <c r="K845" s="7" t="str">
        <f t="shared" si="53"/>
        <v>PTO-1828|MAT</v>
      </c>
      <c r="L845" s="7">
        <f>COUNTIFS($K$2:K845,K845)</f>
        <v>4</v>
      </c>
      <c r="M845" s="7" t="str">
        <f t="shared" si="54"/>
        <v>PTO-1828|MAT|4</v>
      </c>
      <c r="N845" s="7">
        <f>IFERROR(VLOOKUP(A845,PARTIDAS!A:F,6,FALSE),0)</f>
        <v>1</v>
      </c>
      <c r="O845" s="7">
        <f t="shared" si="55"/>
        <v>0</v>
      </c>
      <c r="P845" s="7">
        <f>IFERROR(_xlfn.XLOOKUP(A845,PPTO_GENERADOR!$Q:$Q,PPTO_GENERADOR!$E:$E,"-",0),"-")</f>
        <v>1</v>
      </c>
    </row>
    <row r="846" spans="1:16" x14ac:dyDescent="0.35">
      <c r="A846" s="5" t="s">
        <v>1083</v>
      </c>
      <c r="B846" s="5" t="s">
        <v>1203</v>
      </c>
      <c r="C846" s="5" t="s">
        <v>1199</v>
      </c>
      <c r="D846" s="5" t="s">
        <v>363</v>
      </c>
      <c r="E846" s="7" t="str">
        <f>IFERROR(VLOOKUP(D846,MATERIALES!A:B,2,FALSE),"?")</f>
        <v>Fusible NH 00 63 A</v>
      </c>
      <c r="F846" s="5" t="s">
        <v>284</v>
      </c>
      <c r="G846" s="11">
        <v>22</v>
      </c>
      <c r="H846" s="12">
        <v>0</v>
      </c>
      <c r="I846" s="7">
        <f>IFERROR(VLOOKUP(D846,MATERIALES!A:D,4,FALSE),0)</f>
        <v>5052.4728999999998</v>
      </c>
      <c r="J846" s="8">
        <f t="shared" si="52"/>
        <v>111154.4038</v>
      </c>
      <c r="K846" s="7" t="str">
        <f t="shared" si="53"/>
        <v>PTO-1828|MAT</v>
      </c>
      <c r="L846" s="7">
        <f>COUNTIFS($K$2:K846,K846)</f>
        <v>5</v>
      </c>
      <c r="M846" s="7" t="str">
        <f t="shared" si="54"/>
        <v>PTO-1828|MAT|5</v>
      </c>
      <c r="N846" s="7">
        <f>IFERROR(VLOOKUP(A846,PARTIDAS!A:F,6,FALSE),0)</f>
        <v>1</v>
      </c>
      <c r="O846" s="7">
        <f t="shared" si="55"/>
        <v>0</v>
      </c>
      <c r="P846" s="7">
        <f>IFERROR(_xlfn.XLOOKUP(A846,PPTO_GENERADOR!$Q:$Q,PPTO_GENERADOR!$E:$E,"-",0),"-")</f>
        <v>1</v>
      </c>
    </row>
    <row r="847" spans="1:16" x14ac:dyDescent="0.35">
      <c r="A847" s="5" t="s">
        <v>1083</v>
      </c>
      <c r="B847" s="5" t="s">
        <v>1203</v>
      </c>
      <c r="C847" s="5" t="s">
        <v>1199</v>
      </c>
      <c r="D847" s="5" t="s">
        <v>365</v>
      </c>
      <c r="E847" s="7" t="str">
        <f>IFERROR(VLOOKUP(D847,MATERIALES!A:B,2,FALSE),"?")</f>
        <v>Fusible NH 02 a 125 A</v>
      </c>
      <c r="F847" s="5" t="s">
        <v>284</v>
      </c>
      <c r="G847" s="11">
        <v>6</v>
      </c>
      <c r="H847" s="12">
        <v>0</v>
      </c>
      <c r="I847" s="7">
        <f>IFERROR(VLOOKUP(D847,MATERIALES!A:D,4,FALSE),0)</f>
        <v>19115.189299999998</v>
      </c>
      <c r="J847" s="8">
        <f t="shared" si="52"/>
        <v>114691.13579999999</v>
      </c>
      <c r="K847" s="7" t="str">
        <f t="shared" si="53"/>
        <v>PTO-1828|MAT</v>
      </c>
      <c r="L847" s="7">
        <f>COUNTIFS($K$2:K847,K847)</f>
        <v>6</v>
      </c>
      <c r="M847" s="7" t="str">
        <f t="shared" si="54"/>
        <v>PTO-1828|MAT|6</v>
      </c>
      <c r="N847" s="7">
        <f>IFERROR(VLOOKUP(A847,PARTIDAS!A:F,6,FALSE),0)</f>
        <v>1</v>
      </c>
      <c r="O847" s="7">
        <f t="shared" si="55"/>
        <v>0</v>
      </c>
      <c r="P847" s="7">
        <f>IFERROR(_xlfn.XLOOKUP(A847,PPTO_GENERADOR!$Q:$Q,PPTO_GENERADOR!$E:$E,"-",0),"-")</f>
        <v>1</v>
      </c>
    </row>
    <row r="848" spans="1:16" x14ac:dyDescent="0.35">
      <c r="A848" s="5" t="s">
        <v>1083</v>
      </c>
      <c r="B848" s="5" t="s">
        <v>1198</v>
      </c>
      <c r="C848" s="5" t="s">
        <v>1199</v>
      </c>
      <c r="D848" s="5" t="s">
        <v>733</v>
      </c>
      <c r="E848" s="7" t="str">
        <f>IFERROR(VLOOKUP(D848,SUBCONTRATOS_PRY!A:B,2,FALSE),"?")</f>
        <v>Gabinete 4 medidores</v>
      </c>
      <c r="F848" s="5" t="s">
        <v>1200</v>
      </c>
      <c r="G848" s="11">
        <v>1</v>
      </c>
      <c r="H848" s="12">
        <v>0</v>
      </c>
      <c r="I848" s="7">
        <f>IFERROR(VLOOKUP(D848,SUBCONTRATOS_PRY!A:D,4,FALSE),0)</f>
        <v>1170570.8</v>
      </c>
      <c r="J848" s="8">
        <f t="shared" si="52"/>
        <v>1170570.8</v>
      </c>
      <c r="K848" s="7" t="str">
        <f t="shared" si="53"/>
        <v>PTO-1828|MO</v>
      </c>
      <c r="L848" s="7">
        <f>COUNTIFS($K$2:K848,K848)</f>
        <v>1</v>
      </c>
      <c r="M848" s="7" t="str">
        <f t="shared" si="54"/>
        <v>PTO-1828|MO|1</v>
      </c>
      <c r="N848" s="7">
        <f>IFERROR(VLOOKUP(A848,PARTIDAS!A:F,6,FALSE),0)</f>
        <v>1</v>
      </c>
      <c r="O848" s="7">
        <f t="shared" si="55"/>
        <v>0</v>
      </c>
      <c r="P848" s="7">
        <f>IFERROR(_xlfn.XLOOKUP(A848,PPTO_GENERADOR!$Q:$Q,PPTO_GENERADOR!$E:$E,"-",0),"-")</f>
        <v>1</v>
      </c>
    </row>
    <row r="849" spans="1:16" x14ac:dyDescent="0.35">
      <c r="A849" s="5" t="s">
        <v>1083</v>
      </c>
      <c r="B849" s="5" t="s">
        <v>1198</v>
      </c>
      <c r="C849" s="5" t="s">
        <v>1199</v>
      </c>
      <c r="D849" s="5" t="s">
        <v>735</v>
      </c>
      <c r="E849" s="7" t="str">
        <f>IFERROR(VLOOKUP(D849,SUBCONTRATOS_PRY!A:B,2,FALSE),"?")</f>
        <v>Gabinete 1 medidor trif</v>
      </c>
      <c r="F849" s="5" t="s">
        <v>1200</v>
      </c>
      <c r="G849" s="11">
        <v>1</v>
      </c>
      <c r="H849" s="12">
        <v>0</v>
      </c>
      <c r="I849" s="7">
        <f>IFERROR(VLOOKUP(D849,SUBCONTRATOS_PRY!A:D,4,FALSE),0)</f>
        <v>92822.1</v>
      </c>
      <c r="J849" s="8">
        <f t="shared" si="52"/>
        <v>92822.1</v>
      </c>
      <c r="K849" s="7" t="str">
        <f t="shared" si="53"/>
        <v>PTO-1828|MO</v>
      </c>
      <c r="L849" s="7">
        <f>COUNTIFS($K$2:K849,K849)</f>
        <v>2</v>
      </c>
      <c r="M849" s="7" t="str">
        <f t="shared" si="54"/>
        <v>PTO-1828|MO|2</v>
      </c>
      <c r="N849" s="7">
        <f>IFERROR(VLOOKUP(A849,PARTIDAS!A:F,6,FALSE),0)</f>
        <v>1</v>
      </c>
      <c r="O849" s="7">
        <f t="shared" si="55"/>
        <v>0</v>
      </c>
      <c r="P849" s="7">
        <f>IFERROR(_xlfn.XLOOKUP(A849,PPTO_GENERADOR!$Q:$Q,PPTO_GENERADOR!$E:$E,"-",0),"-")</f>
        <v>1</v>
      </c>
    </row>
    <row r="850" spans="1:16" x14ac:dyDescent="0.35">
      <c r="A850" s="5" t="s">
        <v>1083</v>
      </c>
      <c r="B850" s="5" t="s">
        <v>1198</v>
      </c>
      <c r="C850" s="5" t="s">
        <v>1199</v>
      </c>
      <c r="D850" s="5" t="s">
        <v>737</v>
      </c>
      <c r="E850" s="7" t="str">
        <f>IFERROR(VLOOKUP(D850,SUBCONTRATOS_PRY!A:B,2,FALSE),"?")</f>
        <v>Caño de acometida</v>
      </c>
      <c r="F850" s="5" t="s">
        <v>1200</v>
      </c>
      <c r="G850" s="11">
        <v>1</v>
      </c>
      <c r="H850" s="12">
        <v>0</v>
      </c>
      <c r="I850" s="7">
        <f>IFERROR(VLOOKUP(D850,SUBCONTRATOS_PRY!A:D,4,FALSE),0)</f>
        <v>85483.3</v>
      </c>
      <c r="J850" s="8">
        <f t="shared" si="52"/>
        <v>85483.3</v>
      </c>
      <c r="K850" s="7" t="str">
        <f t="shared" si="53"/>
        <v>PTO-1828|MO</v>
      </c>
      <c r="L850" s="7">
        <f>COUNTIFS($K$2:K850,K850)</f>
        <v>3</v>
      </c>
      <c r="M850" s="7" t="str">
        <f t="shared" si="54"/>
        <v>PTO-1828|MO|3</v>
      </c>
      <c r="N850" s="7">
        <f>IFERROR(VLOOKUP(A850,PARTIDAS!A:F,6,FALSE),0)</f>
        <v>1</v>
      </c>
      <c r="O850" s="7">
        <f t="shared" si="55"/>
        <v>0</v>
      </c>
      <c r="P850" s="7">
        <f>IFERROR(_xlfn.XLOOKUP(A850,PPTO_GENERADOR!$Q:$Q,PPTO_GENERADOR!$E:$E,"-",0),"-")</f>
        <v>1</v>
      </c>
    </row>
    <row r="851" spans="1:16" x14ac:dyDescent="0.35">
      <c r="A851" s="5" t="s">
        <v>1083</v>
      </c>
      <c r="B851" s="5" t="s">
        <v>1198</v>
      </c>
      <c r="C851" s="5" t="s">
        <v>1199</v>
      </c>
      <c r="D851" s="5" t="s">
        <v>739</v>
      </c>
      <c r="E851" s="7" t="str">
        <f>IFERROR(VLOOKUP(D851,SUBCONTRATOS_PRY!A:B,2,FALSE),"?")</f>
        <v>Caja de toma</v>
      </c>
      <c r="F851" s="5" t="s">
        <v>1200</v>
      </c>
      <c r="G851" s="11">
        <v>1</v>
      </c>
      <c r="H851" s="12">
        <v>0</v>
      </c>
      <c r="I851" s="7">
        <f>IFERROR(VLOOKUP(D851,SUBCONTRATOS_PRY!A:D,4,FALSE),0)</f>
        <v>122165.4</v>
      </c>
      <c r="J851" s="8">
        <f t="shared" si="52"/>
        <v>122165.4</v>
      </c>
      <c r="K851" s="7" t="str">
        <f t="shared" si="53"/>
        <v>PTO-1828|MO</v>
      </c>
      <c r="L851" s="7">
        <f>COUNTIFS($K$2:K851,K851)</f>
        <v>4</v>
      </c>
      <c r="M851" s="7" t="str">
        <f t="shared" si="54"/>
        <v>PTO-1828|MO|4</v>
      </c>
      <c r="N851" s="7">
        <f>IFERROR(VLOOKUP(A851,PARTIDAS!A:F,6,FALSE),0)</f>
        <v>1</v>
      </c>
      <c r="O851" s="7">
        <f t="shared" si="55"/>
        <v>0</v>
      </c>
      <c r="P851" s="7">
        <f>IFERROR(_xlfn.XLOOKUP(A851,PPTO_GENERADOR!$Q:$Q,PPTO_GENERADOR!$E:$E,"-",0),"-")</f>
        <v>1</v>
      </c>
    </row>
    <row r="852" spans="1:16" x14ac:dyDescent="0.35">
      <c r="A852" s="5" t="s">
        <v>1083</v>
      </c>
      <c r="B852" s="5" t="s">
        <v>1202</v>
      </c>
      <c r="C852" s="5"/>
      <c r="D852" s="5" t="s">
        <v>605</v>
      </c>
      <c r="E852" s="7" t="str">
        <f>IFERROR(VLOOKUP(D852,EQUIPOS!A:B,2,FALSE),"?")</f>
        <v>Herramientas/consumibles - Acometida y gabiente de medidores</v>
      </c>
      <c r="F852" s="5"/>
      <c r="G852" s="11">
        <v>1</v>
      </c>
      <c r="H852" s="12">
        <v>0</v>
      </c>
      <c r="I852" s="7">
        <f>IFERROR(VLOOKUP(D852,EQUIPOS!A:C,3,FALSE),0)</f>
        <v>109736.4574</v>
      </c>
      <c r="J852" s="8">
        <f t="shared" si="52"/>
        <v>109736.4574</v>
      </c>
      <c r="K852" s="7" t="str">
        <f t="shared" si="53"/>
        <v>PTO-1828|EQ</v>
      </c>
      <c r="L852" s="7">
        <f>COUNTIFS($K$2:K852,K852)</f>
        <v>1</v>
      </c>
      <c r="M852" s="7" t="str">
        <f t="shared" si="54"/>
        <v>PTO-1828|EQ|1</v>
      </c>
      <c r="N852" s="7">
        <f>IFERROR(VLOOKUP(A852,PARTIDAS!A:F,6,FALSE),0)</f>
        <v>1</v>
      </c>
      <c r="O852" s="7">
        <f t="shared" si="55"/>
        <v>0</v>
      </c>
      <c r="P852" s="7">
        <f>IFERROR(_xlfn.XLOOKUP(A852,PPTO_GENERADOR!$Q:$Q,PPTO_GENERADOR!$E:$E,"-",0),"-")</f>
        <v>1</v>
      </c>
    </row>
    <row r="853" spans="1:16" x14ac:dyDescent="0.35">
      <c r="A853" s="5" t="s">
        <v>1083</v>
      </c>
      <c r="B853" s="5" t="s">
        <v>1203</v>
      </c>
      <c r="C853" s="5" t="s">
        <v>1204</v>
      </c>
      <c r="D853" s="5" t="s">
        <v>468</v>
      </c>
      <c r="E853" s="7" t="str">
        <f>IFERROR(VLOOKUP(D853,MATERIALES!A:B,2,FALSE),"?")</f>
        <v>Consumibles</v>
      </c>
      <c r="F853" s="5"/>
      <c r="G853" s="11">
        <v>540459.48600000003</v>
      </c>
      <c r="H853" s="12">
        <v>0</v>
      </c>
      <c r="I853" s="7">
        <f>IFERROR(VLOOKUP(D853,MATERIALES!A:D,4,FALSE),0)</f>
        <v>1</v>
      </c>
      <c r="J853" s="8">
        <f t="shared" si="52"/>
        <v>540459.48600000003</v>
      </c>
      <c r="K853" s="7" t="str">
        <f t="shared" si="53"/>
        <v>PTO-1828|MAT</v>
      </c>
      <c r="L853" s="7">
        <f>COUNTIFS($K$2:K853,K853)</f>
        <v>7</v>
      </c>
      <c r="M853" s="7" t="str">
        <f t="shared" si="54"/>
        <v>PTO-1828|MAT|7</v>
      </c>
      <c r="N853" s="7">
        <f>IFERROR(VLOOKUP(A853,PARTIDAS!A:F,6,FALSE),0)</f>
        <v>1</v>
      </c>
      <c r="O853" s="7">
        <f t="shared" si="55"/>
        <v>0</v>
      </c>
      <c r="P853" s="7">
        <f>IFERROR(_xlfn.XLOOKUP(A853,PPTO_GENERADOR!$Q:$Q,PPTO_GENERADOR!$E:$E,"-",0),"-")</f>
        <v>1</v>
      </c>
    </row>
    <row r="854" spans="1:16" x14ac:dyDescent="0.35">
      <c r="A854" s="5" t="s">
        <v>1085</v>
      </c>
      <c r="B854" s="5" t="s">
        <v>1203</v>
      </c>
      <c r="C854" s="5" t="s">
        <v>1199</v>
      </c>
      <c r="D854" s="5" t="s">
        <v>367</v>
      </c>
      <c r="E854" s="7" t="str">
        <f>IFERROR(VLOOKUP(D854,MATERIALES!A:B,2,FALSE),"?")</f>
        <v>M COBRE DESNUDO 7H 25MM</v>
      </c>
      <c r="F854" s="5" t="s">
        <v>356</v>
      </c>
      <c r="G854" s="11">
        <v>100</v>
      </c>
      <c r="H854" s="12">
        <v>0</v>
      </c>
      <c r="I854" s="7">
        <f>IFERROR(VLOOKUP(D854,MATERIALES!A:D,4,FALSE),0)</f>
        <v>8567.2798999999995</v>
      </c>
      <c r="J854" s="8">
        <f t="shared" si="52"/>
        <v>856727.99</v>
      </c>
      <c r="K854" s="7" t="str">
        <f t="shared" si="53"/>
        <v>PTO-1829|MAT</v>
      </c>
      <c r="L854" s="7">
        <f>COUNTIFS($K$2:K854,K854)</f>
        <v>1</v>
      </c>
      <c r="M854" s="7" t="str">
        <f t="shared" si="54"/>
        <v>PTO-1829|MAT|1</v>
      </c>
      <c r="N854" s="7">
        <f>IFERROR(VLOOKUP(A854,PARTIDAS!A:F,6,FALSE),0)</f>
        <v>1</v>
      </c>
      <c r="O854" s="7">
        <f t="shared" si="55"/>
        <v>0</v>
      </c>
      <c r="P854" s="7">
        <f>IFERROR(_xlfn.XLOOKUP(A854,PPTO_GENERADOR!$Q:$Q,PPTO_GENERADOR!$E:$E,"-",0),"-")</f>
        <v>1</v>
      </c>
    </row>
    <row r="855" spans="1:16" x14ac:dyDescent="0.35">
      <c r="A855" s="5" t="s">
        <v>1085</v>
      </c>
      <c r="B855" s="5" t="s">
        <v>1203</v>
      </c>
      <c r="C855" s="5" t="s">
        <v>1199</v>
      </c>
      <c r="D855" s="5" t="s">
        <v>369</v>
      </c>
      <c r="E855" s="7" t="str">
        <f>IFERROR(VLOOKUP(D855,MATERIALES!A:B,2,FALSE),"?")</f>
        <v>CONDUWELD JAB ST 3/4 1.5M</v>
      </c>
      <c r="F855" s="5" t="s">
        <v>284</v>
      </c>
      <c r="G855" s="11">
        <v>5</v>
      </c>
      <c r="H855" s="12">
        <v>0</v>
      </c>
      <c r="I855" s="7">
        <f>IFERROR(VLOOKUP(D855,MATERIALES!A:D,4,FALSE),0)</f>
        <v>34890.260699999999</v>
      </c>
      <c r="J855" s="8">
        <f t="shared" si="52"/>
        <v>174451.30349999998</v>
      </c>
      <c r="K855" s="7" t="str">
        <f t="shared" si="53"/>
        <v>PTO-1829|MAT</v>
      </c>
      <c r="L855" s="7">
        <f>COUNTIFS($K$2:K855,K855)</f>
        <v>2</v>
      </c>
      <c r="M855" s="7" t="str">
        <f t="shared" si="54"/>
        <v>PTO-1829|MAT|2</v>
      </c>
      <c r="N855" s="7">
        <f>IFERROR(VLOOKUP(A855,PARTIDAS!A:F,6,FALSE),0)</f>
        <v>1</v>
      </c>
      <c r="O855" s="7">
        <f t="shared" si="55"/>
        <v>0</v>
      </c>
      <c r="P855" s="7">
        <f>IFERROR(_xlfn.XLOOKUP(A855,PPTO_GENERADOR!$Q:$Q,PPTO_GENERADOR!$E:$E,"-",0),"-")</f>
        <v>1</v>
      </c>
    </row>
    <row r="856" spans="1:16" x14ac:dyDescent="0.35">
      <c r="A856" s="5" t="s">
        <v>1085</v>
      </c>
      <c r="B856" s="5" t="s">
        <v>1203</v>
      </c>
      <c r="C856" s="5" t="s">
        <v>1199</v>
      </c>
      <c r="D856" s="5" t="s">
        <v>371</v>
      </c>
      <c r="E856" s="7" t="str">
        <f>IFERROR(VLOOKUP(D856,MATERIALES!A:B,2,FALSE),"?")</f>
        <v>CONDUWELD TOMACABLE 3</v>
      </c>
      <c r="F856" s="5" t="s">
        <v>284</v>
      </c>
      <c r="G856" s="11">
        <v>5</v>
      </c>
      <c r="H856" s="12">
        <v>0</v>
      </c>
      <c r="I856" s="7">
        <f>IFERROR(VLOOKUP(D856,MATERIALES!A:D,4,FALSE),0)</f>
        <v>21530.894400000001</v>
      </c>
      <c r="J856" s="8">
        <f t="shared" si="52"/>
        <v>107654.47200000001</v>
      </c>
      <c r="K856" s="7" t="str">
        <f t="shared" si="53"/>
        <v>PTO-1829|MAT</v>
      </c>
      <c r="L856" s="7">
        <f>COUNTIFS($K$2:K856,K856)</f>
        <v>3</v>
      </c>
      <c r="M856" s="7" t="str">
        <f t="shared" si="54"/>
        <v>PTO-1829|MAT|3</v>
      </c>
      <c r="N856" s="7">
        <f>IFERROR(VLOOKUP(A856,PARTIDAS!A:F,6,FALSE),0)</f>
        <v>1</v>
      </c>
      <c r="O856" s="7">
        <f t="shared" si="55"/>
        <v>0</v>
      </c>
      <c r="P856" s="7">
        <f>IFERROR(_xlfn.XLOOKUP(A856,PPTO_GENERADOR!$Q:$Q,PPTO_GENERADOR!$E:$E,"-",0),"-")</f>
        <v>1</v>
      </c>
    </row>
    <row r="857" spans="1:16" x14ac:dyDescent="0.35">
      <c r="A857" s="5" t="s">
        <v>1085</v>
      </c>
      <c r="B857" s="5" t="s">
        <v>1203</v>
      </c>
      <c r="C857" s="5" t="s">
        <v>1199</v>
      </c>
      <c r="D857" s="5" t="s">
        <v>373</v>
      </c>
      <c r="E857" s="7" t="str">
        <f>IFERROR(VLOOKUP(D857,MATERIALES!A:B,2,FALSE),"?")</f>
        <v>CAJA INSPECCION 15 x 15 PVC</v>
      </c>
      <c r="F857" s="5" t="s">
        <v>284</v>
      </c>
      <c r="G857" s="11">
        <v>5</v>
      </c>
      <c r="H857" s="12">
        <v>0</v>
      </c>
      <c r="I857" s="7">
        <f>IFERROR(VLOOKUP(D857,MATERIALES!A:D,4,FALSE),0)</f>
        <v>1205.3565000000001</v>
      </c>
      <c r="J857" s="8">
        <f t="shared" si="52"/>
        <v>6026.7825000000003</v>
      </c>
      <c r="K857" s="7" t="str">
        <f t="shared" si="53"/>
        <v>PTO-1829|MAT</v>
      </c>
      <c r="L857" s="7">
        <f>COUNTIFS($K$2:K857,K857)</f>
        <v>4</v>
      </c>
      <c r="M857" s="7" t="str">
        <f t="shared" si="54"/>
        <v>PTO-1829|MAT|4</v>
      </c>
      <c r="N857" s="7">
        <f>IFERROR(VLOOKUP(A857,PARTIDAS!A:F,6,FALSE),0)</f>
        <v>1</v>
      </c>
      <c r="O857" s="7">
        <f t="shared" si="55"/>
        <v>0</v>
      </c>
      <c r="P857" s="7">
        <f>IFERROR(_xlfn.XLOOKUP(A857,PPTO_GENERADOR!$Q:$Q,PPTO_GENERADOR!$E:$E,"-",0),"-")</f>
        <v>1</v>
      </c>
    </row>
    <row r="858" spans="1:16" x14ac:dyDescent="0.35">
      <c r="A858" s="5" t="s">
        <v>1085</v>
      </c>
      <c r="B858" s="5" t="s">
        <v>1198</v>
      </c>
      <c r="C858" s="5" t="s">
        <v>1199</v>
      </c>
      <c r="D858" s="5" t="s">
        <v>741</v>
      </c>
      <c r="E858" s="7" t="str">
        <f>IFERROR(VLOOKUP(D858,SUBCONTRATOS_PRY!A:B,2,FALSE),"?")</f>
        <v>PAT de Servicio</v>
      </c>
      <c r="F858" s="5" t="s">
        <v>1200</v>
      </c>
      <c r="G858" s="11">
        <v>1</v>
      </c>
      <c r="H858" s="12">
        <v>0</v>
      </c>
      <c r="I858" s="7">
        <f>IFERROR(VLOOKUP(D858,SUBCONTRATOS_PRY!A:D,4,FALSE),0)</f>
        <v>305252.5</v>
      </c>
      <c r="J858" s="8">
        <f t="shared" si="52"/>
        <v>305252.5</v>
      </c>
      <c r="K858" s="7" t="str">
        <f t="shared" si="53"/>
        <v>PTO-1829|MO</v>
      </c>
      <c r="L858" s="7">
        <f>COUNTIFS($K$2:K858,K858)</f>
        <v>1</v>
      </c>
      <c r="M858" s="7" t="str">
        <f t="shared" si="54"/>
        <v>PTO-1829|MO|1</v>
      </c>
      <c r="N858" s="7">
        <f>IFERROR(VLOOKUP(A858,PARTIDAS!A:F,6,FALSE),0)</f>
        <v>1</v>
      </c>
      <c r="O858" s="7">
        <f t="shared" si="55"/>
        <v>0</v>
      </c>
      <c r="P858" s="7">
        <f>IFERROR(_xlfn.XLOOKUP(A858,PPTO_GENERADOR!$Q:$Q,PPTO_GENERADOR!$E:$E,"-",0),"-")</f>
        <v>1</v>
      </c>
    </row>
    <row r="859" spans="1:16" x14ac:dyDescent="0.35">
      <c r="A859" s="5" t="s">
        <v>1085</v>
      </c>
      <c r="B859" s="5" t="s">
        <v>1202</v>
      </c>
      <c r="C859" s="5"/>
      <c r="D859" s="5" t="s">
        <v>607</v>
      </c>
      <c r="E859" s="7" t="str">
        <f>IFERROR(VLOOKUP(D859,EQUIPOS!A:B,2,FALSE),"?")</f>
        <v>Herramientas/consumibles - Puesta a tierra, jabalinas y cableados</v>
      </c>
      <c r="F859" s="5"/>
      <c r="G859" s="11">
        <v>1</v>
      </c>
      <c r="H859" s="12">
        <v>0</v>
      </c>
      <c r="I859" s="7">
        <f>IFERROR(VLOOKUP(D859,EQUIPOS!A:C,3,FALSE),0)</f>
        <v>23501.469799999999</v>
      </c>
      <c r="J859" s="8">
        <f t="shared" si="52"/>
        <v>23501.469799999999</v>
      </c>
      <c r="K859" s="7" t="str">
        <f t="shared" si="53"/>
        <v>PTO-1829|EQ</v>
      </c>
      <c r="L859" s="7">
        <f>COUNTIFS($K$2:K859,K859)</f>
        <v>1</v>
      </c>
      <c r="M859" s="7" t="str">
        <f t="shared" si="54"/>
        <v>PTO-1829|EQ|1</v>
      </c>
      <c r="N859" s="7">
        <f>IFERROR(VLOOKUP(A859,PARTIDAS!A:F,6,FALSE),0)</f>
        <v>1</v>
      </c>
      <c r="O859" s="7">
        <f t="shared" si="55"/>
        <v>0</v>
      </c>
      <c r="P859" s="7">
        <f>IFERROR(_xlfn.XLOOKUP(A859,PPTO_GENERADOR!$Q:$Q,PPTO_GENERADOR!$E:$E,"-",0),"-")</f>
        <v>1</v>
      </c>
    </row>
    <row r="860" spans="1:16" x14ac:dyDescent="0.35">
      <c r="A860" s="5" t="s">
        <v>1085</v>
      </c>
      <c r="B860" s="5" t="s">
        <v>1203</v>
      </c>
      <c r="C860" s="5" t="s">
        <v>1204</v>
      </c>
      <c r="D860" s="5" t="s">
        <v>468</v>
      </c>
      <c r="E860" s="7" t="str">
        <f>IFERROR(VLOOKUP(D860,MATERIALES!A:B,2,FALSE),"?")</f>
        <v>Consumibles</v>
      </c>
      <c r="F860" s="5"/>
      <c r="G860" s="11">
        <v>116651.60159999999</v>
      </c>
      <c r="H860" s="12">
        <v>0</v>
      </c>
      <c r="I860" s="7">
        <f>IFERROR(VLOOKUP(D860,MATERIALES!A:D,4,FALSE),0)</f>
        <v>1</v>
      </c>
      <c r="J860" s="8">
        <f t="shared" si="52"/>
        <v>116651.60159999999</v>
      </c>
      <c r="K860" s="7" t="str">
        <f t="shared" si="53"/>
        <v>PTO-1829|MAT</v>
      </c>
      <c r="L860" s="7">
        <f>COUNTIFS($K$2:K860,K860)</f>
        <v>5</v>
      </c>
      <c r="M860" s="7" t="str">
        <f t="shared" si="54"/>
        <v>PTO-1829|MAT|5</v>
      </c>
      <c r="N860" s="7">
        <f>IFERROR(VLOOKUP(A860,PARTIDAS!A:F,6,FALSE),0)</f>
        <v>1</v>
      </c>
      <c r="O860" s="7">
        <f t="shared" si="55"/>
        <v>0</v>
      </c>
      <c r="P860" s="7">
        <f>IFERROR(_xlfn.XLOOKUP(A860,PPTO_GENERADOR!$Q:$Q,PPTO_GENERADOR!$E:$E,"-",0),"-")</f>
        <v>1</v>
      </c>
    </row>
    <row r="861" spans="1:16" x14ac:dyDescent="0.35">
      <c r="A861" s="5" t="s">
        <v>1087</v>
      </c>
      <c r="B861" s="5" t="s">
        <v>1198</v>
      </c>
      <c r="C861" s="5" t="s">
        <v>1199</v>
      </c>
      <c r="D861" s="5" t="s">
        <v>743</v>
      </c>
      <c r="E861" s="7" t="str">
        <f>IFERROR(VLOOKUP(D861,SUBCONTRATOS_PRY!A:B,2,FALSE),"?")</f>
        <v>Servicios grales T1</v>
      </c>
      <c r="F861" s="5" t="s">
        <v>1200</v>
      </c>
      <c r="G861" s="11">
        <v>1</v>
      </c>
      <c r="H861" s="12">
        <v>0</v>
      </c>
      <c r="I861" s="7">
        <f>IFERROR(VLOOKUP(D861,SUBCONTRATOS_PRY!A:D,4,FALSE),0)</f>
        <v>100127.461</v>
      </c>
      <c r="J861" s="8">
        <f t="shared" si="52"/>
        <v>100127.461</v>
      </c>
      <c r="K861" s="7" t="str">
        <f t="shared" si="53"/>
        <v>PTO-1830|MO</v>
      </c>
      <c r="L861" s="7">
        <f>COUNTIFS($K$2:K861,K861)</f>
        <v>1</v>
      </c>
      <c r="M861" s="7" t="str">
        <f t="shared" si="54"/>
        <v>PTO-1830|MO|1</v>
      </c>
      <c r="N861" s="7">
        <f>IFERROR(VLOOKUP(A861,PARTIDAS!A:F,6,FALSE),0)</f>
        <v>1</v>
      </c>
      <c r="O861" s="7">
        <f t="shared" si="55"/>
        <v>0</v>
      </c>
      <c r="P861" s="7">
        <f>IFERROR(_xlfn.XLOOKUP(A861,PPTO_GENERADOR!$Q:$Q,PPTO_GENERADOR!$E:$E,"-",0),"-")</f>
        <v>1</v>
      </c>
    </row>
    <row r="862" spans="1:16" x14ac:dyDescent="0.35">
      <c r="A862" s="5" t="s">
        <v>1089</v>
      </c>
      <c r="B862" s="5" t="s">
        <v>1203</v>
      </c>
      <c r="C862" s="5" t="s">
        <v>1199</v>
      </c>
      <c r="D862" s="5" t="s">
        <v>375</v>
      </c>
      <c r="E862" s="7" t="str">
        <f>IFERROR(VLOOKUP(D862,MATERIALES!A:B,2,FALSE),"?")</f>
        <v>Tendido caño cloacal en planta baja y ss</v>
      </c>
      <c r="F862" s="5"/>
      <c r="G862" s="11">
        <v>1</v>
      </c>
      <c r="H862" s="12">
        <v>0</v>
      </c>
      <c r="I862" s="7">
        <f>IFERROR(VLOOKUP(D862,MATERIALES!A:D,4,FALSE),0)</f>
        <v>2127230.3546000002</v>
      </c>
      <c r="J862" s="8">
        <f t="shared" si="52"/>
        <v>2127230.3546000002</v>
      </c>
      <c r="K862" s="7" t="str">
        <f t="shared" si="53"/>
        <v>PTO-1901|MAT</v>
      </c>
      <c r="L862" s="7">
        <f>COUNTIFS($K$2:K862,K862)</f>
        <v>1</v>
      </c>
      <c r="M862" s="7" t="str">
        <f t="shared" si="54"/>
        <v>PTO-1901|MAT|1</v>
      </c>
      <c r="N862" s="7">
        <f>IFERROR(VLOOKUP(A862,PARTIDAS!A:F,6,FALSE),0)</f>
        <v>1</v>
      </c>
      <c r="O862" s="7">
        <f t="shared" si="55"/>
        <v>0</v>
      </c>
      <c r="P862" s="7">
        <f>IFERROR(_xlfn.XLOOKUP(A862,PPTO_GENERADOR!$Q:$Q,PPTO_GENERADOR!$E:$E,"-",0),"-")</f>
        <v>1</v>
      </c>
    </row>
    <row r="863" spans="1:16" x14ac:dyDescent="0.35">
      <c r="A863" s="5" t="s">
        <v>1089</v>
      </c>
      <c r="B863" s="5" t="s">
        <v>1198</v>
      </c>
      <c r="C863" s="5" t="s">
        <v>1199</v>
      </c>
      <c r="D863" s="5" t="s">
        <v>745</v>
      </c>
      <c r="E863" s="7" t="str">
        <f>IFERROR(VLOOKUP(D863,SUBCONTRATOS_PRY!A:B,2,FALSE),"?")</f>
        <v>Tendido caño cloacal en planta baja y ss</v>
      </c>
      <c r="F863" s="5" t="s">
        <v>1200</v>
      </c>
      <c r="G863" s="11">
        <v>1</v>
      </c>
      <c r="H863" s="12">
        <v>0</v>
      </c>
      <c r="I863" s="7">
        <f>IFERROR(VLOOKUP(D863,SUBCONTRATOS_PRY!A:D,4,FALSE),0)</f>
        <v>3545383.9243999999</v>
      </c>
      <c r="J863" s="8">
        <f t="shared" si="52"/>
        <v>3545383.9243999999</v>
      </c>
      <c r="K863" s="7" t="str">
        <f t="shared" si="53"/>
        <v>PTO-1901|MO</v>
      </c>
      <c r="L863" s="7">
        <f>COUNTIFS($K$2:K863,K863)</f>
        <v>1</v>
      </c>
      <c r="M863" s="7" t="str">
        <f t="shared" si="54"/>
        <v>PTO-1901|MO|1</v>
      </c>
      <c r="N863" s="7">
        <f>IFERROR(VLOOKUP(A863,PARTIDAS!A:F,6,FALSE),0)</f>
        <v>1</v>
      </c>
      <c r="O863" s="7">
        <f t="shared" si="55"/>
        <v>0</v>
      </c>
      <c r="P863" s="7">
        <f>IFERROR(_xlfn.XLOOKUP(A863,PPTO_GENERADOR!$Q:$Q,PPTO_GENERADOR!$E:$E,"-",0),"-")</f>
        <v>1</v>
      </c>
    </row>
    <row r="864" spans="1:16" x14ac:dyDescent="0.35">
      <c r="A864" s="5" t="s">
        <v>1089</v>
      </c>
      <c r="B864" s="5" t="s">
        <v>1202</v>
      </c>
      <c r="C864" s="5"/>
      <c r="D864" s="5" t="s">
        <v>609</v>
      </c>
      <c r="E864" s="7" t="str">
        <f>IFERROR(VLOOKUP(D864,EQUIPOS!A:B,2,FALSE),"?")</f>
        <v>Herramientas/consumibles - Tendido caño cloacal en planta baja y ss</v>
      </c>
      <c r="F864" s="5"/>
      <c r="G864" s="11">
        <v>1</v>
      </c>
      <c r="H864" s="12">
        <v>0</v>
      </c>
      <c r="I864" s="7">
        <f>IFERROR(VLOOKUP(D864,EQUIPOS!A:C,3,FALSE),0)</f>
        <v>85089.214200000002</v>
      </c>
      <c r="J864" s="8">
        <f t="shared" si="52"/>
        <v>85089.214200000002</v>
      </c>
      <c r="K864" s="7" t="str">
        <f t="shared" si="53"/>
        <v>PTO-1901|EQ</v>
      </c>
      <c r="L864" s="7">
        <f>COUNTIFS($K$2:K864,K864)</f>
        <v>1</v>
      </c>
      <c r="M864" s="7" t="str">
        <f t="shared" si="54"/>
        <v>PTO-1901|EQ|1</v>
      </c>
      <c r="N864" s="7">
        <f>IFERROR(VLOOKUP(A864,PARTIDAS!A:F,6,FALSE),0)</f>
        <v>1</v>
      </c>
      <c r="O864" s="7">
        <f t="shared" si="55"/>
        <v>0</v>
      </c>
      <c r="P864" s="7">
        <f>IFERROR(_xlfn.XLOOKUP(A864,PPTO_GENERADOR!$Q:$Q,PPTO_GENERADOR!$E:$E,"-",0),"-")</f>
        <v>1</v>
      </c>
    </row>
    <row r="865" spans="1:16" x14ac:dyDescent="0.35">
      <c r="A865" s="5" t="s">
        <v>1090</v>
      </c>
      <c r="B865" s="5" t="s">
        <v>1203</v>
      </c>
      <c r="C865" s="5" t="s">
        <v>1199</v>
      </c>
      <c r="D865" s="5" t="s">
        <v>377</v>
      </c>
      <c r="E865" s="7" t="str">
        <f>IFERROR(VLOOKUP(D865,MATERIALES!A:B,2,FALSE),"?")</f>
        <v>Armado de pozo de bombeo cloacal</v>
      </c>
      <c r="F865" s="5"/>
      <c r="G865" s="11">
        <v>1</v>
      </c>
      <c r="H865" s="12">
        <v>0</v>
      </c>
      <c r="I865" s="7">
        <f>IFERROR(VLOOKUP(D865,MATERIALES!A:D,4,FALSE),0)</f>
        <v>278565.8798</v>
      </c>
      <c r="J865" s="8">
        <f t="shared" si="52"/>
        <v>278565.8798</v>
      </c>
      <c r="K865" s="7" t="str">
        <f t="shared" si="53"/>
        <v>PTO-1902|MAT</v>
      </c>
      <c r="L865" s="7">
        <f>COUNTIFS($K$2:K865,K865)</f>
        <v>1</v>
      </c>
      <c r="M865" s="7" t="str">
        <f t="shared" si="54"/>
        <v>PTO-1902|MAT|1</v>
      </c>
      <c r="N865" s="7">
        <f>IFERROR(VLOOKUP(A865,PARTIDAS!A:F,6,FALSE),0)</f>
        <v>1</v>
      </c>
      <c r="O865" s="7">
        <f t="shared" si="55"/>
        <v>0</v>
      </c>
      <c r="P865" s="7">
        <f>IFERROR(_xlfn.XLOOKUP(A865,PPTO_GENERADOR!$Q:$Q,PPTO_GENERADOR!$E:$E,"-",0),"-")</f>
        <v>1</v>
      </c>
    </row>
    <row r="866" spans="1:16" x14ac:dyDescent="0.35">
      <c r="A866" s="5" t="s">
        <v>1090</v>
      </c>
      <c r="B866" s="5" t="s">
        <v>1198</v>
      </c>
      <c r="C866" s="5" t="s">
        <v>1199</v>
      </c>
      <c r="D866" s="5" t="s">
        <v>746</v>
      </c>
      <c r="E866" s="7" t="str">
        <f>IFERROR(VLOOKUP(D866,SUBCONTRATOS_PRY!A:B,2,FALSE),"?")</f>
        <v>Armado de pozo de bombeo cloacal</v>
      </c>
      <c r="F866" s="5" t="s">
        <v>1200</v>
      </c>
      <c r="G866" s="11">
        <v>1</v>
      </c>
      <c r="H866" s="12">
        <v>0</v>
      </c>
      <c r="I866" s="7">
        <f>IFERROR(VLOOKUP(D866,SUBCONTRATOS_PRY!A:D,4,FALSE),0)</f>
        <v>506483.4178</v>
      </c>
      <c r="J866" s="8">
        <f t="shared" si="52"/>
        <v>506483.4178</v>
      </c>
      <c r="K866" s="7" t="str">
        <f t="shared" si="53"/>
        <v>PTO-1902|MO</v>
      </c>
      <c r="L866" s="7">
        <f>COUNTIFS($K$2:K866,K866)</f>
        <v>1</v>
      </c>
      <c r="M866" s="7" t="str">
        <f t="shared" si="54"/>
        <v>PTO-1902|MO|1</v>
      </c>
      <c r="N866" s="7">
        <f>IFERROR(VLOOKUP(A866,PARTIDAS!A:F,6,FALSE),0)</f>
        <v>1</v>
      </c>
      <c r="O866" s="7">
        <f t="shared" si="55"/>
        <v>0</v>
      </c>
      <c r="P866" s="7">
        <f>IFERROR(_xlfn.XLOOKUP(A866,PPTO_GENERADOR!$Q:$Q,PPTO_GENERADOR!$E:$E,"-",0),"-")</f>
        <v>1</v>
      </c>
    </row>
    <row r="867" spans="1:16" x14ac:dyDescent="0.35">
      <c r="A867" s="5" t="s">
        <v>1090</v>
      </c>
      <c r="B867" s="5" t="s">
        <v>1202</v>
      </c>
      <c r="C867" s="5"/>
      <c r="D867" s="5" t="s">
        <v>611</v>
      </c>
      <c r="E867" s="7" t="str">
        <f>IFERROR(VLOOKUP(D867,EQUIPOS!A:B,2,FALSE),"?")</f>
        <v>Herramientas/consumibles - Armado de pozo de bombeo cloacal</v>
      </c>
      <c r="F867" s="5"/>
      <c r="G867" s="11">
        <v>1</v>
      </c>
      <c r="H867" s="12">
        <v>0</v>
      </c>
      <c r="I867" s="7">
        <f>IFERROR(VLOOKUP(D867,EQUIPOS!A:C,3,FALSE),0)</f>
        <v>11775.7395</v>
      </c>
      <c r="J867" s="8">
        <f t="shared" si="52"/>
        <v>11775.7395</v>
      </c>
      <c r="K867" s="7" t="str">
        <f t="shared" si="53"/>
        <v>PTO-1902|EQ</v>
      </c>
      <c r="L867" s="7">
        <f>COUNTIFS($K$2:K867,K867)</f>
        <v>1</v>
      </c>
      <c r="M867" s="7" t="str">
        <f t="shared" si="54"/>
        <v>PTO-1902|EQ|1</v>
      </c>
      <c r="N867" s="7">
        <f>IFERROR(VLOOKUP(A867,PARTIDAS!A:F,6,FALSE),0)</f>
        <v>1</v>
      </c>
      <c r="O867" s="7">
        <f t="shared" si="55"/>
        <v>0</v>
      </c>
      <c r="P867" s="7">
        <f>IFERROR(_xlfn.XLOOKUP(A867,PPTO_GENERADOR!$Q:$Q,PPTO_GENERADOR!$E:$E,"-",0),"-")</f>
        <v>1</v>
      </c>
    </row>
    <row r="868" spans="1:16" x14ac:dyDescent="0.35">
      <c r="A868" s="5" t="s">
        <v>1091</v>
      </c>
      <c r="B868" s="5" t="s">
        <v>1203</v>
      </c>
      <c r="C868" s="5" t="s">
        <v>1199</v>
      </c>
      <c r="D868" s="5" t="s">
        <v>379</v>
      </c>
      <c r="E868" s="7" t="str">
        <f>IFERROR(VLOOKUP(D868,MATERIALES!A:B,2,FALSE),"?")</f>
        <v>Por armar CDV en planta tipo</v>
      </c>
      <c r="F868" s="5"/>
      <c r="G868" s="11">
        <v>1</v>
      </c>
      <c r="H868" s="12">
        <v>0</v>
      </c>
      <c r="I868" s="7">
        <f>IFERROR(VLOOKUP(D868,MATERIALES!A:D,4,FALSE),0)</f>
        <v>2836307.1395</v>
      </c>
      <c r="J868" s="8">
        <f t="shared" si="52"/>
        <v>2836307.1395</v>
      </c>
      <c r="K868" s="7" t="str">
        <f t="shared" si="53"/>
        <v>PTO-1903|MAT</v>
      </c>
      <c r="L868" s="7">
        <f>COUNTIFS($K$2:K868,K868)</f>
        <v>1</v>
      </c>
      <c r="M868" s="7" t="str">
        <f t="shared" si="54"/>
        <v>PTO-1903|MAT|1</v>
      </c>
      <c r="N868" s="7">
        <f>IFERROR(VLOOKUP(A868,PARTIDAS!A:F,6,FALSE),0)</f>
        <v>1</v>
      </c>
      <c r="O868" s="7">
        <f t="shared" si="55"/>
        <v>0</v>
      </c>
      <c r="P868" s="7">
        <f>IFERROR(_xlfn.XLOOKUP(A868,PPTO_GENERADOR!$Q:$Q,PPTO_GENERADOR!$E:$E,"-",0),"-")</f>
        <v>1</v>
      </c>
    </row>
    <row r="869" spans="1:16" x14ac:dyDescent="0.35">
      <c r="A869" s="5" t="s">
        <v>1091</v>
      </c>
      <c r="B869" s="5" t="s">
        <v>1198</v>
      </c>
      <c r="C869" s="5" t="s">
        <v>1199</v>
      </c>
      <c r="D869" s="5" t="s">
        <v>747</v>
      </c>
      <c r="E869" s="7" t="str">
        <f>IFERROR(VLOOKUP(D869,SUBCONTRATOS_PRY!A:B,2,FALSE),"?")</f>
        <v>Por armar CDV en planta tipo</v>
      </c>
      <c r="F869" s="5" t="s">
        <v>1200</v>
      </c>
      <c r="G869" s="11">
        <v>1</v>
      </c>
      <c r="H869" s="12">
        <v>0</v>
      </c>
      <c r="I869" s="7">
        <f>IFERROR(VLOOKUP(D869,SUBCONTRATOS_PRY!A:D,4,FALSE),0)</f>
        <v>4051867.3421</v>
      </c>
      <c r="J869" s="8">
        <f t="shared" si="52"/>
        <v>4051867.3421</v>
      </c>
      <c r="K869" s="7" t="str">
        <f t="shared" si="53"/>
        <v>PTO-1903|MO</v>
      </c>
      <c r="L869" s="7">
        <f>COUNTIFS($K$2:K869,K869)</f>
        <v>1</v>
      </c>
      <c r="M869" s="7" t="str">
        <f t="shared" si="54"/>
        <v>PTO-1903|MO|1</v>
      </c>
      <c r="N869" s="7">
        <f>IFERROR(VLOOKUP(A869,PARTIDAS!A:F,6,FALSE),0)</f>
        <v>1</v>
      </c>
      <c r="O869" s="7">
        <f t="shared" si="55"/>
        <v>0</v>
      </c>
      <c r="P869" s="7">
        <f>IFERROR(_xlfn.XLOOKUP(A869,PPTO_GENERADOR!$Q:$Q,PPTO_GENERADOR!$E:$E,"-",0),"-")</f>
        <v>1</v>
      </c>
    </row>
    <row r="870" spans="1:16" x14ac:dyDescent="0.35">
      <c r="A870" s="5" t="s">
        <v>1091</v>
      </c>
      <c r="B870" s="5" t="s">
        <v>1202</v>
      </c>
      <c r="C870" s="5"/>
      <c r="D870" s="5" t="s">
        <v>613</v>
      </c>
      <c r="E870" s="7" t="str">
        <f>IFERROR(VLOOKUP(D870,EQUIPOS!A:B,2,FALSE),"?")</f>
        <v>Herramientas/consumibles - Por armar CDV en planta tipo</v>
      </c>
      <c r="F870" s="5"/>
      <c r="G870" s="11">
        <v>1</v>
      </c>
      <c r="H870" s="12">
        <v>0</v>
      </c>
      <c r="I870" s="7">
        <f>IFERROR(VLOOKUP(D870,EQUIPOS!A:C,3,FALSE),0)</f>
        <v>103322.61719999999</v>
      </c>
      <c r="J870" s="8">
        <f t="shared" si="52"/>
        <v>103322.61719999999</v>
      </c>
      <c r="K870" s="7" t="str">
        <f t="shared" si="53"/>
        <v>PTO-1903|EQ</v>
      </c>
      <c r="L870" s="7">
        <f>COUNTIFS($K$2:K870,K870)</f>
        <v>1</v>
      </c>
      <c r="M870" s="7" t="str">
        <f t="shared" si="54"/>
        <v>PTO-1903|EQ|1</v>
      </c>
      <c r="N870" s="7">
        <f>IFERROR(VLOOKUP(A870,PARTIDAS!A:F,6,FALSE),0)</f>
        <v>1</v>
      </c>
      <c r="O870" s="7">
        <f t="shared" si="55"/>
        <v>0</v>
      </c>
      <c r="P870" s="7">
        <f>IFERROR(_xlfn.XLOOKUP(A870,PPTO_GENERADOR!$Q:$Q,PPTO_GENERADOR!$E:$E,"-",0),"-")</f>
        <v>1</v>
      </c>
    </row>
    <row r="871" spans="1:16" x14ac:dyDescent="0.35">
      <c r="A871" s="5" t="s">
        <v>1092</v>
      </c>
      <c r="B871" s="5" t="s">
        <v>1203</v>
      </c>
      <c r="C871" s="5" t="s">
        <v>1199</v>
      </c>
      <c r="D871" s="5" t="s">
        <v>381</v>
      </c>
      <c r="E871" s="7" t="str">
        <f>IFERROR(VLOOKUP(D871,MATERIALES!A:B,2,FALSE),"?")</f>
        <v>Montantes, remate y ventilación a los 4 vientos</v>
      </c>
      <c r="F871" s="5"/>
      <c r="G871" s="11">
        <v>1</v>
      </c>
      <c r="H871" s="12">
        <v>0</v>
      </c>
      <c r="I871" s="7">
        <f>IFERROR(VLOOKUP(D871,MATERIALES!A:D,4,FALSE),0)</f>
        <v>1215560.2026</v>
      </c>
      <c r="J871" s="8">
        <f t="shared" si="52"/>
        <v>1215560.2026</v>
      </c>
      <c r="K871" s="7" t="str">
        <f t="shared" si="53"/>
        <v>PTO-1904|MAT</v>
      </c>
      <c r="L871" s="7">
        <f>COUNTIFS($K$2:K871,K871)</f>
        <v>1</v>
      </c>
      <c r="M871" s="7" t="str">
        <f t="shared" si="54"/>
        <v>PTO-1904|MAT|1</v>
      </c>
      <c r="N871" s="7">
        <f>IFERROR(VLOOKUP(A871,PARTIDAS!A:F,6,FALSE),0)</f>
        <v>1</v>
      </c>
      <c r="O871" s="7">
        <f t="shared" si="55"/>
        <v>0</v>
      </c>
      <c r="P871" s="7">
        <f>IFERROR(_xlfn.XLOOKUP(A871,PPTO_GENERADOR!$Q:$Q,PPTO_GENERADOR!$E:$E,"-",0),"-")</f>
        <v>1</v>
      </c>
    </row>
    <row r="872" spans="1:16" x14ac:dyDescent="0.35">
      <c r="A872" s="5" t="s">
        <v>1092</v>
      </c>
      <c r="B872" s="5" t="s">
        <v>1198</v>
      </c>
      <c r="C872" s="5" t="s">
        <v>1199</v>
      </c>
      <c r="D872" s="5" t="s">
        <v>748</v>
      </c>
      <c r="E872" s="7" t="str">
        <f>IFERROR(VLOOKUP(D872,SUBCONTRATOS_PRY!A:B,2,FALSE),"?")</f>
        <v>Montantes, remate y ventilación a los 4 vientos</v>
      </c>
      <c r="F872" s="5" t="s">
        <v>1200</v>
      </c>
      <c r="G872" s="11">
        <v>1</v>
      </c>
      <c r="H872" s="12">
        <v>0</v>
      </c>
      <c r="I872" s="7">
        <f>IFERROR(VLOOKUP(D872,SUBCONTRATOS_PRY!A:D,4,FALSE),0)</f>
        <v>2025933.6710999999</v>
      </c>
      <c r="J872" s="8">
        <f t="shared" si="52"/>
        <v>2025933.6710999999</v>
      </c>
      <c r="K872" s="7" t="str">
        <f t="shared" si="53"/>
        <v>PTO-1904|MO</v>
      </c>
      <c r="L872" s="7">
        <f>COUNTIFS($K$2:K872,K872)</f>
        <v>1</v>
      </c>
      <c r="M872" s="7" t="str">
        <f t="shared" si="54"/>
        <v>PTO-1904|MO|1</v>
      </c>
      <c r="N872" s="7">
        <f>IFERROR(VLOOKUP(A872,PARTIDAS!A:F,6,FALSE),0)</f>
        <v>1</v>
      </c>
      <c r="O872" s="7">
        <f t="shared" si="55"/>
        <v>0</v>
      </c>
      <c r="P872" s="7">
        <f>IFERROR(_xlfn.XLOOKUP(A872,PPTO_GENERADOR!$Q:$Q,PPTO_GENERADOR!$E:$E,"-",0),"-")</f>
        <v>1</v>
      </c>
    </row>
    <row r="873" spans="1:16" x14ac:dyDescent="0.35">
      <c r="A873" s="5" t="s">
        <v>1092</v>
      </c>
      <c r="B873" s="5" t="s">
        <v>1202</v>
      </c>
      <c r="C873" s="5"/>
      <c r="D873" s="5" t="s">
        <v>615</v>
      </c>
      <c r="E873" s="7" t="str">
        <f>IFERROR(VLOOKUP(D873,EQUIPOS!A:B,2,FALSE),"?")</f>
        <v xml:space="preserve">Herramientas/consumibles - Montantes, remate y ventilación a los 4 </v>
      </c>
      <c r="F873" s="5"/>
      <c r="G873" s="11">
        <v>1</v>
      </c>
      <c r="H873" s="12">
        <v>0</v>
      </c>
      <c r="I873" s="7">
        <f>IFERROR(VLOOKUP(D873,EQUIPOS!A:C,3,FALSE),0)</f>
        <v>48622.408100000001</v>
      </c>
      <c r="J873" s="8">
        <f t="shared" si="52"/>
        <v>48622.408100000001</v>
      </c>
      <c r="K873" s="7" t="str">
        <f t="shared" si="53"/>
        <v>PTO-1904|EQ</v>
      </c>
      <c r="L873" s="7">
        <f>COUNTIFS($K$2:K873,K873)</f>
        <v>1</v>
      </c>
      <c r="M873" s="7" t="str">
        <f t="shared" si="54"/>
        <v>PTO-1904|EQ|1</v>
      </c>
      <c r="N873" s="7">
        <f>IFERROR(VLOOKUP(A873,PARTIDAS!A:F,6,FALSE),0)</f>
        <v>1</v>
      </c>
      <c r="O873" s="7">
        <f t="shared" si="55"/>
        <v>0</v>
      </c>
      <c r="P873" s="7">
        <f>IFERROR(_xlfn.XLOOKUP(A873,PPTO_GENERADOR!$Q:$Q,PPTO_GENERADOR!$E:$E,"-",0),"-")</f>
        <v>1</v>
      </c>
    </row>
    <row r="874" spans="1:16" x14ac:dyDescent="0.35">
      <c r="A874" s="5" t="s">
        <v>1093</v>
      </c>
      <c r="B874" s="5" t="s">
        <v>1203</v>
      </c>
      <c r="C874" s="5" t="s">
        <v>1199</v>
      </c>
      <c r="D874" s="5" t="s">
        <v>383</v>
      </c>
      <c r="E874" s="7" t="str">
        <f>IFERROR(VLOOKUP(D874,MATERIALES!A:B,2,FALSE),"?")</f>
        <v>Tendido caño pluvial en planta baja y ss</v>
      </c>
      <c r="F874" s="5"/>
      <c r="G874" s="11">
        <v>1</v>
      </c>
      <c r="H874" s="12">
        <v>0</v>
      </c>
      <c r="I874" s="7">
        <f>IFERROR(VLOOKUP(D874,MATERIALES!A:D,4,FALSE),0)</f>
        <v>599178.95070000004</v>
      </c>
      <c r="J874" s="8">
        <f t="shared" si="52"/>
        <v>599178.95070000004</v>
      </c>
      <c r="K874" s="7" t="str">
        <f t="shared" si="53"/>
        <v>PTO-1905|MAT</v>
      </c>
      <c r="L874" s="7">
        <f>COUNTIFS($K$2:K874,K874)</f>
        <v>1</v>
      </c>
      <c r="M874" s="7" t="str">
        <f t="shared" si="54"/>
        <v>PTO-1905|MAT|1</v>
      </c>
      <c r="N874" s="7">
        <f>IFERROR(VLOOKUP(A874,PARTIDAS!A:F,6,FALSE),0)</f>
        <v>1</v>
      </c>
      <c r="O874" s="7">
        <f t="shared" si="55"/>
        <v>0</v>
      </c>
      <c r="P874" s="7">
        <f>IFERROR(_xlfn.XLOOKUP(A874,PPTO_GENERADOR!$Q:$Q,PPTO_GENERADOR!$E:$E,"-",0),"-")</f>
        <v>1</v>
      </c>
    </row>
    <row r="875" spans="1:16" x14ac:dyDescent="0.35">
      <c r="A875" s="5" t="s">
        <v>1093</v>
      </c>
      <c r="B875" s="5" t="s">
        <v>1198</v>
      </c>
      <c r="C875" s="5" t="s">
        <v>1199</v>
      </c>
      <c r="D875" s="5" t="s">
        <v>749</v>
      </c>
      <c r="E875" s="7" t="str">
        <f>IFERROR(VLOOKUP(D875,SUBCONTRATOS_PRY!A:B,2,FALSE),"?")</f>
        <v>Tendido caño pluvial en planta baja y ss</v>
      </c>
      <c r="F875" s="5" t="s">
        <v>1200</v>
      </c>
      <c r="G875" s="11">
        <v>1</v>
      </c>
      <c r="H875" s="12">
        <v>0</v>
      </c>
      <c r="I875" s="7">
        <f>IFERROR(VLOOKUP(D875,SUBCONTRATOS_PRY!A:D,4,FALSE),0)</f>
        <v>1497947.3766999999</v>
      </c>
      <c r="J875" s="8">
        <f t="shared" si="52"/>
        <v>1497947.3766999999</v>
      </c>
      <c r="K875" s="7" t="str">
        <f t="shared" si="53"/>
        <v>PTO-1905|MO</v>
      </c>
      <c r="L875" s="7">
        <f>COUNTIFS($K$2:K875,K875)</f>
        <v>1</v>
      </c>
      <c r="M875" s="7" t="str">
        <f t="shared" si="54"/>
        <v>PTO-1905|MO|1</v>
      </c>
      <c r="N875" s="7">
        <f>IFERROR(VLOOKUP(A875,PARTIDAS!A:F,6,FALSE),0)</f>
        <v>1</v>
      </c>
      <c r="O875" s="7">
        <f t="shared" si="55"/>
        <v>0</v>
      </c>
      <c r="P875" s="7">
        <f>IFERROR(_xlfn.XLOOKUP(A875,PPTO_GENERADOR!$Q:$Q,PPTO_GENERADOR!$E:$E,"-",0),"-")</f>
        <v>1</v>
      </c>
    </row>
    <row r="876" spans="1:16" x14ac:dyDescent="0.35">
      <c r="A876" s="5" t="s">
        <v>1093</v>
      </c>
      <c r="B876" s="5" t="s">
        <v>1202</v>
      </c>
      <c r="C876" s="5"/>
      <c r="D876" s="5" t="s">
        <v>617</v>
      </c>
      <c r="E876" s="7" t="str">
        <f>IFERROR(VLOOKUP(D876,EQUIPOS!A:B,2,FALSE),"?")</f>
        <v>Herramientas/consumibles - Tendido caño pluvial en planta baja y ss</v>
      </c>
      <c r="F876" s="5"/>
      <c r="G876" s="11">
        <v>1</v>
      </c>
      <c r="H876" s="12">
        <v>0</v>
      </c>
      <c r="I876" s="7">
        <f>IFERROR(VLOOKUP(D876,EQUIPOS!A:C,3,FALSE),0)</f>
        <v>31456.894899999999</v>
      </c>
      <c r="J876" s="8">
        <f t="shared" si="52"/>
        <v>31456.894899999999</v>
      </c>
      <c r="K876" s="7" t="str">
        <f t="shared" si="53"/>
        <v>PTO-1905|EQ</v>
      </c>
      <c r="L876" s="7">
        <f>COUNTIFS($K$2:K876,K876)</f>
        <v>1</v>
      </c>
      <c r="M876" s="7" t="str">
        <f t="shared" si="54"/>
        <v>PTO-1905|EQ|1</v>
      </c>
      <c r="N876" s="7">
        <f>IFERROR(VLOOKUP(A876,PARTIDAS!A:F,6,FALSE),0)</f>
        <v>1</v>
      </c>
      <c r="O876" s="7">
        <f t="shared" si="55"/>
        <v>0</v>
      </c>
      <c r="P876" s="7">
        <f>IFERROR(_xlfn.XLOOKUP(A876,PPTO_GENERADOR!$Q:$Q,PPTO_GENERADOR!$E:$E,"-",0),"-")</f>
        <v>1</v>
      </c>
    </row>
    <row r="877" spans="1:16" x14ac:dyDescent="0.35">
      <c r="A877" s="5" t="s">
        <v>1094</v>
      </c>
      <c r="B877" s="5" t="s">
        <v>1203</v>
      </c>
      <c r="C877" s="5" t="s">
        <v>1199</v>
      </c>
      <c r="D877" s="5" t="s">
        <v>385</v>
      </c>
      <c r="E877" s="7" t="str">
        <f>IFERROR(VLOOKUP(D877,MATERIALES!A:B,2,FALSE),"?")</f>
        <v>Tendido caño pluvial por pisos</v>
      </c>
      <c r="F877" s="5"/>
      <c r="G877" s="11">
        <v>1</v>
      </c>
      <c r="H877" s="12">
        <v>0</v>
      </c>
      <c r="I877" s="7">
        <f>IFERROR(VLOOKUP(D877,MATERIALES!A:D,4,FALSE),0)</f>
        <v>898768.42599999998</v>
      </c>
      <c r="J877" s="8">
        <f t="shared" si="52"/>
        <v>898768.42599999998</v>
      </c>
      <c r="K877" s="7" t="str">
        <f t="shared" si="53"/>
        <v>PTO-1906|MAT</v>
      </c>
      <c r="L877" s="7">
        <f>COUNTIFS($K$2:K877,K877)</f>
        <v>1</v>
      </c>
      <c r="M877" s="7" t="str">
        <f t="shared" si="54"/>
        <v>PTO-1906|MAT|1</v>
      </c>
      <c r="N877" s="7">
        <f>IFERROR(VLOOKUP(A877,PARTIDAS!A:F,6,FALSE),0)</f>
        <v>1</v>
      </c>
      <c r="O877" s="7">
        <f t="shared" si="55"/>
        <v>0</v>
      </c>
      <c r="P877" s="7">
        <f>IFERROR(_xlfn.XLOOKUP(A877,PPTO_GENERADOR!$Q:$Q,PPTO_GENERADOR!$E:$E,"-",0),"-")</f>
        <v>1</v>
      </c>
    </row>
    <row r="878" spans="1:16" x14ac:dyDescent="0.35">
      <c r="A878" s="5" t="s">
        <v>1094</v>
      </c>
      <c r="B878" s="5" t="s">
        <v>1198</v>
      </c>
      <c r="C878" s="5" t="s">
        <v>1199</v>
      </c>
      <c r="D878" s="5" t="s">
        <v>750</v>
      </c>
      <c r="E878" s="7" t="str">
        <f>IFERROR(VLOOKUP(D878,SUBCONTRATOS_PRY!A:B,2,FALSE),"?")</f>
        <v>Tendido caño pluvial por pisos</v>
      </c>
      <c r="F878" s="5" t="s">
        <v>1200</v>
      </c>
      <c r="G878" s="11">
        <v>1</v>
      </c>
      <c r="H878" s="12">
        <v>0</v>
      </c>
      <c r="I878" s="7">
        <f>IFERROR(VLOOKUP(D878,SUBCONTRATOS_PRY!A:D,4,FALSE),0)</f>
        <v>1497947.3766999999</v>
      </c>
      <c r="J878" s="8">
        <f t="shared" si="52"/>
        <v>1497947.3766999999</v>
      </c>
      <c r="K878" s="7" t="str">
        <f t="shared" si="53"/>
        <v>PTO-1906|MO</v>
      </c>
      <c r="L878" s="7">
        <f>COUNTIFS($K$2:K878,K878)</f>
        <v>1</v>
      </c>
      <c r="M878" s="7" t="str">
        <f t="shared" si="54"/>
        <v>PTO-1906|MO|1</v>
      </c>
      <c r="N878" s="7">
        <f>IFERROR(VLOOKUP(A878,PARTIDAS!A:F,6,FALSE),0)</f>
        <v>1</v>
      </c>
      <c r="O878" s="7">
        <f t="shared" si="55"/>
        <v>0</v>
      </c>
      <c r="P878" s="7">
        <f>IFERROR(_xlfn.XLOOKUP(A878,PPTO_GENERADOR!$Q:$Q,PPTO_GENERADOR!$E:$E,"-",0),"-")</f>
        <v>1</v>
      </c>
    </row>
    <row r="879" spans="1:16" x14ac:dyDescent="0.35">
      <c r="A879" s="5" t="s">
        <v>1094</v>
      </c>
      <c r="B879" s="5" t="s">
        <v>1202</v>
      </c>
      <c r="C879" s="5"/>
      <c r="D879" s="5" t="s">
        <v>619</v>
      </c>
      <c r="E879" s="7" t="str">
        <f>IFERROR(VLOOKUP(D879,EQUIPOS!A:B,2,FALSE),"?")</f>
        <v>Herramientas/consumibles - Tendido caño pluvial por pisos</v>
      </c>
      <c r="F879" s="5"/>
      <c r="G879" s="11">
        <v>1</v>
      </c>
      <c r="H879" s="12">
        <v>0</v>
      </c>
      <c r="I879" s="7">
        <f>IFERROR(VLOOKUP(D879,EQUIPOS!A:C,3,FALSE),0)</f>
        <v>35950.737000000001</v>
      </c>
      <c r="J879" s="8">
        <f t="shared" si="52"/>
        <v>35950.737000000001</v>
      </c>
      <c r="K879" s="7" t="str">
        <f t="shared" si="53"/>
        <v>PTO-1906|EQ</v>
      </c>
      <c r="L879" s="7">
        <f>COUNTIFS($K$2:K879,K879)</f>
        <v>1</v>
      </c>
      <c r="M879" s="7" t="str">
        <f t="shared" si="54"/>
        <v>PTO-1906|EQ|1</v>
      </c>
      <c r="N879" s="7">
        <f>IFERROR(VLOOKUP(A879,PARTIDAS!A:F,6,FALSE),0)</f>
        <v>1</v>
      </c>
      <c r="O879" s="7">
        <f t="shared" si="55"/>
        <v>0</v>
      </c>
      <c r="P879" s="7">
        <f>IFERROR(_xlfn.XLOOKUP(A879,PPTO_GENERADOR!$Q:$Q,PPTO_GENERADOR!$E:$E,"-",0),"-")</f>
        <v>1</v>
      </c>
    </row>
    <row r="880" spans="1:16" x14ac:dyDescent="0.35">
      <c r="A880" s="5" t="s">
        <v>1095</v>
      </c>
      <c r="B880" s="5" t="s">
        <v>1203</v>
      </c>
      <c r="C880" s="5" t="s">
        <v>1199</v>
      </c>
      <c r="D880" s="5" t="s">
        <v>387</v>
      </c>
      <c r="E880" s="7" t="str">
        <f>IFERROR(VLOOKUP(D880,MATERIALES!A:B,2,FALSE),"?")</f>
        <v>Instalación tanque de recupero y bombeo pluvial</v>
      </c>
      <c r="F880" s="5"/>
      <c r="G880" s="11">
        <v>1</v>
      </c>
      <c r="H880" s="12">
        <v>0</v>
      </c>
      <c r="I880" s="7">
        <f>IFERROR(VLOOKUP(D880,MATERIALES!A:D,4,FALSE),0)</f>
        <v>213992.48240000001</v>
      </c>
      <c r="J880" s="8">
        <f t="shared" si="52"/>
        <v>213992.48240000001</v>
      </c>
      <c r="K880" s="7" t="str">
        <f t="shared" si="53"/>
        <v>PTO-1907|MAT</v>
      </c>
      <c r="L880" s="7">
        <f>COUNTIFS($K$2:K880,K880)</f>
        <v>1</v>
      </c>
      <c r="M880" s="7" t="str">
        <f t="shared" si="54"/>
        <v>PTO-1907|MAT|1</v>
      </c>
      <c r="N880" s="7">
        <f>IFERROR(VLOOKUP(A880,PARTIDAS!A:F,6,FALSE),0)</f>
        <v>1</v>
      </c>
      <c r="O880" s="7">
        <f t="shared" si="55"/>
        <v>0</v>
      </c>
      <c r="P880" s="7">
        <f>IFERROR(_xlfn.XLOOKUP(A880,PPTO_GENERADOR!$Q:$Q,PPTO_GENERADOR!$E:$E,"-",0),"-")</f>
        <v>1</v>
      </c>
    </row>
    <row r="881" spans="1:16" x14ac:dyDescent="0.35">
      <c r="A881" s="5" t="s">
        <v>1095</v>
      </c>
      <c r="B881" s="5" t="s">
        <v>1198</v>
      </c>
      <c r="C881" s="5" t="s">
        <v>1199</v>
      </c>
      <c r="D881" s="5" t="s">
        <v>751</v>
      </c>
      <c r="E881" s="7" t="str">
        <f>IFERROR(VLOOKUP(D881,SUBCONTRATOS_PRY!A:B,2,FALSE),"?")</f>
        <v>Instalación tanque de recupero y bombeo pluvial</v>
      </c>
      <c r="F881" s="5" t="s">
        <v>1200</v>
      </c>
      <c r="G881" s="11">
        <v>1</v>
      </c>
      <c r="H881" s="12">
        <v>0</v>
      </c>
      <c r="I881" s="7">
        <f>IFERROR(VLOOKUP(D881,SUBCONTRATOS_PRY!A:D,4,FALSE),0)</f>
        <v>427984.96480000002</v>
      </c>
      <c r="J881" s="8">
        <f t="shared" si="52"/>
        <v>427984.96480000002</v>
      </c>
      <c r="K881" s="7" t="str">
        <f t="shared" si="53"/>
        <v>PTO-1907|MO</v>
      </c>
      <c r="L881" s="7">
        <f>COUNTIFS($K$2:K881,K881)</f>
        <v>1</v>
      </c>
      <c r="M881" s="7" t="str">
        <f t="shared" si="54"/>
        <v>PTO-1907|MO|1</v>
      </c>
      <c r="N881" s="7">
        <f>IFERROR(VLOOKUP(A881,PARTIDAS!A:F,6,FALSE),0)</f>
        <v>1</v>
      </c>
      <c r="O881" s="7">
        <f t="shared" si="55"/>
        <v>0</v>
      </c>
      <c r="P881" s="7">
        <f>IFERROR(_xlfn.XLOOKUP(A881,PPTO_GENERADOR!$Q:$Q,PPTO_GENERADOR!$E:$E,"-",0),"-")</f>
        <v>1</v>
      </c>
    </row>
    <row r="882" spans="1:16" x14ac:dyDescent="0.35">
      <c r="A882" s="5" t="s">
        <v>1095</v>
      </c>
      <c r="B882" s="5" t="s">
        <v>1202</v>
      </c>
      <c r="C882" s="5"/>
      <c r="D882" s="5" t="s">
        <v>621</v>
      </c>
      <c r="E882" s="7" t="str">
        <f>IFERROR(VLOOKUP(D882,EQUIPOS!A:B,2,FALSE),"?")</f>
        <v xml:space="preserve">Herramientas/consumibles - Instalación tanque de recupero y bombeo </v>
      </c>
      <c r="F882" s="5"/>
      <c r="G882" s="11">
        <v>1</v>
      </c>
      <c r="H882" s="12">
        <v>0</v>
      </c>
      <c r="I882" s="7">
        <f>IFERROR(VLOOKUP(D882,EQUIPOS!A:C,3,FALSE),0)</f>
        <v>9629.6617000000006</v>
      </c>
      <c r="J882" s="8">
        <f t="shared" si="52"/>
        <v>9629.6617000000006</v>
      </c>
      <c r="K882" s="7" t="str">
        <f t="shared" si="53"/>
        <v>PTO-1907|EQ</v>
      </c>
      <c r="L882" s="7">
        <f>COUNTIFS($K$2:K882,K882)</f>
        <v>1</v>
      </c>
      <c r="M882" s="7" t="str">
        <f t="shared" si="54"/>
        <v>PTO-1907|EQ|1</v>
      </c>
      <c r="N882" s="7">
        <f>IFERROR(VLOOKUP(A882,PARTIDAS!A:F,6,FALSE),0)</f>
        <v>1</v>
      </c>
      <c r="O882" s="7">
        <f t="shared" si="55"/>
        <v>0</v>
      </c>
      <c r="P882" s="7">
        <f>IFERROR(_xlfn.XLOOKUP(A882,PPTO_GENERADOR!$Q:$Q,PPTO_GENERADOR!$E:$E,"-",0),"-")</f>
        <v>1</v>
      </c>
    </row>
    <row r="883" spans="1:16" x14ac:dyDescent="0.35">
      <c r="A883" s="5" t="s">
        <v>1096</v>
      </c>
      <c r="B883" s="5" t="s">
        <v>1203</v>
      </c>
      <c r="C883" s="5" t="s">
        <v>1199</v>
      </c>
      <c r="D883" s="5" t="s">
        <v>389</v>
      </c>
      <c r="E883" s="7" t="str">
        <f>IFERROR(VLOOKUP(D883,MATERIALES!A:B,2,FALSE),"?")</f>
        <v>Tendido caño de agua en SS hasta TB. Colocación de TB, armado de colector y cuadro de bombas</v>
      </c>
      <c r="F883" s="5"/>
      <c r="G883" s="11">
        <v>1</v>
      </c>
      <c r="H883" s="12">
        <v>0</v>
      </c>
      <c r="I883" s="7">
        <f>IFERROR(VLOOKUP(D883,MATERIALES!A:D,4,FALSE),0)</f>
        <v>979935.30830000003</v>
      </c>
      <c r="J883" s="8">
        <f t="shared" si="52"/>
        <v>979935.30830000003</v>
      </c>
      <c r="K883" s="7" t="str">
        <f t="shared" si="53"/>
        <v>PTO-1908|MAT</v>
      </c>
      <c r="L883" s="7">
        <f>COUNTIFS($K$2:K883,K883)</f>
        <v>1</v>
      </c>
      <c r="M883" s="7" t="str">
        <f t="shared" si="54"/>
        <v>PTO-1908|MAT|1</v>
      </c>
      <c r="N883" s="7">
        <f>IFERROR(VLOOKUP(A883,PARTIDAS!A:F,6,FALSE),0)</f>
        <v>1</v>
      </c>
      <c r="O883" s="7">
        <f t="shared" si="55"/>
        <v>0</v>
      </c>
      <c r="P883" s="7">
        <f>IFERROR(_xlfn.XLOOKUP(A883,PPTO_GENERADOR!$Q:$Q,PPTO_GENERADOR!$E:$E,"-",0),"-")</f>
        <v>1</v>
      </c>
    </row>
    <row r="884" spans="1:16" x14ac:dyDescent="0.35">
      <c r="A884" s="5" t="s">
        <v>1096</v>
      </c>
      <c r="B884" s="5" t="s">
        <v>1198</v>
      </c>
      <c r="C884" s="5" t="s">
        <v>1199</v>
      </c>
      <c r="D884" s="5" t="s">
        <v>752</v>
      </c>
      <c r="E884" s="7" t="str">
        <f>IFERROR(VLOOKUP(D884,SUBCONTRATOS_PRY!A:B,2,FALSE),"?")</f>
        <v>Tendido caño de agua en SS hasta TB. Colocación de TB, armado de colector y cuadro de bombas</v>
      </c>
      <c r="F884" s="5" t="s">
        <v>1200</v>
      </c>
      <c r="G884" s="11">
        <v>1</v>
      </c>
      <c r="H884" s="12">
        <v>0</v>
      </c>
      <c r="I884" s="7">
        <f>IFERROR(VLOOKUP(D884,SUBCONTRATOS_PRY!A:D,4,FALSE),0)</f>
        <v>1959870.6166000001</v>
      </c>
      <c r="J884" s="8">
        <f t="shared" si="52"/>
        <v>1959870.6166000001</v>
      </c>
      <c r="K884" s="7" t="str">
        <f t="shared" si="53"/>
        <v>PTO-1908|MO</v>
      </c>
      <c r="L884" s="7">
        <f>COUNTIFS($K$2:K884,K884)</f>
        <v>1</v>
      </c>
      <c r="M884" s="7" t="str">
        <f t="shared" si="54"/>
        <v>PTO-1908|MO|1</v>
      </c>
      <c r="N884" s="7">
        <f>IFERROR(VLOOKUP(A884,PARTIDAS!A:F,6,FALSE),0)</f>
        <v>1</v>
      </c>
      <c r="O884" s="7">
        <f t="shared" si="55"/>
        <v>0</v>
      </c>
      <c r="P884" s="7">
        <f>IFERROR(_xlfn.XLOOKUP(A884,PPTO_GENERADOR!$Q:$Q,PPTO_GENERADOR!$E:$E,"-",0),"-")</f>
        <v>1</v>
      </c>
    </row>
    <row r="885" spans="1:16" x14ac:dyDescent="0.35">
      <c r="A885" s="5" t="s">
        <v>1096</v>
      </c>
      <c r="B885" s="5" t="s">
        <v>1202</v>
      </c>
      <c r="C885" s="5"/>
      <c r="D885" s="5" t="s">
        <v>623</v>
      </c>
      <c r="E885" s="7" t="str">
        <f>IFERROR(VLOOKUP(D885,EQUIPOS!A:B,2,FALSE),"?")</f>
        <v>Herramientas/consumibles - Tendido caño de agua en SS hasta TB. Col</v>
      </c>
      <c r="F885" s="5"/>
      <c r="G885" s="11">
        <v>1</v>
      </c>
      <c r="H885" s="12">
        <v>0</v>
      </c>
      <c r="I885" s="7">
        <f>IFERROR(VLOOKUP(D885,EQUIPOS!A:C,3,FALSE),0)</f>
        <v>44097.088900000002</v>
      </c>
      <c r="J885" s="8">
        <f t="shared" si="52"/>
        <v>44097.088900000002</v>
      </c>
      <c r="K885" s="7" t="str">
        <f t="shared" si="53"/>
        <v>PTO-1908|EQ</v>
      </c>
      <c r="L885" s="7">
        <f>COUNTIFS($K$2:K885,K885)</f>
        <v>1</v>
      </c>
      <c r="M885" s="7" t="str">
        <f t="shared" si="54"/>
        <v>PTO-1908|EQ|1</v>
      </c>
      <c r="N885" s="7">
        <f>IFERROR(VLOOKUP(A885,PARTIDAS!A:F,6,FALSE),0)</f>
        <v>1</v>
      </c>
      <c r="O885" s="7">
        <f t="shared" si="55"/>
        <v>0</v>
      </c>
      <c r="P885" s="7">
        <f>IFERROR(_xlfn.XLOOKUP(A885,PPTO_GENERADOR!$Q:$Q,PPTO_GENERADOR!$E:$E,"-",0),"-")</f>
        <v>1</v>
      </c>
    </row>
    <row r="886" spans="1:16" x14ac:dyDescent="0.35">
      <c r="A886" s="5" t="s">
        <v>1097</v>
      </c>
      <c r="B886" s="5" t="s">
        <v>1203</v>
      </c>
      <c r="C886" s="5" t="s">
        <v>1199</v>
      </c>
      <c r="D886" s="5" t="s">
        <v>391</v>
      </c>
      <c r="E886" s="7" t="str">
        <f>IFERROR(VLOOKUP(D886,MATERIALES!A:B,2,FALSE),"?")</f>
        <v>Colocación TR, armado de colector, subida y bajadas de AF</v>
      </c>
      <c r="F886" s="5"/>
      <c r="G886" s="11">
        <v>1</v>
      </c>
      <c r="H886" s="12">
        <v>0</v>
      </c>
      <c r="I886" s="7">
        <f>IFERROR(VLOOKUP(D886,MATERIALES!A:D,4,FALSE),0)</f>
        <v>1959870.6166000001</v>
      </c>
      <c r="J886" s="8">
        <f t="shared" si="52"/>
        <v>1959870.6166000001</v>
      </c>
      <c r="K886" s="7" t="str">
        <f t="shared" si="53"/>
        <v>PTO-1909|MAT</v>
      </c>
      <c r="L886" s="7">
        <f>COUNTIFS($K$2:K886,K886)</f>
        <v>1</v>
      </c>
      <c r="M886" s="7" t="str">
        <f t="shared" si="54"/>
        <v>PTO-1909|MAT|1</v>
      </c>
      <c r="N886" s="7">
        <f>IFERROR(VLOOKUP(A886,PARTIDAS!A:F,6,FALSE),0)</f>
        <v>1</v>
      </c>
      <c r="O886" s="7">
        <f t="shared" si="55"/>
        <v>0</v>
      </c>
      <c r="P886" s="7">
        <f>IFERROR(_xlfn.XLOOKUP(A886,PPTO_GENERADOR!$Q:$Q,PPTO_GENERADOR!$E:$E,"-",0),"-")</f>
        <v>1</v>
      </c>
    </row>
    <row r="887" spans="1:16" x14ac:dyDescent="0.35">
      <c r="A887" s="5" t="s">
        <v>1097</v>
      </c>
      <c r="B887" s="5" t="s">
        <v>1198</v>
      </c>
      <c r="C887" s="5" t="s">
        <v>1199</v>
      </c>
      <c r="D887" s="5" t="s">
        <v>753</v>
      </c>
      <c r="E887" s="7" t="str">
        <f>IFERROR(VLOOKUP(D887,SUBCONTRATOS_PRY!A:B,2,FALSE),"?")</f>
        <v>Colocación TR, armado de colector, subida y bajadas de AF</v>
      </c>
      <c r="F887" s="5" t="s">
        <v>1200</v>
      </c>
      <c r="G887" s="11">
        <v>1</v>
      </c>
      <c r="H887" s="12">
        <v>0</v>
      </c>
      <c r="I887" s="7">
        <f>IFERROR(VLOOKUP(D887,SUBCONTRATOS_PRY!A:D,4,FALSE),0)</f>
        <v>3919741.2332000001</v>
      </c>
      <c r="J887" s="8">
        <f t="shared" si="52"/>
        <v>3919741.2332000001</v>
      </c>
      <c r="K887" s="7" t="str">
        <f t="shared" si="53"/>
        <v>PTO-1909|MO</v>
      </c>
      <c r="L887" s="7">
        <f>COUNTIFS($K$2:K887,K887)</f>
        <v>1</v>
      </c>
      <c r="M887" s="7" t="str">
        <f t="shared" si="54"/>
        <v>PTO-1909|MO|1</v>
      </c>
      <c r="N887" s="7">
        <f>IFERROR(VLOOKUP(A887,PARTIDAS!A:F,6,FALSE),0)</f>
        <v>1</v>
      </c>
      <c r="O887" s="7">
        <f t="shared" si="55"/>
        <v>0</v>
      </c>
      <c r="P887" s="7">
        <f>IFERROR(_xlfn.XLOOKUP(A887,PPTO_GENERADOR!$Q:$Q,PPTO_GENERADOR!$E:$E,"-",0),"-")</f>
        <v>1</v>
      </c>
    </row>
    <row r="888" spans="1:16" x14ac:dyDescent="0.35">
      <c r="A888" s="5" t="s">
        <v>1097</v>
      </c>
      <c r="B888" s="5" t="s">
        <v>1202</v>
      </c>
      <c r="C888" s="5"/>
      <c r="D888" s="5" t="s">
        <v>625</v>
      </c>
      <c r="E888" s="7" t="str">
        <f>IFERROR(VLOOKUP(D888,EQUIPOS!A:B,2,FALSE),"?")</f>
        <v>Herramientas/consumibles - Colocación TR, armado de colector, subid</v>
      </c>
      <c r="F888" s="5"/>
      <c r="G888" s="11">
        <v>1</v>
      </c>
      <c r="H888" s="12">
        <v>0</v>
      </c>
      <c r="I888" s="7">
        <f>IFERROR(VLOOKUP(D888,EQUIPOS!A:C,3,FALSE),0)</f>
        <v>88194.1777</v>
      </c>
      <c r="J888" s="8">
        <f t="shared" si="52"/>
        <v>88194.1777</v>
      </c>
      <c r="K888" s="7" t="str">
        <f t="shared" si="53"/>
        <v>PTO-1909|EQ</v>
      </c>
      <c r="L888" s="7">
        <f>COUNTIFS($K$2:K888,K888)</f>
        <v>1</v>
      </c>
      <c r="M888" s="7" t="str">
        <f t="shared" si="54"/>
        <v>PTO-1909|EQ|1</v>
      </c>
      <c r="N888" s="7">
        <f>IFERROR(VLOOKUP(A888,PARTIDAS!A:F,6,FALSE),0)</f>
        <v>1</v>
      </c>
      <c r="O888" s="7">
        <f t="shared" si="55"/>
        <v>0</v>
      </c>
      <c r="P888" s="7">
        <f>IFERROR(_xlfn.XLOOKUP(A888,PPTO_GENERADOR!$Q:$Q,PPTO_GENERADOR!$E:$E,"-",0),"-")</f>
        <v>1</v>
      </c>
    </row>
    <row r="889" spans="1:16" x14ac:dyDescent="0.35">
      <c r="A889" s="5" t="s">
        <v>1098</v>
      </c>
      <c r="B889" s="5" t="s">
        <v>1203</v>
      </c>
      <c r="C889" s="5" t="s">
        <v>1199</v>
      </c>
      <c r="D889" s="5" t="s">
        <v>393</v>
      </c>
      <c r="E889" s="7" t="str">
        <f>IFERROR(VLOOKUP(D889,MATERIALES!A:B,2,FALSE),"?")</f>
        <v>Colocación de bomba presurizadora, armado de colector y montantes presurizadas (ultimo piso 4°) AF</v>
      </c>
      <c r="F889" s="5"/>
      <c r="G889" s="11">
        <v>1</v>
      </c>
      <c r="H889" s="12">
        <v>0</v>
      </c>
      <c r="I889" s="7">
        <f>IFERROR(VLOOKUP(D889,MATERIALES!A:D,4,FALSE),0)</f>
        <v>391974.12329999998</v>
      </c>
      <c r="J889" s="8">
        <f t="shared" si="52"/>
        <v>391974.12329999998</v>
      </c>
      <c r="K889" s="7" t="str">
        <f t="shared" si="53"/>
        <v>PTO-1910|MAT</v>
      </c>
      <c r="L889" s="7">
        <f>COUNTIFS($K$2:K889,K889)</f>
        <v>1</v>
      </c>
      <c r="M889" s="7" t="str">
        <f t="shared" si="54"/>
        <v>PTO-1910|MAT|1</v>
      </c>
      <c r="N889" s="7">
        <f>IFERROR(VLOOKUP(A889,PARTIDAS!A:F,6,FALSE),0)</f>
        <v>1</v>
      </c>
      <c r="O889" s="7">
        <f t="shared" si="55"/>
        <v>0</v>
      </c>
      <c r="P889" s="7">
        <f>IFERROR(_xlfn.XLOOKUP(A889,PPTO_GENERADOR!$Q:$Q,PPTO_GENERADOR!$E:$E,"-",0),"-")</f>
        <v>1</v>
      </c>
    </row>
    <row r="890" spans="1:16" x14ac:dyDescent="0.35">
      <c r="A890" s="5" t="s">
        <v>1098</v>
      </c>
      <c r="B890" s="5" t="s">
        <v>1198</v>
      </c>
      <c r="C890" s="5" t="s">
        <v>1199</v>
      </c>
      <c r="D890" s="5" t="s">
        <v>754</v>
      </c>
      <c r="E890" s="7" t="str">
        <f>IFERROR(VLOOKUP(D890,SUBCONTRATOS_PRY!A:B,2,FALSE),"?")</f>
        <v>Colocación de bomba presurizadora, armado de colector y montantes presurizadas (ultimo piso 4°) AF</v>
      </c>
      <c r="F890" s="5" t="s">
        <v>1200</v>
      </c>
      <c r="G890" s="11">
        <v>1</v>
      </c>
      <c r="H890" s="12">
        <v>0</v>
      </c>
      <c r="I890" s="7">
        <f>IFERROR(VLOOKUP(D890,SUBCONTRATOS_PRY!A:D,4,FALSE),0)</f>
        <v>979935.30830000003</v>
      </c>
      <c r="J890" s="8">
        <f t="shared" si="52"/>
        <v>979935.30830000003</v>
      </c>
      <c r="K890" s="7" t="str">
        <f t="shared" si="53"/>
        <v>PTO-1910|MO</v>
      </c>
      <c r="L890" s="7">
        <f>COUNTIFS($K$2:K890,K890)</f>
        <v>1</v>
      </c>
      <c r="M890" s="7" t="str">
        <f t="shared" si="54"/>
        <v>PTO-1910|MO|1</v>
      </c>
      <c r="N890" s="7">
        <f>IFERROR(VLOOKUP(A890,PARTIDAS!A:F,6,FALSE),0)</f>
        <v>1</v>
      </c>
      <c r="O890" s="7">
        <f t="shared" si="55"/>
        <v>0</v>
      </c>
      <c r="P890" s="7">
        <f>IFERROR(_xlfn.XLOOKUP(A890,PPTO_GENERADOR!$Q:$Q,PPTO_GENERADOR!$E:$E,"-",0),"-")</f>
        <v>1</v>
      </c>
    </row>
    <row r="891" spans="1:16" x14ac:dyDescent="0.35">
      <c r="A891" s="5" t="s">
        <v>1098</v>
      </c>
      <c r="B891" s="5" t="s">
        <v>1202</v>
      </c>
      <c r="C891" s="5"/>
      <c r="D891" s="5" t="s">
        <v>627</v>
      </c>
      <c r="E891" s="7" t="str">
        <f>IFERROR(VLOOKUP(D891,EQUIPOS!A:B,2,FALSE),"?")</f>
        <v>Herramientas/consumibles - Colocación de bomba presurizadora, armad</v>
      </c>
      <c r="F891" s="5"/>
      <c r="G891" s="11">
        <v>1</v>
      </c>
      <c r="H891" s="12">
        <v>0</v>
      </c>
      <c r="I891" s="7">
        <f>IFERROR(VLOOKUP(D891,EQUIPOS!A:C,3,FALSE),0)</f>
        <v>20578.641500000002</v>
      </c>
      <c r="J891" s="8">
        <f t="shared" si="52"/>
        <v>20578.641500000002</v>
      </c>
      <c r="K891" s="7" t="str">
        <f t="shared" si="53"/>
        <v>PTO-1910|EQ</v>
      </c>
      <c r="L891" s="7">
        <f>COUNTIFS($K$2:K891,K891)</f>
        <v>1</v>
      </c>
      <c r="M891" s="7" t="str">
        <f t="shared" si="54"/>
        <v>PTO-1910|EQ|1</v>
      </c>
      <c r="N891" s="7">
        <f>IFERROR(VLOOKUP(A891,PARTIDAS!A:F,6,FALSE),0)</f>
        <v>1</v>
      </c>
      <c r="O891" s="7">
        <f t="shared" si="55"/>
        <v>0</v>
      </c>
      <c r="P891" s="7">
        <f>IFERROR(_xlfn.XLOOKUP(A891,PPTO_GENERADOR!$Q:$Q,PPTO_GENERADOR!$E:$E,"-",0),"-")</f>
        <v>1</v>
      </c>
    </row>
    <row r="892" spans="1:16" x14ac:dyDescent="0.35">
      <c r="A892" s="5" t="s">
        <v>1099</v>
      </c>
      <c r="B892" s="5" t="s">
        <v>1203</v>
      </c>
      <c r="C892" s="5" t="s">
        <v>1199</v>
      </c>
      <c r="D892" s="5" t="s">
        <v>395</v>
      </c>
      <c r="E892" s="7" t="str">
        <f>IFERROR(VLOOKUP(D892,MATERIALES!A:B,2,FALSE),"?")</f>
        <v>Distribución agua fria y caliente en planta tipo</v>
      </c>
      <c r="F892" s="5"/>
      <c r="G892" s="11">
        <v>1</v>
      </c>
      <c r="H892" s="12">
        <v>0</v>
      </c>
      <c r="I892" s="7">
        <f>IFERROR(VLOOKUP(D892,MATERIALES!A:D,4,FALSE),0)</f>
        <v>3135792.9865000001</v>
      </c>
      <c r="J892" s="8">
        <f t="shared" si="52"/>
        <v>3135792.9865000001</v>
      </c>
      <c r="K892" s="7" t="str">
        <f t="shared" si="53"/>
        <v>PTO-1911|MAT</v>
      </c>
      <c r="L892" s="7">
        <f>COUNTIFS($K$2:K892,K892)</f>
        <v>1</v>
      </c>
      <c r="M892" s="7" t="str">
        <f t="shared" si="54"/>
        <v>PTO-1911|MAT|1</v>
      </c>
      <c r="N892" s="7">
        <f>IFERROR(VLOOKUP(A892,PARTIDAS!A:F,6,FALSE),0)</f>
        <v>1</v>
      </c>
      <c r="O892" s="7">
        <f t="shared" si="55"/>
        <v>0</v>
      </c>
      <c r="P892" s="7">
        <f>IFERROR(_xlfn.XLOOKUP(A892,PPTO_GENERADOR!$Q:$Q,PPTO_GENERADOR!$E:$E,"-",0),"-")</f>
        <v>1</v>
      </c>
    </row>
    <row r="893" spans="1:16" x14ac:dyDescent="0.35">
      <c r="A893" s="5" t="s">
        <v>1099</v>
      </c>
      <c r="B893" s="5" t="s">
        <v>1198</v>
      </c>
      <c r="C893" s="5" t="s">
        <v>1199</v>
      </c>
      <c r="D893" s="5" t="s">
        <v>755</v>
      </c>
      <c r="E893" s="7" t="str">
        <f>IFERROR(VLOOKUP(D893,SUBCONTRATOS_PRY!A:B,2,FALSE),"?")</f>
        <v>Distribución agua fria y caliente en planta tipo</v>
      </c>
      <c r="F893" s="5" t="s">
        <v>1200</v>
      </c>
      <c r="G893" s="11">
        <v>1</v>
      </c>
      <c r="H893" s="12">
        <v>0</v>
      </c>
      <c r="I893" s="7">
        <f>IFERROR(VLOOKUP(D893,SUBCONTRATOS_PRY!A:D,4,FALSE),0)</f>
        <v>7839482.4663000004</v>
      </c>
      <c r="J893" s="8">
        <f t="shared" si="52"/>
        <v>7839482.4663000004</v>
      </c>
      <c r="K893" s="7" t="str">
        <f t="shared" si="53"/>
        <v>PTO-1911|MO</v>
      </c>
      <c r="L893" s="7">
        <f>COUNTIFS($K$2:K893,K893)</f>
        <v>1</v>
      </c>
      <c r="M893" s="7" t="str">
        <f t="shared" si="54"/>
        <v>PTO-1911|MO|1</v>
      </c>
      <c r="N893" s="7">
        <f>IFERROR(VLOOKUP(A893,PARTIDAS!A:F,6,FALSE),0)</f>
        <v>1</v>
      </c>
      <c r="O893" s="7">
        <f t="shared" si="55"/>
        <v>0</v>
      </c>
      <c r="P893" s="7">
        <f>IFERROR(_xlfn.XLOOKUP(A893,PPTO_GENERADOR!$Q:$Q,PPTO_GENERADOR!$E:$E,"-",0),"-")</f>
        <v>1</v>
      </c>
    </row>
    <row r="894" spans="1:16" x14ac:dyDescent="0.35">
      <c r="A894" s="5" t="s">
        <v>1099</v>
      </c>
      <c r="B894" s="5" t="s">
        <v>1202</v>
      </c>
      <c r="C894" s="5"/>
      <c r="D894" s="5" t="s">
        <v>629</v>
      </c>
      <c r="E894" s="7" t="str">
        <f>IFERROR(VLOOKUP(D894,EQUIPOS!A:B,2,FALSE),"?")</f>
        <v>Herramientas/consumibles - Distribución agua fria y caliente en pla</v>
      </c>
      <c r="F894" s="5"/>
      <c r="G894" s="11">
        <v>1</v>
      </c>
      <c r="H894" s="12">
        <v>0</v>
      </c>
      <c r="I894" s="7">
        <f>IFERROR(VLOOKUP(D894,EQUIPOS!A:C,3,FALSE),0)</f>
        <v>164629.1318</v>
      </c>
      <c r="J894" s="8">
        <f t="shared" si="52"/>
        <v>164629.1318</v>
      </c>
      <c r="K894" s="7" t="str">
        <f t="shared" si="53"/>
        <v>PTO-1911|EQ</v>
      </c>
      <c r="L894" s="7">
        <f>COUNTIFS($K$2:K894,K894)</f>
        <v>1</v>
      </c>
      <c r="M894" s="7" t="str">
        <f t="shared" si="54"/>
        <v>PTO-1911|EQ|1</v>
      </c>
      <c r="N894" s="7">
        <f>IFERROR(VLOOKUP(A894,PARTIDAS!A:F,6,FALSE),0)</f>
        <v>1</v>
      </c>
      <c r="O894" s="7">
        <f t="shared" si="55"/>
        <v>0</v>
      </c>
      <c r="P894" s="7">
        <f>IFERROR(_xlfn.XLOOKUP(A894,PPTO_GENERADOR!$Q:$Q,PPTO_GENERADOR!$E:$E,"-",0),"-")</f>
        <v>1</v>
      </c>
    </row>
    <row r="895" spans="1:16" x14ac:dyDescent="0.35">
      <c r="A895" s="5" t="s">
        <v>1100</v>
      </c>
      <c r="B895" s="5" t="s">
        <v>1203</v>
      </c>
      <c r="C895" s="5" t="s">
        <v>1199</v>
      </c>
      <c r="D895" s="5" t="s">
        <v>397</v>
      </c>
      <c r="E895" s="7" t="str">
        <f>IFERROR(VLOOKUP(D895,MATERIALES!A:B,2,FALSE),"?")</f>
        <v>Colocación de artefactos y griferias - Provisión a cargo del comitente</v>
      </c>
      <c r="F895" s="5"/>
      <c r="G895" s="11">
        <v>1</v>
      </c>
      <c r="H895" s="12">
        <v>0</v>
      </c>
      <c r="I895" s="7">
        <f>IFERROR(VLOOKUP(D895,MATERIALES!A:D,4,FALSE),0)</f>
        <v>2939805.9249</v>
      </c>
      <c r="J895" s="8">
        <f t="shared" si="52"/>
        <v>2939805.9249</v>
      </c>
      <c r="K895" s="7" t="str">
        <f t="shared" si="53"/>
        <v>PTO-1912|MAT</v>
      </c>
      <c r="L895" s="7">
        <f>COUNTIFS($K$2:K895,K895)</f>
        <v>1</v>
      </c>
      <c r="M895" s="7" t="str">
        <f t="shared" si="54"/>
        <v>PTO-1912|MAT|1</v>
      </c>
      <c r="N895" s="7">
        <f>IFERROR(VLOOKUP(A895,PARTIDAS!A:F,6,FALSE),0)</f>
        <v>1</v>
      </c>
      <c r="O895" s="7">
        <f t="shared" si="55"/>
        <v>0</v>
      </c>
      <c r="P895" s="7">
        <f>IFERROR(_xlfn.XLOOKUP(A895,PPTO_GENERADOR!$Q:$Q,PPTO_GENERADOR!$E:$E,"-",0),"-")</f>
        <v>1</v>
      </c>
    </row>
    <row r="896" spans="1:16" x14ac:dyDescent="0.35">
      <c r="A896" s="5" t="s">
        <v>1100</v>
      </c>
      <c r="B896" s="5" t="s">
        <v>1198</v>
      </c>
      <c r="C896" s="5" t="s">
        <v>1199</v>
      </c>
      <c r="D896" s="5" t="s">
        <v>756</v>
      </c>
      <c r="E896" s="7" t="str">
        <f>IFERROR(VLOOKUP(D896,SUBCONTRATOS_PRY!A:B,2,FALSE),"?")</f>
        <v>Colocación de artefactos y griferias - Provisión a cargo del comitente</v>
      </c>
      <c r="F896" s="5" t="s">
        <v>1200</v>
      </c>
      <c r="G896" s="11">
        <v>1</v>
      </c>
      <c r="H896" s="12">
        <v>0</v>
      </c>
      <c r="I896" s="7">
        <f>IFERROR(VLOOKUP(D896,SUBCONTRATOS_PRY!A:D,4,FALSE),0)</f>
        <v>4899676.5415000003</v>
      </c>
      <c r="J896" s="8">
        <f t="shared" si="52"/>
        <v>4899676.5415000003</v>
      </c>
      <c r="K896" s="7" t="str">
        <f t="shared" si="53"/>
        <v>PTO-1912|MO</v>
      </c>
      <c r="L896" s="7">
        <f>COUNTIFS($K$2:K896,K896)</f>
        <v>1</v>
      </c>
      <c r="M896" s="7" t="str">
        <f t="shared" si="54"/>
        <v>PTO-1912|MO|1</v>
      </c>
      <c r="N896" s="7">
        <f>IFERROR(VLOOKUP(A896,PARTIDAS!A:F,6,FALSE),0)</f>
        <v>1</v>
      </c>
      <c r="O896" s="7">
        <f t="shared" si="55"/>
        <v>0</v>
      </c>
      <c r="P896" s="7">
        <f>IFERROR(_xlfn.XLOOKUP(A896,PPTO_GENERADOR!$Q:$Q,PPTO_GENERADOR!$E:$E,"-",0),"-")</f>
        <v>1</v>
      </c>
    </row>
    <row r="897" spans="1:16" x14ac:dyDescent="0.35">
      <c r="A897" s="5" t="s">
        <v>1100</v>
      </c>
      <c r="B897" s="5" t="s">
        <v>1202</v>
      </c>
      <c r="C897" s="5"/>
      <c r="D897" s="5" t="s">
        <v>631</v>
      </c>
      <c r="E897" s="7" t="str">
        <f>IFERROR(VLOOKUP(D897,EQUIPOS!A:B,2,FALSE),"?")</f>
        <v>Herramientas/consumibles - Colocación de artefactos y griferias - P</v>
      </c>
      <c r="F897" s="5"/>
      <c r="G897" s="11">
        <v>1</v>
      </c>
      <c r="H897" s="12">
        <v>0</v>
      </c>
      <c r="I897" s="7">
        <f>IFERROR(VLOOKUP(D897,EQUIPOS!A:C,3,FALSE),0)</f>
        <v>117592.23699999999</v>
      </c>
      <c r="J897" s="8">
        <f t="shared" si="52"/>
        <v>117592.23699999999</v>
      </c>
      <c r="K897" s="7" t="str">
        <f t="shared" si="53"/>
        <v>PTO-1912|EQ</v>
      </c>
      <c r="L897" s="7">
        <f>COUNTIFS($K$2:K897,K897)</f>
        <v>1</v>
      </c>
      <c r="M897" s="7" t="str">
        <f t="shared" si="54"/>
        <v>PTO-1912|EQ|1</v>
      </c>
      <c r="N897" s="7">
        <f>IFERROR(VLOOKUP(A897,PARTIDAS!A:F,6,FALSE),0)</f>
        <v>1</v>
      </c>
      <c r="O897" s="7">
        <f t="shared" si="55"/>
        <v>0</v>
      </c>
      <c r="P897" s="7">
        <f>IFERROR(_xlfn.XLOOKUP(A897,PPTO_GENERADOR!$Q:$Q,PPTO_GENERADOR!$E:$E,"-",0),"-")</f>
        <v>1</v>
      </c>
    </row>
    <row r="898" spans="1:16" x14ac:dyDescent="0.35">
      <c r="A898" s="5" t="s">
        <v>1101</v>
      </c>
      <c r="B898" s="5" t="s">
        <v>1203</v>
      </c>
      <c r="C898" s="5" t="s">
        <v>1199</v>
      </c>
      <c r="D898" s="5" t="s">
        <v>399</v>
      </c>
      <c r="E898" s="7" t="str">
        <f>IFERROR(VLOOKUP(D898,MATERIALES!A:B,2,FALSE),"?")</f>
        <v>Armado y conexionado de desagües AA.CC</v>
      </c>
      <c r="F898" s="5"/>
      <c r="G898" s="11">
        <v>1</v>
      </c>
      <c r="H898" s="12">
        <v>0</v>
      </c>
      <c r="I898" s="7">
        <f>IFERROR(VLOOKUP(D898,MATERIALES!A:D,4,FALSE),0)</f>
        <v>534981.20600000001</v>
      </c>
      <c r="J898" s="8">
        <f t="shared" ref="J898:J961" si="56">G898*I898*(1+H898)</f>
        <v>534981.20600000001</v>
      </c>
      <c r="K898" s="7" t="str">
        <f t="shared" ref="K898:K961" si="57">A898&amp;"|"&amp;B898</f>
        <v>PTO-1913|MAT</v>
      </c>
      <c r="L898" s="7">
        <f>COUNTIFS($K$2:K898,K898)</f>
        <v>1</v>
      </c>
      <c r="M898" s="7" t="str">
        <f t="shared" ref="M898:M961" si="58">K898&amp;"|"&amp;L898</f>
        <v>PTO-1913|MAT|1</v>
      </c>
      <c r="N898" s="7">
        <f>IFERROR(VLOOKUP(A898,PARTIDAS!A:F,6,FALSE),0)</f>
        <v>1</v>
      </c>
      <c r="O898" s="7">
        <f t="shared" ref="O898:O961" si="59">IF(C898="ALB",IF(N898=0,0,G898/N898),0)</f>
        <v>0</v>
      </c>
      <c r="P898" s="7">
        <f>IFERROR(_xlfn.XLOOKUP(A898,PPTO_GENERADOR!$Q:$Q,PPTO_GENERADOR!$E:$E,"-",0),"-")</f>
        <v>1</v>
      </c>
    </row>
    <row r="899" spans="1:16" x14ac:dyDescent="0.35">
      <c r="A899" s="5" t="s">
        <v>1101</v>
      </c>
      <c r="B899" s="5" t="s">
        <v>1198</v>
      </c>
      <c r="C899" s="5" t="s">
        <v>1199</v>
      </c>
      <c r="D899" s="5" t="s">
        <v>757</v>
      </c>
      <c r="E899" s="7" t="str">
        <f>IFERROR(VLOOKUP(D899,SUBCONTRATOS_PRY!A:B,2,FALSE),"?")</f>
        <v>Armado y conexionado de desagües AA.CC</v>
      </c>
      <c r="F899" s="5" t="s">
        <v>1200</v>
      </c>
      <c r="G899" s="11">
        <v>1</v>
      </c>
      <c r="H899" s="12">
        <v>0</v>
      </c>
      <c r="I899" s="7">
        <f>IFERROR(VLOOKUP(D899,SUBCONTRATOS_PRY!A:D,4,FALSE),0)</f>
        <v>1069962.412</v>
      </c>
      <c r="J899" s="8">
        <f t="shared" si="56"/>
        <v>1069962.412</v>
      </c>
      <c r="K899" s="7" t="str">
        <f t="shared" si="57"/>
        <v>PTO-1913|MO</v>
      </c>
      <c r="L899" s="7">
        <f>COUNTIFS($K$2:K899,K899)</f>
        <v>1</v>
      </c>
      <c r="M899" s="7" t="str">
        <f t="shared" si="58"/>
        <v>PTO-1913|MO|1</v>
      </c>
      <c r="N899" s="7">
        <f>IFERROR(VLOOKUP(A899,PARTIDAS!A:F,6,FALSE),0)</f>
        <v>1</v>
      </c>
      <c r="O899" s="7">
        <f t="shared" si="59"/>
        <v>0</v>
      </c>
      <c r="P899" s="7">
        <f>IFERROR(_xlfn.XLOOKUP(A899,PPTO_GENERADOR!$Q:$Q,PPTO_GENERADOR!$E:$E,"-",0),"-")</f>
        <v>1</v>
      </c>
    </row>
    <row r="900" spans="1:16" x14ac:dyDescent="0.35">
      <c r="A900" s="5" t="s">
        <v>1101</v>
      </c>
      <c r="B900" s="5" t="s">
        <v>1202</v>
      </c>
      <c r="C900" s="5"/>
      <c r="D900" s="5" t="s">
        <v>633</v>
      </c>
      <c r="E900" s="7" t="str">
        <f>IFERROR(VLOOKUP(D900,EQUIPOS!A:B,2,FALSE),"?")</f>
        <v>Herramientas/consumibles - Armado y conexionado de desagües AA.CC</v>
      </c>
      <c r="F900" s="5"/>
      <c r="G900" s="11">
        <v>1</v>
      </c>
      <c r="H900" s="12">
        <v>0</v>
      </c>
      <c r="I900" s="7">
        <f>IFERROR(VLOOKUP(D900,EQUIPOS!A:C,3,FALSE),0)</f>
        <v>24074.154299999998</v>
      </c>
      <c r="J900" s="8">
        <f t="shared" si="56"/>
        <v>24074.154299999998</v>
      </c>
      <c r="K900" s="7" t="str">
        <f t="shared" si="57"/>
        <v>PTO-1913|EQ</v>
      </c>
      <c r="L900" s="7">
        <f>COUNTIFS($K$2:K900,K900)</f>
        <v>1</v>
      </c>
      <c r="M900" s="7" t="str">
        <f t="shared" si="58"/>
        <v>PTO-1913|EQ|1</v>
      </c>
      <c r="N900" s="7">
        <f>IFERROR(VLOOKUP(A900,PARTIDAS!A:F,6,FALSE),0)</f>
        <v>1</v>
      </c>
      <c r="O900" s="7">
        <f t="shared" si="59"/>
        <v>0</v>
      </c>
      <c r="P900" s="7">
        <f>IFERROR(_xlfn.XLOOKUP(A900,PPTO_GENERADOR!$Q:$Q,PPTO_GENERADOR!$E:$E,"-",0),"-")</f>
        <v>1</v>
      </c>
    </row>
    <row r="901" spans="1:16" x14ac:dyDescent="0.35">
      <c r="A901" s="5" t="s">
        <v>1102</v>
      </c>
      <c r="B901" s="5" t="s">
        <v>1203</v>
      </c>
      <c r="C901" s="5" t="s">
        <v>1199</v>
      </c>
      <c r="D901" s="5" t="s">
        <v>401</v>
      </c>
      <c r="E901" s="7" t="str">
        <f>IFERROR(VLOOKUP(D901,MATERIALES!A:B,2,FALSE),"?")</f>
        <v>Tendido de cañerías de mando y retorno para calefacción</v>
      </c>
      <c r="F901" s="5"/>
      <c r="G901" s="11">
        <v>1</v>
      </c>
      <c r="H901" s="12">
        <v>0</v>
      </c>
      <c r="I901" s="7">
        <f>IFERROR(VLOOKUP(D901,MATERIALES!A:D,4,FALSE),0)</f>
        <v>3558424.4301</v>
      </c>
      <c r="J901" s="8">
        <f t="shared" si="56"/>
        <v>3558424.4301</v>
      </c>
      <c r="K901" s="7" t="str">
        <f t="shared" si="57"/>
        <v>PTO-1914|MAT</v>
      </c>
      <c r="L901" s="7">
        <f>COUNTIFS($K$2:K901,K901)</f>
        <v>1</v>
      </c>
      <c r="M901" s="7" t="str">
        <f t="shared" si="58"/>
        <v>PTO-1914|MAT|1</v>
      </c>
      <c r="N901" s="7">
        <f>IFERROR(VLOOKUP(A901,PARTIDAS!A:F,6,FALSE),0)</f>
        <v>1</v>
      </c>
      <c r="O901" s="7">
        <f t="shared" si="59"/>
        <v>0</v>
      </c>
      <c r="P901" s="7">
        <f>IFERROR(_xlfn.XLOOKUP(A901,PPTO_GENERADOR!$Q:$Q,PPTO_GENERADOR!$E:$E,"-",0),"-")</f>
        <v>1</v>
      </c>
    </row>
    <row r="902" spans="1:16" x14ac:dyDescent="0.35">
      <c r="A902" s="5" t="s">
        <v>1102</v>
      </c>
      <c r="B902" s="5" t="s">
        <v>1198</v>
      </c>
      <c r="C902" s="5" t="s">
        <v>1199</v>
      </c>
      <c r="D902" s="5" t="s">
        <v>758</v>
      </c>
      <c r="E902" s="7" t="str">
        <f>IFERROR(VLOOKUP(D902,SUBCONTRATOS_PRY!A:B,2,FALSE),"?")</f>
        <v>Tendido de cañerías</v>
      </c>
      <c r="F902" s="5" t="s">
        <v>1200</v>
      </c>
      <c r="G902" s="11">
        <v>1</v>
      </c>
      <c r="H902" s="12">
        <v>0</v>
      </c>
      <c r="I902" s="7">
        <f>IFERROR(VLOOKUP(D902,SUBCONTRATOS_PRY!A:D,4,FALSE),0)</f>
        <v>8896061.0752000008</v>
      </c>
      <c r="J902" s="8">
        <f t="shared" si="56"/>
        <v>8896061.0752000008</v>
      </c>
      <c r="K902" s="7" t="str">
        <f t="shared" si="57"/>
        <v>PTO-1914|MO</v>
      </c>
      <c r="L902" s="7">
        <f>COUNTIFS($K$2:K902,K902)</f>
        <v>1</v>
      </c>
      <c r="M902" s="7" t="str">
        <f t="shared" si="58"/>
        <v>PTO-1914|MO|1</v>
      </c>
      <c r="N902" s="7">
        <f>IFERROR(VLOOKUP(A902,PARTIDAS!A:F,6,FALSE),0)</f>
        <v>1</v>
      </c>
      <c r="O902" s="7">
        <f t="shared" si="59"/>
        <v>0</v>
      </c>
      <c r="P902" s="7">
        <f>IFERROR(_xlfn.XLOOKUP(A902,PPTO_GENERADOR!$Q:$Q,PPTO_GENERADOR!$E:$E,"-",0),"-")</f>
        <v>1</v>
      </c>
    </row>
    <row r="903" spans="1:16" x14ac:dyDescent="0.35">
      <c r="A903" s="5" t="s">
        <v>1102</v>
      </c>
      <c r="B903" s="5" t="s">
        <v>1202</v>
      </c>
      <c r="C903" s="5"/>
      <c r="D903" s="5" t="s">
        <v>635</v>
      </c>
      <c r="E903" s="7" t="str">
        <f>IFERROR(VLOOKUP(D903,EQUIPOS!A:B,2,FALSE),"?")</f>
        <v>Herramientas/consumibles - Tendido de cañerías de mando y retorno p</v>
      </c>
      <c r="F903" s="5"/>
      <c r="G903" s="11">
        <v>1</v>
      </c>
      <c r="H903" s="12">
        <v>0</v>
      </c>
      <c r="I903" s="7">
        <f>IFERROR(VLOOKUP(D903,EQUIPOS!A:C,3,FALSE),0)</f>
        <v>186817.28260000001</v>
      </c>
      <c r="J903" s="8">
        <f t="shared" si="56"/>
        <v>186817.28260000001</v>
      </c>
      <c r="K903" s="7" t="str">
        <f t="shared" si="57"/>
        <v>PTO-1914|EQ</v>
      </c>
      <c r="L903" s="7">
        <f>COUNTIFS($K$2:K903,K903)</f>
        <v>1</v>
      </c>
      <c r="M903" s="7" t="str">
        <f t="shared" si="58"/>
        <v>PTO-1914|EQ|1</v>
      </c>
      <c r="N903" s="7">
        <f>IFERROR(VLOOKUP(A903,PARTIDAS!A:F,6,FALSE),0)</f>
        <v>1</v>
      </c>
      <c r="O903" s="7">
        <f t="shared" si="59"/>
        <v>0</v>
      </c>
      <c r="P903" s="7">
        <f>IFERROR(_xlfn.XLOOKUP(A903,PPTO_GENERADOR!$Q:$Q,PPTO_GENERADOR!$E:$E,"-",0),"-")</f>
        <v>1</v>
      </c>
    </row>
    <row r="904" spans="1:16" x14ac:dyDescent="0.35">
      <c r="A904" s="5" t="s">
        <v>1104</v>
      </c>
      <c r="B904" s="5" t="s">
        <v>1198</v>
      </c>
      <c r="C904" s="5" t="s">
        <v>1199</v>
      </c>
      <c r="D904" s="5" t="s">
        <v>760</v>
      </c>
      <c r="E904" s="7" t="str">
        <f>IFERROR(VLOOKUP(D904,SUBCONTRATOS_PRY!A:B,2,FALSE),"?")</f>
        <v>Montaje de radiadores</v>
      </c>
      <c r="F904" s="5" t="s">
        <v>1200</v>
      </c>
      <c r="G904" s="11">
        <v>1</v>
      </c>
      <c r="H904" s="12">
        <v>0</v>
      </c>
      <c r="I904" s="7">
        <f>IFERROR(VLOOKUP(D904,SUBCONTRATOS_PRY!A:D,4,FALSE),0)</f>
        <v>4852396.9501</v>
      </c>
      <c r="J904" s="8">
        <f t="shared" si="56"/>
        <v>4852396.9501</v>
      </c>
      <c r="K904" s="7" t="str">
        <f t="shared" si="57"/>
        <v>PTO-1915|MO</v>
      </c>
      <c r="L904" s="7">
        <f>COUNTIFS($K$2:K904,K904)</f>
        <v>1</v>
      </c>
      <c r="M904" s="7" t="str">
        <f t="shared" si="58"/>
        <v>PTO-1915|MO|1</v>
      </c>
      <c r="N904" s="7">
        <f>IFERROR(VLOOKUP(A904,PARTIDAS!A:F,6,FALSE),0)</f>
        <v>1</v>
      </c>
      <c r="O904" s="7">
        <f t="shared" si="59"/>
        <v>0</v>
      </c>
      <c r="P904" s="7">
        <f>IFERROR(_xlfn.XLOOKUP(A904,PPTO_GENERADOR!$Q:$Q,PPTO_GENERADOR!$E:$E,"-",0),"-")</f>
        <v>1</v>
      </c>
    </row>
    <row r="905" spans="1:16" x14ac:dyDescent="0.35">
      <c r="A905" s="5" t="s">
        <v>1104</v>
      </c>
      <c r="B905" s="5" t="s">
        <v>1202</v>
      </c>
      <c r="C905" s="5"/>
      <c r="D905" s="5" t="s">
        <v>637</v>
      </c>
      <c r="E905" s="7" t="str">
        <f>IFERROR(VLOOKUP(D905,EQUIPOS!A:B,2,FALSE),"?")</f>
        <v>Herramientas/consumibles - Montaje de radiadores - Provisión a carg</v>
      </c>
      <c r="F905" s="5"/>
      <c r="G905" s="11">
        <v>1</v>
      </c>
      <c r="H905" s="12">
        <v>0</v>
      </c>
      <c r="I905" s="7">
        <f>IFERROR(VLOOKUP(D905,EQUIPOS!A:C,3,FALSE),0)</f>
        <v>72785.954299999998</v>
      </c>
      <c r="J905" s="8">
        <f t="shared" si="56"/>
        <v>72785.954299999998</v>
      </c>
      <c r="K905" s="7" t="str">
        <f t="shared" si="57"/>
        <v>PTO-1915|EQ</v>
      </c>
      <c r="L905" s="7">
        <f>COUNTIFS($K$2:K905,K905)</f>
        <v>1</v>
      </c>
      <c r="M905" s="7" t="str">
        <f t="shared" si="58"/>
        <v>PTO-1915|EQ|1</v>
      </c>
      <c r="N905" s="7">
        <f>IFERROR(VLOOKUP(A905,PARTIDAS!A:F,6,FALSE),0)</f>
        <v>1</v>
      </c>
      <c r="O905" s="7">
        <f t="shared" si="59"/>
        <v>0</v>
      </c>
      <c r="P905" s="7">
        <f>IFERROR(_xlfn.XLOOKUP(A905,PPTO_GENERADOR!$Q:$Q,PPTO_GENERADOR!$E:$E,"-",0),"-")</f>
        <v>1</v>
      </c>
    </row>
    <row r="906" spans="1:16" x14ac:dyDescent="0.35">
      <c r="A906" s="5" t="s">
        <v>1105</v>
      </c>
      <c r="B906" s="5" t="s">
        <v>1203</v>
      </c>
      <c r="C906" s="5" t="s">
        <v>1199</v>
      </c>
      <c r="D906" s="5" t="s">
        <v>403</v>
      </c>
      <c r="E906" s="7" t="str">
        <f>IFERROR(VLOOKUP(D906,MATERIALES!A:B,2,FALSE),"?")</f>
        <v>Montaje de caldera y puesta en marcha - Provisión a cargo del comitente</v>
      </c>
      <c r="F906" s="5"/>
      <c r="G906" s="11">
        <v>1</v>
      </c>
      <c r="H906" s="12">
        <v>0</v>
      </c>
      <c r="I906" s="7">
        <f>IFERROR(VLOOKUP(D906,MATERIALES!A:D,4,FALSE),0)</f>
        <v>1455719.085</v>
      </c>
      <c r="J906" s="8">
        <f t="shared" si="56"/>
        <v>1455719.085</v>
      </c>
      <c r="K906" s="7" t="str">
        <f t="shared" si="57"/>
        <v>PTO-1916|MAT</v>
      </c>
      <c r="L906" s="7">
        <f>COUNTIFS($K$2:K906,K906)</f>
        <v>1</v>
      </c>
      <c r="M906" s="7" t="str">
        <f t="shared" si="58"/>
        <v>PTO-1916|MAT|1</v>
      </c>
      <c r="N906" s="7">
        <f>IFERROR(VLOOKUP(A906,PARTIDAS!A:F,6,FALSE),0)</f>
        <v>1</v>
      </c>
      <c r="O906" s="7">
        <f t="shared" si="59"/>
        <v>0</v>
      </c>
      <c r="P906" s="7">
        <f>IFERROR(_xlfn.XLOOKUP(A906,PPTO_GENERADOR!$Q:$Q,PPTO_GENERADOR!$E:$E,"-",0),"-")</f>
        <v>1</v>
      </c>
    </row>
    <row r="907" spans="1:16" x14ac:dyDescent="0.35">
      <c r="A907" s="5" t="s">
        <v>1105</v>
      </c>
      <c r="B907" s="5" t="s">
        <v>1198</v>
      </c>
      <c r="C907" s="5" t="s">
        <v>1199</v>
      </c>
      <c r="D907" s="5" t="s">
        <v>762</v>
      </c>
      <c r="E907" s="7" t="str">
        <f>IFERROR(VLOOKUP(D907,SUBCONTRATOS_PRY!A:B,2,FALSE),"?")</f>
        <v>Puesta en marcha de caldera</v>
      </c>
      <c r="F907" s="5" t="s">
        <v>1200</v>
      </c>
      <c r="G907" s="11">
        <v>1</v>
      </c>
      <c r="H907" s="12">
        <v>0</v>
      </c>
      <c r="I907" s="7">
        <f>IFERROR(VLOOKUP(D907,SUBCONTRATOS_PRY!A:D,4,FALSE),0)</f>
        <v>2426198.4750000001</v>
      </c>
      <c r="J907" s="8">
        <f t="shared" si="56"/>
        <v>2426198.4750000001</v>
      </c>
      <c r="K907" s="7" t="str">
        <f t="shared" si="57"/>
        <v>PTO-1916|MO</v>
      </c>
      <c r="L907" s="7">
        <f>COUNTIFS($K$2:K907,K907)</f>
        <v>1</v>
      </c>
      <c r="M907" s="7" t="str">
        <f t="shared" si="58"/>
        <v>PTO-1916|MO|1</v>
      </c>
      <c r="N907" s="7">
        <f>IFERROR(VLOOKUP(A907,PARTIDAS!A:F,6,FALSE),0)</f>
        <v>1</v>
      </c>
      <c r="O907" s="7">
        <f t="shared" si="59"/>
        <v>0</v>
      </c>
      <c r="P907" s="7">
        <f>IFERROR(_xlfn.XLOOKUP(A907,PPTO_GENERADOR!$Q:$Q,PPTO_GENERADOR!$E:$E,"-",0),"-")</f>
        <v>1</v>
      </c>
    </row>
    <row r="908" spans="1:16" x14ac:dyDescent="0.35">
      <c r="A908" s="5" t="s">
        <v>1105</v>
      </c>
      <c r="B908" s="5" t="s">
        <v>1202</v>
      </c>
      <c r="C908" s="5"/>
      <c r="D908" s="5" t="s">
        <v>639</v>
      </c>
      <c r="E908" s="7" t="str">
        <f>IFERROR(VLOOKUP(D908,EQUIPOS!A:B,2,FALSE),"?")</f>
        <v xml:space="preserve">Herramientas/consumibles - Montaje de caldera y puesta en marcha - </v>
      </c>
      <c r="F908" s="5"/>
      <c r="G908" s="11">
        <v>1</v>
      </c>
      <c r="H908" s="12">
        <v>0</v>
      </c>
      <c r="I908" s="7">
        <f>IFERROR(VLOOKUP(D908,EQUIPOS!A:C,3,FALSE),0)</f>
        <v>58228.763400000003</v>
      </c>
      <c r="J908" s="8">
        <f t="shared" si="56"/>
        <v>58228.763400000003</v>
      </c>
      <c r="K908" s="7" t="str">
        <f t="shared" si="57"/>
        <v>PTO-1916|EQ</v>
      </c>
      <c r="L908" s="7">
        <f>COUNTIFS($K$2:K908,K908)</f>
        <v>1</v>
      </c>
      <c r="M908" s="7" t="str">
        <f t="shared" si="58"/>
        <v>PTO-1916|EQ|1</v>
      </c>
      <c r="N908" s="7">
        <f>IFERROR(VLOOKUP(A908,PARTIDAS!A:F,6,FALSE),0)</f>
        <v>1</v>
      </c>
      <c r="O908" s="7">
        <f t="shared" si="59"/>
        <v>0</v>
      </c>
      <c r="P908" s="7">
        <f>IFERROR(_xlfn.XLOOKUP(A908,PPTO_GENERADOR!$Q:$Q,PPTO_GENERADOR!$E:$E,"-",0),"-")</f>
        <v>1</v>
      </c>
    </row>
    <row r="909" spans="1:16" x14ac:dyDescent="0.35">
      <c r="A909" s="5" t="s">
        <v>1107</v>
      </c>
      <c r="B909" s="5" t="s">
        <v>1203</v>
      </c>
      <c r="C909" s="5" t="s">
        <v>1199</v>
      </c>
      <c r="D909" s="5" t="s">
        <v>405</v>
      </c>
      <c r="E909" s="7" t="str">
        <f>IFERROR(VLOOKUP(D909,MATERIALES!A:B,2,FALSE),"?")</f>
        <v xml:space="preserve">INCEND: Tendido cañeria de incendio - </v>
      </c>
      <c r="F909" s="5"/>
      <c r="G909" s="11">
        <v>1</v>
      </c>
      <c r="H909" s="12">
        <v>0</v>
      </c>
      <c r="I909" s="7">
        <f>IFERROR(VLOOKUP(D909,MATERIALES!A:D,4,FALSE),0)</f>
        <v>2093587.3781999999</v>
      </c>
      <c r="J909" s="8">
        <f t="shared" si="56"/>
        <v>2093587.3781999999</v>
      </c>
      <c r="K909" s="7" t="str">
        <f t="shared" si="57"/>
        <v>PTO-1917|MAT</v>
      </c>
      <c r="L909" s="7">
        <f>COUNTIFS($K$2:K909,K909)</f>
        <v>1</v>
      </c>
      <c r="M909" s="7" t="str">
        <f t="shared" si="58"/>
        <v>PTO-1917|MAT|1</v>
      </c>
      <c r="N909" s="7">
        <f>IFERROR(VLOOKUP(A909,PARTIDAS!A:F,6,FALSE),0)</f>
        <v>1</v>
      </c>
      <c r="O909" s="7">
        <f t="shared" si="59"/>
        <v>0</v>
      </c>
      <c r="P909" s="7">
        <f>IFERROR(_xlfn.XLOOKUP(A909,PPTO_GENERADOR!$Q:$Q,PPTO_GENERADOR!$E:$E,"-",0),"-")</f>
        <v>1</v>
      </c>
    </row>
    <row r="910" spans="1:16" x14ac:dyDescent="0.35">
      <c r="A910" s="5" t="s">
        <v>1107</v>
      </c>
      <c r="B910" s="5" t="s">
        <v>1198</v>
      </c>
      <c r="C910" s="5" t="s">
        <v>1199</v>
      </c>
      <c r="D910" s="5" t="s">
        <v>764</v>
      </c>
      <c r="E910" s="7" t="str">
        <f>IFERROR(VLOOKUP(D910,SUBCONTRATOS_PRY!A:B,2,FALSE),"?")</f>
        <v xml:space="preserve">INCEND: Tendido cañeria de incendio - </v>
      </c>
      <c r="F910" s="5" t="s">
        <v>1200</v>
      </c>
      <c r="G910" s="11">
        <v>1</v>
      </c>
      <c r="H910" s="12">
        <v>0</v>
      </c>
      <c r="I910" s="7">
        <f>IFERROR(VLOOKUP(D910,SUBCONTRATOS_PRY!A:D,4,FALSE),0)</f>
        <v>1987743.777</v>
      </c>
      <c r="J910" s="8">
        <f t="shared" si="56"/>
        <v>1987743.777</v>
      </c>
      <c r="K910" s="7" t="str">
        <f t="shared" si="57"/>
        <v>PTO-1917|MO</v>
      </c>
      <c r="L910" s="7">
        <f>COUNTIFS($K$2:K910,K910)</f>
        <v>1</v>
      </c>
      <c r="M910" s="7" t="str">
        <f t="shared" si="58"/>
        <v>PTO-1917|MO|1</v>
      </c>
      <c r="N910" s="7">
        <f>IFERROR(VLOOKUP(A910,PARTIDAS!A:F,6,FALSE),0)</f>
        <v>1</v>
      </c>
      <c r="O910" s="7">
        <f t="shared" si="59"/>
        <v>0</v>
      </c>
      <c r="P910" s="7">
        <f>IFERROR(_xlfn.XLOOKUP(A910,PPTO_GENERADOR!$Q:$Q,PPTO_GENERADOR!$E:$E,"-",0),"-")</f>
        <v>1</v>
      </c>
    </row>
    <row r="911" spans="1:16" x14ac:dyDescent="0.35">
      <c r="A911" s="5" t="s">
        <v>1107</v>
      </c>
      <c r="B911" s="5" t="s">
        <v>1202</v>
      </c>
      <c r="C911" s="5"/>
      <c r="D911" s="5" t="s">
        <v>641</v>
      </c>
      <c r="E911" s="7" t="str">
        <f>IFERROR(VLOOKUP(D911,EQUIPOS!A:B,2,FALSE),"?")</f>
        <v>Herramientas/consumibles - Tendido cañeria de incendio - Gabinetes,</v>
      </c>
      <c r="F911" s="5"/>
      <c r="G911" s="11">
        <v>1</v>
      </c>
      <c r="H911" s="12">
        <v>0</v>
      </c>
      <c r="I911" s="7">
        <f>IFERROR(VLOOKUP(D911,EQUIPOS!A:C,3,FALSE),0)</f>
        <v>61219.967299999997</v>
      </c>
      <c r="J911" s="8">
        <f t="shared" si="56"/>
        <v>61219.967299999997</v>
      </c>
      <c r="K911" s="7" t="str">
        <f t="shared" si="57"/>
        <v>PTO-1917|EQ</v>
      </c>
      <c r="L911" s="7">
        <f>COUNTIFS($K$2:K911,K911)</f>
        <v>1</v>
      </c>
      <c r="M911" s="7" t="str">
        <f t="shared" si="58"/>
        <v>PTO-1917|EQ|1</v>
      </c>
      <c r="N911" s="7">
        <f>IFERROR(VLOOKUP(A911,PARTIDAS!A:F,6,FALSE),0)</f>
        <v>1</v>
      </c>
      <c r="O911" s="7">
        <f t="shared" si="59"/>
        <v>0</v>
      </c>
      <c r="P911" s="7">
        <f>IFERROR(_xlfn.XLOOKUP(A911,PPTO_GENERADOR!$Q:$Q,PPTO_GENERADOR!$E:$E,"-",0),"-")</f>
        <v>1</v>
      </c>
    </row>
    <row r="912" spans="1:16" x14ac:dyDescent="0.35">
      <c r="A912" s="5" t="s">
        <v>1108</v>
      </c>
      <c r="B912" s="5" t="s">
        <v>1203</v>
      </c>
      <c r="C912" s="5" t="s">
        <v>1199</v>
      </c>
      <c r="D912" s="5" t="s">
        <v>407</v>
      </c>
      <c r="E912" s="7" t="str">
        <f>IFERROR(VLOOKUP(D912,MATERIALES!A:B,2,FALSE),"?")</f>
        <v>Provisión y tendido de cañerías de gas a cada UF</v>
      </c>
      <c r="F912" s="5"/>
      <c r="G912" s="11">
        <v>1</v>
      </c>
      <c r="H912" s="12">
        <v>0</v>
      </c>
      <c r="I912" s="7">
        <f>IFERROR(VLOOKUP(D912,MATERIALES!A:D,4,FALSE),0)</f>
        <v>6500000</v>
      </c>
      <c r="J912" s="8">
        <f t="shared" si="56"/>
        <v>6500000</v>
      </c>
      <c r="K912" s="7" t="str">
        <f t="shared" si="57"/>
        <v>PTO-1918|MAT</v>
      </c>
      <c r="L912" s="7">
        <f>COUNTIFS($K$2:K912,K912)</f>
        <v>1</v>
      </c>
      <c r="M912" s="7" t="str">
        <f t="shared" si="58"/>
        <v>PTO-1918|MAT|1</v>
      </c>
      <c r="N912" s="7">
        <f>IFERROR(VLOOKUP(A912,PARTIDAS!A:F,6,FALSE),0)</f>
        <v>1</v>
      </c>
      <c r="O912" s="7">
        <f t="shared" si="59"/>
        <v>0</v>
      </c>
      <c r="P912" s="7">
        <f>IFERROR(_xlfn.XLOOKUP(A912,PPTO_GENERADOR!$Q:$Q,PPTO_GENERADOR!$E:$E,"-",0),"-")</f>
        <v>1</v>
      </c>
    </row>
    <row r="913" spans="1:16" x14ac:dyDescent="0.35">
      <c r="A913" s="5" t="s">
        <v>1108</v>
      </c>
      <c r="B913" s="5" t="s">
        <v>1198</v>
      </c>
      <c r="C913" s="5" t="s">
        <v>1199</v>
      </c>
      <c r="D913" s="5" t="s">
        <v>765</v>
      </c>
      <c r="E913" s="7" t="str">
        <f>IFERROR(VLOOKUP(D913,SUBCONTRATOS_PRY!A:B,2,FALSE),"?")</f>
        <v>Provisión y tendido de cañerías de gas a cada UF</v>
      </c>
      <c r="F913" s="5" t="s">
        <v>1200</v>
      </c>
      <c r="G913" s="11">
        <v>1</v>
      </c>
      <c r="H913" s="12">
        <v>0</v>
      </c>
      <c r="I913" s="7">
        <f>IFERROR(VLOOKUP(D913,SUBCONTRATOS_PRY!A:D,4,FALSE),0)</f>
        <v>6500000</v>
      </c>
      <c r="J913" s="8">
        <f t="shared" si="56"/>
        <v>6500000</v>
      </c>
      <c r="K913" s="7" t="str">
        <f t="shared" si="57"/>
        <v>PTO-1918|MO</v>
      </c>
      <c r="L913" s="7">
        <f>COUNTIFS($K$2:K913,K913)</f>
        <v>1</v>
      </c>
      <c r="M913" s="7" t="str">
        <f t="shared" si="58"/>
        <v>PTO-1918|MO|1</v>
      </c>
      <c r="N913" s="7">
        <f>IFERROR(VLOOKUP(A913,PARTIDAS!A:F,6,FALSE),0)</f>
        <v>1</v>
      </c>
      <c r="O913" s="7">
        <f t="shared" si="59"/>
        <v>0</v>
      </c>
      <c r="P913" s="7">
        <f>IFERROR(_xlfn.XLOOKUP(A913,PPTO_GENERADOR!$Q:$Q,PPTO_GENERADOR!$E:$E,"-",0),"-")</f>
        <v>1</v>
      </c>
    </row>
    <row r="914" spans="1:16" x14ac:dyDescent="0.35">
      <c r="A914" s="5" t="s">
        <v>1108</v>
      </c>
      <c r="B914" s="5" t="s">
        <v>1202</v>
      </c>
      <c r="C914" s="5"/>
      <c r="D914" s="5" t="s">
        <v>643</v>
      </c>
      <c r="E914" s="7" t="str">
        <f>IFERROR(VLOOKUP(D914,EQUIPOS!A:B,2,FALSE),"?")</f>
        <v>Herramientas/consumibles - Provisión y tendido de cañerías de gas a</v>
      </c>
      <c r="F914" s="5"/>
      <c r="G914" s="11">
        <v>1</v>
      </c>
      <c r="H914" s="12">
        <v>0</v>
      </c>
      <c r="I914" s="7">
        <f>IFERROR(VLOOKUP(D914,EQUIPOS!A:C,3,FALSE),0)</f>
        <v>195000</v>
      </c>
      <c r="J914" s="8">
        <f t="shared" si="56"/>
        <v>195000</v>
      </c>
      <c r="K914" s="7" t="str">
        <f t="shared" si="57"/>
        <v>PTO-1918|EQ</v>
      </c>
      <c r="L914" s="7">
        <f>COUNTIFS($K$2:K914,K914)</f>
        <v>1</v>
      </c>
      <c r="M914" s="7" t="str">
        <f t="shared" si="58"/>
        <v>PTO-1918|EQ|1</v>
      </c>
      <c r="N914" s="7">
        <f>IFERROR(VLOOKUP(A914,PARTIDAS!A:F,6,FALSE),0)</f>
        <v>1</v>
      </c>
      <c r="O914" s="7">
        <f t="shared" si="59"/>
        <v>0</v>
      </c>
      <c r="P914" s="7">
        <f>IFERROR(_xlfn.XLOOKUP(A914,PPTO_GENERADOR!$Q:$Q,PPTO_GENERADOR!$E:$E,"-",0),"-")</f>
        <v>1</v>
      </c>
    </row>
    <row r="915" spans="1:16" x14ac:dyDescent="0.35">
      <c r="A915" s="5" t="s">
        <v>1109</v>
      </c>
      <c r="B915" s="5" t="s">
        <v>1198</v>
      </c>
      <c r="C915" s="5" t="s">
        <v>1199</v>
      </c>
      <c r="D915" s="5" t="s">
        <v>766</v>
      </c>
      <c r="E915" s="7" t="str">
        <f>IFERROR(VLOOKUP(D915,SUBCONTRATOS_PRY!A:B,2,FALSE),"?")</f>
        <v>Tramites gas - Prefactibilidad, inspección parcial, final</v>
      </c>
      <c r="F915" s="5" t="s">
        <v>1200</v>
      </c>
      <c r="G915" s="11">
        <v>1</v>
      </c>
      <c r="H915" s="12">
        <v>0</v>
      </c>
      <c r="I915" s="7">
        <f>IFERROR(VLOOKUP(D915,SUBCONTRATOS_PRY!A:D,4,FALSE),0)</f>
        <v>2925000</v>
      </c>
      <c r="J915" s="8">
        <f t="shared" si="56"/>
        <v>2925000</v>
      </c>
      <c r="K915" s="7" t="str">
        <f t="shared" si="57"/>
        <v>PTO-1919|MO</v>
      </c>
      <c r="L915" s="7">
        <f>COUNTIFS($K$2:K915,K915)</f>
        <v>1</v>
      </c>
      <c r="M915" s="7" t="str">
        <f t="shared" si="58"/>
        <v>PTO-1919|MO|1</v>
      </c>
      <c r="N915" s="7">
        <f>IFERROR(VLOOKUP(A915,PARTIDAS!A:F,6,FALSE),0)</f>
        <v>1</v>
      </c>
      <c r="O915" s="7">
        <f t="shared" si="59"/>
        <v>0</v>
      </c>
      <c r="P915" s="7">
        <f>IFERROR(_xlfn.XLOOKUP(A915,PPTO_GENERADOR!$Q:$Q,PPTO_GENERADOR!$E:$E,"-",0),"-")</f>
        <v>1</v>
      </c>
    </row>
    <row r="916" spans="1:16" x14ac:dyDescent="0.35">
      <c r="A916" s="5" t="s">
        <v>1112</v>
      </c>
      <c r="B916" s="5" t="s">
        <v>1203</v>
      </c>
      <c r="C916" s="5" t="s">
        <v>1199</v>
      </c>
      <c r="D916" s="5" t="s">
        <v>409</v>
      </c>
      <c r="E916" s="7" t="str">
        <f>IFERROR(VLOOKUP(D916,MATERIALES!A:B,2,FALSE),"?")</f>
        <v>Preinstalacion MAT</v>
      </c>
      <c r="F916" s="5"/>
      <c r="G916" s="11">
        <v>1</v>
      </c>
      <c r="H916" s="12">
        <v>0</v>
      </c>
      <c r="I916" s="7">
        <f>IFERROR(VLOOKUP(D916,MATERIALES!A:D,4,FALSE),0)</f>
        <v>375000</v>
      </c>
      <c r="J916" s="8">
        <f t="shared" si="56"/>
        <v>375000</v>
      </c>
      <c r="K916" s="7" t="str">
        <f t="shared" si="57"/>
        <v>PTO-2001|MAT</v>
      </c>
      <c r="L916" s="7">
        <f>COUNTIFS($K$2:K916,K916)</f>
        <v>1</v>
      </c>
      <c r="M916" s="7" t="str">
        <f t="shared" si="58"/>
        <v>PTO-2001|MAT|1</v>
      </c>
      <c r="N916" s="7">
        <f>IFERROR(VLOOKUP(A916,PARTIDAS!A:F,6,FALSE),0)</f>
        <v>1</v>
      </c>
      <c r="O916" s="7">
        <f t="shared" si="59"/>
        <v>0</v>
      </c>
      <c r="P916" s="7">
        <f>IFERROR(_xlfn.XLOOKUP(A916,PPTO_GENERADOR!$Q:$Q,PPTO_GENERADOR!$E:$E,"-",0),"-")</f>
        <v>36</v>
      </c>
    </row>
    <row r="917" spans="1:16" x14ac:dyDescent="0.35">
      <c r="A917" s="5" t="s">
        <v>1112</v>
      </c>
      <c r="B917" s="5" t="s">
        <v>1198</v>
      </c>
      <c r="C917" s="5" t="s">
        <v>1199</v>
      </c>
      <c r="D917" s="5" t="s">
        <v>768</v>
      </c>
      <c r="E917" s="7" t="str">
        <f>IFERROR(VLOOKUP(D917,SUBCONTRATOS_PRY!A:B,2,FALSE),"?")</f>
        <v>Preinstalacion M.O</v>
      </c>
      <c r="F917" s="5" t="s">
        <v>1200</v>
      </c>
      <c r="G917" s="11">
        <v>1</v>
      </c>
      <c r="H917" s="12">
        <v>0</v>
      </c>
      <c r="I917" s="7">
        <f>IFERROR(VLOOKUP(D917,SUBCONTRATOS_PRY!A:D,4,FALSE),0)</f>
        <v>213888.88889999999</v>
      </c>
      <c r="J917" s="8">
        <f t="shared" si="56"/>
        <v>213888.88889999999</v>
      </c>
      <c r="K917" s="7" t="str">
        <f t="shared" si="57"/>
        <v>PTO-2001|MO</v>
      </c>
      <c r="L917" s="7">
        <f>COUNTIFS($K$2:K917,K917)</f>
        <v>1</v>
      </c>
      <c r="M917" s="7" t="str">
        <f t="shared" si="58"/>
        <v>PTO-2001|MO|1</v>
      </c>
      <c r="N917" s="7">
        <f>IFERROR(VLOOKUP(A917,PARTIDAS!A:F,6,FALSE),0)</f>
        <v>1</v>
      </c>
      <c r="O917" s="7">
        <f t="shared" si="59"/>
        <v>0</v>
      </c>
      <c r="P917" s="7">
        <f>IFERROR(_xlfn.XLOOKUP(A917,PPTO_GENERADOR!$Q:$Q,PPTO_GENERADOR!$E:$E,"-",0),"-")</f>
        <v>36</v>
      </c>
    </row>
    <row r="918" spans="1:16" x14ac:dyDescent="0.35">
      <c r="A918" s="5" t="s">
        <v>1114</v>
      </c>
      <c r="B918" s="5" t="s">
        <v>1198</v>
      </c>
      <c r="C918" s="5" t="s">
        <v>1199</v>
      </c>
      <c r="D918" s="5" t="s">
        <v>770</v>
      </c>
      <c r="E918" s="7" t="str">
        <f>IFERROR(VLOOKUP(D918,SUBCONTRATOS_PRY!A:B,2,FALSE),"?")</f>
        <v>Instalacion y puesta en marcha</v>
      </c>
      <c r="F918" s="5" t="s">
        <v>1200</v>
      </c>
      <c r="G918" s="11">
        <v>1</v>
      </c>
      <c r="H918" s="12">
        <v>0</v>
      </c>
      <c r="I918" s="7">
        <f>IFERROR(VLOOKUP(D918,SUBCONTRATOS_PRY!A:D,4,FALSE),0)</f>
        <v>189000</v>
      </c>
      <c r="J918" s="8">
        <f t="shared" si="56"/>
        <v>189000</v>
      </c>
      <c r="K918" s="7" t="str">
        <f t="shared" si="57"/>
        <v>PTO-2002|MO</v>
      </c>
      <c r="L918" s="7">
        <f>COUNTIFS($K$2:K918,K918)</f>
        <v>1</v>
      </c>
      <c r="M918" s="7" t="str">
        <f t="shared" si="58"/>
        <v>PTO-2002|MO|1</v>
      </c>
      <c r="N918" s="7">
        <f>IFERROR(VLOOKUP(A918,PARTIDAS!A:F,6,FALSE),0)</f>
        <v>1</v>
      </c>
      <c r="O918" s="7">
        <f t="shared" si="59"/>
        <v>0</v>
      </c>
      <c r="P918" s="7">
        <f>IFERROR(_xlfn.XLOOKUP(A918,PPTO_GENERADOR!$Q:$Q,PPTO_GENERADOR!$E:$E,"-",0),"-")</f>
        <v>36</v>
      </c>
    </row>
    <row r="919" spans="1:16" x14ac:dyDescent="0.35">
      <c r="A919" s="5" t="s">
        <v>1120</v>
      </c>
      <c r="B919" s="5" t="s">
        <v>1198</v>
      </c>
      <c r="C919" s="5" t="s">
        <v>1199</v>
      </c>
      <c r="D919" s="5" t="s">
        <v>772</v>
      </c>
      <c r="E919" s="7" t="str">
        <f>IFERROR(VLOOKUP(D919,SUBCONTRATOS_PRY!A:B,2,FALSE),"?")</f>
        <v>Colocación extractor de aire en baño</v>
      </c>
      <c r="F919" s="5" t="s">
        <v>1200</v>
      </c>
      <c r="G919" s="11">
        <v>1</v>
      </c>
      <c r="H919" s="12">
        <v>0</v>
      </c>
      <c r="I919" s="7">
        <f>IFERROR(VLOOKUP(D919,SUBCONTRATOS_PRY!A:D,4,FALSE),0)</f>
        <v>64400</v>
      </c>
      <c r="J919" s="8">
        <f t="shared" si="56"/>
        <v>64400</v>
      </c>
      <c r="K919" s="7" t="str">
        <f t="shared" si="57"/>
        <v>PTO-2201|MO</v>
      </c>
      <c r="L919" s="7">
        <f>COUNTIFS($K$2:K919,K919)</f>
        <v>1</v>
      </c>
      <c r="M919" s="7" t="str">
        <f t="shared" si="58"/>
        <v>PTO-2201|MO|1</v>
      </c>
      <c r="N919" s="7">
        <f>IFERROR(VLOOKUP(A919,PARTIDAS!A:F,6,FALSE),0)</f>
        <v>1</v>
      </c>
      <c r="O919" s="7">
        <f t="shared" si="59"/>
        <v>0</v>
      </c>
      <c r="P919" s="7">
        <f>IFERROR(_xlfn.XLOOKUP(A919,PPTO_GENERADOR!$Q:$Q,PPTO_GENERADOR!$E:$E,"-",0),"-")</f>
        <v>16</v>
      </c>
    </row>
    <row r="920" spans="1:16" x14ac:dyDescent="0.35">
      <c r="A920" s="5" t="s">
        <v>1122</v>
      </c>
      <c r="B920" s="5" t="s">
        <v>1198</v>
      </c>
      <c r="C920" s="5" t="s">
        <v>1199</v>
      </c>
      <c r="D920" s="5" t="s">
        <v>772</v>
      </c>
      <c r="E920" s="7" t="str">
        <f>IFERROR(VLOOKUP(D920,SUBCONTRATOS_PRY!A:B,2,FALSE),"?")</f>
        <v>Colocación extractor de aire en baño</v>
      </c>
      <c r="F920" s="5" t="s">
        <v>1200</v>
      </c>
      <c r="G920" s="11">
        <v>1</v>
      </c>
      <c r="H920" s="12">
        <v>0</v>
      </c>
      <c r="I920" s="7">
        <f>IFERROR(VLOOKUP(D920,SUBCONTRATOS_PRY!A:D,4,FALSE),0)</f>
        <v>64400</v>
      </c>
      <c r="J920" s="8">
        <f t="shared" si="56"/>
        <v>64400</v>
      </c>
      <c r="K920" s="7" t="str">
        <f t="shared" si="57"/>
        <v>PTO-2202|MO</v>
      </c>
      <c r="L920" s="7">
        <f>COUNTIFS($K$2:K920,K920)</f>
        <v>1</v>
      </c>
      <c r="M920" s="7" t="str">
        <f t="shared" si="58"/>
        <v>PTO-2202|MO|1</v>
      </c>
      <c r="N920" s="7">
        <f>IFERROR(VLOOKUP(A920,PARTIDAS!A:F,6,FALSE),0)</f>
        <v>1</v>
      </c>
      <c r="O920" s="7">
        <f t="shared" si="59"/>
        <v>0</v>
      </c>
      <c r="P920" s="7">
        <f>IFERROR(_xlfn.XLOOKUP(A920,PPTO_GENERADOR!$Q:$Q,PPTO_GENERADOR!$E:$E,"-",0),"-")</f>
        <v>17</v>
      </c>
    </row>
    <row r="921" spans="1:16" x14ac:dyDescent="0.35">
      <c r="A921" s="5" t="s">
        <v>1125</v>
      </c>
      <c r="B921" s="5" t="s">
        <v>1203</v>
      </c>
      <c r="C921" s="5" t="s">
        <v>1199</v>
      </c>
      <c r="D921" s="5" t="s">
        <v>154</v>
      </c>
      <c r="E921" s="7" t="str">
        <f>IFERROR(VLOOKUP(D921,MATERIALES!A:B,2,FALSE),"?")</f>
        <v>H30 6.20</v>
      </c>
      <c r="F921" s="5"/>
      <c r="G921" s="11">
        <v>3.2142860000000002E-2</v>
      </c>
      <c r="H921" s="12">
        <v>0</v>
      </c>
      <c r="I921" s="7">
        <f>IFERROR(VLOOKUP(D921,MATERIALES!A:D,4,FALSE),0)</f>
        <v>125000</v>
      </c>
      <c r="J921" s="8">
        <f t="shared" si="56"/>
        <v>4017.8575000000001</v>
      </c>
      <c r="K921" s="7" t="str">
        <f t="shared" si="57"/>
        <v>PTO-2301|MAT</v>
      </c>
      <c r="L921" s="7">
        <f>COUNTIFS($K$2:K921,K921)</f>
        <v>1</v>
      </c>
      <c r="M921" s="7" t="str">
        <f t="shared" si="58"/>
        <v>PTO-2301|MAT|1</v>
      </c>
      <c r="N921" s="7">
        <f>IFERROR(VLOOKUP(A921,PARTIDAS!A:F,6,FALSE),0)</f>
        <v>1</v>
      </c>
      <c r="O921" s="7">
        <f t="shared" si="59"/>
        <v>0</v>
      </c>
      <c r="P921" s="7">
        <f>IFERROR(_xlfn.XLOOKUP(A921,PPTO_GENERADOR!$Q:$Q,PPTO_GENERADOR!$E:$E,"-",0),"-")</f>
        <v>7</v>
      </c>
    </row>
    <row r="922" spans="1:16" x14ac:dyDescent="0.35">
      <c r="A922" s="5" t="s">
        <v>1125</v>
      </c>
      <c r="B922" s="5" t="s">
        <v>1203</v>
      </c>
      <c r="C922" s="5" t="s">
        <v>1199</v>
      </c>
      <c r="D922" s="5" t="s">
        <v>224</v>
      </c>
      <c r="E922" s="7" t="str">
        <f>IFERROR(VLOOKUP(D922,MATERIALES!A:B,2,FALSE),"?")</f>
        <v>Malla Q188 15 x 15 6 mm 6x2,40</v>
      </c>
      <c r="F922" s="5"/>
      <c r="G922" s="11">
        <v>2.2321420000000002E-2</v>
      </c>
      <c r="H922" s="12">
        <v>0</v>
      </c>
      <c r="I922" s="7">
        <f>IFERROR(VLOOKUP(D922,MATERIALES!A:D,4,FALSE),0)</f>
        <v>75473.119999999995</v>
      </c>
      <c r="J922" s="8">
        <f t="shared" si="56"/>
        <v>1684.6672102304001</v>
      </c>
      <c r="K922" s="7" t="str">
        <f t="shared" si="57"/>
        <v>PTO-2301|MAT</v>
      </c>
      <c r="L922" s="7">
        <f>COUNTIFS($K$2:K922,K922)</f>
        <v>2</v>
      </c>
      <c r="M922" s="7" t="str">
        <f t="shared" si="58"/>
        <v>PTO-2301|MAT|2</v>
      </c>
      <c r="N922" s="7">
        <f>IFERROR(VLOOKUP(A922,PARTIDAS!A:F,6,FALSE),0)</f>
        <v>1</v>
      </c>
      <c r="O922" s="7">
        <f t="shared" si="59"/>
        <v>0</v>
      </c>
      <c r="P922" s="7">
        <f>IFERROR(_xlfn.XLOOKUP(A922,PPTO_GENERADOR!$Q:$Q,PPTO_GENERADOR!$E:$E,"-",0),"-")</f>
        <v>7</v>
      </c>
    </row>
    <row r="923" spans="1:16" x14ac:dyDescent="0.35">
      <c r="A923" s="5" t="s">
        <v>1125</v>
      </c>
      <c r="B923" s="5" t="s">
        <v>1203</v>
      </c>
      <c r="C923" s="5" t="s">
        <v>1205</v>
      </c>
      <c r="D923" s="5" t="s">
        <v>411</v>
      </c>
      <c r="E923" s="7" t="str">
        <f>IFERROR(VLOOKUP(D923,MATERIALES!A:B,2,FALSE),"?")</f>
        <v>Mmaposteria</v>
      </c>
      <c r="F923" s="5"/>
      <c r="G923" s="11">
        <v>1.28571429</v>
      </c>
      <c r="H923" s="12">
        <v>0</v>
      </c>
      <c r="I923" s="7">
        <f>IFERROR(VLOOKUP(D923,MATERIALES!A:D,4,FALSE),0)</f>
        <v>6545.2008999999998</v>
      </c>
      <c r="J923" s="8">
        <f t="shared" si="56"/>
        <v>8415.2583280508607</v>
      </c>
      <c r="K923" s="7" t="str">
        <f t="shared" si="57"/>
        <v>PTO-2301|MAT</v>
      </c>
      <c r="L923" s="7">
        <f>COUNTIFS($K$2:K923,K923)</f>
        <v>3</v>
      </c>
      <c r="M923" s="7" t="str">
        <f t="shared" si="58"/>
        <v>PTO-2301|MAT|3</v>
      </c>
      <c r="N923" s="7">
        <f>IFERROR(VLOOKUP(A923,PARTIDAS!A:F,6,FALSE),0)</f>
        <v>1</v>
      </c>
      <c r="O923" s="7">
        <f t="shared" si="59"/>
        <v>0</v>
      </c>
      <c r="P923" s="7">
        <f>IFERROR(_xlfn.XLOOKUP(A923,PPTO_GENERADOR!$Q:$Q,PPTO_GENERADOR!$E:$E,"-",0),"-")</f>
        <v>7</v>
      </c>
    </row>
    <row r="924" spans="1:16" x14ac:dyDescent="0.35">
      <c r="A924" s="5" t="s">
        <v>1125</v>
      </c>
      <c r="B924" s="5" t="s">
        <v>1203</v>
      </c>
      <c r="C924" s="5" t="s">
        <v>1205</v>
      </c>
      <c r="D924" s="5" t="s">
        <v>413</v>
      </c>
      <c r="E924" s="7" t="str">
        <f>IFERROR(VLOOKUP(D924,MATERIALES!A:B,2,FALSE),"?")</f>
        <v>Revoque</v>
      </c>
      <c r="F924" s="5"/>
      <c r="G924" s="11">
        <v>2.5714286</v>
      </c>
      <c r="H924" s="12">
        <v>0</v>
      </c>
      <c r="I924" s="7">
        <f>IFERROR(VLOOKUP(D924,MATERIALES!A:D,4,FALSE),0)</f>
        <v>3747.8692999999998</v>
      </c>
      <c r="J924" s="8">
        <f t="shared" si="56"/>
        <v>9637.3783070819791</v>
      </c>
      <c r="K924" s="7" t="str">
        <f t="shared" si="57"/>
        <v>PTO-2301|MAT</v>
      </c>
      <c r="L924" s="7">
        <f>COUNTIFS($K$2:K924,K924)</f>
        <v>4</v>
      </c>
      <c r="M924" s="7" t="str">
        <f t="shared" si="58"/>
        <v>PTO-2301|MAT|4</v>
      </c>
      <c r="N924" s="7">
        <f>IFERROR(VLOOKUP(A924,PARTIDAS!A:F,6,FALSE),0)</f>
        <v>1</v>
      </c>
      <c r="O924" s="7">
        <f t="shared" si="59"/>
        <v>0</v>
      </c>
      <c r="P924" s="7">
        <f>IFERROR(_xlfn.XLOOKUP(A924,PPTO_GENERADOR!$Q:$Q,PPTO_GENERADOR!$E:$E,"-",0),"-")</f>
        <v>7</v>
      </c>
    </row>
    <row r="925" spans="1:16" x14ac:dyDescent="0.35">
      <c r="A925" s="5" t="s">
        <v>1125</v>
      </c>
      <c r="B925" s="5" t="s">
        <v>1203</v>
      </c>
      <c r="C925" s="5" t="s">
        <v>1199</v>
      </c>
      <c r="D925" s="5" t="s">
        <v>415</v>
      </c>
      <c r="E925" s="7" t="str">
        <f>IFERROR(VLOOKUP(D925,MATERIALES!A:B,2,FALSE),"?")</f>
        <v>Ladrillo refractario</v>
      </c>
      <c r="F925" s="5"/>
      <c r="G925" s="11">
        <v>67.142857669999998</v>
      </c>
      <c r="H925" s="12">
        <v>0</v>
      </c>
      <c r="I925" s="7">
        <f>IFERROR(VLOOKUP(D925,MATERIALES!A:D,4,FALSE),0)</f>
        <v>417.3</v>
      </c>
      <c r="J925" s="8">
        <f t="shared" si="56"/>
        <v>28018.714505691001</v>
      </c>
      <c r="K925" s="7" t="str">
        <f t="shared" si="57"/>
        <v>PTO-2301|MAT</v>
      </c>
      <c r="L925" s="7">
        <f>COUNTIFS($K$2:K925,K925)</f>
        <v>5</v>
      </c>
      <c r="M925" s="7" t="str">
        <f t="shared" si="58"/>
        <v>PTO-2301|MAT|5</v>
      </c>
      <c r="N925" s="7">
        <f>IFERROR(VLOOKUP(A925,PARTIDAS!A:F,6,FALSE),0)</f>
        <v>1</v>
      </c>
      <c r="O925" s="7">
        <f t="shared" si="59"/>
        <v>0</v>
      </c>
      <c r="P925" s="7">
        <f>IFERROR(_xlfn.XLOOKUP(A925,PPTO_GENERADOR!$Q:$Q,PPTO_GENERADOR!$E:$E,"-",0),"-")</f>
        <v>7</v>
      </c>
    </row>
    <row r="926" spans="1:16" x14ac:dyDescent="0.35">
      <c r="A926" s="5" t="s">
        <v>1125</v>
      </c>
      <c r="B926" s="5" t="s">
        <v>1203</v>
      </c>
      <c r="C926" s="5" t="s">
        <v>1199</v>
      </c>
      <c r="D926" s="5" t="s">
        <v>417</v>
      </c>
      <c r="E926" s="7" t="str">
        <f>IFERROR(VLOOKUP(D926,MATERIALES!A:B,2,FALSE),"?")</f>
        <v>WEBER REFRACTARIO X 10KG (rend. 0,5 m2)</v>
      </c>
      <c r="F926" s="5"/>
      <c r="G926" s="11">
        <v>2.2857143</v>
      </c>
      <c r="H926" s="12">
        <v>0</v>
      </c>
      <c r="I926" s="7">
        <f>IFERROR(VLOOKUP(D926,MATERIALES!A:D,4,FALSE),0)</f>
        <v>15474.06</v>
      </c>
      <c r="J926" s="8">
        <f t="shared" si="56"/>
        <v>35369.280221057998</v>
      </c>
      <c r="K926" s="7" t="str">
        <f t="shared" si="57"/>
        <v>PTO-2301|MAT</v>
      </c>
      <c r="L926" s="7">
        <f>COUNTIFS($K$2:K926,K926)</f>
        <v>6</v>
      </c>
      <c r="M926" s="7" t="str">
        <f t="shared" si="58"/>
        <v>PTO-2301|MAT|6</v>
      </c>
      <c r="N926" s="7">
        <f>IFERROR(VLOOKUP(A926,PARTIDAS!A:F,6,FALSE),0)</f>
        <v>1</v>
      </c>
      <c r="O926" s="7">
        <f t="shared" si="59"/>
        <v>0</v>
      </c>
      <c r="P926" s="7">
        <f>IFERROR(_xlfn.XLOOKUP(A926,PPTO_GENERADOR!$Q:$Q,PPTO_GENERADOR!$E:$E,"-",0),"-")</f>
        <v>7</v>
      </c>
    </row>
    <row r="927" spans="1:16" x14ac:dyDescent="0.35">
      <c r="A927" s="5" t="s">
        <v>1125</v>
      </c>
      <c r="B927" s="5" t="s">
        <v>1203</v>
      </c>
      <c r="C927" s="5" t="s">
        <v>1199</v>
      </c>
      <c r="D927" s="5" t="s">
        <v>419</v>
      </c>
      <c r="E927" s="7" t="str">
        <f>IFERROR(VLOOKUP(D927,MATERIALES!A:B,2,FALSE),"?")</f>
        <v>Dintel</v>
      </c>
      <c r="F927" s="5"/>
      <c r="G927" s="11">
        <v>0.28571427999999999</v>
      </c>
      <c r="H927" s="12">
        <v>0</v>
      </c>
      <c r="I927" s="7">
        <f>IFERROR(VLOOKUP(D927,MATERIALES!A:D,4,FALSE),0)</f>
        <v>30000</v>
      </c>
      <c r="J927" s="8">
        <f t="shared" si="56"/>
        <v>8571.4283999999989</v>
      </c>
      <c r="K927" s="7" t="str">
        <f t="shared" si="57"/>
        <v>PTO-2301|MAT</v>
      </c>
      <c r="L927" s="7">
        <f>COUNTIFS($K$2:K927,K927)</f>
        <v>7</v>
      </c>
      <c r="M927" s="7" t="str">
        <f t="shared" si="58"/>
        <v>PTO-2301|MAT|7</v>
      </c>
      <c r="N927" s="7">
        <f>IFERROR(VLOOKUP(A927,PARTIDAS!A:F,6,FALSE),0)</f>
        <v>1</v>
      </c>
      <c r="O927" s="7">
        <f t="shared" si="59"/>
        <v>0</v>
      </c>
      <c r="P927" s="7">
        <f>IFERROR(_xlfn.XLOOKUP(A927,PPTO_GENERADOR!$Q:$Q,PPTO_GENERADOR!$E:$E,"-",0),"-")</f>
        <v>7</v>
      </c>
    </row>
    <row r="928" spans="1:16" x14ac:dyDescent="0.35">
      <c r="A928" s="5" t="s">
        <v>1125</v>
      </c>
      <c r="B928" s="5" t="s">
        <v>1198</v>
      </c>
      <c r="C928" s="5" t="s">
        <v>1201</v>
      </c>
      <c r="D928" s="5" t="s">
        <v>481</v>
      </c>
      <c r="E928" s="7" t="str">
        <f>IFERROR(VLOOKUP(D928,MANO_DE_OBRA!A:B,2,FALSE),"?")</f>
        <v>OFICIAL</v>
      </c>
      <c r="F928" s="5" t="s">
        <v>1200</v>
      </c>
      <c r="G928" s="11">
        <v>2.1428571399999998</v>
      </c>
      <c r="H928" s="12">
        <v>0</v>
      </c>
      <c r="I928" s="7">
        <f>IFERROR(VLOOKUP(D928,MANO_DE_OBRA!A:C,3,FALSE),0)</f>
        <v>65360.25</v>
      </c>
      <c r="J928" s="8">
        <f t="shared" si="56"/>
        <v>140057.67838468499</v>
      </c>
      <c r="K928" s="7" t="str">
        <f t="shared" si="57"/>
        <v>PTO-2301|MO</v>
      </c>
      <c r="L928" s="7">
        <f>COUNTIFS($K$2:K928,K928)</f>
        <v>1</v>
      </c>
      <c r="M928" s="7" t="str">
        <f t="shared" si="58"/>
        <v>PTO-2301|MO|1</v>
      </c>
      <c r="N928" s="7">
        <f>IFERROR(VLOOKUP(A928,PARTIDAS!A:F,6,FALSE),0)</f>
        <v>1</v>
      </c>
      <c r="O928" s="7">
        <f t="shared" si="59"/>
        <v>2.1428571399999998</v>
      </c>
      <c r="P928" s="7">
        <f>IFERROR(_xlfn.XLOOKUP(A928,PPTO_GENERADOR!$Q:$Q,PPTO_GENERADOR!$E:$E,"-",0),"-")</f>
        <v>7</v>
      </c>
    </row>
    <row r="929" spans="1:16" x14ac:dyDescent="0.35">
      <c r="A929" s="5" t="s">
        <v>1125</v>
      </c>
      <c r="B929" s="5" t="s">
        <v>1198</v>
      </c>
      <c r="C929" s="5" t="s">
        <v>1201</v>
      </c>
      <c r="D929" s="5" t="s">
        <v>475</v>
      </c>
      <c r="E929" s="7" t="str">
        <f>IFERROR(VLOOKUP(D929,MANO_DE_OBRA!A:B,2,FALSE),"?")</f>
        <v>AYUDANTE</v>
      </c>
      <c r="F929" s="5" t="s">
        <v>1200</v>
      </c>
      <c r="G929" s="11">
        <v>2.1428571399999998</v>
      </c>
      <c r="H929" s="12">
        <v>0</v>
      </c>
      <c r="I929" s="7">
        <f>IFERROR(VLOOKUP(D929,MANO_DE_OBRA!A:C,3,FALSE),0)</f>
        <v>49934.239999999998</v>
      </c>
      <c r="J929" s="8">
        <f t="shared" si="56"/>
        <v>107001.94271447358</v>
      </c>
      <c r="K929" s="7" t="str">
        <f t="shared" si="57"/>
        <v>PTO-2301|MO</v>
      </c>
      <c r="L929" s="7">
        <f>COUNTIFS($K$2:K929,K929)</f>
        <v>2</v>
      </c>
      <c r="M929" s="7" t="str">
        <f t="shared" si="58"/>
        <v>PTO-2301|MO|2</v>
      </c>
      <c r="N929" s="7">
        <f>IFERROR(VLOOKUP(A929,PARTIDAS!A:F,6,FALSE),0)</f>
        <v>1</v>
      </c>
      <c r="O929" s="7">
        <f t="shared" si="59"/>
        <v>2.1428571399999998</v>
      </c>
      <c r="P929" s="7">
        <f>IFERROR(_xlfn.XLOOKUP(A929,PPTO_GENERADOR!$Q:$Q,PPTO_GENERADOR!$E:$E,"-",0),"-")</f>
        <v>7</v>
      </c>
    </row>
    <row r="930" spans="1:16" x14ac:dyDescent="0.35">
      <c r="A930" s="5" t="s">
        <v>1125</v>
      </c>
      <c r="B930" s="5" t="s">
        <v>1202</v>
      </c>
      <c r="C930" s="5"/>
      <c r="D930" s="5" t="s">
        <v>645</v>
      </c>
      <c r="E930" s="7" t="str">
        <f>IFERROR(VLOOKUP(D930,EQUIPOS!A:B,2,FALSE),"?")</f>
        <v>Herramientas/consumibles - Albañilería parrila completa</v>
      </c>
      <c r="F930" s="5"/>
      <c r="G930" s="11">
        <v>1</v>
      </c>
      <c r="H930" s="12">
        <v>0</v>
      </c>
      <c r="I930" s="7">
        <f>IFERROR(VLOOKUP(D930,EQUIPOS!A:C,3,FALSE),0)</f>
        <v>5248.7557999999999</v>
      </c>
      <c r="J930" s="8">
        <f t="shared" si="56"/>
        <v>5248.7557999999999</v>
      </c>
      <c r="K930" s="7" t="str">
        <f t="shared" si="57"/>
        <v>PTO-2301|EQ</v>
      </c>
      <c r="L930" s="7">
        <f>COUNTIFS($K$2:K930,K930)</f>
        <v>1</v>
      </c>
      <c r="M930" s="7" t="str">
        <f t="shared" si="58"/>
        <v>PTO-2301|EQ|1</v>
      </c>
      <c r="N930" s="7">
        <f>IFERROR(VLOOKUP(A930,PARTIDAS!A:F,6,FALSE),0)</f>
        <v>1</v>
      </c>
      <c r="O930" s="7">
        <f t="shared" si="59"/>
        <v>0</v>
      </c>
      <c r="P930" s="7">
        <f>IFERROR(_xlfn.XLOOKUP(A930,PPTO_GENERADOR!$Q:$Q,PPTO_GENERADOR!$E:$E,"-",0),"-")</f>
        <v>7</v>
      </c>
    </row>
    <row r="931" spans="1:16" x14ac:dyDescent="0.35">
      <c r="A931" s="5" t="s">
        <v>1125</v>
      </c>
      <c r="B931" s="5" t="s">
        <v>1203</v>
      </c>
      <c r="C931" s="5" t="s">
        <v>1204</v>
      </c>
      <c r="D931" s="5" t="s">
        <v>468</v>
      </c>
      <c r="E931" s="7" t="str">
        <f>IFERROR(VLOOKUP(D931,MATERIALES!A:B,2,FALSE),"?")</f>
        <v>Consumibles</v>
      </c>
      <c r="F931" s="5"/>
      <c r="G931" s="11">
        <v>7142.8570560799999</v>
      </c>
      <c r="H931" s="12">
        <v>0</v>
      </c>
      <c r="I931" s="7">
        <f>IFERROR(VLOOKUP(D931,MATERIALES!A:D,4,FALSE),0)</f>
        <v>1</v>
      </c>
      <c r="J931" s="8">
        <f t="shared" si="56"/>
        <v>7142.8570560799999</v>
      </c>
      <c r="K931" s="7" t="str">
        <f t="shared" si="57"/>
        <v>PTO-2301|MAT</v>
      </c>
      <c r="L931" s="7">
        <f>COUNTIFS($K$2:K931,K931)</f>
        <v>8</v>
      </c>
      <c r="M931" s="7" t="str">
        <f t="shared" si="58"/>
        <v>PTO-2301|MAT|8</v>
      </c>
      <c r="N931" s="7">
        <f>IFERROR(VLOOKUP(A931,PARTIDAS!A:F,6,FALSE),0)</f>
        <v>1</v>
      </c>
      <c r="O931" s="7">
        <f t="shared" si="59"/>
        <v>0</v>
      </c>
      <c r="P931" s="7">
        <f>IFERROR(_xlfn.XLOOKUP(A931,PPTO_GENERADOR!$Q:$Q,PPTO_GENERADOR!$E:$E,"-",0),"-")</f>
        <v>7</v>
      </c>
    </row>
    <row r="932" spans="1:16" x14ac:dyDescent="0.35">
      <c r="A932" s="5" t="s">
        <v>1127</v>
      </c>
      <c r="B932" s="5" t="s">
        <v>1198</v>
      </c>
      <c r="C932" s="5" t="s">
        <v>1201</v>
      </c>
      <c r="D932" s="5" t="s">
        <v>481</v>
      </c>
      <c r="E932" s="7" t="str">
        <f>IFERROR(VLOOKUP(D932,MANO_DE_OBRA!A:B,2,FALSE),"?")</f>
        <v>OFICIAL</v>
      </c>
      <c r="F932" s="5" t="s">
        <v>1200</v>
      </c>
      <c r="G932" s="11">
        <v>5</v>
      </c>
      <c r="H932" s="12">
        <v>0</v>
      </c>
      <c r="I932" s="7">
        <f>IFERROR(VLOOKUP(D932,MANO_DE_OBRA!A:C,3,FALSE),0)</f>
        <v>65360.25</v>
      </c>
      <c r="J932" s="8">
        <f t="shared" si="56"/>
        <v>326801.25</v>
      </c>
      <c r="K932" s="7" t="str">
        <f t="shared" si="57"/>
        <v>PTO-2302|MO</v>
      </c>
      <c r="L932" s="7">
        <f>COUNTIFS($K$2:K932,K932)</f>
        <v>1</v>
      </c>
      <c r="M932" s="7" t="str">
        <f t="shared" si="58"/>
        <v>PTO-2302|MO|1</v>
      </c>
      <c r="N932" s="7">
        <f>IFERROR(VLOOKUP(A932,PARTIDAS!A:F,6,FALSE),0)</f>
        <v>1</v>
      </c>
      <c r="O932" s="7">
        <f t="shared" si="59"/>
        <v>5</v>
      </c>
      <c r="P932" s="7">
        <f>IFERROR(_xlfn.XLOOKUP(A932,PPTO_GENERADOR!$Q:$Q,PPTO_GENERADOR!$E:$E,"-",0),"-")</f>
        <v>1</v>
      </c>
    </row>
    <row r="933" spans="1:16" x14ac:dyDescent="0.35">
      <c r="A933" s="5" t="s">
        <v>1127</v>
      </c>
      <c r="B933" s="5" t="s">
        <v>1202</v>
      </c>
      <c r="C933" s="5"/>
      <c r="D933" s="5" t="s">
        <v>647</v>
      </c>
      <c r="E933" s="7" t="str">
        <f>IFERROR(VLOOKUP(D933,EQUIPOS!A:B,2,FALSE),"?")</f>
        <v>Herramientas/consumibles - Colocación de ladrillos de vidrio - Prov</v>
      </c>
      <c r="F933" s="5"/>
      <c r="G933" s="11">
        <v>1</v>
      </c>
      <c r="H933" s="12">
        <v>0</v>
      </c>
      <c r="I933" s="7">
        <f>IFERROR(VLOOKUP(D933,EQUIPOS!A:C,3,FALSE),0)</f>
        <v>7902.0186000000003</v>
      </c>
      <c r="J933" s="8">
        <f t="shared" si="56"/>
        <v>7902.0186000000003</v>
      </c>
      <c r="K933" s="7" t="str">
        <f t="shared" si="57"/>
        <v>PTO-2302|EQ</v>
      </c>
      <c r="L933" s="7">
        <f>COUNTIFS($K$2:K933,K933)</f>
        <v>1</v>
      </c>
      <c r="M933" s="7" t="str">
        <f t="shared" si="58"/>
        <v>PTO-2302|EQ|1</v>
      </c>
      <c r="N933" s="7">
        <f>IFERROR(VLOOKUP(A933,PARTIDAS!A:F,6,FALSE),0)</f>
        <v>1</v>
      </c>
      <c r="O933" s="7">
        <f t="shared" si="59"/>
        <v>0</v>
      </c>
      <c r="P933" s="7">
        <f>IFERROR(_xlfn.XLOOKUP(A933,PPTO_GENERADOR!$Q:$Q,PPTO_GENERADOR!$E:$E,"-",0),"-")</f>
        <v>1</v>
      </c>
    </row>
    <row r="934" spans="1:16" x14ac:dyDescent="0.35">
      <c r="A934" s="5" t="s">
        <v>1127</v>
      </c>
      <c r="B934" s="5" t="s">
        <v>1203</v>
      </c>
      <c r="C934" s="5" t="s">
        <v>1204</v>
      </c>
      <c r="D934" s="5" t="s">
        <v>468</v>
      </c>
      <c r="E934" s="7" t="str">
        <f>IFERROR(VLOOKUP(D934,MATERIALES!A:B,2,FALSE),"?")</f>
        <v>Consumibles</v>
      </c>
      <c r="F934" s="5"/>
      <c r="G934" s="11">
        <v>200000</v>
      </c>
      <c r="H934" s="12">
        <v>0</v>
      </c>
      <c r="I934" s="7">
        <f>IFERROR(VLOOKUP(D934,MATERIALES!A:D,4,FALSE),0)</f>
        <v>1</v>
      </c>
      <c r="J934" s="8">
        <f t="shared" si="56"/>
        <v>200000</v>
      </c>
      <c r="K934" s="7" t="str">
        <f t="shared" si="57"/>
        <v>PTO-2302|MAT</v>
      </c>
      <c r="L934" s="7">
        <f>COUNTIFS($K$2:K934,K934)</f>
        <v>1</v>
      </c>
      <c r="M934" s="7" t="str">
        <f t="shared" si="58"/>
        <v>PTO-2302|MAT|1</v>
      </c>
      <c r="N934" s="7">
        <f>IFERROR(VLOOKUP(A934,PARTIDAS!A:F,6,FALSE),0)</f>
        <v>1</v>
      </c>
      <c r="O934" s="7">
        <f t="shared" si="59"/>
        <v>0</v>
      </c>
      <c r="P934" s="7">
        <f>IFERROR(_xlfn.XLOOKUP(A934,PPTO_GENERADOR!$Q:$Q,PPTO_GENERADOR!$E:$E,"-",0),"-")</f>
        <v>1</v>
      </c>
    </row>
    <row r="935" spans="1:16" x14ac:dyDescent="0.35">
      <c r="A935" s="5" t="s">
        <v>1129</v>
      </c>
      <c r="B935" s="5" t="s">
        <v>1203</v>
      </c>
      <c r="C935" s="5" t="s">
        <v>1199</v>
      </c>
      <c r="D935" s="5" t="s">
        <v>421</v>
      </c>
      <c r="E935" s="7" t="str">
        <f>IFERROR(VLOOKUP(D935,MATERIALES!A:B,2,FALSE),"?")</f>
        <v>COVE: Provisión y amure de tapas par</v>
      </c>
      <c r="F935" s="5"/>
      <c r="G935" s="11">
        <v>1</v>
      </c>
      <c r="H935" s="12">
        <v>0</v>
      </c>
      <c r="I935" s="7">
        <f>IFERROR(VLOOKUP(D935,MATERIALES!A:D,4,FALSE),0)</f>
        <v>253919.62650000001</v>
      </c>
      <c r="J935" s="8">
        <f t="shared" si="56"/>
        <v>253919.62650000001</v>
      </c>
      <c r="K935" s="7" t="str">
        <f t="shared" si="57"/>
        <v>PTO-2303|MAT</v>
      </c>
      <c r="L935" s="7">
        <f>COUNTIFS($K$2:K935,K935)</f>
        <v>1</v>
      </c>
      <c r="M935" s="7" t="str">
        <f t="shared" si="58"/>
        <v>PTO-2303|MAT|1</v>
      </c>
      <c r="N935" s="7">
        <f>IFERROR(VLOOKUP(A935,PARTIDAS!A:F,6,FALSE),0)</f>
        <v>1</v>
      </c>
      <c r="O935" s="7">
        <f t="shared" si="59"/>
        <v>0</v>
      </c>
      <c r="P935" s="7">
        <f>IFERROR(_xlfn.XLOOKUP(A935,PPTO_GENERADOR!$Q:$Q,PPTO_GENERADOR!$E:$E,"-",0),"-")</f>
        <v>1</v>
      </c>
    </row>
    <row r="936" spans="1:16" x14ac:dyDescent="0.35">
      <c r="A936" s="5" t="s">
        <v>1129</v>
      </c>
      <c r="B936" s="5" t="s">
        <v>1198</v>
      </c>
      <c r="C936" s="5" t="s">
        <v>1199</v>
      </c>
      <c r="D936" s="5" t="s">
        <v>774</v>
      </c>
      <c r="E936" s="7" t="str">
        <f>IFERROR(VLOOKUP(D936,SUBCONTRATOS_PRY!A:B,2,FALSE),"?")</f>
        <v>COVE: Provisión y amure de tapas par</v>
      </c>
      <c r="F936" s="5" t="s">
        <v>1200</v>
      </c>
      <c r="G936" s="11">
        <v>1</v>
      </c>
      <c r="H936" s="12">
        <v>0</v>
      </c>
      <c r="I936" s="7">
        <f>IFERROR(VLOOKUP(D936,SUBCONTRATOS_PRY!A:D,4,FALSE),0)</f>
        <v>439307.50329999998</v>
      </c>
      <c r="J936" s="8">
        <f t="shared" si="56"/>
        <v>439307.50329999998</v>
      </c>
      <c r="K936" s="7" t="str">
        <f t="shared" si="57"/>
        <v>PTO-2303|MO</v>
      </c>
      <c r="L936" s="7">
        <f>COUNTIFS($K$2:K936,K936)</f>
        <v>1</v>
      </c>
      <c r="M936" s="7" t="str">
        <f t="shared" si="58"/>
        <v>PTO-2303|MO|1</v>
      </c>
      <c r="N936" s="7">
        <f>IFERROR(VLOOKUP(A936,PARTIDAS!A:F,6,FALSE),0)</f>
        <v>1</v>
      </c>
      <c r="O936" s="7">
        <f t="shared" si="59"/>
        <v>0</v>
      </c>
      <c r="P936" s="7">
        <f>IFERROR(_xlfn.XLOOKUP(A936,PPTO_GENERADOR!$Q:$Q,PPTO_GENERADOR!$E:$E,"-",0),"-")</f>
        <v>1</v>
      </c>
    </row>
    <row r="937" spans="1:16" x14ac:dyDescent="0.35">
      <c r="A937" s="5" t="s">
        <v>1132</v>
      </c>
      <c r="B937" s="5" t="s">
        <v>1198</v>
      </c>
      <c r="C937" s="5" t="s">
        <v>1199</v>
      </c>
      <c r="D937" s="5" t="s">
        <v>775</v>
      </c>
      <c r="E937" s="7" t="str">
        <f>IFERROR(VLOOKUP(D937,SUBCONTRATOS_PRY!A:B,2,FALSE),"?")</f>
        <v>GGBB: Sereno</v>
      </c>
      <c r="F937" s="5" t="s">
        <v>1200</v>
      </c>
      <c r="G937" s="11">
        <v>1</v>
      </c>
      <c r="H937" s="12">
        <v>0</v>
      </c>
      <c r="I937" s="7">
        <f>IFERROR(VLOOKUP(D937,SUBCONTRATOS_PRY!A:D,4,FALSE),0)</f>
        <v>599210.84669999999</v>
      </c>
      <c r="J937" s="8">
        <f t="shared" si="56"/>
        <v>599210.84669999999</v>
      </c>
      <c r="K937" s="7" t="str">
        <f t="shared" si="57"/>
        <v>PTO-2401|MO</v>
      </c>
      <c r="L937" s="7">
        <f>COUNTIFS($K$2:K937,K937)</f>
        <v>1</v>
      </c>
      <c r="M937" s="7" t="str">
        <f t="shared" si="58"/>
        <v>PTO-2401|MO|1</v>
      </c>
      <c r="N937" s="7">
        <f>IFERROR(VLOOKUP(A937,PARTIDAS!A:F,6,FALSE),0)</f>
        <v>1</v>
      </c>
      <c r="O937" s="7">
        <f t="shared" si="59"/>
        <v>0</v>
      </c>
      <c r="P937" s="7">
        <f>IFERROR(_xlfn.XLOOKUP(A937,PPTO_GENERADOR!$Q:$Q,PPTO_GENERADOR!$E:$E,"-",0),"-")</f>
        <v>14</v>
      </c>
    </row>
    <row r="938" spans="1:16" x14ac:dyDescent="0.35">
      <c r="A938" s="5" t="s">
        <v>1134</v>
      </c>
      <c r="B938" s="5" t="s">
        <v>1198</v>
      </c>
      <c r="C938" s="5" t="s">
        <v>1199</v>
      </c>
      <c r="D938" s="5" t="s">
        <v>777</v>
      </c>
      <c r="E938" s="7" t="str">
        <f>IFERROR(VLOOKUP(D938,SUBCONTRATOS_PRY!A:B,2,FALSE),"?")</f>
        <v>GGBB: Tecnico de seguridad &amp; higiene</v>
      </c>
      <c r="F938" s="5" t="s">
        <v>1200</v>
      </c>
      <c r="G938" s="11">
        <v>1</v>
      </c>
      <c r="H938" s="12">
        <v>0</v>
      </c>
      <c r="I938" s="7">
        <f>IFERROR(VLOOKUP(D938,SUBCONTRATOS_PRY!A:D,4,FALSE),0)</f>
        <v>1547376.3492000001</v>
      </c>
      <c r="J938" s="8">
        <f t="shared" si="56"/>
        <v>1547376.3492000001</v>
      </c>
      <c r="K938" s="7" t="str">
        <f t="shared" si="57"/>
        <v>PTO-2402|MO</v>
      </c>
      <c r="L938" s="7">
        <f>COUNTIFS($K$2:K938,K938)</f>
        <v>1</v>
      </c>
      <c r="M938" s="7" t="str">
        <f t="shared" si="58"/>
        <v>PTO-2402|MO|1</v>
      </c>
      <c r="N938" s="7">
        <f>IFERROR(VLOOKUP(A938,PARTIDAS!A:F,6,FALSE),0)</f>
        <v>1</v>
      </c>
      <c r="O938" s="7">
        <f t="shared" si="59"/>
        <v>0</v>
      </c>
      <c r="P938" s="7">
        <f>IFERROR(_xlfn.XLOOKUP(A938,PPTO_GENERADOR!$Q:$Q,PPTO_GENERADOR!$E:$E,"-",0),"-")</f>
        <v>4</v>
      </c>
    </row>
    <row r="939" spans="1:16" x14ac:dyDescent="0.35">
      <c r="A939" s="5" t="s">
        <v>1136</v>
      </c>
      <c r="B939" s="5" t="s">
        <v>1198</v>
      </c>
      <c r="C939" s="5" t="s">
        <v>1199</v>
      </c>
      <c r="D939" s="5" t="s">
        <v>779</v>
      </c>
      <c r="E939" s="7" t="str">
        <f>IFERROR(VLOOKUP(D939,SUBCONTRATOS_PRY!A:B,2,FALSE),"?")</f>
        <v>GGBB: Higiene y seguridad Res 51</v>
      </c>
      <c r="F939" s="5" t="s">
        <v>1200</v>
      </c>
      <c r="G939" s="11">
        <v>1</v>
      </c>
      <c r="H939" s="12">
        <v>0</v>
      </c>
      <c r="I939" s="7">
        <f>IFERROR(VLOOKUP(D939,SUBCONTRATOS_PRY!A:D,4,FALSE),0)</f>
        <v>150000</v>
      </c>
      <c r="J939" s="8">
        <f t="shared" si="56"/>
        <v>150000</v>
      </c>
      <c r="K939" s="7" t="str">
        <f t="shared" si="57"/>
        <v>PTO-2403|MO</v>
      </c>
      <c r="L939" s="7">
        <f>COUNTIFS($K$2:K939,K939)</f>
        <v>1</v>
      </c>
      <c r="M939" s="7" t="str">
        <f t="shared" si="58"/>
        <v>PTO-2403|MO|1</v>
      </c>
      <c r="N939" s="7">
        <f>IFERROR(VLOOKUP(A939,PARTIDAS!A:F,6,FALSE),0)</f>
        <v>1</v>
      </c>
      <c r="O939" s="7">
        <f t="shared" si="59"/>
        <v>0</v>
      </c>
      <c r="P939" s="7">
        <f>IFERROR(_xlfn.XLOOKUP(A939,PPTO_GENERADOR!$Q:$Q,PPTO_GENERADOR!$E:$E,"-",0),"-")</f>
        <v>14</v>
      </c>
    </row>
    <row r="940" spans="1:16" x14ac:dyDescent="0.35">
      <c r="A940" s="5" t="s">
        <v>1138</v>
      </c>
      <c r="B940" s="5" t="s">
        <v>1203</v>
      </c>
      <c r="C940" s="5" t="s">
        <v>1199</v>
      </c>
      <c r="D940" s="5" t="s">
        <v>423</v>
      </c>
      <c r="E940" s="7" t="str">
        <f>IFERROR(VLOOKUP(D940,MATERIALES!A:B,2,FALSE),"?")</f>
        <v>Defensas</v>
      </c>
      <c r="F940" s="5"/>
      <c r="G940" s="11">
        <v>82</v>
      </c>
      <c r="H940" s="12">
        <v>0</v>
      </c>
      <c r="I940" s="7">
        <f>IFERROR(VLOOKUP(D940,MATERIALES!A:D,4,FALSE),0)</f>
        <v>25783.917300000001</v>
      </c>
      <c r="J940" s="8">
        <f t="shared" si="56"/>
        <v>2114281.2186000003</v>
      </c>
      <c r="K940" s="7" t="str">
        <f t="shared" si="57"/>
        <v>PTO-2404|MAT</v>
      </c>
      <c r="L940" s="7">
        <f>COUNTIFS($K$2:K940,K940)</f>
        <v>1</v>
      </c>
      <c r="M940" s="7" t="str">
        <f t="shared" si="58"/>
        <v>PTO-2404|MAT|1</v>
      </c>
      <c r="N940" s="7">
        <f>IFERROR(VLOOKUP(A940,PARTIDAS!A:F,6,FALSE),0)</f>
        <v>1</v>
      </c>
      <c r="O940" s="7">
        <f t="shared" si="59"/>
        <v>0</v>
      </c>
      <c r="P940" s="7">
        <f>IFERROR(_xlfn.XLOOKUP(A940,PPTO_GENERADOR!$Q:$Q,PPTO_GENERADOR!$E:$E,"-",0),"-")</f>
        <v>1</v>
      </c>
    </row>
    <row r="941" spans="1:16" x14ac:dyDescent="0.35">
      <c r="A941" s="5" t="s">
        <v>1138</v>
      </c>
      <c r="B941" s="5" t="s">
        <v>1203</v>
      </c>
      <c r="C941" s="5" t="s">
        <v>1199</v>
      </c>
      <c r="D941" s="5" t="s">
        <v>425</v>
      </c>
      <c r="E941" s="7" t="str">
        <f>IFERROR(VLOOKUP(D941,MATERIALES!A:B,2,FALSE),"?")</f>
        <v>Tabla 4 x 1 x 3,6 Saligna bruto</v>
      </c>
      <c r="F941" s="5"/>
      <c r="G941" s="11">
        <v>108</v>
      </c>
      <c r="H941" s="12">
        <v>0</v>
      </c>
      <c r="I941" s="7">
        <f>IFERROR(VLOOKUP(D941,MATERIALES!A:D,4,FALSE),0)</f>
        <v>1294.6320000000001</v>
      </c>
      <c r="J941" s="8">
        <f t="shared" si="56"/>
        <v>139820.25599999999</v>
      </c>
      <c r="K941" s="7" t="str">
        <f t="shared" si="57"/>
        <v>PTO-2404|MAT</v>
      </c>
      <c r="L941" s="7">
        <f>COUNTIFS($K$2:K941,K941)</f>
        <v>2</v>
      </c>
      <c r="M941" s="7" t="str">
        <f t="shared" si="58"/>
        <v>PTO-2404|MAT|2</v>
      </c>
      <c r="N941" s="7">
        <f>IFERROR(VLOOKUP(A941,PARTIDAS!A:F,6,FALSE),0)</f>
        <v>1</v>
      </c>
      <c r="O941" s="7">
        <f t="shared" si="59"/>
        <v>0</v>
      </c>
      <c r="P941" s="7">
        <f>IFERROR(_xlfn.XLOOKUP(A941,PPTO_GENERADOR!$Q:$Q,PPTO_GENERADOR!$E:$E,"-",0),"-")</f>
        <v>1</v>
      </c>
    </row>
    <row r="942" spans="1:16" x14ac:dyDescent="0.35">
      <c r="A942" s="5" t="s">
        <v>1138</v>
      </c>
      <c r="B942" s="5" t="s">
        <v>1203</v>
      </c>
      <c r="C942" s="5" t="s">
        <v>1199</v>
      </c>
      <c r="D942" s="5" t="s">
        <v>426</v>
      </c>
      <c r="E942" s="7" t="str">
        <f>IFERROR(VLOOKUP(D942,MATERIALES!A:B,2,FALSE),"?")</f>
        <v>Tirante 3 x 3 x 3,6 Saligna bruto</v>
      </c>
      <c r="F942" s="5"/>
      <c r="G942" s="11">
        <v>46</v>
      </c>
      <c r="H942" s="12">
        <v>0</v>
      </c>
      <c r="I942" s="7">
        <f>IFERROR(VLOOKUP(D942,MATERIALES!A:D,4,FALSE),0)</f>
        <v>2912.9520000000002</v>
      </c>
      <c r="J942" s="8">
        <f t="shared" si="56"/>
        <v>133995.79200000002</v>
      </c>
      <c r="K942" s="7" t="str">
        <f t="shared" si="57"/>
        <v>PTO-2404|MAT</v>
      </c>
      <c r="L942" s="7">
        <f>COUNTIFS($K$2:K942,K942)</f>
        <v>3</v>
      </c>
      <c r="M942" s="7" t="str">
        <f t="shared" si="58"/>
        <v>PTO-2404|MAT|3</v>
      </c>
      <c r="N942" s="7">
        <f>IFERROR(VLOOKUP(A942,PARTIDAS!A:F,6,FALSE),0)</f>
        <v>1</v>
      </c>
      <c r="O942" s="7">
        <f t="shared" si="59"/>
        <v>0</v>
      </c>
      <c r="P942" s="7">
        <f>IFERROR(_xlfn.XLOOKUP(A942,PPTO_GENERADOR!$Q:$Q,PPTO_GENERADOR!$E:$E,"-",0),"-")</f>
        <v>1</v>
      </c>
    </row>
    <row r="943" spans="1:16" x14ac:dyDescent="0.35">
      <c r="A943" s="5" t="s">
        <v>1138</v>
      </c>
      <c r="B943" s="5" t="s">
        <v>1198</v>
      </c>
      <c r="C943" s="5" t="s">
        <v>1201</v>
      </c>
      <c r="D943" s="5" t="s">
        <v>477</v>
      </c>
      <c r="E943" s="7" t="str">
        <f>IFERROR(VLOOKUP(D943,MANO_DE_OBRA!A:B,2,FALSE),"?")</f>
        <v>ESPECIALIZADO</v>
      </c>
      <c r="F943" s="5" t="s">
        <v>1200</v>
      </c>
      <c r="G943" s="11">
        <v>4</v>
      </c>
      <c r="H943" s="12">
        <v>0</v>
      </c>
      <c r="I943" s="7">
        <f>IFERROR(VLOOKUP(D943,MANO_DE_OBRA!A:C,3,FALSE),0)</f>
        <v>75113.05</v>
      </c>
      <c r="J943" s="8">
        <f t="shared" si="56"/>
        <v>300452.2</v>
      </c>
      <c r="K943" s="7" t="str">
        <f t="shared" si="57"/>
        <v>PTO-2404|MO</v>
      </c>
      <c r="L943" s="7">
        <f>COUNTIFS($K$2:K943,K943)</f>
        <v>1</v>
      </c>
      <c r="M943" s="7" t="str">
        <f t="shared" si="58"/>
        <v>PTO-2404|MO|1</v>
      </c>
      <c r="N943" s="7">
        <f>IFERROR(VLOOKUP(A943,PARTIDAS!A:F,6,FALSE),0)</f>
        <v>1</v>
      </c>
      <c r="O943" s="7">
        <f t="shared" si="59"/>
        <v>4</v>
      </c>
      <c r="P943" s="7">
        <f>IFERROR(_xlfn.XLOOKUP(A943,PPTO_GENERADOR!$Q:$Q,PPTO_GENERADOR!$E:$E,"-",0),"-")</f>
        <v>1</v>
      </c>
    </row>
    <row r="944" spans="1:16" x14ac:dyDescent="0.35">
      <c r="A944" s="5" t="s">
        <v>1138</v>
      </c>
      <c r="B944" s="5" t="s">
        <v>1198</v>
      </c>
      <c r="C944" s="5" t="s">
        <v>1201</v>
      </c>
      <c r="D944" s="5" t="s">
        <v>481</v>
      </c>
      <c r="E944" s="7" t="str">
        <f>IFERROR(VLOOKUP(D944,MANO_DE_OBRA!A:B,2,FALSE),"?")</f>
        <v>OFICIAL</v>
      </c>
      <c r="F944" s="5" t="s">
        <v>1200</v>
      </c>
      <c r="G944" s="11">
        <v>8</v>
      </c>
      <c r="H944" s="12">
        <v>0</v>
      </c>
      <c r="I944" s="7">
        <f>IFERROR(VLOOKUP(D944,MANO_DE_OBRA!A:C,3,FALSE),0)</f>
        <v>65360.25</v>
      </c>
      <c r="J944" s="8">
        <f t="shared" si="56"/>
        <v>522882</v>
      </c>
      <c r="K944" s="7" t="str">
        <f t="shared" si="57"/>
        <v>PTO-2404|MO</v>
      </c>
      <c r="L944" s="7">
        <f>COUNTIFS($K$2:K944,K944)</f>
        <v>2</v>
      </c>
      <c r="M944" s="7" t="str">
        <f t="shared" si="58"/>
        <v>PTO-2404|MO|2</v>
      </c>
      <c r="N944" s="7">
        <f>IFERROR(VLOOKUP(A944,PARTIDAS!A:F,6,FALSE),0)</f>
        <v>1</v>
      </c>
      <c r="O944" s="7">
        <f t="shared" si="59"/>
        <v>8</v>
      </c>
      <c r="P944" s="7">
        <f>IFERROR(_xlfn.XLOOKUP(A944,PPTO_GENERADOR!$Q:$Q,PPTO_GENERADOR!$E:$E,"-",0),"-")</f>
        <v>1</v>
      </c>
    </row>
    <row r="945" spans="1:16" x14ac:dyDescent="0.35">
      <c r="A945" s="5" t="s">
        <v>1138</v>
      </c>
      <c r="B945" s="5" t="s">
        <v>1198</v>
      </c>
      <c r="C945" s="5" t="s">
        <v>1201</v>
      </c>
      <c r="D945" s="5" t="s">
        <v>475</v>
      </c>
      <c r="E945" s="7" t="str">
        <f>IFERROR(VLOOKUP(D945,MANO_DE_OBRA!A:B,2,FALSE),"?")</f>
        <v>AYUDANTE</v>
      </c>
      <c r="F945" s="5" t="s">
        <v>1200</v>
      </c>
      <c r="G945" s="11">
        <v>8</v>
      </c>
      <c r="H945" s="12">
        <v>0</v>
      </c>
      <c r="I945" s="7">
        <f>IFERROR(VLOOKUP(D945,MANO_DE_OBRA!A:C,3,FALSE),0)</f>
        <v>49934.239999999998</v>
      </c>
      <c r="J945" s="8">
        <f t="shared" si="56"/>
        <v>399473.91999999998</v>
      </c>
      <c r="K945" s="7" t="str">
        <f t="shared" si="57"/>
        <v>PTO-2404|MO</v>
      </c>
      <c r="L945" s="7">
        <f>COUNTIFS($K$2:K945,K945)</f>
        <v>3</v>
      </c>
      <c r="M945" s="7" t="str">
        <f t="shared" si="58"/>
        <v>PTO-2404|MO|3</v>
      </c>
      <c r="N945" s="7">
        <f>IFERROR(VLOOKUP(A945,PARTIDAS!A:F,6,FALSE),0)</f>
        <v>1</v>
      </c>
      <c r="O945" s="7">
        <f t="shared" si="59"/>
        <v>8</v>
      </c>
      <c r="P945" s="7">
        <f>IFERROR(_xlfn.XLOOKUP(A945,PPTO_GENERADOR!$Q:$Q,PPTO_GENERADOR!$E:$E,"-",0),"-")</f>
        <v>1</v>
      </c>
    </row>
    <row r="946" spans="1:16" x14ac:dyDescent="0.35">
      <c r="A946" s="5" t="s">
        <v>1138</v>
      </c>
      <c r="B946" s="5" t="s">
        <v>1202</v>
      </c>
      <c r="C946" s="5"/>
      <c r="D946" s="5" t="s">
        <v>649</v>
      </c>
      <c r="E946" s="7" t="str">
        <f>IFERROR(VLOOKUP(D946,EQUIPOS!A:B,2,FALSE),"?")</f>
        <v>Herramientas/consumibles - Protecciones y defensas</v>
      </c>
      <c r="F946" s="5"/>
      <c r="G946" s="11">
        <v>1</v>
      </c>
      <c r="H946" s="12">
        <v>0</v>
      </c>
      <c r="I946" s="7">
        <f>IFERROR(VLOOKUP(D946,EQUIPOS!A:C,3,FALSE),0)</f>
        <v>54163.580199999997</v>
      </c>
      <c r="J946" s="8">
        <f t="shared" si="56"/>
        <v>54163.580199999997</v>
      </c>
      <c r="K946" s="7" t="str">
        <f t="shared" si="57"/>
        <v>PTO-2404|EQ</v>
      </c>
      <c r="L946" s="7">
        <f>COUNTIFS($K$2:K946,K946)</f>
        <v>1</v>
      </c>
      <c r="M946" s="7" t="str">
        <f t="shared" si="58"/>
        <v>PTO-2404|EQ|1</v>
      </c>
      <c r="N946" s="7">
        <f>IFERROR(VLOOKUP(A946,PARTIDAS!A:F,6,FALSE),0)</f>
        <v>1</v>
      </c>
      <c r="O946" s="7">
        <f t="shared" si="59"/>
        <v>0</v>
      </c>
      <c r="P946" s="7">
        <f>IFERROR(_xlfn.XLOOKUP(A946,PPTO_GENERADOR!$Q:$Q,PPTO_GENERADOR!$E:$E,"-",0),"-")</f>
        <v>1</v>
      </c>
    </row>
    <row r="947" spans="1:16" x14ac:dyDescent="0.35">
      <c r="A947" s="5" t="s">
        <v>1140</v>
      </c>
      <c r="B947" s="5" t="s">
        <v>1203</v>
      </c>
      <c r="C947" s="5" t="s">
        <v>1205</v>
      </c>
      <c r="D947" s="5" t="s">
        <v>427</v>
      </c>
      <c r="E947" s="7" t="str">
        <f>IFERROR(VLOOKUP(D947,MATERIALES!A:B,2,FALSE),"?")</f>
        <v>Mat.</v>
      </c>
      <c r="F947" s="5"/>
      <c r="G947" s="11">
        <v>1</v>
      </c>
      <c r="H947" s="12">
        <v>0</v>
      </c>
      <c r="I947" s="7">
        <f>IFERROR(VLOOKUP(D947,MATERIALES!A:D,4,FALSE),0)</f>
        <v>50000</v>
      </c>
      <c r="J947" s="8">
        <f t="shared" si="56"/>
        <v>50000</v>
      </c>
      <c r="K947" s="7" t="str">
        <f t="shared" si="57"/>
        <v>PTO-2405|MAT</v>
      </c>
      <c r="L947" s="7">
        <f>COUNTIFS($K$2:K947,K947)</f>
        <v>1</v>
      </c>
      <c r="M947" s="7" t="str">
        <f t="shared" si="58"/>
        <v>PTO-2405|MAT|1</v>
      </c>
      <c r="N947" s="7">
        <f>IFERROR(VLOOKUP(A947,PARTIDAS!A:F,6,FALSE),0)</f>
        <v>1</v>
      </c>
      <c r="O947" s="7">
        <f t="shared" si="59"/>
        <v>0</v>
      </c>
      <c r="P947" s="7">
        <f>IFERROR(_xlfn.XLOOKUP(A947,PPTO_GENERADOR!$Q:$Q,PPTO_GENERADOR!$E:$E,"-",0),"-")</f>
        <v>14</v>
      </c>
    </row>
    <row r="948" spans="1:16" x14ac:dyDescent="0.35">
      <c r="A948" s="5" t="s">
        <v>1140</v>
      </c>
      <c r="B948" s="5" t="s">
        <v>1198</v>
      </c>
      <c r="C948" s="5" t="s">
        <v>1201</v>
      </c>
      <c r="D948" s="5" t="s">
        <v>481</v>
      </c>
      <c r="E948" s="7" t="str">
        <f>IFERROR(VLOOKUP(D948,MANO_DE_OBRA!A:B,2,FALSE),"?")</f>
        <v>OFICIAL</v>
      </c>
      <c r="F948" s="5" t="s">
        <v>1200</v>
      </c>
      <c r="G948" s="11">
        <v>3</v>
      </c>
      <c r="H948" s="12">
        <v>0</v>
      </c>
      <c r="I948" s="7">
        <f>IFERROR(VLOOKUP(D948,MANO_DE_OBRA!A:C,3,FALSE),0)</f>
        <v>65360.25</v>
      </c>
      <c r="J948" s="8">
        <f t="shared" si="56"/>
        <v>196080.75</v>
      </c>
      <c r="K948" s="7" t="str">
        <f t="shared" si="57"/>
        <v>PTO-2405|MO</v>
      </c>
      <c r="L948" s="7">
        <f>COUNTIFS($K$2:K948,K948)</f>
        <v>1</v>
      </c>
      <c r="M948" s="7" t="str">
        <f t="shared" si="58"/>
        <v>PTO-2405|MO|1</v>
      </c>
      <c r="N948" s="7">
        <f>IFERROR(VLOOKUP(A948,PARTIDAS!A:F,6,FALSE),0)</f>
        <v>1</v>
      </c>
      <c r="O948" s="7">
        <f t="shared" si="59"/>
        <v>3</v>
      </c>
      <c r="P948" s="7">
        <f>IFERROR(_xlfn.XLOOKUP(A948,PPTO_GENERADOR!$Q:$Q,PPTO_GENERADOR!$E:$E,"-",0),"-")</f>
        <v>14</v>
      </c>
    </row>
    <row r="949" spans="1:16" x14ac:dyDescent="0.35">
      <c r="A949" s="5" t="s">
        <v>1140</v>
      </c>
      <c r="B949" s="5" t="s">
        <v>1198</v>
      </c>
      <c r="C949" s="5" t="s">
        <v>1201</v>
      </c>
      <c r="D949" s="5" t="s">
        <v>475</v>
      </c>
      <c r="E949" s="7" t="str">
        <f>IFERROR(VLOOKUP(D949,MANO_DE_OBRA!A:B,2,FALSE),"?")</f>
        <v>AYUDANTE</v>
      </c>
      <c r="F949" s="5" t="s">
        <v>1200</v>
      </c>
      <c r="G949" s="11">
        <v>6</v>
      </c>
      <c r="H949" s="12">
        <v>0</v>
      </c>
      <c r="I949" s="7">
        <f>IFERROR(VLOOKUP(D949,MANO_DE_OBRA!A:C,3,FALSE),0)</f>
        <v>49934.239999999998</v>
      </c>
      <c r="J949" s="8">
        <f t="shared" si="56"/>
        <v>299605.44</v>
      </c>
      <c r="K949" s="7" t="str">
        <f t="shared" si="57"/>
        <v>PTO-2405|MO</v>
      </c>
      <c r="L949" s="7">
        <f>COUNTIFS($K$2:K949,K949)</f>
        <v>2</v>
      </c>
      <c r="M949" s="7" t="str">
        <f t="shared" si="58"/>
        <v>PTO-2405|MO|2</v>
      </c>
      <c r="N949" s="7">
        <f>IFERROR(VLOOKUP(A949,PARTIDAS!A:F,6,FALSE),0)</f>
        <v>1</v>
      </c>
      <c r="O949" s="7">
        <f t="shared" si="59"/>
        <v>6</v>
      </c>
      <c r="P949" s="7">
        <f>IFERROR(_xlfn.XLOOKUP(A949,PPTO_GENERADOR!$Q:$Q,PPTO_GENERADOR!$E:$E,"-",0),"-")</f>
        <v>14</v>
      </c>
    </row>
    <row r="950" spans="1:16" x14ac:dyDescent="0.35">
      <c r="A950" s="5" t="s">
        <v>1140</v>
      </c>
      <c r="B950" s="5" t="s">
        <v>1202</v>
      </c>
      <c r="C950" s="5"/>
      <c r="D950" s="5" t="s">
        <v>651</v>
      </c>
      <c r="E950" s="7" t="str">
        <f>IFERROR(VLOOKUP(D950,EQUIPOS!A:B,2,FALSE),"?")</f>
        <v>Herramientas/consumibles - Ayuda de gremios</v>
      </c>
      <c r="F950" s="5"/>
      <c r="G950" s="11">
        <v>1</v>
      </c>
      <c r="H950" s="12">
        <v>0</v>
      </c>
      <c r="I950" s="7">
        <f>IFERROR(VLOOKUP(D950,EQUIPOS!A:C,3,FALSE),0)</f>
        <v>8185.2924999999996</v>
      </c>
      <c r="J950" s="8">
        <f t="shared" si="56"/>
        <v>8185.2924999999996</v>
      </c>
      <c r="K950" s="7" t="str">
        <f t="shared" si="57"/>
        <v>PTO-2405|EQ</v>
      </c>
      <c r="L950" s="7">
        <f>COUNTIFS($K$2:K950,K950)</f>
        <v>1</v>
      </c>
      <c r="M950" s="7" t="str">
        <f t="shared" si="58"/>
        <v>PTO-2405|EQ|1</v>
      </c>
      <c r="N950" s="7">
        <f>IFERROR(VLOOKUP(A950,PARTIDAS!A:F,6,FALSE),0)</f>
        <v>1</v>
      </c>
      <c r="O950" s="7">
        <f t="shared" si="59"/>
        <v>0</v>
      </c>
      <c r="P950" s="7">
        <f>IFERROR(_xlfn.XLOOKUP(A950,PPTO_GENERADOR!$Q:$Q,PPTO_GENERADOR!$E:$E,"-",0),"-")</f>
        <v>14</v>
      </c>
    </row>
    <row r="951" spans="1:16" x14ac:dyDescent="0.35">
      <c r="A951" s="5" t="s">
        <v>1142</v>
      </c>
      <c r="B951" s="5" t="s">
        <v>1203</v>
      </c>
      <c r="C951" s="5" t="s">
        <v>1205</v>
      </c>
      <c r="D951" s="5" t="s">
        <v>429</v>
      </c>
      <c r="E951" s="7" t="str">
        <f>IFERROR(VLOOKUP(D951,MATERIALES!A:B,2,FALSE),"?")</f>
        <v>Mat.</v>
      </c>
      <c r="F951" s="5"/>
      <c r="G951" s="11">
        <v>1</v>
      </c>
      <c r="H951" s="12">
        <v>0</v>
      </c>
      <c r="I951" s="7">
        <f>IFERROR(VLOOKUP(D951,MATERIALES!A:D,4,FALSE),0)</f>
        <v>25000</v>
      </c>
      <c r="J951" s="8">
        <f t="shared" si="56"/>
        <v>25000</v>
      </c>
      <c r="K951" s="7" t="str">
        <f t="shared" si="57"/>
        <v>PTO-2406|MAT</v>
      </c>
      <c r="L951" s="7">
        <f>COUNTIFS($K$2:K951,K951)</f>
        <v>1</v>
      </c>
      <c r="M951" s="7" t="str">
        <f t="shared" si="58"/>
        <v>PTO-2406|MAT|1</v>
      </c>
      <c r="N951" s="7">
        <f>IFERROR(VLOOKUP(A951,PARTIDAS!A:F,6,FALSE),0)</f>
        <v>1</v>
      </c>
      <c r="O951" s="7">
        <f t="shared" si="59"/>
        <v>0</v>
      </c>
      <c r="P951" s="7">
        <f>IFERROR(_xlfn.XLOOKUP(A951,PPTO_GENERADOR!$Q:$Q,PPTO_GENERADOR!$E:$E,"-",0),"-")</f>
        <v>14</v>
      </c>
    </row>
    <row r="952" spans="1:16" x14ac:dyDescent="0.35">
      <c r="A952" s="5" t="s">
        <v>1142</v>
      </c>
      <c r="B952" s="5" t="s">
        <v>1198</v>
      </c>
      <c r="C952" s="5" t="s">
        <v>1201</v>
      </c>
      <c r="D952" s="5" t="s">
        <v>475</v>
      </c>
      <c r="E952" s="7" t="str">
        <f>IFERROR(VLOOKUP(D952,MANO_DE_OBRA!A:B,2,FALSE),"?")</f>
        <v>AYUDANTE</v>
      </c>
      <c r="F952" s="5" t="s">
        <v>1200</v>
      </c>
      <c r="G952" s="11">
        <v>6.6</v>
      </c>
      <c r="H952" s="12">
        <v>0</v>
      </c>
      <c r="I952" s="7">
        <f>IFERROR(VLOOKUP(D952,MANO_DE_OBRA!A:C,3,FALSE),0)</f>
        <v>49934.239999999998</v>
      </c>
      <c r="J952" s="8">
        <f t="shared" si="56"/>
        <v>329565.984</v>
      </c>
      <c r="K952" s="7" t="str">
        <f t="shared" si="57"/>
        <v>PTO-2406|MO</v>
      </c>
      <c r="L952" s="7">
        <f>COUNTIFS($K$2:K952,K952)</f>
        <v>1</v>
      </c>
      <c r="M952" s="7" t="str">
        <f t="shared" si="58"/>
        <v>PTO-2406|MO|1</v>
      </c>
      <c r="N952" s="7">
        <f>IFERROR(VLOOKUP(A952,PARTIDAS!A:F,6,FALSE),0)</f>
        <v>1</v>
      </c>
      <c r="O952" s="7">
        <f t="shared" si="59"/>
        <v>6.6</v>
      </c>
      <c r="P952" s="7">
        <f>IFERROR(_xlfn.XLOOKUP(A952,PPTO_GENERADOR!$Q:$Q,PPTO_GENERADOR!$E:$E,"-",0),"-")</f>
        <v>14</v>
      </c>
    </row>
    <row r="953" spans="1:16" x14ac:dyDescent="0.35">
      <c r="A953" s="5" t="s">
        <v>1142</v>
      </c>
      <c r="B953" s="5" t="s">
        <v>1202</v>
      </c>
      <c r="C953" s="5"/>
      <c r="D953" s="5" t="s">
        <v>653</v>
      </c>
      <c r="E953" s="7" t="str">
        <f>IFERROR(VLOOKUP(D953,EQUIPOS!A:B,2,FALSE),"?")</f>
        <v>Herramientas/consumibles - Limpieza periodica</v>
      </c>
      <c r="F953" s="5"/>
      <c r="G953" s="11">
        <v>1</v>
      </c>
      <c r="H953" s="12">
        <v>0</v>
      </c>
      <c r="I953" s="7">
        <f>IFERROR(VLOOKUP(D953,EQUIPOS!A:C,3,FALSE),0)</f>
        <v>5318.4894999999997</v>
      </c>
      <c r="J953" s="8">
        <f t="shared" si="56"/>
        <v>5318.4894999999997</v>
      </c>
      <c r="K953" s="7" t="str">
        <f t="shared" si="57"/>
        <v>PTO-2406|EQ</v>
      </c>
      <c r="L953" s="7">
        <f>COUNTIFS($K$2:K953,K953)</f>
        <v>1</v>
      </c>
      <c r="M953" s="7" t="str">
        <f t="shared" si="58"/>
        <v>PTO-2406|EQ|1</v>
      </c>
      <c r="N953" s="7">
        <f>IFERROR(VLOOKUP(A953,PARTIDAS!A:F,6,FALSE),0)</f>
        <v>1</v>
      </c>
      <c r="O953" s="7">
        <f t="shared" si="59"/>
        <v>0</v>
      </c>
      <c r="P953" s="7">
        <f>IFERROR(_xlfn.XLOOKUP(A953,PPTO_GENERADOR!$Q:$Q,PPTO_GENERADOR!$E:$E,"-",0),"-")</f>
        <v>14</v>
      </c>
    </row>
    <row r="954" spans="1:16" x14ac:dyDescent="0.35">
      <c r="A954" s="5" t="s">
        <v>1145</v>
      </c>
      <c r="B954" s="5" t="s">
        <v>1198</v>
      </c>
      <c r="C954" s="5" t="s">
        <v>1199</v>
      </c>
      <c r="D954" s="5" t="s">
        <v>781</v>
      </c>
      <c r="E954" s="7" t="str">
        <f>IFERROR(VLOOKUP(D954,SUBCONTRATOS_PRY!A:B,2,FALSE),"?")</f>
        <v>Fletes</v>
      </c>
      <c r="F954" s="5" t="s">
        <v>1200</v>
      </c>
      <c r="G954" s="11">
        <v>1</v>
      </c>
      <c r="H954" s="12">
        <v>0</v>
      </c>
      <c r="I954" s="7">
        <f>IFERROR(VLOOKUP(D954,SUBCONTRATOS_PRY!A:D,4,FALSE),0)</f>
        <v>250000</v>
      </c>
      <c r="J954" s="8">
        <f t="shared" si="56"/>
        <v>250000</v>
      </c>
      <c r="K954" s="7" t="str">
        <f t="shared" si="57"/>
        <v>PTO-2408|MO</v>
      </c>
      <c r="L954" s="7">
        <f>COUNTIFS($K$2:K954,K954)</f>
        <v>1</v>
      </c>
      <c r="M954" s="7" t="str">
        <f t="shared" si="58"/>
        <v>PTO-2408|MO|1</v>
      </c>
      <c r="N954" s="7">
        <f>IFERROR(VLOOKUP(A954,PARTIDAS!A:F,6,FALSE),0)</f>
        <v>1</v>
      </c>
      <c r="O954" s="7">
        <f t="shared" si="59"/>
        <v>0</v>
      </c>
      <c r="P954" s="7">
        <f>IFERROR(_xlfn.XLOOKUP(A954,PPTO_GENERADOR!$Q:$Q,PPTO_GENERADOR!$E:$E,"-",0),"-")</f>
        <v>14</v>
      </c>
    </row>
    <row r="955" spans="1:16" x14ac:dyDescent="0.35">
      <c r="A955" s="5" t="s">
        <v>1148</v>
      </c>
      <c r="B955" s="5" t="s">
        <v>1203</v>
      </c>
      <c r="C955" s="5" t="s">
        <v>1199</v>
      </c>
      <c r="D955" s="5" t="s">
        <v>430</v>
      </c>
      <c r="E955" s="7" t="str">
        <f>IFERROR(VLOOKUP(D955,MATERIALES!A:B,2,FALSE),"?")</f>
        <v>Volquetes</v>
      </c>
      <c r="F955" s="5"/>
      <c r="G955" s="11">
        <v>1</v>
      </c>
      <c r="H955" s="12">
        <v>0</v>
      </c>
      <c r="I955" s="7">
        <f>IFERROR(VLOOKUP(D955,MATERIALES!A:D,4,FALSE),0)</f>
        <v>200000</v>
      </c>
      <c r="J955" s="8">
        <f t="shared" si="56"/>
        <v>200000</v>
      </c>
      <c r="K955" s="7" t="str">
        <f t="shared" si="57"/>
        <v>PTO-2410|MAT</v>
      </c>
      <c r="L955" s="7">
        <f>COUNTIFS($K$2:K955,K955)</f>
        <v>1</v>
      </c>
      <c r="M955" s="7" t="str">
        <f t="shared" si="58"/>
        <v>PTO-2410|MAT|1</v>
      </c>
      <c r="N955" s="7">
        <f>IFERROR(VLOOKUP(A955,PARTIDAS!A:F,6,FALSE),0)</f>
        <v>1</v>
      </c>
      <c r="O955" s="7">
        <f t="shared" si="59"/>
        <v>0</v>
      </c>
      <c r="P955" s="7">
        <f>IFERROR(_xlfn.XLOOKUP(A955,PPTO_GENERADOR!$Q:$Q,PPTO_GENERADOR!$E:$E,"-",0),"-")</f>
        <v>14</v>
      </c>
    </row>
    <row r="956" spans="1:16" x14ac:dyDescent="0.35">
      <c r="A956" s="5" t="s">
        <v>1148</v>
      </c>
      <c r="B956" s="5" t="s">
        <v>1198</v>
      </c>
      <c r="C956" s="5" t="s">
        <v>1201</v>
      </c>
      <c r="D956" s="5" t="s">
        <v>475</v>
      </c>
      <c r="E956" s="7" t="str">
        <f>IFERROR(VLOOKUP(D956,MANO_DE_OBRA!A:B,2,FALSE),"?")</f>
        <v>AYUDANTE</v>
      </c>
      <c r="F956" s="5" t="s">
        <v>1200</v>
      </c>
      <c r="G956" s="11">
        <v>1</v>
      </c>
      <c r="H956" s="12">
        <v>0</v>
      </c>
      <c r="I956" s="7">
        <f>IFERROR(VLOOKUP(D956,MANO_DE_OBRA!A:C,3,FALSE),0)</f>
        <v>49934.239999999998</v>
      </c>
      <c r="J956" s="8">
        <f t="shared" si="56"/>
        <v>49934.239999999998</v>
      </c>
      <c r="K956" s="7" t="str">
        <f t="shared" si="57"/>
        <v>PTO-2410|MO</v>
      </c>
      <c r="L956" s="7">
        <f>COUNTIFS($K$2:K956,K956)</f>
        <v>1</v>
      </c>
      <c r="M956" s="7" t="str">
        <f t="shared" si="58"/>
        <v>PTO-2410|MO|1</v>
      </c>
      <c r="N956" s="7">
        <f>IFERROR(VLOOKUP(A956,PARTIDAS!A:F,6,FALSE),0)</f>
        <v>1</v>
      </c>
      <c r="O956" s="7">
        <f t="shared" si="59"/>
        <v>1</v>
      </c>
      <c r="P956" s="7">
        <f>IFERROR(_xlfn.XLOOKUP(A956,PPTO_GENERADOR!$Q:$Q,PPTO_GENERADOR!$E:$E,"-",0),"-")</f>
        <v>14</v>
      </c>
    </row>
    <row r="957" spans="1:16" x14ac:dyDescent="0.35">
      <c r="A957" s="5" t="s">
        <v>1151</v>
      </c>
      <c r="B957" s="5" t="s">
        <v>1198</v>
      </c>
      <c r="C957" s="5" t="s">
        <v>1199</v>
      </c>
      <c r="D957" s="5" t="s">
        <v>783</v>
      </c>
      <c r="E957" s="7" t="str">
        <f>IFERROR(VLOOKUP(D957,SUBCONTRATOS_PRY!A:B,2,FALSE),"?")</f>
        <v>GGBB: Supervisión profesional de Obr</v>
      </c>
      <c r="F957" s="5" t="s">
        <v>1200</v>
      </c>
      <c r="G957" s="11">
        <v>1</v>
      </c>
      <c r="H957" s="12">
        <v>0</v>
      </c>
      <c r="I957" s="7">
        <f>IFERROR(VLOOKUP(D957,SUBCONTRATOS_PRY!A:D,4,FALSE),0)</f>
        <v>3798370.5819999999</v>
      </c>
      <c r="J957" s="8">
        <f t="shared" si="56"/>
        <v>3798370.5819999999</v>
      </c>
      <c r="K957" s="7" t="str">
        <f t="shared" si="57"/>
        <v>PTO-2501|MO</v>
      </c>
      <c r="L957" s="7">
        <f>COUNTIFS($K$2:K957,K957)</f>
        <v>1</v>
      </c>
      <c r="M957" s="7" t="str">
        <f t="shared" si="58"/>
        <v>PTO-2501|MO|1</v>
      </c>
      <c r="N957" s="7">
        <f>IFERROR(VLOOKUP(A957,PARTIDAS!A:F,6,FALSE),0)</f>
        <v>1</v>
      </c>
      <c r="O957" s="7">
        <f t="shared" si="59"/>
        <v>0</v>
      </c>
      <c r="P957" s="7">
        <f>IFERROR(_xlfn.XLOOKUP(A957,PPTO_GENERADOR!$Q:$Q,PPTO_GENERADOR!$E:$E,"-",0),"-")</f>
        <v>14</v>
      </c>
    </row>
    <row r="958" spans="1:16" x14ac:dyDescent="0.35">
      <c r="A958" s="5" t="s">
        <v>1153</v>
      </c>
      <c r="B958" s="5" t="s">
        <v>1198</v>
      </c>
      <c r="C958" s="5" t="s">
        <v>1199</v>
      </c>
      <c r="D958" s="5" t="s">
        <v>785</v>
      </c>
      <c r="E958" s="7" t="str">
        <f>IFERROR(VLOOKUP(D958,SUBCONTRATOS_PRY!A:B,2,FALSE),"?")</f>
        <v>GGBB: Movilidad y viaticos</v>
      </c>
      <c r="F958" s="5" t="s">
        <v>1200</v>
      </c>
      <c r="G958" s="11">
        <v>1</v>
      </c>
      <c r="H958" s="12">
        <v>0</v>
      </c>
      <c r="I958" s="7">
        <f>IFERROR(VLOOKUP(D958,SUBCONTRATOS_PRY!A:D,4,FALSE),0)</f>
        <v>500000</v>
      </c>
      <c r="J958" s="8">
        <f t="shared" si="56"/>
        <v>500000</v>
      </c>
      <c r="K958" s="7" t="str">
        <f t="shared" si="57"/>
        <v>PTO-2502|MO</v>
      </c>
      <c r="L958" s="7">
        <f>COUNTIFS($K$2:K958,K958)</f>
        <v>1</v>
      </c>
      <c r="M958" s="7" t="str">
        <f t="shared" si="58"/>
        <v>PTO-2502|MO|1</v>
      </c>
      <c r="N958" s="7">
        <f>IFERROR(VLOOKUP(A958,PARTIDAS!A:F,6,FALSE),0)</f>
        <v>1</v>
      </c>
      <c r="O958" s="7">
        <f t="shared" si="59"/>
        <v>0</v>
      </c>
      <c r="P958" s="7">
        <f>IFERROR(_xlfn.XLOOKUP(A958,PPTO_GENERADOR!$Q:$Q,PPTO_GENERADOR!$E:$E,"-",0),"-")</f>
        <v>14</v>
      </c>
    </row>
    <row r="959" spans="1:16" x14ac:dyDescent="0.35">
      <c r="A959" s="5" t="s">
        <v>1156</v>
      </c>
      <c r="B959" s="5" t="s">
        <v>1203</v>
      </c>
      <c r="C959" s="5" t="s">
        <v>1199</v>
      </c>
      <c r="D959" s="5" t="s">
        <v>431</v>
      </c>
      <c r="E959" s="7" t="str">
        <f>IFERROR(VLOOKUP(D959,MATERIALES!A:B,2,FALSE),"?")</f>
        <v>Hierro c/ corte y doblado</v>
      </c>
      <c r="F959" s="5"/>
      <c r="G959" s="11">
        <v>1</v>
      </c>
      <c r="H959" s="12">
        <v>0</v>
      </c>
      <c r="I959" s="7">
        <f>IFERROR(VLOOKUP(D959,MATERIALES!A:D,4,FALSE),0)</f>
        <v>1675.9465</v>
      </c>
      <c r="J959" s="8">
        <f t="shared" si="56"/>
        <v>1675.9465</v>
      </c>
      <c r="K959" s="7" t="str">
        <f t="shared" si="57"/>
        <v>PTO-2601|MAT</v>
      </c>
      <c r="L959" s="7">
        <f>COUNTIFS($K$2:K959,K959)</f>
        <v>1</v>
      </c>
      <c r="M959" s="7" t="str">
        <f t="shared" si="58"/>
        <v>PTO-2601|MAT|1</v>
      </c>
      <c r="N959" s="7">
        <f>IFERROR(VLOOKUP(A959,PARTIDAS!A:F,6,FALSE),0)</f>
        <v>1</v>
      </c>
      <c r="O959" s="7">
        <f t="shared" si="59"/>
        <v>0</v>
      </c>
      <c r="P959" s="7">
        <f>IFERROR(_xlfn.XLOOKUP(A959,PPTO_GENERADOR!$Q:$Q,PPTO_GENERADOR!$E:$E,"-",0),"-")</f>
        <v>71835</v>
      </c>
    </row>
    <row r="960" spans="1:16" x14ac:dyDescent="0.35">
      <c r="A960" s="5" t="s">
        <v>1157</v>
      </c>
      <c r="B960" s="5" t="s">
        <v>1203</v>
      </c>
      <c r="C960" s="5" t="s">
        <v>1199</v>
      </c>
      <c r="D960" s="5" t="s">
        <v>433</v>
      </c>
      <c r="E960" s="7" t="str">
        <f>IFERROR(VLOOKUP(D960,MATERIALES!A:B,2,FALSE),"?")</f>
        <v>H° - inc hidrofugo, bombeo, piedra 6/12</v>
      </c>
      <c r="F960" s="5"/>
      <c r="G960" s="11">
        <v>1</v>
      </c>
      <c r="H960" s="12">
        <v>0</v>
      </c>
      <c r="I960" s="7">
        <f>IFERROR(VLOOKUP(D960,MATERIALES!A:D,4,FALSE),0)</f>
        <v>161741.24100000001</v>
      </c>
      <c r="J960" s="8">
        <f t="shared" si="56"/>
        <v>161741.24100000001</v>
      </c>
      <c r="K960" s="7" t="str">
        <f t="shared" si="57"/>
        <v>PTO-2602|MAT</v>
      </c>
      <c r="L960" s="7">
        <f>COUNTIFS($K$2:K960,K960)</f>
        <v>1</v>
      </c>
      <c r="M960" s="7" t="str">
        <f t="shared" si="58"/>
        <v>PTO-2602|MAT|1</v>
      </c>
      <c r="N960" s="7">
        <f>IFERROR(VLOOKUP(A960,PARTIDAS!A:F,6,FALSE),0)</f>
        <v>1</v>
      </c>
      <c r="O960" s="7">
        <f t="shared" si="59"/>
        <v>0</v>
      </c>
      <c r="P960" s="7">
        <f>IFERROR(_xlfn.XLOOKUP(A960,PPTO_GENERADOR!$Q:$Q,PPTO_GENERADOR!$E:$E,"-",0),"-")</f>
        <v>641</v>
      </c>
    </row>
    <row r="961" spans="1:16" x14ac:dyDescent="0.35">
      <c r="A961" s="5" t="s">
        <v>1172</v>
      </c>
      <c r="B961" s="5" t="s">
        <v>1203</v>
      </c>
      <c r="C961" s="5" t="s">
        <v>1199</v>
      </c>
      <c r="D961" s="5" t="s">
        <v>435</v>
      </c>
      <c r="E961" s="7" t="str">
        <f>IFERROR(VLOOKUP(D961,MATERIALES!A:B,2,FALSE),"?")</f>
        <v>Colocación de artefactos a gas - Anafe/Horno</v>
      </c>
      <c r="F961" s="5"/>
      <c r="G961" s="11">
        <v>1</v>
      </c>
      <c r="H961" s="12">
        <v>0</v>
      </c>
      <c r="I961" s="7">
        <f>IFERROR(VLOOKUP(D961,MATERIALES!A:D,4,FALSE),0)</f>
        <v>15000</v>
      </c>
      <c r="J961" s="8">
        <f t="shared" si="56"/>
        <v>15000</v>
      </c>
      <c r="K961" s="7" t="str">
        <f t="shared" si="57"/>
        <v>PTO-2701|MAT</v>
      </c>
      <c r="L961" s="7">
        <f>COUNTIFS($K$2:K961,K961)</f>
        <v>1</v>
      </c>
      <c r="M961" s="7" t="str">
        <f t="shared" si="58"/>
        <v>PTO-2701|MAT|1</v>
      </c>
      <c r="N961" s="7">
        <f>IFERROR(VLOOKUP(A961,PARTIDAS!A:F,6,FALSE),0)</f>
        <v>1</v>
      </c>
      <c r="O961" s="7">
        <f t="shared" si="59"/>
        <v>0</v>
      </c>
      <c r="P961" s="7">
        <f>IFERROR(_xlfn.XLOOKUP(A961,PPTO_GENERADOR!$Q:$Q,PPTO_GENERADOR!$E:$E,"-",0),"-")</f>
        <v>18</v>
      </c>
    </row>
    <row r="962" spans="1:16" x14ac:dyDescent="0.35">
      <c r="A962" s="5" t="s">
        <v>1172</v>
      </c>
      <c r="B962" s="5" t="s">
        <v>1198</v>
      </c>
      <c r="C962" s="5" t="s">
        <v>1199</v>
      </c>
      <c r="D962" s="5" t="s">
        <v>723</v>
      </c>
      <c r="E962" s="7" t="str">
        <f>IFERROR(VLOOKUP(D962,SUBCONTRATOS_PRY!A:B,2,FALSE),"?")</f>
        <v>ESPECIALIZADO</v>
      </c>
      <c r="F962" s="5" t="s">
        <v>1200</v>
      </c>
      <c r="G962" s="11">
        <v>1</v>
      </c>
      <c r="H962" s="12">
        <v>0</v>
      </c>
      <c r="I962" s="7">
        <f>IFERROR(VLOOKUP(D962,SUBCONTRATOS_PRY!A:D,4,FALSE),0)</f>
        <v>75113.048200000005</v>
      </c>
      <c r="J962" s="8">
        <f t="shared" ref="J962:J1025" si="60">G962*I962*(1+H962)</f>
        <v>75113.048200000005</v>
      </c>
      <c r="K962" s="7" t="str">
        <f t="shared" ref="K962:K982" si="61">A962&amp;"|"&amp;B962</f>
        <v>PTO-2701|MO</v>
      </c>
      <c r="L962" s="7">
        <f>COUNTIFS($K$2:K962,K962)</f>
        <v>1</v>
      </c>
      <c r="M962" s="7" t="str">
        <f t="shared" ref="M962:M1025" si="62">K962&amp;"|"&amp;L962</f>
        <v>PTO-2701|MO|1</v>
      </c>
      <c r="N962" s="7">
        <f>IFERROR(VLOOKUP(A962,PARTIDAS!A:F,6,FALSE),0)</f>
        <v>1</v>
      </c>
      <c r="O962" s="7">
        <f t="shared" ref="O962:O1025" si="63">IF(C962="ALB",IF(N962=0,0,G962/N962),0)</f>
        <v>0</v>
      </c>
      <c r="P962" s="7">
        <f>IFERROR(_xlfn.XLOOKUP(A962,PPTO_GENERADOR!$Q:$Q,PPTO_GENERADOR!$E:$E,"-",0),"-")</f>
        <v>18</v>
      </c>
    </row>
    <row r="963" spans="1:16" x14ac:dyDescent="0.35">
      <c r="A963" s="5" t="s">
        <v>1174</v>
      </c>
      <c r="B963" s="5" t="s">
        <v>1203</v>
      </c>
      <c r="C963" s="5" t="s">
        <v>1199</v>
      </c>
      <c r="D963" s="5" t="s">
        <v>437</v>
      </c>
      <c r="E963" s="7" t="str">
        <f>IFERROR(VLOOKUP(D963,MATERIALES!A:B,2,FALSE),"?")</f>
        <v>Sup</v>
      </c>
      <c r="F963" s="5" t="s">
        <v>439</v>
      </c>
      <c r="G963" s="11">
        <v>33.448003700000001</v>
      </c>
      <c r="H963" s="12">
        <v>0</v>
      </c>
      <c r="I963" s="7">
        <f>IFERROR(VLOOKUP(D963,MATERIALES!A:D,4,FALSE),0)</f>
        <v>35122.669399999999</v>
      </c>
      <c r="J963" s="8">
        <f t="shared" si="60"/>
        <v>1174783.1760450767</v>
      </c>
      <c r="K963" s="7" t="str">
        <f t="shared" si="61"/>
        <v>PTO-2702|MAT</v>
      </c>
      <c r="L963" s="7">
        <f>COUNTIFS($K$2:K963,K963)</f>
        <v>1</v>
      </c>
      <c r="M963" s="7" t="str">
        <f t="shared" si="62"/>
        <v>PTO-2702|MAT|1</v>
      </c>
      <c r="N963" s="7">
        <f>IFERROR(VLOOKUP(A963,PARTIDAS!A:F,6,FALSE),0)</f>
        <v>1</v>
      </c>
      <c r="O963" s="7">
        <f t="shared" si="63"/>
        <v>0</v>
      </c>
      <c r="P963" s="7">
        <f>IFERROR(_xlfn.XLOOKUP(A963,PPTO_GENERADOR!$Q:$Q,PPTO_GENERADOR!$E:$E,"-",0),"-")</f>
        <v>1</v>
      </c>
    </row>
    <row r="964" spans="1:16" x14ac:dyDescent="0.35">
      <c r="A964" s="5" t="s">
        <v>1174</v>
      </c>
      <c r="B964" s="5" t="s">
        <v>1203</v>
      </c>
      <c r="C964" s="5" t="s">
        <v>1199</v>
      </c>
      <c r="D964" s="5" t="s">
        <v>440</v>
      </c>
      <c r="E964" s="7" t="str">
        <f>IFERROR(VLOOKUP(D964,MATERIALES!A:B,2,FALSE),"?")</f>
        <v>Conducto ventilacion 30 x 30 - FRENTE</v>
      </c>
      <c r="F964" s="5">
        <f>(12+9+6)-(5*3)</f>
        <v>12</v>
      </c>
      <c r="G964" s="11">
        <v>33.448003700000001</v>
      </c>
      <c r="H964" s="12">
        <v>0</v>
      </c>
      <c r="I964" s="7">
        <f>IFERROR(VLOOKUP(D964,MATERIALES!A:D,4,FALSE),0)</f>
        <v>20295.537199999999</v>
      </c>
      <c r="J964" s="8">
        <f t="shared" si="60"/>
        <v>678845.20335908758</v>
      </c>
      <c r="K964" s="7" t="str">
        <f t="shared" si="61"/>
        <v>PTO-2702|MAT</v>
      </c>
      <c r="L964" s="7">
        <f>COUNTIFS($K$2:K964,K964)</f>
        <v>2</v>
      </c>
      <c r="M964" s="7" t="str">
        <f t="shared" si="62"/>
        <v>PTO-2702|MAT|2</v>
      </c>
      <c r="N964" s="7">
        <f>IFERROR(VLOOKUP(A964,PARTIDAS!A:F,6,FALSE),0)</f>
        <v>1</v>
      </c>
      <c r="O964" s="7">
        <f t="shared" si="63"/>
        <v>0</v>
      </c>
      <c r="P964" s="7">
        <f>IFERROR(_xlfn.XLOOKUP(A964,PPTO_GENERADOR!$Q:$Q,PPTO_GENERADOR!$E:$E,"-",0),"-")</f>
        <v>1</v>
      </c>
    </row>
    <row r="965" spans="1:16" x14ac:dyDescent="0.35">
      <c r="A965" s="5" t="s">
        <v>1174</v>
      </c>
      <c r="B965" s="5" t="s">
        <v>1203</v>
      </c>
      <c r="C965" s="5" t="s">
        <v>1199</v>
      </c>
      <c r="D965" s="5" t="s">
        <v>442</v>
      </c>
      <c r="E965" s="7" t="str">
        <f>IFERROR(VLOOKUP(D965,MATERIALES!A:B,2,FALSE),"?")</f>
        <v>Conducto ventilacion 30 x 30 prep - FRENTE</v>
      </c>
      <c r="F965" s="5">
        <f>5*3</f>
        <v>15</v>
      </c>
      <c r="G965" s="11">
        <v>33.448003700000001</v>
      </c>
      <c r="H965" s="12">
        <v>0</v>
      </c>
      <c r="I965" s="7">
        <f>IFERROR(VLOOKUP(D965,MATERIALES!A:D,4,FALSE),0)</f>
        <v>37506.479299999999</v>
      </c>
      <c r="J965" s="8">
        <f t="shared" si="60"/>
        <v>1254516.8584003735</v>
      </c>
      <c r="K965" s="7" t="str">
        <f t="shared" si="61"/>
        <v>PTO-2702|MAT</v>
      </c>
      <c r="L965" s="7">
        <f>COUNTIFS($K$2:K965,K965)</f>
        <v>3</v>
      </c>
      <c r="M965" s="7" t="str">
        <f t="shared" si="62"/>
        <v>PTO-2702|MAT|3</v>
      </c>
      <c r="N965" s="7">
        <f>IFERROR(VLOOKUP(A965,PARTIDAS!A:F,6,FALSE),0)</f>
        <v>1</v>
      </c>
      <c r="O965" s="7">
        <f t="shared" si="63"/>
        <v>0</v>
      </c>
      <c r="P965" s="7">
        <f>IFERROR(_xlfn.XLOOKUP(A965,PPTO_GENERADOR!$Q:$Q,PPTO_GENERADOR!$E:$E,"-",0),"-")</f>
        <v>1</v>
      </c>
    </row>
    <row r="966" spans="1:16" x14ac:dyDescent="0.35">
      <c r="A966" s="5" t="s">
        <v>1174</v>
      </c>
      <c r="B966" s="5" t="s">
        <v>1203</v>
      </c>
      <c r="C966" s="5" t="s">
        <v>1199</v>
      </c>
      <c r="D966" s="5" t="s">
        <v>444</v>
      </c>
      <c r="E966" s="7" t="str">
        <f>IFERROR(VLOOKUP(D966,MATERIALES!A:B,2,FALSE),"?")</f>
        <v>Sombrero - Spriros</v>
      </c>
      <c r="F966" s="5" t="str">
        <f>+D23</f>
        <v>MAT-0013</v>
      </c>
      <c r="G966" s="11">
        <v>33.448003700000001</v>
      </c>
      <c r="H966" s="12">
        <v>0</v>
      </c>
      <c r="I966" s="7">
        <f>IFERROR(VLOOKUP(D966,MATERIALES!A:D,4,FALSE),0)</f>
        <v>37506.479299999999</v>
      </c>
      <c r="J966" s="8">
        <f t="shared" si="60"/>
        <v>1254516.8584003735</v>
      </c>
      <c r="K966" s="7" t="str">
        <f t="shared" si="61"/>
        <v>PTO-2702|MAT</v>
      </c>
      <c r="L966" s="7">
        <f>COUNTIFS($K$2:K966,K966)</f>
        <v>4</v>
      </c>
      <c r="M966" s="7" t="str">
        <f t="shared" si="62"/>
        <v>PTO-2702|MAT|4</v>
      </c>
      <c r="N966" s="7">
        <f>IFERROR(VLOOKUP(A966,PARTIDAS!A:F,6,FALSE),0)</f>
        <v>1</v>
      </c>
      <c r="O966" s="7">
        <f t="shared" si="63"/>
        <v>0</v>
      </c>
      <c r="P966" s="7">
        <f>IFERROR(_xlfn.XLOOKUP(A966,PPTO_GENERADOR!$Q:$Q,PPTO_GENERADOR!$E:$E,"-",0),"-")</f>
        <v>1</v>
      </c>
    </row>
    <row r="967" spans="1:16" x14ac:dyDescent="0.35">
      <c r="A967" s="5" t="s">
        <v>1174</v>
      </c>
      <c r="B967" s="5" t="s">
        <v>1198</v>
      </c>
      <c r="C967" s="5" t="s">
        <v>1199</v>
      </c>
      <c r="D967" s="5" t="s">
        <v>787</v>
      </c>
      <c r="E967" s="7" t="str">
        <f>IFERROR(VLOOKUP(D967,SUBCONTRATOS_PRY!A:B,2,FALSE),"?")</f>
        <v>COVE: Provisión y colicación de camp</v>
      </c>
      <c r="F967" s="5" t="s">
        <v>1200</v>
      </c>
      <c r="G967" s="11">
        <v>1</v>
      </c>
      <c r="H967" s="12">
        <v>0</v>
      </c>
      <c r="I967" s="7">
        <f>IFERROR(VLOOKUP(D967,SUBCONTRATOS_PRY!A:D,4,FALSE),0)</f>
        <v>1363919.7598999999</v>
      </c>
      <c r="J967" s="8">
        <f t="shared" si="60"/>
        <v>1363919.7598999999</v>
      </c>
      <c r="K967" s="7" t="str">
        <f t="shared" si="61"/>
        <v>PTO-2702|MO</v>
      </c>
      <c r="L967" s="7">
        <f>COUNTIFS($K$2:K967,K967)</f>
        <v>1</v>
      </c>
      <c r="M967" s="7" t="str">
        <f t="shared" si="62"/>
        <v>PTO-2702|MO|1</v>
      </c>
      <c r="N967" s="7">
        <f>IFERROR(VLOOKUP(A967,PARTIDAS!A:F,6,FALSE),0)</f>
        <v>1</v>
      </c>
      <c r="O967" s="7">
        <f t="shared" si="63"/>
        <v>0</v>
      </c>
      <c r="P967" s="7">
        <f>IFERROR(_xlfn.XLOOKUP(A967,PPTO_GENERADOR!$Q:$Q,PPTO_GENERADOR!$E:$E,"-",0),"-")</f>
        <v>1</v>
      </c>
    </row>
    <row r="968" spans="1:16" x14ac:dyDescent="0.35">
      <c r="A968" s="5" t="s">
        <v>1176</v>
      </c>
      <c r="B968" s="5" t="s">
        <v>1203</v>
      </c>
      <c r="C968" s="5" t="s">
        <v>1199</v>
      </c>
      <c r="D968" s="5" t="s">
        <v>446</v>
      </c>
      <c r="E968" s="7" t="str">
        <f>IFERROR(VLOOKUP(D968,MATERIALES!A:B,2,FALSE),"?")</f>
        <v>SXXI MODULO toma doble 10A</v>
      </c>
      <c r="F968" s="5"/>
      <c r="G968" s="11">
        <v>259</v>
      </c>
      <c r="H968" s="12">
        <v>0</v>
      </c>
      <c r="I968" s="7">
        <f>IFERROR(VLOOKUP(D968,MATERIALES!A:D,4,FALSE),0)</f>
        <v>4378.8099000000002</v>
      </c>
      <c r="J968" s="8">
        <f t="shared" si="60"/>
        <v>1134111.7641</v>
      </c>
      <c r="K968" s="7" t="str">
        <f t="shared" si="61"/>
        <v>PTO-2703|MAT</v>
      </c>
      <c r="L968" s="7">
        <f>COUNTIFS($K$2:K968,K968)</f>
        <v>1</v>
      </c>
      <c r="M968" s="7" t="str">
        <f t="shared" si="62"/>
        <v>PTO-2703|MAT|1</v>
      </c>
      <c r="N968" s="7">
        <f>IFERROR(VLOOKUP(A968,PARTIDAS!A:F,6,FALSE),0)</f>
        <v>1</v>
      </c>
      <c r="O968" s="7">
        <f t="shared" si="63"/>
        <v>0</v>
      </c>
      <c r="P968" s="7">
        <f>IFERROR(_xlfn.XLOOKUP(A968,PPTO_GENERADOR!$Q:$Q,PPTO_GENERADOR!$E:$E,"-",0),"-")</f>
        <v>1</v>
      </c>
    </row>
    <row r="969" spans="1:16" x14ac:dyDescent="0.35">
      <c r="A969" s="5" t="s">
        <v>1176</v>
      </c>
      <c r="B969" s="5" t="s">
        <v>1203</v>
      </c>
      <c r="C969" s="5" t="s">
        <v>1199</v>
      </c>
      <c r="D969" s="5" t="s">
        <v>448</v>
      </c>
      <c r="E969" s="7" t="str">
        <f>IFERROR(VLOOKUP(D969,MATERIALES!A:B,2,FALSE),"?")</f>
        <v>S XXI/XXII BASTIDOR LUJO</v>
      </c>
      <c r="F969" s="5"/>
      <c r="G969" s="11">
        <v>561</v>
      </c>
      <c r="H969" s="12">
        <v>0</v>
      </c>
      <c r="I969" s="7">
        <f>IFERROR(VLOOKUP(D969,MATERIALES!A:D,4,FALSE),0)</f>
        <v>455.6182</v>
      </c>
      <c r="J969" s="8">
        <f t="shared" si="60"/>
        <v>255601.81020000001</v>
      </c>
      <c r="K969" s="7" t="str">
        <f t="shared" si="61"/>
        <v>PTO-2703|MAT</v>
      </c>
      <c r="L969" s="7">
        <f>COUNTIFS($K$2:K969,K969)</f>
        <v>2</v>
      </c>
      <c r="M969" s="7" t="str">
        <f t="shared" si="62"/>
        <v>PTO-2703|MAT|2</v>
      </c>
      <c r="N969" s="7">
        <f>IFERROR(VLOOKUP(A969,PARTIDAS!A:F,6,FALSE),0)</f>
        <v>1</v>
      </c>
      <c r="O969" s="7">
        <f t="shared" si="63"/>
        <v>0</v>
      </c>
      <c r="P969" s="7">
        <f>IFERROR(_xlfn.XLOOKUP(A969,PPTO_GENERADOR!$Q:$Q,PPTO_GENERADOR!$E:$E,"-",0),"-")</f>
        <v>1</v>
      </c>
    </row>
    <row r="970" spans="1:16" x14ac:dyDescent="0.35">
      <c r="A970" s="5" t="s">
        <v>1176</v>
      </c>
      <c r="B970" s="5" t="s">
        <v>1203</v>
      </c>
      <c r="C970" s="5" t="s">
        <v>1199</v>
      </c>
      <c r="D970" s="5" t="s">
        <v>450</v>
      </c>
      <c r="E970" s="7" t="str">
        <f>IFERROR(VLOOKUP(D970,MATERIALES!A:B,2,FALSE),"?")</f>
        <v>SXXII TAPA 2 MOD. BLANCA</v>
      </c>
      <c r="F970" s="5"/>
      <c r="G970" s="11">
        <v>561</v>
      </c>
      <c r="H970" s="12">
        <v>0</v>
      </c>
      <c r="I970" s="7">
        <f>IFERROR(VLOOKUP(D970,MATERIALES!A:D,4,FALSE),0)</f>
        <v>1214.9853000000001</v>
      </c>
      <c r="J970" s="8">
        <f t="shared" si="60"/>
        <v>681606.75329999998</v>
      </c>
      <c r="K970" s="7" t="str">
        <f t="shared" si="61"/>
        <v>PTO-2703|MAT</v>
      </c>
      <c r="L970" s="7">
        <f>COUNTIFS($K$2:K970,K970)</f>
        <v>3</v>
      </c>
      <c r="M970" s="7" t="str">
        <f t="shared" si="62"/>
        <v>PTO-2703|MAT|3</v>
      </c>
      <c r="N970" s="7">
        <f>IFERROR(VLOOKUP(A970,PARTIDAS!A:F,6,FALSE),0)</f>
        <v>1</v>
      </c>
      <c r="O970" s="7">
        <f t="shared" si="63"/>
        <v>0</v>
      </c>
      <c r="P970" s="7">
        <f>IFERROR(_xlfn.XLOOKUP(A970,PPTO_GENERADOR!$Q:$Q,PPTO_GENERADOR!$E:$E,"-",0),"-")</f>
        <v>1</v>
      </c>
    </row>
    <row r="971" spans="1:16" x14ac:dyDescent="0.35">
      <c r="A971" s="5" t="s">
        <v>1176</v>
      </c>
      <c r="B971" s="5" t="s">
        <v>1203</v>
      </c>
      <c r="C971" s="5" t="s">
        <v>1199</v>
      </c>
      <c r="D971" s="5" t="s">
        <v>452</v>
      </c>
      <c r="E971" s="7" t="str">
        <f>IFERROR(VLOOKUP(D971,MATERIALES!A:B,2,FALSE),"?")</f>
        <v>SXXI MODULO toma simple</v>
      </c>
      <c r="F971" s="5"/>
      <c r="G971" s="11">
        <v>90</v>
      </c>
      <c r="H971" s="12">
        <v>0</v>
      </c>
      <c r="I971" s="7">
        <f>IFERROR(VLOOKUP(D971,MATERIALES!A:D,4,FALSE),0)</f>
        <v>2189.4049</v>
      </c>
      <c r="J971" s="8">
        <f t="shared" si="60"/>
        <v>197046.44099999999</v>
      </c>
      <c r="K971" s="7" t="str">
        <f t="shared" si="61"/>
        <v>PTO-2703|MAT</v>
      </c>
      <c r="L971" s="7">
        <f>COUNTIFS($K$2:K971,K971)</f>
        <v>4</v>
      </c>
      <c r="M971" s="7" t="str">
        <f t="shared" si="62"/>
        <v>PTO-2703|MAT|4</v>
      </c>
      <c r="N971" s="7">
        <f>IFERROR(VLOOKUP(A971,PARTIDAS!A:F,6,FALSE),0)</f>
        <v>1</v>
      </c>
      <c r="O971" s="7">
        <f t="shared" si="63"/>
        <v>0</v>
      </c>
      <c r="P971" s="7">
        <f>IFERROR(_xlfn.XLOOKUP(A971,PPTO_GENERADOR!$Q:$Q,PPTO_GENERADOR!$E:$E,"-",0),"-")</f>
        <v>1</v>
      </c>
    </row>
    <row r="972" spans="1:16" x14ac:dyDescent="0.35">
      <c r="A972" s="5" t="s">
        <v>1176</v>
      </c>
      <c r="B972" s="5" t="s">
        <v>1203</v>
      </c>
      <c r="C972" s="5" t="s">
        <v>1199</v>
      </c>
      <c r="D972" s="5" t="s">
        <v>454</v>
      </c>
      <c r="E972" s="7" t="str">
        <f>IFERROR(VLOOKUP(D972,MATERIALES!A:B,2,FALSE),"?")</f>
        <v>SXXII MODULO PUNTO</v>
      </c>
      <c r="F972" s="5"/>
      <c r="G972" s="11">
        <v>300</v>
      </c>
      <c r="H972" s="12">
        <v>0</v>
      </c>
      <c r="I972" s="7">
        <f>IFERROR(VLOOKUP(D972,MATERIALES!A:D,4,FALSE),0)</f>
        <v>2075.6019000000001</v>
      </c>
      <c r="J972" s="8">
        <f t="shared" si="60"/>
        <v>622680.57000000007</v>
      </c>
      <c r="K972" s="7" t="str">
        <f t="shared" si="61"/>
        <v>PTO-2703|MAT</v>
      </c>
      <c r="L972" s="7">
        <f>COUNTIFS($K$2:K972,K972)</f>
        <v>5</v>
      </c>
      <c r="M972" s="7" t="str">
        <f t="shared" si="62"/>
        <v>PTO-2703|MAT|5</v>
      </c>
      <c r="N972" s="7">
        <f>IFERROR(VLOOKUP(A972,PARTIDAS!A:F,6,FALSE),0)</f>
        <v>1</v>
      </c>
      <c r="O972" s="7">
        <f t="shared" si="63"/>
        <v>0</v>
      </c>
      <c r="P972" s="7">
        <f>IFERROR(_xlfn.XLOOKUP(A972,PPTO_GENERADOR!$Q:$Q,PPTO_GENERADOR!$E:$E,"-",0),"-")</f>
        <v>1</v>
      </c>
    </row>
    <row r="973" spans="1:16" x14ac:dyDescent="0.35">
      <c r="A973" s="5" t="s">
        <v>1176</v>
      </c>
      <c r="B973" s="5" t="s">
        <v>1203</v>
      </c>
      <c r="C973" s="5" t="s">
        <v>1199</v>
      </c>
      <c r="D973" s="5" t="s">
        <v>456</v>
      </c>
      <c r="E973" s="7" t="str">
        <f>IFERROR(VLOOKUP(D973,MATERIALES!A:B,2,FALSE),"?")</f>
        <v>SXXII MODULO PULSADOR</v>
      </c>
      <c r="F973" s="5"/>
      <c r="G973" s="11">
        <v>16</v>
      </c>
      <c r="H973" s="12">
        <v>0</v>
      </c>
      <c r="I973" s="7">
        <f>IFERROR(VLOOKUP(D973,MATERIALES!A:D,4,FALSE),0)</f>
        <v>2243.672</v>
      </c>
      <c r="J973" s="8">
        <f t="shared" si="60"/>
        <v>35898.752</v>
      </c>
      <c r="K973" s="7" t="str">
        <f t="shared" si="61"/>
        <v>PTO-2703|MAT</v>
      </c>
      <c r="L973" s="7">
        <f>COUNTIFS($K$2:K973,K973)</f>
        <v>6</v>
      </c>
      <c r="M973" s="7" t="str">
        <f t="shared" si="62"/>
        <v>PTO-2703|MAT|6</v>
      </c>
      <c r="N973" s="7">
        <f>IFERROR(VLOOKUP(A973,PARTIDAS!A:F,6,FALSE),0)</f>
        <v>1</v>
      </c>
      <c r="O973" s="7">
        <f t="shared" si="63"/>
        <v>0</v>
      </c>
      <c r="P973" s="7">
        <f>IFERROR(_xlfn.XLOOKUP(A973,PPTO_GENERADOR!$Q:$Q,PPTO_GENERADOR!$E:$E,"-",0),"-")</f>
        <v>1</v>
      </c>
    </row>
    <row r="974" spans="1:16" x14ac:dyDescent="0.35">
      <c r="A974" s="5" t="s">
        <v>1176</v>
      </c>
      <c r="B974" s="5" t="s">
        <v>1203</v>
      </c>
      <c r="C974" s="5" t="s">
        <v>1199</v>
      </c>
      <c r="D974" s="5" t="s">
        <v>458</v>
      </c>
      <c r="E974" s="7" t="str">
        <f>IFERROR(VLOOKUP(D974,MATERIALES!A:B,2,FALSE),"?")</f>
        <v>S XXI SOPORTE MIGNON</v>
      </c>
      <c r="F974" s="5"/>
      <c r="G974" s="11">
        <v>19</v>
      </c>
      <c r="H974" s="12">
        <v>0</v>
      </c>
      <c r="I974" s="7">
        <f>IFERROR(VLOOKUP(D974,MATERIALES!A:D,4,FALSE),0)</f>
        <v>445.50040000000001</v>
      </c>
      <c r="J974" s="8">
        <f t="shared" si="60"/>
        <v>8464.5076000000008</v>
      </c>
      <c r="K974" s="7" t="str">
        <f t="shared" si="61"/>
        <v>PTO-2703|MAT</v>
      </c>
      <c r="L974" s="7">
        <f>COUNTIFS($K$2:K974,K974)</f>
        <v>7</v>
      </c>
      <c r="M974" s="7" t="str">
        <f t="shared" si="62"/>
        <v>PTO-2703|MAT|7</v>
      </c>
      <c r="N974" s="7">
        <f>IFERROR(VLOOKUP(A974,PARTIDAS!A:F,6,FALSE),0)</f>
        <v>1</v>
      </c>
      <c r="O974" s="7">
        <f t="shared" si="63"/>
        <v>0</v>
      </c>
      <c r="P974" s="7">
        <f>IFERROR(_xlfn.XLOOKUP(A974,PPTO_GENERADOR!$Q:$Q,PPTO_GENERADOR!$E:$E,"-",0),"-")</f>
        <v>1</v>
      </c>
    </row>
    <row r="975" spans="1:16" x14ac:dyDescent="0.35">
      <c r="A975" s="5" t="s">
        <v>1176</v>
      </c>
      <c r="B975" s="5" t="s">
        <v>1203</v>
      </c>
      <c r="C975" s="5" t="s">
        <v>1199</v>
      </c>
      <c r="D975" s="5" t="s">
        <v>460</v>
      </c>
      <c r="E975" s="7" t="str">
        <f>IFERROR(VLOOKUP(D975,MATERIALES!A:B,2,FALSE),"?")</f>
        <v>SXXII TAPA MIGNON 1 MD.BLANCA</v>
      </c>
      <c r="F975" s="5"/>
      <c r="G975" s="11">
        <v>19</v>
      </c>
      <c r="H975" s="12">
        <v>0</v>
      </c>
      <c r="I975" s="7">
        <f>IFERROR(VLOOKUP(D975,MATERIALES!A:D,4,FALSE),0)</f>
        <v>911.2364</v>
      </c>
      <c r="J975" s="8">
        <f t="shared" si="60"/>
        <v>17313.491600000001</v>
      </c>
      <c r="K975" s="7" t="str">
        <f t="shared" si="61"/>
        <v>PTO-2703|MAT</v>
      </c>
      <c r="L975" s="7">
        <f>COUNTIFS($K$2:K975,K975)</f>
        <v>8</v>
      </c>
      <c r="M975" s="7" t="str">
        <f t="shared" si="62"/>
        <v>PTO-2703|MAT|8</v>
      </c>
      <c r="N975" s="7">
        <f>IFERROR(VLOOKUP(A975,PARTIDAS!A:F,6,FALSE),0)</f>
        <v>1</v>
      </c>
      <c r="O975" s="7">
        <f t="shared" si="63"/>
        <v>0</v>
      </c>
      <c r="P975" s="7">
        <f>IFERROR(_xlfn.XLOOKUP(A975,PPTO_GENERADOR!$Q:$Q,PPTO_GENERADOR!$E:$E,"-",0),"-")</f>
        <v>1</v>
      </c>
    </row>
    <row r="976" spans="1:16" x14ac:dyDescent="0.35">
      <c r="A976" s="5" t="s">
        <v>1179</v>
      </c>
      <c r="B976" s="5" t="s">
        <v>1203</v>
      </c>
      <c r="C976" s="5" t="s">
        <v>1199</v>
      </c>
      <c r="D976" s="5" t="s">
        <v>462</v>
      </c>
      <c r="E976" s="7" t="str">
        <f>IFERROR(VLOOKUP(D976,MATERIALES!A:B,2,FALSE),"?")</f>
        <v>CALEFA: Tendido de cañería por piso, m</v>
      </c>
      <c r="F976" s="5"/>
      <c r="G976" s="11">
        <v>1</v>
      </c>
      <c r="H976" s="12">
        <v>0</v>
      </c>
      <c r="I976" s="7">
        <f>IFERROR(VLOOKUP(D976,MATERIALES!A:D,4,FALSE),0)</f>
        <v>8108346.1239</v>
      </c>
      <c r="J976" s="8">
        <f t="shared" si="60"/>
        <v>8108346.1239</v>
      </c>
      <c r="K976" s="7" t="str">
        <f t="shared" si="61"/>
        <v>PTO-2801|MAT</v>
      </c>
      <c r="L976" s="7">
        <f>COUNTIFS($K$2:K976,K976)</f>
        <v>1</v>
      </c>
      <c r="M976" s="7" t="str">
        <f t="shared" si="62"/>
        <v>PTO-2801|MAT|1</v>
      </c>
      <c r="N976" s="7">
        <f>IFERROR(VLOOKUP(A976,PARTIDAS!A:F,6,FALSE),0)</f>
        <v>1</v>
      </c>
      <c r="O976" s="7">
        <f t="shared" si="63"/>
        <v>0</v>
      </c>
      <c r="P976" s="7">
        <f>IFERROR(_xlfn.XLOOKUP(A976,PPTO_GENERADOR!$Q:$Q,PPTO_GENERADOR!$E:$E,"-",0),"-")</f>
        <v>1</v>
      </c>
    </row>
    <row r="977" spans="1:16" x14ac:dyDescent="0.35">
      <c r="A977" s="5" t="s">
        <v>1179</v>
      </c>
      <c r="B977" s="5" t="s">
        <v>1198</v>
      </c>
      <c r="C977" s="5" t="s">
        <v>1199</v>
      </c>
      <c r="D977" s="5" t="s">
        <v>789</v>
      </c>
      <c r="E977" s="7" t="str">
        <f>IFERROR(VLOOKUP(D977,SUBCONTRATOS_PRY!A:B,2,FALSE),"?")</f>
        <v>Piso radiante + caldera</v>
      </c>
      <c r="F977" s="5" t="s">
        <v>1200</v>
      </c>
      <c r="G977" s="11">
        <v>1</v>
      </c>
      <c r="H977" s="12">
        <v>0</v>
      </c>
      <c r="I977" s="7">
        <f>IFERROR(VLOOKUP(D977,SUBCONTRATOS_PRY!A:D,4,FALSE),0)</f>
        <v>16174656.500299999</v>
      </c>
      <c r="J977" s="8">
        <f t="shared" si="60"/>
        <v>16174656.500299999</v>
      </c>
      <c r="K977" s="7" t="str">
        <f t="shared" si="61"/>
        <v>PTO-2801|MO</v>
      </c>
      <c r="L977" s="7">
        <f>COUNTIFS($K$2:K977,K977)</f>
        <v>1</v>
      </c>
      <c r="M977" s="7" t="str">
        <f t="shared" si="62"/>
        <v>PTO-2801|MO|1</v>
      </c>
      <c r="N977" s="7">
        <f>IFERROR(VLOOKUP(A977,PARTIDAS!A:F,6,FALSE),0)</f>
        <v>1</v>
      </c>
      <c r="O977" s="7">
        <f t="shared" si="63"/>
        <v>0</v>
      </c>
      <c r="P977" s="7">
        <f>IFERROR(_xlfn.XLOOKUP(A977,PPTO_GENERADOR!$Q:$Q,PPTO_GENERADOR!$E:$E,"-",0),"-")</f>
        <v>1</v>
      </c>
    </row>
    <row r="978" spans="1:16" x14ac:dyDescent="0.35">
      <c r="A978" s="5" t="s">
        <v>1179</v>
      </c>
      <c r="B978" s="5" t="s">
        <v>1202</v>
      </c>
      <c r="C978" s="5"/>
      <c r="D978" s="5" t="s">
        <v>655</v>
      </c>
      <c r="E978" s="7" t="str">
        <f>IFERROR(VLOOKUP(D978,EQUIPOS!A:B,2,FALSE),"?")</f>
        <v>Herramientas/consumibles - Tendido de cañería por piso, manta y mal</v>
      </c>
      <c r="F978" s="5"/>
      <c r="G978" s="11">
        <v>1</v>
      </c>
      <c r="H978" s="12">
        <v>0</v>
      </c>
      <c r="I978" s="7">
        <f>IFERROR(VLOOKUP(D978,EQUIPOS!A:C,3,FALSE),0)</f>
        <v>364245.03940000001</v>
      </c>
      <c r="J978" s="8">
        <f t="shared" si="60"/>
        <v>364245.03940000001</v>
      </c>
      <c r="K978" s="7" t="str">
        <f t="shared" si="61"/>
        <v>PTO-2801|EQ</v>
      </c>
      <c r="L978" s="7">
        <f>COUNTIFS($K$2:K978,K978)</f>
        <v>1</v>
      </c>
      <c r="M978" s="7" t="str">
        <f t="shared" si="62"/>
        <v>PTO-2801|EQ|1</v>
      </c>
      <c r="N978" s="7">
        <f>IFERROR(VLOOKUP(A978,PARTIDAS!A:F,6,FALSE),0)</f>
        <v>1</v>
      </c>
      <c r="O978" s="7">
        <f t="shared" si="63"/>
        <v>0</v>
      </c>
      <c r="P978" s="7">
        <f>IFERROR(_xlfn.XLOOKUP(A978,PPTO_GENERADOR!$Q:$Q,PPTO_GENERADOR!$E:$E,"-",0),"-")</f>
        <v>1</v>
      </c>
    </row>
    <row r="979" spans="1:16" x14ac:dyDescent="0.35">
      <c r="A979" s="5" t="s">
        <v>1181</v>
      </c>
      <c r="B979" s="5" t="s">
        <v>1203</v>
      </c>
      <c r="C979" s="5" t="s">
        <v>1199</v>
      </c>
      <c r="D979" s="5" t="s">
        <v>464</v>
      </c>
      <c r="E979" s="7" t="str">
        <f>IFERROR(VLOOKUP(D979,MATERIALES!A:B,2,FALSE),"?")</f>
        <v>CALEFA: Colectores y gabinetes</v>
      </c>
      <c r="F979" s="5"/>
      <c r="G979" s="11">
        <v>1</v>
      </c>
      <c r="H979" s="12">
        <v>0</v>
      </c>
      <c r="I979" s="7">
        <f>IFERROR(VLOOKUP(D979,MATERIALES!A:D,4,FALSE),0)</f>
        <v>5535035.5999999996</v>
      </c>
      <c r="J979" s="8">
        <f t="shared" si="60"/>
        <v>5535035.5999999996</v>
      </c>
      <c r="K979" s="7" t="str">
        <f t="shared" si="61"/>
        <v>PTO-2802|MAT</v>
      </c>
      <c r="L979" s="7">
        <f>COUNTIFS($K$2:K979,K979)</f>
        <v>1</v>
      </c>
      <c r="M979" s="7" t="str">
        <f t="shared" si="62"/>
        <v>PTO-2802|MAT|1</v>
      </c>
      <c r="N979" s="7">
        <f>IFERROR(VLOOKUP(A979,PARTIDAS!A:F,6,FALSE),0)</f>
        <v>1</v>
      </c>
      <c r="O979" s="7">
        <f t="shared" si="63"/>
        <v>0</v>
      </c>
      <c r="P979" s="7">
        <f>IFERROR(_xlfn.XLOOKUP(A979,PPTO_GENERADOR!$Q:$Q,PPTO_GENERADOR!$E:$E,"-",0),"-")</f>
        <v>1</v>
      </c>
    </row>
    <row r="980" spans="1:16" x14ac:dyDescent="0.35">
      <c r="A980" s="5" t="s">
        <v>1181</v>
      </c>
      <c r="B980" s="5" t="s">
        <v>1202</v>
      </c>
      <c r="C980" s="5"/>
      <c r="D980" s="5" t="s">
        <v>657</v>
      </c>
      <c r="E980" s="7" t="str">
        <f>IFERROR(VLOOKUP(D980,EQUIPOS!A:B,2,FALSE),"?")</f>
        <v>Herramientas/consumibles - Colectores y gabinetes</v>
      </c>
      <c r="F980" s="5"/>
      <c r="G980" s="11">
        <v>1</v>
      </c>
      <c r="H980" s="12">
        <v>0</v>
      </c>
      <c r="I980" s="7">
        <f>IFERROR(VLOOKUP(D980,EQUIPOS!A:C,3,FALSE),0)</f>
        <v>83025.534</v>
      </c>
      <c r="J980" s="8">
        <f t="shared" si="60"/>
        <v>83025.534</v>
      </c>
      <c r="K980" s="7" t="str">
        <f t="shared" si="61"/>
        <v>PTO-2802|EQ</v>
      </c>
      <c r="L980" s="7">
        <f>COUNTIFS($K$2:K980,K980)</f>
        <v>1</v>
      </c>
      <c r="M980" s="7" t="str">
        <f t="shared" si="62"/>
        <v>PTO-2802|EQ|1</v>
      </c>
      <c r="N980" s="7">
        <f>IFERROR(VLOOKUP(A980,PARTIDAS!A:F,6,FALSE),0)</f>
        <v>1</v>
      </c>
      <c r="O980" s="7">
        <f t="shared" si="63"/>
        <v>0</v>
      </c>
      <c r="P980" s="7">
        <f>IFERROR(_xlfn.XLOOKUP(A980,PPTO_GENERADOR!$Q:$Q,PPTO_GENERADOR!$E:$E,"-",0),"-")</f>
        <v>1</v>
      </c>
    </row>
    <row r="981" spans="1:16" x14ac:dyDescent="0.35">
      <c r="A981" s="5" t="s">
        <v>1182</v>
      </c>
      <c r="B981" s="5" t="s">
        <v>1203</v>
      </c>
      <c r="C981" s="5" t="s">
        <v>1199</v>
      </c>
      <c r="D981" s="5" t="s">
        <v>466</v>
      </c>
      <c r="E981" s="7" t="str">
        <f>IFERROR(VLOOKUP(D981,MATERIALES!A:B,2,FALSE),"?")</f>
        <v>Flexibles caldera</v>
      </c>
      <c r="F981" s="5"/>
      <c r="G981" s="11">
        <v>1</v>
      </c>
      <c r="H981" s="12">
        <v>0</v>
      </c>
      <c r="I981" s="7">
        <f>IFERROR(VLOOKUP(D981,MATERIALES!A:D,4,FALSE),0)</f>
        <v>75150</v>
      </c>
      <c r="J981" s="8">
        <f t="shared" si="60"/>
        <v>75150</v>
      </c>
      <c r="K981" s="7" t="str">
        <f t="shared" si="61"/>
        <v>PTO-2803|MAT</v>
      </c>
      <c r="L981" s="7">
        <f>COUNTIFS($K$2:K981,K981)</f>
        <v>1</v>
      </c>
      <c r="M981" s="7" t="str">
        <f t="shared" si="62"/>
        <v>PTO-2803|MAT|1</v>
      </c>
      <c r="N981" s="7">
        <f>IFERROR(VLOOKUP(A981,PARTIDAS!A:F,6,FALSE),0)</f>
        <v>1</v>
      </c>
      <c r="O981" s="7">
        <f t="shared" si="63"/>
        <v>0</v>
      </c>
      <c r="P981" s="7">
        <f>IFERROR(_xlfn.XLOOKUP(A981,PPTO_GENERADOR!$Q:$Q,PPTO_GENERADOR!$E:$E,"-",0),"-")</f>
        <v>16</v>
      </c>
    </row>
    <row r="982" spans="1:16" x14ac:dyDescent="0.35">
      <c r="A982" s="5" t="s">
        <v>1182</v>
      </c>
      <c r="B982" s="5" t="s">
        <v>1202</v>
      </c>
      <c r="C982" s="5"/>
      <c r="D982" s="5" t="s">
        <v>659</v>
      </c>
      <c r="E982" s="7" t="str">
        <f>IFERROR(VLOOKUP(D982,EQUIPOS!A:B,2,FALSE),"?")</f>
        <v>Herramientas/consumibles - Flexibles caldera</v>
      </c>
      <c r="F982" s="5"/>
      <c r="G982" s="11">
        <v>1</v>
      </c>
      <c r="H982" s="12">
        <v>0</v>
      </c>
      <c r="I982" s="7">
        <f>IFERROR(VLOOKUP(D982,EQUIPOS!A:C,3,FALSE),0)</f>
        <v>1127.25</v>
      </c>
      <c r="J982" s="8">
        <f t="shared" si="60"/>
        <v>1127.25</v>
      </c>
      <c r="K982" s="7" t="str">
        <f t="shared" si="61"/>
        <v>PTO-2803|EQ</v>
      </c>
      <c r="L982" s="7">
        <f>COUNTIFS($K$2:K982,K982)</f>
        <v>1</v>
      </c>
      <c r="M982" s="7" t="str">
        <f t="shared" si="62"/>
        <v>PTO-2803|EQ|1</v>
      </c>
      <c r="N982" s="7">
        <f>IFERROR(VLOOKUP(A982,PARTIDAS!A:F,6,FALSE),0)</f>
        <v>1</v>
      </c>
      <c r="O982" s="7">
        <f t="shared" si="63"/>
        <v>0</v>
      </c>
      <c r="P982" s="7">
        <f>IFERROR(_xlfn.XLOOKUP(A982,PPTO_GENERADOR!$Q:$Q,PPTO_GENERADOR!$E:$E,"-",0),"-")</f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7" customWidth="1"/>
    <col min="3" max="3" width="26" customWidth="1"/>
    <col min="4" max="4" width="40" customWidth="1"/>
    <col min="5" max="5" width="6" customWidth="1"/>
  </cols>
  <sheetData>
    <row r="1" spans="1:23" ht="43.5" x14ac:dyDescent="0.35">
      <c r="A1" s="4" t="s">
        <v>20</v>
      </c>
      <c r="B1" s="4" t="s">
        <v>1206</v>
      </c>
      <c r="C1" s="4" t="s">
        <v>792</v>
      </c>
      <c r="D1" s="4" t="s">
        <v>21</v>
      </c>
      <c r="E1" s="4" t="s">
        <v>793</v>
      </c>
      <c r="F1" s="4" t="s">
        <v>1207</v>
      </c>
      <c r="G1" s="4" t="s">
        <v>1208</v>
      </c>
      <c r="H1" s="4" t="s">
        <v>1209</v>
      </c>
      <c r="I1" s="4" t="s">
        <v>1210</v>
      </c>
      <c r="J1" s="4" t="s">
        <v>1211</v>
      </c>
      <c r="K1" s="4" t="s">
        <v>1212</v>
      </c>
      <c r="L1" s="4" t="s">
        <v>1213</v>
      </c>
      <c r="M1" s="4" t="s">
        <v>795</v>
      </c>
      <c r="N1" s="4" t="s">
        <v>796</v>
      </c>
      <c r="O1" s="4" t="s">
        <v>797</v>
      </c>
      <c r="P1" s="4" t="s">
        <v>798</v>
      </c>
      <c r="Q1" s="4" t="s">
        <v>1214</v>
      </c>
      <c r="R1" s="4" t="s">
        <v>1215</v>
      </c>
      <c r="S1" s="4" t="s">
        <v>1216</v>
      </c>
      <c r="T1" s="4" t="s">
        <v>1217</v>
      </c>
      <c r="U1" s="4" t="s">
        <v>1218</v>
      </c>
      <c r="V1" s="4" t="s">
        <v>1219</v>
      </c>
      <c r="W1" s="4" t="s">
        <v>1220</v>
      </c>
    </row>
    <row r="2" spans="1:23" x14ac:dyDescent="0.35">
      <c r="A2" s="5" t="s">
        <v>805</v>
      </c>
      <c r="B2" s="5">
        <v>1.01</v>
      </c>
      <c r="C2" s="5" t="s">
        <v>803</v>
      </c>
      <c r="D2" s="5" t="s">
        <v>804</v>
      </c>
      <c r="E2" s="5" t="s">
        <v>470</v>
      </c>
      <c r="F2" s="3">
        <v>1</v>
      </c>
      <c r="G2" s="3">
        <v>0</v>
      </c>
      <c r="H2" s="3">
        <v>0</v>
      </c>
      <c r="I2" s="3">
        <v>1</v>
      </c>
      <c r="J2" s="8">
        <f>SUMIFS(COMPOSICIÓN!$J$2:$J$982,COMPOSICIÓN!$A$2:$A$982,A2,COMPOSICIÓN!$B$2:$B$982,"MAT")</f>
        <v>0</v>
      </c>
      <c r="K2" s="8">
        <f>SUMIFS(COMPOSICIÓN!$J$2:$J$982,COMPOSICIÓN!$A$2:$A$982,A2,COMPOSICIÓN!$B$2:$B$982,"MO")*I2</f>
        <v>0</v>
      </c>
      <c r="L2" s="8">
        <f>SUMIFS(COMPOSICIÓN!$J$2:$J$982,COMPOSICIÓN!$A$2:$A$982,A2,COMPOSICIÓN!$B$2:$B$982,"EQ")</f>
        <v>0</v>
      </c>
      <c r="M2" s="8">
        <f t="shared" ref="M2:M33" si="0">J2</f>
        <v>0</v>
      </c>
      <c r="N2" s="8">
        <f t="shared" ref="N2:N33" si="1">IF(F2=0,0,K2/F2)</f>
        <v>0</v>
      </c>
      <c r="O2" s="8">
        <f t="shared" ref="O2:O33" si="2">IF(F2=0,0,L2/F2)</f>
        <v>0</v>
      </c>
      <c r="P2" s="8">
        <f t="shared" ref="P2:P33" si="3">M2+N2+O2</f>
        <v>0</v>
      </c>
      <c r="Q2" s="7">
        <f>COUNTIF(COMPOSICIÓN!$A:$A,A2)</f>
        <v>0</v>
      </c>
      <c r="R2" s="13">
        <v>0</v>
      </c>
      <c r="S2" s="5" t="s">
        <v>1221</v>
      </c>
      <c r="T2" s="13">
        <v>0</v>
      </c>
      <c r="U2" s="13">
        <v>0</v>
      </c>
      <c r="V2" s="13">
        <v>0</v>
      </c>
      <c r="W2" s="14">
        <f t="shared" ref="W2:W33" si="4">IFERROR(P2/(T2+U2+V2)-1,0)</f>
        <v>0</v>
      </c>
    </row>
    <row r="3" spans="1:23" x14ac:dyDescent="0.35">
      <c r="A3" s="5" t="s">
        <v>808</v>
      </c>
      <c r="B3" s="5">
        <v>1.02</v>
      </c>
      <c r="C3" s="5" t="s">
        <v>803</v>
      </c>
      <c r="D3" s="5" t="s">
        <v>806</v>
      </c>
      <c r="E3" s="5" t="s">
        <v>807</v>
      </c>
      <c r="F3" s="3">
        <v>1</v>
      </c>
      <c r="G3" s="3">
        <v>0</v>
      </c>
      <c r="H3" s="3">
        <v>0</v>
      </c>
      <c r="I3" s="3">
        <v>1</v>
      </c>
      <c r="J3" s="8">
        <f>SUMIFS(COMPOSICIÓN!$J$2:$J$982,COMPOSICIÓN!$A$2:$A$982,A3,COMPOSICIÓN!$B$2:$B$982,"MAT")</f>
        <v>41666.666700000002</v>
      </c>
      <c r="K3" s="8">
        <f>SUMIFS(COMPOSICIÓN!$J$2:$J$982,COMPOSICIÓN!$A$2:$A$982,A3,COMPOSICIÓN!$B$2:$B$982,"MO")*I3</f>
        <v>255876.94179978079</v>
      </c>
      <c r="L3" s="8">
        <f>SUMIFS(COMPOSICIÓN!$J$2:$J$982,COMPOSICIÓN!$A$2:$A$982,A3,COMPOSICIÓN!$B$2:$B$982,"EQ")</f>
        <v>4463.1540999999997</v>
      </c>
      <c r="M3" s="8">
        <f t="shared" si="0"/>
        <v>41666.666700000002</v>
      </c>
      <c r="N3" s="8">
        <f t="shared" si="1"/>
        <v>255876.94179978079</v>
      </c>
      <c r="O3" s="8">
        <f t="shared" si="2"/>
        <v>4463.1540999999997</v>
      </c>
      <c r="P3" s="8">
        <f t="shared" si="3"/>
        <v>302006.76259978075</v>
      </c>
      <c r="Q3" s="7">
        <f>COUNTIF(COMPOSICIÓN!$A:$A,A3)</f>
        <v>4</v>
      </c>
      <c r="R3" s="13">
        <v>3</v>
      </c>
      <c r="S3" s="5" t="s">
        <v>1222</v>
      </c>
      <c r="T3" s="13">
        <v>41666.666700000002</v>
      </c>
      <c r="U3" s="13">
        <v>255876.93700000001</v>
      </c>
      <c r="V3" s="13">
        <v>4463.1540999999997</v>
      </c>
      <c r="W3" s="14">
        <f t="shared" si="4"/>
        <v>1.5892958282748282E-8</v>
      </c>
    </row>
    <row r="4" spans="1:23" x14ac:dyDescent="0.35">
      <c r="A4" s="5" t="s">
        <v>810</v>
      </c>
      <c r="B4" s="5">
        <v>1.03</v>
      </c>
      <c r="C4" s="5" t="s">
        <v>803</v>
      </c>
      <c r="D4" s="5" t="s">
        <v>809</v>
      </c>
      <c r="E4" s="5" t="s">
        <v>470</v>
      </c>
      <c r="F4" s="3">
        <v>1</v>
      </c>
      <c r="G4" s="3">
        <v>0</v>
      </c>
      <c r="H4" s="3">
        <v>0</v>
      </c>
      <c r="I4" s="3">
        <v>1</v>
      </c>
      <c r="J4" s="8">
        <f>SUMIFS(COMPOSICIÓN!$J$2:$J$982,COMPOSICIÓN!$A$2:$A$982,A4,COMPOSICIÓN!$B$2:$B$982,"MAT")</f>
        <v>0</v>
      </c>
      <c r="K4" s="8">
        <f>SUMIFS(COMPOSICIÓN!$J$2:$J$982,COMPOSICIÓN!$A$2:$A$982,A4,COMPOSICIÓN!$B$2:$B$982,"MO")*I4</f>
        <v>0</v>
      </c>
      <c r="L4" s="8">
        <f>SUMIFS(COMPOSICIÓN!$J$2:$J$982,COMPOSICIÓN!$A$2:$A$982,A4,COMPOSICIÓN!$B$2:$B$982,"EQ")</f>
        <v>0</v>
      </c>
      <c r="M4" s="8">
        <f t="shared" si="0"/>
        <v>0</v>
      </c>
      <c r="N4" s="8">
        <f t="shared" si="1"/>
        <v>0</v>
      </c>
      <c r="O4" s="8">
        <f t="shared" si="2"/>
        <v>0</v>
      </c>
      <c r="P4" s="8">
        <f t="shared" si="3"/>
        <v>0</v>
      </c>
      <c r="Q4" s="7">
        <f>COUNTIF(COMPOSICIÓN!$A:$A,A4)</f>
        <v>0</v>
      </c>
      <c r="R4" s="13">
        <v>0</v>
      </c>
      <c r="S4" s="5" t="s">
        <v>1221</v>
      </c>
      <c r="T4" s="13">
        <v>0</v>
      </c>
      <c r="U4" s="13">
        <v>0</v>
      </c>
      <c r="V4" s="13">
        <v>0</v>
      </c>
      <c r="W4" s="14">
        <f t="shared" si="4"/>
        <v>0</v>
      </c>
    </row>
    <row r="5" spans="1:23" x14ac:dyDescent="0.35">
      <c r="A5" s="5" t="s">
        <v>812</v>
      </c>
      <c r="B5" s="5">
        <v>1.04</v>
      </c>
      <c r="C5" s="5" t="s">
        <v>803</v>
      </c>
      <c r="D5" s="5" t="s">
        <v>811</v>
      </c>
      <c r="E5" s="5" t="s">
        <v>356</v>
      </c>
      <c r="F5" s="3">
        <v>1</v>
      </c>
      <c r="G5" s="3">
        <v>0</v>
      </c>
      <c r="H5" s="3">
        <v>0</v>
      </c>
      <c r="I5" s="3">
        <v>1</v>
      </c>
      <c r="J5" s="8">
        <f>SUMIFS(COMPOSICIÓN!$J$2:$J$982,COMPOSICIÓN!$A$2:$A$982,A5,COMPOSICIÓN!$B$2:$B$982,"MAT")</f>
        <v>79773.179625728837</v>
      </c>
      <c r="K5" s="8">
        <f>SUMIFS(COMPOSICIÓN!$J$2:$J$982,COMPOSICIÓN!$A$2:$A$982,A5,COMPOSICIÓN!$B$2:$B$982,"MO")*I5</f>
        <v>30923.3742362208</v>
      </c>
      <c r="L5" s="8">
        <f>SUMIFS(COMPOSICIÓN!$J$2:$J$982,COMPOSICIÓN!$A$2:$A$982,A5,COMPOSICIÓN!$B$2:$B$982,"EQ")</f>
        <v>1660.4484</v>
      </c>
      <c r="M5" s="8">
        <f t="shared" si="0"/>
        <v>79773.179625728837</v>
      </c>
      <c r="N5" s="8">
        <f t="shared" si="1"/>
        <v>30923.3742362208</v>
      </c>
      <c r="O5" s="8">
        <f t="shared" si="2"/>
        <v>1660.4484</v>
      </c>
      <c r="P5" s="8">
        <f t="shared" si="3"/>
        <v>112357.00226194963</v>
      </c>
      <c r="Q5" s="7">
        <f>COUNTIF(COMPOSICIÓN!$A:$A,A5)</f>
        <v>12</v>
      </c>
      <c r="R5" s="13">
        <v>11</v>
      </c>
      <c r="S5" s="5" t="s">
        <v>1222</v>
      </c>
      <c r="T5" s="13">
        <v>79773.182700000005</v>
      </c>
      <c r="U5" s="13">
        <v>30923.374100000001</v>
      </c>
      <c r="V5" s="13">
        <v>1660.4484</v>
      </c>
      <c r="W5" s="14">
        <f t="shared" si="4"/>
        <v>-2.6149240661688111E-8</v>
      </c>
    </row>
    <row r="6" spans="1:23" x14ac:dyDescent="0.35">
      <c r="A6" s="5" t="s">
        <v>814</v>
      </c>
      <c r="B6" s="5">
        <v>1.05</v>
      </c>
      <c r="C6" s="5" t="s">
        <v>803</v>
      </c>
      <c r="D6" s="5" t="s">
        <v>813</v>
      </c>
      <c r="E6" s="5" t="s">
        <v>470</v>
      </c>
      <c r="F6" s="3">
        <v>1</v>
      </c>
      <c r="G6" s="3">
        <v>0</v>
      </c>
      <c r="H6" s="3">
        <v>0</v>
      </c>
      <c r="I6" s="3">
        <v>1</v>
      </c>
      <c r="J6" s="8">
        <f>SUMIFS(COMPOSICIÓN!$J$2:$J$982,COMPOSICIÓN!$A$2:$A$982,A6,COMPOSICIÓN!$B$2:$B$982,"MAT")</f>
        <v>2400856.6963500008</v>
      </c>
      <c r="K6" s="8">
        <f>SUMIFS(COMPOSICIÓN!$J$2:$J$982,COMPOSICIÓN!$A$2:$A$982,A6,COMPOSICIÓN!$B$2:$B$982,"MO")*I6</f>
        <v>3516332.58</v>
      </c>
      <c r="L6" s="8">
        <f>SUMIFS(COMPOSICIÓN!$J$2:$J$982,COMPOSICIÓN!$A$2:$A$982,A6,COMPOSICIÓN!$B$2:$B$982,"EQ")</f>
        <v>88757.838000000003</v>
      </c>
      <c r="M6" s="8">
        <f t="shared" si="0"/>
        <v>2400856.6963500008</v>
      </c>
      <c r="N6" s="8">
        <f t="shared" si="1"/>
        <v>3516332.58</v>
      </c>
      <c r="O6" s="8">
        <f t="shared" si="2"/>
        <v>88757.838000000003</v>
      </c>
      <c r="P6" s="8">
        <f t="shared" si="3"/>
        <v>6005947.1143500013</v>
      </c>
      <c r="Q6" s="7">
        <f>COUNTIF(COMPOSICIÓN!$A:$A,A6)</f>
        <v>22</v>
      </c>
      <c r="R6" s="13">
        <v>1</v>
      </c>
      <c r="S6" s="5" t="s">
        <v>1222</v>
      </c>
      <c r="T6" s="13">
        <v>2400856.6973999999</v>
      </c>
      <c r="U6" s="13">
        <v>3516332.5021000002</v>
      </c>
      <c r="V6" s="13">
        <v>88757.838000000003</v>
      </c>
      <c r="W6" s="14">
        <f t="shared" si="4"/>
        <v>1.2795650761177058E-8</v>
      </c>
    </row>
    <row r="7" spans="1:23" x14ac:dyDescent="0.35">
      <c r="A7" s="5" t="s">
        <v>817</v>
      </c>
      <c r="B7" s="5">
        <v>1.06</v>
      </c>
      <c r="C7" s="5" t="s">
        <v>803</v>
      </c>
      <c r="D7" s="5" t="s">
        <v>815</v>
      </c>
      <c r="E7" s="5" t="s">
        <v>816</v>
      </c>
      <c r="F7" s="3">
        <v>1</v>
      </c>
      <c r="G7" s="3">
        <v>0</v>
      </c>
      <c r="H7" s="3">
        <v>0</v>
      </c>
      <c r="I7" s="3">
        <v>1</v>
      </c>
      <c r="J7" s="8">
        <f>SUMIFS(COMPOSICIÓN!$J$2:$J$982,COMPOSICIÓN!$A$2:$A$982,A7,COMPOSICIÓN!$B$2:$B$982,"MAT")</f>
        <v>0</v>
      </c>
      <c r="K7" s="8">
        <f>SUMIFS(COMPOSICIÓN!$J$2:$J$982,COMPOSICIÓN!$A$2:$A$982,A7,COMPOSICIÓN!$B$2:$B$982,"MO")*I7</f>
        <v>311904.59050000005</v>
      </c>
      <c r="L7" s="8">
        <f>SUMIFS(COMPOSICIÓN!$J$2:$J$982,COMPOSICIÓN!$A$2:$A$982,A7,COMPOSICIÓN!$B$2:$B$982,"EQ")</f>
        <v>0</v>
      </c>
      <c r="M7" s="8">
        <f t="shared" si="0"/>
        <v>0</v>
      </c>
      <c r="N7" s="8">
        <f t="shared" si="1"/>
        <v>311904.59050000005</v>
      </c>
      <c r="O7" s="8">
        <f t="shared" si="2"/>
        <v>0</v>
      </c>
      <c r="P7" s="8">
        <f t="shared" si="3"/>
        <v>311904.59050000005</v>
      </c>
      <c r="Q7" s="7">
        <f>COUNTIF(COMPOSICIÓN!$A:$A,A7)</f>
        <v>2</v>
      </c>
      <c r="R7" s="13">
        <v>3</v>
      </c>
      <c r="S7" s="5" t="s">
        <v>1221</v>
      </c>
      <c r="T7" s="13">
        <v>0</v>
      </c>
      <c r="U7" s="13">
        <v>311904.59049999999</v>
      </c>
      <c r="V7" s="13">
        <v>0</v>
      </c>
      <c r="W7" s="14">
        <f t="shared" si="4"/>
        <v>2.2204460492503131E-16</v>
      </c>
    </row>
    <row r="8" spans="1:23" x14ac:dyDescent="0.35">
      <c r="A8" s="5" t="s">
        <v>819</v>
      </c>
      <c r="B8" s="5">
        <v>1.07</v>
      </c>
      <c r="C8" s="5" t="s">
        <v>803</v>
      </c>
      <c r="D8" s="5" t="s">
        <v>818</v>
      </c>
      <c r="E8" s="5" t="s">
        <v>470</v>
      </c>
      <c r="F8" s="3">
        <v>1</v>
      </c>
      <c r="G8" s="3">
        <v>0</v>
      </c>
      <c r="H8" s="3">
        <v>0</v>
      </c>
      <c r="I8" s="3">
        <v>1</v>
      </c>
      <c r="J8" s="8">
        <f>SUMIFS(COMPOSICIÓN!$J$2:$J$982,COMPOSICIÓN!$A$2:$A$982,A8,COMPOSICIÓN!$B$2:$B$982,"MAT")</f>
        <v>845578.51199999999</v>
      </c>
      <c r="K8" s="8">
        <f>SUMIFS(COMPOSICIÓN!$J$2:$J$982,COMPOSICIÓN!$A$2:$A$982,A8,COMPOSICIÓN!$B$2:$B$982,"MO")*I8</f>
        <v>511535.57999999996</v>
      </c>
      <c r="L8" s="8">
        <f>SUMIFS(COMPOSICIÓN!$J$2:$J$982,COMPOSICIÓN!$A$2:$A$982,A8,COMPOSICIÓN!$B$2:$B$982,"EQ")</f>
        <v>20356.7111</v>
      </c>
      <c r="M8" s="8">
        <f t="shared" si="0"/>
        <v>845578.51199999999</v>
      </c>
      <c r="N8" s="8">
        <f t="shared" si="1"/>
        <v>511535.57999999996</v>
      </c>
      <c r="O8" s="8">
        <f t="shared" si="2"/>
        <v>20356.7111</v>
      </c>
      <c r="P8" s="8">
        <f t="shared" si="3"/>
        <v>1377470.8030999999</v>
      </c>
      <c r="Q8" s="7">
        <f>COUNTIF(COMPOSICIÓN!$A:$A,A8)</f>
        <v>9</v>
      </c>
      <c r="R8" s="13">
        <v>1</v>
      </c>
      <c r="S8" s="5" t="s">
        <v>1222</v>
      </c>
      <c r="T8" s="13">
        <v>845578.51240000001</v>
      </c>
      <c r="U8" s="13">
        <v>511535.56410000002</v>
      </c>
      <c r="V8" s="13">
        <v>20356.7111</v>
      </c>
      <c r="W8" s="14">
        <f t="shared" si="4"/>
        <v>1.1252507148284963E-8</v>
      </c>
    </row>
    <row r="9" spans="1:23" x14ac:dyDescent="0.35">
      <c r="A9" s="5" t="s">
        <v>821</v>
      </c>
      <c r="B9" s="5">
        <v>1.08</v>
      </c>
      <c r="C9" s="5" t="s">
        <v>803</v>
      </c>
      <c r="D9" s="5" t="s">
        <v>820</v>
      </c>
      <c r="E9" s="5" t="s">
        <v>470</v>
      </c>
      <c r="F9" s="3">
        <v>1</v>
      </c>
      <c r="G9" s="3">
        <v>0</v>
      </c>
      <c r="H9" s="3">
        <v>0</v>
      </c>
      <c r="I9" s="3">
        <v>1</v>
      </c>
      <c r="J9" s="8">
        <f>SUMIFS(COMPOSICIÓN!$J$2:$J$982,COMPOSICIÓN!$A$2:$A$982,A9,COMPOSICIÓN!$B$2:$B$982,"MAT")</f>
        <v>680400</v>
      </c>
      <c r="K9" s="8">
        <f>SUMIFS(COMPOSICIÓN!$J$2:$J$982,COMPOSICIÓN!$A$2:$A$982,A9,COMPOSICIÓN!$B$2:$B$982,"MO")*I9</f>
        <v>421419.9</v>
      </c>
      <c r="L9" s="8">
        <f>SUMIFS(COMPOSICIÓN!$J$2:$J$982,COMPOSICIÓN!$A$2:$A$982,A9,COMPOSICIÓN!$B$2:$B$982,"EQ")</f>
        <v>16527.298299999999</v>
      </c>
      <c r="M9" s="8">
        <f t="shared" si="0"/>
        <v>680400</v>
      </c>
      <c r="N9" s="8">
        <f t="shared" si="1"/>
        <v>421419.9</v>
      </c>
      <c r="O9" s="8">
        <f t="shared" si="2"/>
        <v>16527.298299999999</v>
      </c>
      <c r="P9" s="8">
        <f t="shared" si="3"/>
        <v>1118347.1982999998</v>
      </c>
      <c r="Q9" s="7">
        <f>COUNTIF(COMPOSICIÓN!$A:$A,A9)</f>
        <v>11</v>
      </c>
      <c r="R9" s="13">
        <v>1</v>
      </c>
      <c r="S9" s="5" t="s">
        <v>1222</v>
      </c>
      <c r="T9" s="13">
        <v>680400</v>
      </c>
      <c r="U9" s="13">
        <v>421419.88959999999</v>
      </c>
      <c r="V9" s="13">
        <v>16527.298299999999</v>
      </c>
      <c r="W9" s="14">
        <f t="shared" si="4"/>
        <v>9.2994376643673604E-9</v>
      </c>
    </row>
    <row r="10" spans="1:23" x14ac:dyDescent="0.35">
      <c r="A10" s="5" t="s">
        <v>823</v>
      </c>
      <c r="B10" s="5">
        <v>1.0900000000000001</v>
      </c>
      <c r="C10" s="5" t="s">
        <v>803</v>
      </c>
      <c r="D10" s="5" t="s">
        <v>822</v>
      </c>
      <c r="E10" s="5" t="s">
        <v>470</v>
      </c>
      <c r="F10" s="3">
        <v>1</v>
      </c>
      <c r="G10" s="3">
        <v>0</v>
      </c>
      <c r="H10" s="3">
        <v>0</v>
      </c>
      <c r="I10" s="3">
        <v>1</v>
      </c>
      <c r="J10" s="8">
        <f>SUMIFS(COMPOSICIÓN!$J$2:$J$982,COMPOSICIÓN!$A$2:$A$982,A10,COMPOSICIÓN!$B$2:$B$982,"MAT")</f>
        <v>0</v>
      </c>
      <c r="K10" s="8">
        <f>SUMIFS(COMPOSICIÓN!$J$2:$J$982,COMPOSICIÓN!$A$2:$A$982,A10,COMPOSICIÓN!$B$2:$B$982,"MO")*I10</f>
        <v>339320.83956839214</v>
      </c>
      <c r="L10" s="8">
        <f>SUMIFS(COMPOSICIÓN!$J$2:$J$982,COMPOSICIÓN!$A$2:$A$982,A10,COMPOSICIÓN!$B$2:$B$982,"EQ")</f>
        <v>0</v>
      </c>
      <c r="M10" s="8">
        <f t="shared" si="0"/>
        <v>0</v>
      </c>
      <c r="N10" s="8">
        <f t="shared" si="1"/>
        <v>339320.83956839214</v>
      </c>
      <c r="O10" s="8">
        <f t="shared" si="2"/>
        <v>0</v>
      </c>
      <c r="P10" s="8">
        <f t="shared" si="3"/>
        <v>339320.83956839214</v>
      </c>
      <c r="Q10" s="7">
        <f>COUNTIF(COMPOSICIÓN!$A:$A,A10)</f>
        <v>3</v>
      </c>
      <c r="R10" s="13">
        <v>1</v>
      </c>
      <c r="S10" s="5" t="s">
        <v>1222</v>
      </c>
      <c r="T10" s="13">
        <v>0</v>
      </c>
      <c r="U10" s="13">
        <v>339320.84019999998</v>
      </c>
      <c r="V10" s="13">
        <v>0</v>
      </c>
      <c r="W10" s="14">
        <f t="shared" si="4"/>
        <v>-1.8613882657447789E-9</v>
      </c>
    </row>
    <row r="11" spans="1:23" x14ac:dyDescent="0.35">
      <c r="A11" s="5" t="s">
        <v>825</v>
      </c>
      <c r="B11" s="5">
        <v>1.1000000000000001</v>
      </c>
      <c r="C11" s="5" t="s">
        <v>803</v>
      </c>
      <c r="D11" s="5" t="s">
        <v>824</v>
      </c>
      <c r="E11" s="5" t="s">
        <v>470</v>
      </c>
      <c r="F11" s="3">
        <v>1</v>
      </c>
      <c r="G11" s="3">
        <v>0</v>
      </c>
      <c r="H11" s="3">
        <v>0</v>
      </c>
      <c r="I11" s="3">
        <v>1</v>
      </c>
      <c r="J11" s="8">
        <f>SUMIFS(COMPOSICIÓN!$J$2:$J$982,COMPOSICIÓN!$A$2:$A$982,A11,COMPOSICIÓN!$B$2:$B$982,"MAT")</f>
        <v>0</v>
      </c>
      <c r="K11" s="8">
        <f>SUMIFS(COMPOSICIÓN!$J$2:$J$982,COMPOSICIÓN!$A$2:$A$982,A11,COMPOSICIÓN!$B$2:$B$982,"MO")*I11</f>
        <v>7800000</v>
      </c>
      <c r="L11" s="8">
        <f>SUMIFS(COMPOSICIÓN!$J$2:$J$982,COMPOSICIÓN!$A$2:$A$982,A11,COMPOSICIÓN!$B$2:$B$982,"EQ")</f>
        <v>0</v>
      </c>
      <c r="M11" s="8">
        <f t="shared" si="0"/>
        <v>0</v>
      </c>
      <c r="N11" s="8">
        <f t="shared" si="1"/>
        <v>7800000</v>
      </c>
      <c r="O11" s="8">
        <f t="shared" si="2"/>
        <v>0</v>
      </c>
      <c r="P11" s="8">
        <f t="shared" si="3"/>
        <v>7800000</v>
      </c>
      <c r="Q11" s="7">
        <f>COUNTIF(COMPOSICIÓN!$A:$A,A11)</f>
        <v>1</v>
      </c>
      <c r="R11" s="13">
        <v>1</v>
      </c>
      <c r="S11" s="5" t="s">
        <v>1221</v>
      </c>
      <c r="T11" s="13">
        <v>0</v>
      </c>
      <c r="U11" s="13">
        <v>7800000</v>
      </c>
      <c r="V11" s="13">
        <v>0</v>
      </c>
      <c r="W11" s="14">
        <f t="shared" si="4"/>
        <v>0</v>
      </c>
    </row>
    <row r="12" spans="1:23" x14ac:dyDescent="0.35">
      <c r="A12" s="5" t="s">
        <v>829</v>
      </c>
      <c r="B12" s="5">
        <v>2.0099999999999998</v>
      </c>
      <c r="C12" s="5" t="s">
        <v>826</v>
      </c>
      <c r="D12" s="5" t="s">
        <v>827</v>
      </c>
      <c r="E12" s="5" t="s">
        <v>828</v>
      </c>
      <c r="F12" s="3">
        <v>1</v>
      </c>
      <c r="G12" s="3">
        <v>0</v>
      </c>
      <c r="H12" s="3">
        <v>0</v>
      </c>
      <c r="I12" s="3">
        <v>1</v>
      </c>
      <c r="J12" s="8">
        <f>SUMIFS(COMPOSICIÓN!$J$2:$J$982,COMPOSICIÓN!$A$2:$A$982,A12,COMPOSICIÓN!$B$2:$B$982,"MAT")</f>
        <v>0</v>
      </c>
      <c r="K12" s="8">
        <f>SUMIFS(COMPOSICIÓN!$J$2:$J$982,COMPOSICIÓN!$A$2:$A$982,A12,COMPOSICIÓN!$B$2:$B$982,"MO")*I12</f>
        <v>26209.620260944001</v>
      </c>
      <c r="L12" s="8">
        <f>SUMIFS(COMPOSICIÓN!$J$2:$J$982,COMPOSICIÓN!$A$2:$A$982,A12,COMPOSICIÓN!$B$2:$B$982,"EQ")</f>
        <v>117.1443</v>
      </c>
      <c r="M12" s="8">
        <f t="shared" si="0"/>
        <v>0</v>
      </c>
      <c r="N12" s="8">
        <f t="shared" si="1"/>
        <v>26209.620260944001</v>
      </c>
      <c r="O12" s="8">
        <f t="shared" si="2"/>
        <v>117.1443</v>
      </c>
      <c r="P12" s="8">
        <f t="shared" si="3"/>
        <v>26326.764560944001</v>
      </c>
      <c r="Q12" s="7">
        <f>COUNTIF(COMPOSICIÓN!$A:$A,A12)</f>
        <v>3</v>
      </c>
      <c r="R12" s="13">
        <v>1266</v>
      </c>
      <c r="S12" s="5" t="s">
        <v>1222</v>
      </c>
      <c r="T12" s="13">
        <v>0</v>
      </c>
      <c r="U12" s="13">
        <v>26209.62</v>
      </c>
      <c r="V12" s="13">
        <v>117.1443</v>
      </c>
      <c r="W12" s="14">
        <f t="shared" si="4"/>
        <v>9.9117385410352199E-9</v>
      </c>
    </row>
    <row r="13" spans="1:23" x14ac:dyDescent="0.35">
      <c r="A13" s="5" t="s">
        <v>831</v>
      </c>
      <c r="B13" s="5">
        <v>2.02</v>
      </c>
      <c r="C13" s="5" t="s">
        <v>826</v>
      </c>
      <c r="D13" s="5" t="s">
        <v>830</v>
      </c>
      <c r="E13" s="5" t="s">
        <v>470</v>
      </c>
      <c r="F13" s="3">
        <v>1</v>
      </c>
      <c r="G13" s="3">
        <v>0</v>
      </c>
      <c r="H13" s="3">
        <v>0</v>
      </c>
      <c r="I13" s="3">
        <v>1</v>
      </c>
      <c r="J13" s="8">
        <f>SUMIFS(COMPOSICIÓN!$J$2:$J$982,COMPOSICIÓN!$A$2:$A$982,A13,COMPOSICIÓN!$B$2:$B$982,"MAT")</f>
        <v>0</v>
      </c>
      <c r="K13" s="8">
        <f>SUMIFS(COMPOSICIÓN!$J$2:$J$982,COMPOSICIÓN!$A$2:$A$982,A13,COMPOSICIÓN!$B$2:$B$982,"MO")*I13</f>
        <v>0</v>
      </c>
      <c r="L13" s="8">
        <f>SUMIFS(COMPOSICIÓN!$J$2:$J$982,COMPOSICIÓN!$A$2:$A$982,A13,COMPOSICIÓN!$B$2:$B$982,"EQ")</f>
        <v>0</v>
      </c>
      <c r="M13" s="8">
        <f t="shared" si="0"/>
        <v>0</v>
      </c>
      <c r="N13" s="8">
        <f t="shared" si="1"/>
        <v>0</v>
      </c>
      <c r="O13" s="8">
        <f t="shared" si="2"/>
        <v>0</v>
      </c>
      <c r="P13" s="8">
        <f t="shared" si="3"/>
        <v>0</v>
      </c>
      <c r="Q13" s="7">
        <f>COUNTIF(COMPOSICIÓN!$A:$A,A13)</f>
        <v>0</v>
      </c>
      <c r="R13" s="13">
        <v>0</v>
      </c>
      <c r="S13" s="5" t="s">
        <v>1221</v>
      </c>
      <c r="T13" s="13">
        <v>0</v>
      </c>
      <c r="U13" s="13">
        <v>0</v>
      </c>
      <c r="V13" s="13">
        <v>0</v>
      </c>
      <c r="W13" s="14">
        <f t="shared" si="4"/>
        <v>0</v>
      </c>
    </row>
    <row r="14" spans="1:23" x14ac:dyDescent="0.35">
      <c r="A14" s="5" t="s">
        <v>833</v>
      </c>
      <c r="B14" s="5">
        <v>2.0299999999999998</v>
      </c>
      <c r="C14" s="5" t="s">
        <v>826</v>
      </c>
      <c r="D14" s="5" t="s">
        <v>832</v>
      </c>
      <c r="E14" s="5" t="s">
        <v>828</v>
      </c>
      <c r="F14" s="3">
        <v>1</v>
      </c>
      <c r="G14" s="3">
        <v>0</v>
      </c>
      <c r="H14" s="3">
        <v>0</v>
      </c>
      <c r="I14" s="3">
        <v>1</v>
      </c>
      <c r="J14" s="8">
        <f>SUMIFS(COMPOSICIÓN!$J$2:$J$982,COMPOSICIÓN!$A$2:$A$982,A14,COMPOSICIÓN!$B$2:$B$982,"MAT")</f>
        <v>0</v>
      </c>
      <c r="K14" s="8">
        <f>SUMIFS(COMPOSICIÓN!$J$2:$J$982,COMPOSICIÓN!$A$2:$A$982,A14,COMPOSICIÓN!$B$2:$B$982,"MO")*I14</f>
        <v>49934.239999999998</v>
      </c>
      <c r="L14" s="8">
        <f>SUMIFS(COMPOSICIÓN!$J$2:$J$982,COMPOSICIÓN!$A$2:$A$982,A14,COMPOSICIÓN!$B$2:$B$982,"EQ")</f>
        <v>0</v>
      </c>
      <c r="M14" s="8">
        <f t="shared" si="0"/>
        <v>0</v>
      </c>
      <c r="N14" s="8">
        <f t="shared" si="1"/>
        <v>49934.239999999998</v>
      </c>
      <c r="O14" s="8">
        <f t="shared" si="2"/>
        <v>0</v>
      </c>
      <c r="P14" s="8">
        <f t="shared" si="3"/>
        <v>49934.239999999998</v>
      </c>
      <c r="Q14" s="7">
        <f>COUNTIF(COMPOSICIÓN!$A:$A,A14)</f>
        <v>1</v>
      </c>
      <c r="R14" s="13">
        <v>2</v>
      </c>
      <c r="S14" s="5" t="s">
        <v>1221</v>
      </c>
      <c r="T14" s="13">
        <v>0</v>
      </c>
      <c r="U14" s="13">
        <v>49934.237200000003</v>
      </c>
      <c r="V14" s="13">
        <v>0</v>
      </c>
      <c r="W14" s="14">
        <f t="shared" si="4"/>
        <v>5.6073751197871502E-8</v>
      </c>
    </row>
    <row r="15" spans="1:23" x14ac:dyDescent="0.35">
      <c r="A15" s="5" t="s">
        <v>836</v>
      </c>
      <c r="B15" s="5">
        <v>3.01</v>
      </c>
      <c r="C15" s="5" t="s">
        <v>834</v>
      </c>
      <c r="D15" s="5" t="s">
        <v>835</v>
      </c>
      <c r="E15" s="5" t="s">
        <v>828</v>
      </c>
      <c r="F15" s="3">
        <v>1</v>
      </c>
      <c r="G15" s="3">
        <v>0</v>
      </c>
      <c r="H15" s="3">
        <v>0</v>
      </c>
      <c r="I15" s="3">
        <v>1</v>
      </c>
      <c r="J15" s="8">
        <f>SUMIFS(COMPOSICIÓN!$J$2:$J$982,COMPOSICIÓN!$A$2:$A$982,A15,COMPOSICIÓN!$B$2:$B$982,"MAT")</f>
        <v>196572.85709999999</v>
      </c>
      <c r="K15" s="8">
        <f>SUMIFS(COMPOSICIÓN!$J$2:$J$982,COMPOSICIÓN!$A$2:$A$982,A15,COMPOSICIÓN!$B$2:$B$982,"MO")*I15</f>
        <v>49934.239999999998</v>
      </c>
      <c r="L15" s="8">
        <f>SUMIFS(COMPOSICIÓN!$J$2:$J$982,COMPOSICIÓN!$A$2:$A$982,A15,COMPOSICIÓN!$B$2:$B$982,"EQ")</f>
        <v>3697.6064000000001</v>
      </c>
      <c r="M15" s="8">
        <f t="shared" si="0"/>
        <v>196572.85709999999</v>
      </c>
      <c r="N15" s="8">
        <f t="shared" si="1"/>
        <v>49934.239999999998</v>
      </c>
      <c r="O15" s="8">
        <f t="shared" si="2"/>
        <v>3697.6064000000001</v>
      </c>
      <c r="P15" s="8">
        <f t="shared" si="3"/>
        <v>250204.70349999997</v>
      </c>
      <c r="Q15" s="7">
        <f>COUNTIF(COMPOSICIÓN!$A:$A,A15)</f>
        <v>5</v>
      </c>
      <c r="R15" s="13">
        <v>35</v>
      </c>
      <c r="S15" s="5" t="s">
        <v>1221</v>
      </c>
      <c r="T15" s="13">
        <v>196572.85709999999</v>
      </c>
      <c r="U15" s="13">
        <v>49934.237200000003</v>
      </c>
      <c r="V15" s="13">
        <v>3697.6064000000001</v>
      </c>
      <c r="W15" s="14">
        <f t="shared" si="4"/>
        <v>1.1190836923802294E-8</v>
      </c>
    </row>
    <row r="16" spans="1:23" x14ac:dyDescent="0.35">
      <c r="A16" s="5" t="s">
        <v>838</v>
      </c>
      <c r="B16" s="5">
        <v>3.02</v>
      </c>
      <c r="C16" s="5" t="s">
        <v>834</v>
      </c>
      <c r="D16" s="5" t="s">
        <v>837</v>
      </c>
      <c r="E16" s="5" t="s">
        <v>828</v>
      </c>
      <c r="F16" s="3">
        <v>1</v>
      </c>
      <c r="G16" s="3">
        <v>0</v>
      </c>
      <c r="H16" s="3">
        <v>0</v>
      </c>
      <c r="I16" s="3">
        <v>1</v>
      </c>
      <c r="J16" s="8">
        <f>SUMIFS(COMPOSICIÓN!$J$2:$J$982,COMPOSICIÓN!$A$2:$A$982,A16,COMPOSICIÓN!$B$2:$B$982,"MAT")</f>
        <v>70843.445699999997</v>
      </c>
      <c r="K16" s="8">
        <f>SUMIFS(COMPOSICIÓN!$J$2:$J$982,COMPOSICIÓN!$A$2:$A$982,A16,COMPOSICIÓN!$B$2:$B$982,"MO")*I16</f>
        <v>307690.19973421155</v>
      </c>
      <c r="L16" s="8">
        <f>SUMIFS(COMPOSICIÓN!$J$2:$J$982,COMPOSICIÓN!$A$2:$A$982,A16,COMPOSICIÓN!$B$2:$B$982,"EQ")</f>
        <v>5678.0046000000002</v>
      </c>
      <c r="M16" s="8">
        <f t="shared" si="0"/>
        <v>70843.445699999997</v>
      </c>
      <c r="N16" s="8">
        <f t="shared" si="1"/>
        <v>307690.19973421155</v>
      </c>
      <c r="O16" s="8">
        <f t="shared" si="2"/>
        <v>5678.0046000000002</v>
      </c>
      <c r="P16" s="8">
        <f t="shared" si="3"/>
        <v>384211.65003421152</v>
      </c>
      <c r="Q16" s="7">
        <f>COUNTIF(COMPOSICIÓN!$A:$A,A16)</f>
        <v>5</v>
      </c>
      <c r="R16" s="13">
        <v>40</v>
      </c>
      <c r="S16" s="5" t="s">
        <v>1221</v>
      </c>
      <c r="T16" s="13">
        <v>70843.445699999997</v>
      </c>
      <c r="U16" s="13">
        <v>307690.1924</v>
      </c>
      <c r="V16" s="13">
        <v>5678.0046000000002</v>
      </c>
      <c r="W16" s="14">
        <f t="shared" si="4"/>
        <v>1.9088988389981409E-8</v>
      </c>
    </row>
    <row r="17" spans="1:23" x14ac:dyDescent="0.35">
      <c r="A17" s="5" t="s">
        <v>840</v>
      </c>
      <c r="B17" s="5">
        <v>3.03</v>
      </c>
      <c r="C17" s="5" t="s">
        <v>834</v>
      </c>
      <c r="D17" s="5" t="s">
        <v>839</v>
      </c>
      <c r="E17" s="5" t="s">
        <v>828</v>
      </c>
      <c r="F17" s="3">
        <v>1</v>
      </c>
      <c r="G17" s="3">
        <v>0</v>
      </c>
      <c r="H17" s="3">
        <v>0</v>
      </c>
      <c r="I17" s="3">
        <v>1</v>
      </c>
      <c r="J17" s="8">
        <f>SUMIFS(COMPOSICIÓN!$J$2:$J$982,COMPOSICIÓN!$A$2:$A$982,A17,COMPOSICIÓN!$B$2:$B$982,"MAT")</f>
        <v>55068.8217</v>
      </c>
      <c r="K17" s="8">
        <f>SUMIFS(COMPOSICIÓN!$J$2:$J$982,COMPOSICIÓN!$A$2:$A$982,A17,COMPOSICIÓN!$B$2:$B$982,"MO")*I17</f>
        <v>253994.1428</v>
      </c>
      <c r="L17" s="8">
        <f>SUMIFS(COMPOSICIÓN!$J$2:$J$982,COMPOSICIÓN!$A$2:$A$982,A17,COMPOSICIÓN!$B$2:$B$982,"EQ")</f>
        <v>4635.9444999999996</v>
      </c>
      <c r="M17" s="8">
        <f t="shared" si="0"/>
        <v>55068.8217</v>
      </c>
      <c r="N17" s="8">
        <f t="shared" si="1"/>
        <v>253994.1428</v>
      </c>
      <c r="O17" s="8">
        <f t="shared" si="2"/>
        <v>4635.9444999999996</v>
      </c>
      <c r="P17" s="8">
        <f t="shared" si="3"/>
        <v>313698.90899999999</v>
      </c>
      <c r="Q17" s="7">
        <f>COUNTIF(COMPOSICIÓN!$A:$A,A17)</f>
        <v>3</v>
      </c>
      <c r="R17" s="13">
        <v>28</v>
      </c>
      <c r="S17" s="5" t="s">
        <v>1221</v>
      </c>
      <c r="T17" s="13">
        <v>55068.8217</v>
      </c>
      <c r="U17" s="13">
        <v>253994.1428</v>
      </c>
      <c r="V17" s="13">
        <v>4635.9444999999996</v>
      </c>
      <c r="W17" s="14">
        <f t="shared" si="4"/>
        <v>0</v>
      </c>
    </row>
    <row r="18" spans="1:23" x14ac:dyDescent="0.35">
      <c r="A18" s="5" t="s">
        <v>842</v>
      </c>
      <c r="B18" s="5">
        <v>3.04</v>
      </c>
      <c r="C18" s="5" t="s">
        <v>834</v>
      </c>
      <c r="D18" s="5" t="s">
        <v>841</v>
      </c>
      <c r="E18" s="5" t="s">
        <v>828</v>
      </c>
      <c r="F18" s="3">
        <v>1</v>
      </c>
      <c r="G18" s="3">
        <v>0</v>
      </c>
      <c r="H18" s="3">
        <v>0</v>
      </c>
      <c r="I18" s="3">
        <v>1</v>
      </c>
      <c r="J18" s="8">
        <f>SUMIFS(COMPOSICIÓN!$J$2:$J$982,COMPOSICIÓN!$A$2:$A$982,A18,COMPOSICIÓN!$B$2:$B$982,"MAT")</f>
        <v>2471.4097999999999</v>
      </c>
      <c r="K18" s="8">
        <f>SUMIFS(COMPOSICIÓN!$J$2:$J$982,COMPOSICIÓN!$A$2:$A$982,A18,COMPOSICIÓN!$B$2:$B$982,"MO")*I18</f>
        <v>148967.56479999999</v>
      </c>
      <c r="L18" s="8">
        <f>SUMIFS(COMPOSICIÓN!$J$2:$J$982,COMPOSICIÓN!$A$2:$A$982,A18,COMPOSICIÓN!$B$2:$B$982,"EQ")</f>
        <v>2271.5846000000001</v>
      </c>
      <c r="M18" s="8">
        <f t="shared" si="0"/>
        <v>2471.4097999999999</v>
      </c>
      <c r="N18" s="8">
        <f t="shared" si="1"/>
        <v>148967.56479999999</v>
      </c>
      <c r="O18" s="8">
        <f t="shared" si="2"/>
        <v>2271.5846000000001</v>
      </c>
      <c r="P18" s="8">
        <f t="shared" si="3"/>
        <v>153710.55919999999</v>
      </c>
      <c r="Q18" s="7">
        <f>COUNTIF(COMPOSICIÓN!$A:$A,A18)</f>
        <v>3</v>
      </c>
      <c r="R18" s="13">
        <v>179</v>
      </c>
      <c r="S18" s="5" t="s">
        <v>1221</v>
      </c>
      <c r="T18" s="13">
        <v>2471.4097999999999</v>
      </c>
      <c r="U18" s="13">
        <v>148967.56479999999</v>
      </c>
      <c r="V18" s="13">
        <v>2271.5846000000001</v>
      </c>
      <c r="W18" s="14">
        <f t="shared" si="4"/>
        <v>0</v>
      </c>
    </row>
    <row r="19" spans="1:23" x14ac:dyDescent="0.35">
      <c r="A19" s="5" t="s">
        <v>844</v>
      </c>
      <c r="B19" s="5">
        <v>3.05</v>
      </c>
      <c r="C19" s="5" t="s">
        <v>834</v>
      </c>
      <c r="D19" s="5" t="s">
        <v>843</v>
      </c>
      <c r="E19" s="5" t="s">
        <v>828</v>
      </c>
      <c r="F19" s="3">
        <v>1</v>
      </c>
      <c r="G19" s="3">
        <v>0</v>
      </c>
      <c r="H19" s="3">
        <v>0</v>
      </c>
      <c r="I19" s="3">
        <v>1</v>
      </c>
      <c r="J19" s="8">
        <f>SUMIFS(COMPOSICIÓN!$J$2:$J$982,COMPOSICIÓN!$A$2:$A$982,A19,COMPOSICIÓN!$B$2:$B$982,"MAT")</f>
        <v>40150.005400000002</v>
      </c>
      <c r="K19" s="8">
        <f>SUMIFS(COMPOSICIÓN!$J$2:$J$982,COMPOSICIÓN!$A$2:$A$982,A19,COMPOSICIÓN!$B$2:$B$982,"MO")*I19</f>
        <v>286602.4334004728</v>
      </c>
      <c r="L19" s="8">
        <f>SUMIFS(COMPOSICIÓN!$J$2:$J$982,COMPOSICIÓN!$A$2:$A$982,A19,COMPOSICIÓN!$B$2:$B$982,"EQ")</f>
        <v>4901.2865000000002</v>
      </c>
      <c r="M19" s="8">
        <f t="shared" si="0"/>
        <v>40150.005400000002</v>
      </c>
      <c r="N19" s="8">
        <f t="shared" si="1"/>
        <v>286602.4334004728</v>
      </c>
      <c r="O19" s="8">
        <f t="shared" si="2"/>
        <v>4901.2865000000002</v>
      </c>
      <c r="P19" s="8">
        <f t="shared" si="3"/>
        <v>331653.72530047281</v>
      </c>
      <c r="Q19" s="7">
        <f>COUNTIF(COMPOSICIÓN!$A:$A,A19)</f>
        <v>5</v>
      </c>
      <c r="R19" s="13">
        <v>10</v>
      </c>
      <c r="S19" s="5" t="s">
        <v>1221</v>
      </c>
      <c r="T19" s="13">
        <v>40150.005400000002</v>
      </c>
      <c r="U19" s="13">
        <v>286602.42670000001</v>
      </c>
      <c r="V19" s="13">
        <v>4901.2865000000002</v>
      </c>
      <c r="W19" s="14">
        <f t="shared" si="4"/>
        <v>2.0203219319725463E-8</v>
      </c>
    </row>
    <row r="20" spans="1:23" x14ac:dyDescent="0.35">
      <c r="A20" s="5" t="s">
        <v>846</v>
      </c>
      <c r="B20" s="5">
        <v>3.06</v>
      </c>
      <c r="C20" s="5" t="s">
        <v>834</v>
      </c>
      <c r="D20" s="5" t="s">
        <v>845</v>
      </c>
      <c r="E20" s="5" t="s">
        <v>828</v>
      </c>
      <c r="F20" s="3">
        <v>1</v>
      </c>
      <c r="G20" s="3">
        <v>0</v>
      </c>
      <c r="H20" s="3">
        <v>0</v>
      </c>
      <c r="I20" s="3">
        <v>1</v>
      </c>
      <c r="J20" s="8">
        <f>SUMIFS(COMPOSICIÓN!$J$2:$J$982,COMPOSICIÓN!$A$2:$A$982,A20,COMPOSICIÓN!$B$2:$B$982,"MAT")</f>
        <v>32975.501400000001</v>
      </c>
      <c r="K20" s="8">
        <f>SUMIFS(COMPOSICIÓN!$J$2:$J$982,COMPOSICIÓN!$A$2:$A$982,A20,COMPOSICIÓN!$B$2:$B$982,"MO")*I20</f>
        <v>191068.28923544541</v>
      </c>
      <c r="L20" s="8">
        <f>SUMIFS(COMPOSICIÓN!$J$2:$J$982,COMPOSICIÓN!$A$2:$A$982,A20,COMPOSICIÓN!$B$2:$B$982,"EQ")</f>
        <v>3360.6568000000002</v>
      </c>
      <c r="M20" s="8">
        <f t="shared" si="0"/>
        <v>32975.501400000001</v>
      </c>
      <c r="N20" s="8">
        <f t="shared" si="1"/>
        <v>191068.28923544541</v>
      </c>
      <c r="O20" s="8">
        <f t="shared" si="2"/>
        <v>3360.6568000000002</v>
      </c>
      <c r="P20" s="8">
        <f t="shared" si="3"/>
        <v>227404.44743544541</v>
      </c>
      <c r="Q20" s="7">
        <f>COUNTIF(COMPOSICIÓN!$A:$A,A20)</f>
        <v>5</v>
      </c>
      <c r="R20" s="13">
        <v>177</v>
      </c>
      <c r="S20" s="5" t="s">
        <v>1221</v>
      </c>
      <c r="T20" s="13">
        <v>32975.501400000001</v>
      </c>
      <c r="U20" s="13">
        <v>191068.2844</v>
      </c>
      <c r="V20" s="13">
        <v>3360.6568000000002</v>
      </c>
      <c r="W20" s="14">
        <f t="shared" si="4"/>
        <v>2.1263636407198305E-8</v>
      </c>
    </row>
    <row r="21" spans="1:23" x14ac:dyDescent="0.35">
      <c r="A21" s="5" t="s">
        <v>848</v>
      </c>
      <c r="B21" s="5">
        <v>3.07</v>
      </c>
      <c r="C21" s="5" t="s">
        <v>834</v>
      </c>
      <c r="D21" s="5" t="s">
        <v>847</v>
      </c>
      <c r="E21" s="5" t="s">
        <v>828</v>
      </c>
      <c r="F21" s="3">
        <v>1</v>
      </c>
      <c r="G21" s="3">
        <v>0</v>
      </c>
      <c r="H21" s="3">
        <v>0</v>
      </c>
      <c r="I21" s="3">
        <v>1</v>
      </c>
      <c r="J21" s="8">
        <f>SUMIFS(COMPOSICIÓN!$J$2:$J$982,COMPOSICIÓN!$A$2:$A$982,A21,COMPOSICIÓN!$B$2:$B$982,"MAT")</f>
        <v>94228.958100000003</v>
      </c>
      <c r="K21" s="8">
        <f>SUMIFS(COMPOSICIÓN!$J$2:$J$982,COMPOSICIÓN!$A$2:$A$982,A21,COMPOSICIÓN!$B$2:$B$982,"MO")*I21</f>
        <v>462949.3020290744</v>
      </c>
      <c r="L21" s="8">
        <f>SUMIFS(COMPOSICIÓN!$J$2:$J$982,COMPOSICIÓN!$A$2:$A$982,A21,COMPOSICIÓN!$B$2:$B$982,"EQ")</f>
        <v>8357.6736999999994</v>
      </c>
      <c r="M21" s="8">
        <f t="shared" si="0"/>
        <v>94228.958100000003</v>
      </c>
      <c r="N21" s="8">
        <f t="shared" si="1"/>
        <v>462949.3020290744</v>
      </c>
      <c r="O21" s="8">
        <f t="shared" si="2"/>
        <v>8357.6736999999994</v>
      </c>
      <c r="P21" s="8">
        <f t="shared" si="3"/>
        <v>565535.93382907449</v>
      </c>
      <c r="Q21" s="7">
        <f>COUNTIF(COMPOSICIÓN!$A:$A,A21)</f>
        <v>5</v>
      </c>
      <c r="R21" s="13">
        <v>65</v>
      </c>
      <c r="S21" s="5" t="s">
        <v>1221</v>
      </c>
      <c r="T21" s="13">
        <v>94228.958100000003</v>
      </c>
      <c r="U21" s="13">
        <v>462949.29029999999</v>
      </c>
      <c r="V21" s="13">
        <v>8357.6736999999994</v>
      </c>
      <c r="W21" s="14">
        <f t="shared" si="4"/>
        <v>2.0739751249720939E-8</v>
      </c>
    </row>
    <row r="22" spans="1:23" x14ac:dyDescent="0.35">
      <c r="A22" s="5" t="s">
        <v>850</v>
      </c>
      <c r="B22" s="5">
        <v>3.08</v>
      </c>
      <c r="C22" s="5" t="s">
        <v>834</v>
      </c>
      <c r="D22" s="5" t="s">
        <v>849</v>
      </c>
      <c r="E22" s="5" t="s">
        <v>828</v>
      </c>
      <c r="F22" s="3">
        <v>1</v>
      </c>
      <c r="G22" s="3">
        <v>0</v>
      </c>
      <c r="H22" s="3">
        <v>0</v>
      </c>
      <c r="I22" s="3">
        <v>1</v>
      </c>
      <c r="J22" s="8">
        <f>SUMIFS(COMPOSICIÓN!$J$2:$J$982,COMPOSICIÓN!$A$2:$A$982,A22,COMPOSICIÓN!$B$2:$B$982,"MAT")</f>
        <v>92072.316600000006</v>
      </c>
      <c r="K22" s="8">
        <f>SUMIFS(COMPOSICIÓN!$J$2:$J$982,COMPOSICIÓN!$A$2:$A$982,A22,COMPOSICIÓN!$B$2:$B$982,"MO")*I22</f>
        <v>555539.16261596745</v>
      </c>
      <c r="L22" s="8">
        <f>SUMIFS(COMPOSICIÓN!$J$2:$J$982,COMPOSICIÓN!$A$2:$A$982,A22,COMPOSICIÓN!$B$2:$B$982,"EQ")</f>
        <v>9714.1720000000005</v>
      </c>
      <c r="M22" s="8">
        <f t="shared" si="0"/>
        <v>92072.316600000006</v>
      </c>
      <c r="N22" s="8">
        <f t="shared" si="1"/>
        <v>555539.16261596745</v>
      </c>
      <c r="O22" s="8">
        <f t="shared" si="2"/>
        <v>9714.1720000000005</v>
      </c>
      <c r="P22" s="8">
        <f t="shared" si="3"/>
        <v>657325.65121596749</v>
      </c>
      <c r="Q22" s="7">
        <f>COUNTIF(COMPOSICIÓN!$A:$A,A22)</f>
        <v>5</v>
      </c>
      <c r="R22" s="13">
        <v>12</v>
      </c>
      <c r="S22" s="5" t="s">
        <v>1221</v>
      </c>
      <c r="T22" s="13">
        <v>92072.316600000006</v>
      </c>
      <c r="U22" s="13">
        <v>555539.1483</v>
      </c>
      <c r="V22" s="13">
        <v>9714.1720000000005</v>
      </c>
      <c r="W22" s="14">
        <f t="shared" si="4"/>
        <v>2.1779110070951901E-8</v>
      </c>
    </row>
    <row r="23" spans="1:23" x14ac:dyDescent="0.35">
      <c r="A23" s="5" t="s">
        <v>852</v>
      </c>
      <c r="B23" s="5">
        <v>3.09</v>
      </c>
      <c r="C23" s="5" t="s">
        <v>834</v>
      </c>
      <c r="D23" s="5" t="s">
        <v>851</v>
      </c>
      <c r="E23" s="5" t="s">
        <v>828</v>
      </c>
      <c r="F23" s="3">
        <v>1</v>
      </c>
      <c r="G23" s="3">
        <v>0</v>
      </c>
      <c r="H23" s="3">
        <v>0</v>
      </c>
      <c r="I23" s="3">
        <v>1</v>
      </c>
      <c r="J23" s="8">
        <f>SUMIFS(COMPOSICIÓN!$J$2:$J$982,COMPOSICIÓN!$A$2:$A$982,A23,COMPOSICIÓN!$B$2:$B$982,"MAT")</f>
        <v>70843.445699999997</v>
      </c>
      <c r="K23" s="8">
        <f>SUMIFS(COMPOSICIÓN!$J$2:$J$982,COMPOSICIÓN!$A$2:$A$982,A23,COMPOSICIÓN!$B$2:$B$982,"MO")*I23</f>
        <v>307690.19973421155</v>
      </c>
      <c r="L23" s="8">
        <f>SUMIFS(COMPOSICIÓN!$J$2:$J$982,COMPOSICIÓN!$A$2:$A$982,A23,COMPOSICIÓN!$B$2:$B$982,"EQ")</f>
        <v>5678.0046000000002</v>
      </c>
      <c r="M23" s="8">
        <f t="shared" si="0"/>
        <v>70843.445699999997</v>
      </c>
      <c r="N23" s="8">
        <f t="shared" si="1"/>
        <v>307690.19973421155</v>
      </c>
      <c r="O23" s="8">
        <f t="shared" si="2"/>
        <v>5678.0046000000002</v>
      </c>
      <c r="P23" s="8">
        <f t="shared" si="3"/>
        <v>384211.65003421152</v>
      </c>
      <c r="Q23" s="7">
        <f>COUNTIF(COMPOSICIÓN!$A:$A,A23)</f>
        <v>5</v>
      </c>
      <c r="R23" s="13">
        <v>28</v>
      </c>
      <c r="S23" s="5" t="s">
        <v>1221</v>
      </c>
      <c r="T23" s="13">
        <v>70843.445699999997</v>
      </c>
      <c r="U23" s="13">
        <v>307690.1924</v>
      </c>
      <c r="V23" s="13">
        <v>5678.0046000000002</v>
      </c>
      <c r="W23" s="14">
        <f t="shared" si="4"/>
        <v>1.9088988389981409E-8</v>
      </c>
    </row>
    <row r="24" spans="1:23" x14ac:dyDescent="0.35">
      <c r="A24" s="5" t="s">
        <v>854</v>
      </c>
      <c r="B24" s="5">
        <v>3.1</v>
      </c>
      <c r="C24" s="5" t="s">
        <v>834</v>
      </c>
      <c r="D24" s="5" t="s">
        <v>853</v>
      </c>
      <c r="E24" s="5" t="s">
        <v>828</v>
      </c>
      <c r="F24" s="3">
        <v>1</v>
      </c>
      <c r="G24" s="3">
        <v>0</v>
      </c>
      <c r="H24" s="3">
        <v>0</v>
      </c>
      <c r="I24" s="3">
        <v>1</v>
      </c>
      <c r="J24" s="8">
        <f>SUMIFS(COMPOSICIÓN!$J$2:$J$982,COMPOSICIÓN!$A$2:$A$982,A24,COMPOSICIÓN!$B$2:$B$982,"MAT")</f>
        <v>60951.378700000001</v>
      </c>
      <c r="K24" s="8">
        <f>SUMIFS(COMPOSICIÓN!$J$2:$J$982,COMPOSICIÓN!$A$2:$A$982,A24,COMPOSICIÓN!$B$2:$B$982,"MO")*I24</f>
        <v>273658.45642395515</v>
      </c>
      <c r="L24" s="8">
        <f>SUMIFS(COMPOSICIÓN!$J$2:$J$982,COMPOSICIÓN!$A$2:$A$982,A24,COMPOSICIÓN!$B$2:$B$982,"EQ")</f>
        <v>5019.1473999999998</v>
      </c>
      <c r="M24" s="8">
        <f t="shared" si="0"/>
        <v>60951.378700000001</v>
      </c>
      <c r="N24" s="8">
        <f t="shared" si="1"/>
        <v>273658.45642395515</v>
      </c>
      <c r="O24" s="8">
        <f t="shared" si="2"/>
        <v>5019.1473999999998</v>
      </c>
      <c r="P24" s="8">
        <f t="shared" si="3"/>
        <v>339628.98252395517</v>
      </c>
      <c r="Q24" s="7">
        <f>COUNTIF(COMPOSICIÓN!$A:$A,A24)</f>
        <v>5</v>
      </c>
      <c r="R24" s="13">
        <v>54</v>
      </c>
      <c r="S24" s="5" t="s">
        <v>1221</v>
      </c>
      <c r="T24" s="13">
        <v>60951.378700000001</v>
      </c>
      <c r="U24" s="13">
        <v>273658.45</v>
      </c>
      <c r="V24" s="13">
        <v>5019.1473999999998</v>
      </c>
      <c r="W24" s="14">
        <f t="shared" si="4"/>
        <v>1.8914626309651794E-8</v>
      </c>
    </row>
    <row r="25" spans="1:23" x14ac:dyDescent="0.35">
      <c r="A25" s="5" t="s">
        <v>856</v>
      </c>
      <c r="B25" s="5">
        <v>3.11</v>
      </c>
      <c r="C25" s="5" t="s">
        <v>834</v>
      </c>
      <c r="D25" s="5" t="s">
        <v>855</v>
      </c>
      <c r="E25" s="5" t="s">
        <v>828</v>
      </c>
      <c r="F25" s="3">
        <v>1</v>
      </c>
      <c r="G25" s="3">
        <v>0</v>
      </c>
      <c r="H25" s="3">
        <v>0</v>
      </c>
      <c r="I25" s="3">
        <v>1</v>
      </c>
      <c r="J25" s="8">
        <f>SUMIFS(COMPOSICIÓN!$J$2:$J$982,COMPOSICIÓN!$A$2:$A$982,A25,COMPOSICIÓN!$B$2:$B$982,"MAT")</f>
        <v>68185.040999999997</v>
      </c>
      <c r="K25" s="8">
        <f>SUMIFS(COMPOSICIÓN!$J$2:$J$982,COMPOSICIÓN!$A$2:$A$982,A25,COMPOSICIÓN!$B$2:$B$982,"MO")*I25</f>
        <v>283180.32257422054</v>
      </c>
      <c r="L25" s="8">
        <f>SUMIFS(COMPOSICIÓN!$J$2:$J$982,COMPOSICIÓN!$A$2:$A$982,A25,COMPOSICIÓN!$B$2:$B$982,"EQ")</f>
        <v>5270.4803000000002</v>
      </c>
      <c r="M25" s="8">
        <f t="shared" si="0"/>
        <v>68185.040999999997</v>
      </c>
      <c r="N25" s="8">
        <f t="shared" si="1"/>
        <v>283180.32257422054</v>
      </c>
      <c r="O25" s="8">
        <f t="shared" si="2"/>
        <v>5270.4803000000002</v>
      </c>
      <c r="P25" s="8">
        <f t="shared" si="3"/>
        <v>356635.84387422056</v>
      </c>
      <c r="Q25" s="7">
        <f>COUNTIF(COMPOSICIÓN!$A:$A,A25)</f>
        <v>5</v>
      </c>
      <c r="R25" s="13">
        <v>11</v>
      </c>
      <c r="S25" s="5" t="s">
        <v>1221</v>
      </c>
      <c r="T25" s="13">
        <v>68185.040999999997</v>
      </c>
      <c r="U25" s="13">
        <v>283180.31550000003</v>
      </c>
      <c r="V25" s="13">
        <v>5270.4803000000002</v>
      </c>
      <c r="W25" s="14">
        <f t="shared" si="4"/>
        <v>1.9835977971283114E-8</v>
      </c>
    </row>
    <row r="26" spans="1:23" x14ac:dyDescent="0.35">
      <c r="A26" s="5" t="s">
        <v>858</v>
      </c>
      <c r="B26" s="5">
        <v>3.12</v>
      </c>
      <c r="C26" s="5" t="s">
        <v>834</v>
      </c>
      <c r="D26" s="5" t="s">
        <v>857</v>
      </c>
      <c r="E26" s="5" t="s">
        <v>828</v>
      </c>
      <c r="F26" s="3">
        <v>1</v>
      </c>
      <c r="G26" s="3">
        <v>0</v>
      </c>
      <c r="H26" s="3">
        <v>0</v>
      </c>
      <c r="I26" s="3">
        <v>1</v>
      </c>
      <c r="J26" s="8">
        <f>SUMIFS(COMPOSICIÓN!$J$2:$J$982,COMPOSICIÓN!$A$2:$A$982,A26,COMPOSICIÓN!$B$2:$B$982,"MAT")</f>
        <v>70843.445699999997</v>
      </c>
      <c r="K26" s="8">
        <f>SUMIFS(COMPOSICIÓN!$J$2:$J$982,COMPOSICIÓN!$A$2:$A$982,A26,COMPOSICIÓN!$B$2:$B$982,"MO")*I26</f>
        <v>307690.19973421155</v>
      </c>
      <c r="L26" s="8">
        <f>SUMIFS(COMPOSICIÓN!$J$2:$J$982,COMPOSICIÓN!$A$2:$A$982,A26,COMPOSICIÓN!$B$2:$B$982,"EQ")</f>
        <v>5678.0046000000002</v>
      </c>
      <c r="M26" s="8">
        <f t="shared" si="0"/>
        <v>70843.445699999997</v>
      </c>
      <c r="N26" s="8">
        <f t="shared" si="1"/>
        <v>307690.19973421155</v>
      </c>
      <c r="O26" s="8">
        <f t="shared" si="2"/>
        <v>5678.0046000000002</v>
      </c>
      <c r="P26" s="8">
        <f t="shared" si="3"/>
        <v>384211.65003421152</v>
      </c>
      <c r="Q26" s="7">
        <f>COUNTIF(COMPOSICIÓN!$A:$A,A26)</f>
        <v>5</v>
      </c>
      <c r="R26" s="13">
        <v>3</v>
      </c>
      <c r="S26" s="5" t="s">
        <v>1221</v>
      </c>
      <c r="T26" s="13">
        <v>70843.445699999997</v>
      </c>
      <c r="U26" s="13">
        <v>307690.1924</v>
      </c>
      <c r="V26" s="13">
        <v>5678.0046000000002</v>
      </c>
      <c r="W26" s="14">
        <f t="shared" si="4"/>
        <v>1.9088988389981409E-8</v>
      </c>
    </row>
    <row r="27" spans="1:23" x14ac:dyDescent="0.35">
      <c r="A27" s="5" t="s">
        <v>860</v>
      </c>
      <c r="B27" s="5">
        <v>3.13</v>
      </c>
      <c r="C27" s="5" t="s">
        <v>834</v>
      </c>
      <c r="D27" s="5" t="s">
        <v>859</v>
      </c>
      <c r="E27" s="5" t="s">
        <v>356</v>
      </c>
      <c r="F27" s="3">
        <v>1</v>
      </c>
      <c r="G27" s="3">
        <v>0</v>
      </c>
      <c r="H27" s="3">
        <v>0</v>
      </c>
      <c r="I27" s="3">
        <v>1</v>
      </c>
      <c r="J27" s="8">
        <f>SUMIFS(COMPOSICIÓN!$J$2:$J$982,COMPOSICIÓN!$A$2:$A$982,A27,COMPOSICIÓN!$B$2:$B$982,"MAT")</f>
        <v>24772.727299999999</v>
      </c>
      <c r="K27" s="8">
        <f>SUMIFS(COMPOSICIÓN!$J$2:$J$982,COMPOSICIÓN!$A$2:$A$982,A27,COMPOSICIÓN!$B$2:$B$982,"MO")*I27</f>
        <v>0</v>
      </c>
      <c r="L27" s="8">
        <f>SUMIFS(COMPOSICIÓN!$J$2:$J$982,COMPOSICIÓN!$A$2:$A$982,A27,COMPOSICIÓN!$B$2:$B$982,"EQ")</f>
        <v>0</v>
      </c>
      <c r="M27" s="8">
        <f t="shared" si="0"/>
        <v>24772.727299999999</v>
      </c>
      <c r="N27" s="8">
        <f t="shared" si="1"/>
        <v>0</v>
      </c>
      <c r="O27" s="8">
        <f t="shared" si="2"/>
        <v>0</v>
      </c>
      <c r="P27" s="8">
        <f t="shared" si="3"/>
        <v>24772.727299999999</v>
      </c>
      <c r="Q27" s="7">
        <f>COUNTIF(COMPOSICIÓN!$A:$A,A27)</f>
        <v>1</v>
      </c>
      <c r="R27" s="13">
        <v>240</v>
      </c>
      <c r="S27" s="5" t="s">
        <v>1221</v>
      </c>
      <c r="T27" s="13">
        <v>24772.727299999999</v>
      </c>
      <c r="U27" s="13">
        <v>0</v>
      </c>
      <c r="V27" s="13">
        <v>0</v>
      </c>
      <c r="W27" s="14">
        <f t="shared" si="4"/>
        <v>0</v>
      </c>
    </row>
    <row r="28" spans="1:23" x14ac:dyDescent="0.35">
      <c r="A28" s="5" t="s">
        <v>862</v>
      </c>
      <c r="B28" s="5">
        <v>3.14</v>
      </c>
      <c r="C28" s="5" t="s">
        <v>834</v>
      </c>
      <c r="D28" s="5" t="s">
        <v>861</v>
      </c>
      <c r="E28" s="5" t="s">
        <v>470</v>
      </c>
      <c r="F28" s="3">
        <v>1</v>
      </c>
      <c r="G28" s="3">
        <v>0</v>
      </c>
      <c r="H28" s="3">
        <v>0</v>
      </c>
      <c r="I28" s="3">
        <v>1</v>
      </c>
      <c r="J28" s="8">
        <f>SUMIFS(COMPOSICIÓN!$J$2:$J$982,COMPOSICIÓN!$A$2:$A$982,A28,COMPOSICIÓN!$B$2:$B$982,"MAT")</f>
        <v>0</v>
      </c>
      <c r="K28" s="8">
        <f>SUMIFS(COMPOSICIÓN!$J$2:$J$982,COMPOSICIÓN!$A$2:$A$982,A28,COMPOSICIÓN!$B$2:$B$982,"MO")*I28</f>
        <v>0</v>
      </c>
      <c r="L28" s="8">
        <f>SUMIFS(COMPOSICIÓN!$J$2:$J$982,COMPOSICIÓN!$A$2:$A$982,A28,COMPOSICIÓN!$B$2:$B$982,"EQ")</f>
        <v>8822750</v>
      </c>
      <c r="M28" s="8">
        <f t="shared" si="0"/>
        <v>0</v>
      </c>
      <c r="N28" s="8">
        <f t="shared" si="1"/>
        <v>0</v>
      </c>
      <c r="O28" s="8">
        <f t="shared" si="2"/>
        <v>8822750</v>
      </c>
      <c r="P28" s="8">
        <f t="shared" si="3"/>
        <v>8822750</v>
      </c>
      <c r="Q28" s="7">
        <f>COUNTIF(COMPOSICIÓN!$A:$A,A28)</f>
        <v>1</v>
      </c>
      <c r="R28" s="13">
        <v>1</v>
      </c>
      <c r="S28" s="5" t="s">
        <v>1221</v>
      </c>
      <c r="T28" s="13">
        <v>0</v>
      </c>
      <c r="U28" s="13">
        <v>0</v>
      </c>
      <c r="V28" s="13">
        <v>8822750</v>
      </c>
      <c r="W28" s="14">
        <f t="shared" si="4"/>
        <v>0</v>
      </c>
    </row>
    <row r="29" spans="1:23" x14ac:dyDescent="0.35">
      <c r="A29" s="5" t="s">
        <v>863</v>
      </c>
      <c r="B29" s="5">
        <v>3.15</v>
      </c>
      <c r="C29" s="5" t="s">
        <v>834</v>
      </c>
      <c r="D29" s="5" t="s">
        <v>127</v>
      </c>
      <c r="E29" s="5" t="s">
        <v>284</v>
      </c>
      <c r="F29" s="3">
        <v>1</v>
      </c>
      <c r="G29" s="3">
        <v>0</v>
      </c>
      <c r="H29" s="3">
        <v>0</v>
      </c>
      <c r="I29" s="3">
        <v>1</v>
      </c>
      <c r="J29" s="8">
        <f>SUMIFS(COMPOSICIÓN!$J$2:$J$982,COMPOSICIÓN!$A$2:$A$982,A29,COMPOSICIÓN!$B$2:$B$982,"MAT")</f>
        <v>123492.85709999999</v>
      </c>
      <c r="K29" s="8">
        <f>SUMIFS(COMPOSICIÓN!$J$2:$J$982,COMPOSICIÓN!$A$2:$A$982,A29,COMPOSICIÓN!$B$2:$B$982,"MO")*I29</f>
        <v>0</v>
      </c>
      <c r="L29" s="8">
        <f>SUMIFS(COMPOSICIÓN!$J$2:$J$982,COMPOSICIÓN!$A$2:$A$982,A29,COMPOSICIÓN!$B$2:$B$982,"EQ")</f>
        <v>0</v>
      </c>
      <c r="M29" s="8">
        <f t="shared" si="0"/>
        <v>123492.85709999999</v>
      </c>
      <c r="N29" s="8">
        <f t="shared" si="1"/>
        <v>0</v>
      </c>
      <c r="O29" s="8">
        <f t="shared" si="2"/>
        <v>0</v>
      </c>
      <c r="P29" s="8">
        <f t="shared" si="3"/>
        <v>123492.85709999999</v>
      </c>
      <c r="Q29" s="7">
        <f>COUNTIF(COMPOSICIÓN!$A:$A,A29)</f>
        <v>1</v>
      </c>
      <c r="R29" s="13">
        <v>14</v>
      </c>
      <c r="S29" s="5" t="s">
        <v>1221</v>
      </c>
      <c r="T29" s="13">
        <v>123492.85709999999</v>
      </c>
      <c r="U29" s="13">
        <v>0</v>
      </c>
      <c r="V29" s="13">
        <v>0</v>
      </c>
      <c r="W29" s="14">
        <f t="shared" si="4"/>
        <v>0</v>
      </c>
    </row>
    <row r="30" spans="1:23" x14ac:dyDescent="0.35">
      <c r="A30" s="5" t="s">
        <v>864</v>
      </c>
      <c r="B30" s="5">
        <v>3.16</v>
      </c>
      <c r="C30" s="5" t="s">
        <v>834</v>
      </c>
      <c r="D30" s="5" t="s">
        <v>129</v>
      </c>
      <c r="E30" s="5" t="s">
        <v>470</v>
      </c>
      <c r="F30" s="3">
        <v>1</v>
      </c>
      <c r="G30" s="3">
        <v>0</v>
      </c>
      <c r="H30" s="3">
        <v>0</v>
      </c>
      <c r="I30" s="3">
        <v>1</v>
      </c>
      <c r="J30" s="8">
        <f>SUMIFS(COMPOSICIÓN!$J$2:$J$982,COMPOSICIÓN!$A$2:$A$982,A30,COMPOSICIÓN!$B$2:$B$982,"MAT")</f>
        <v>55000</v>
      </c>
      <c r="K30" s="8">
        <f>SUMIFS(COMPOSICIÓN!$J$2:$J$982,COMPOSICIÓN!$A$2:$A$982,A30,COMPOSICIÓN!$B$2:$B$982,"MO")*I30</f>
        <v>0</v>
      </c>
      <c r="L30" s="8">
        <f>SUMIFS(COMPOSICIÓN!$J$2:$J$982,COMPOSICIÓN!$A$2:$A$982,A30,COMPOSICIÓN!$B$2:$B$982,"EQ")</f>
        <v>0</v>
      </c>
      <c r="M30" s="8">
        <f t="shared" si="0"/>
        <v>55000</v>
      </c>
      <c r="N30" s="8">
        <f t="shared" si="1"/>
        <v>0</v>
      </c>
      <c r="O30" s="8">
        <f t="shared" si="2"/>
        <v>0</v>
      </c>
      <c r="P30" s="8">
        <f t="shared" si="3"/>
        <v>55000</v>
      </c>
      <c r="Q30" s="7">
        <f>COUNTIF(COMPOSICIÓN!$A:$A,A30)</f>
        <v>1</v>
      </c>
      <c r="R30" s="13">
        <v>4</v>
      </c>
      <c r="S30" s="5" t="s">
        <v>1221</v>
      </c>
      <c r="T30" s="13">
        <v>55000</v>
      </c>
      <c r="U30" s="13">
        <v>0</v>
      </c>
      <c r="V30" s="13">
        <v>0</v>
      </c>
      <c r="W30" s="14">
        <f t="shared" si="4"/>
        <v>0</v>
      </c>
    </row>
    <row r="31" spans="1:23" x14ac:dyDescent="0.35">
      <c r="A31" s="5" t="s">
        <v>867</v>
      </c>
      <c r="B31" s="5">
        <v>3.17</v>
      </c>
      <c r="C31" s="5" t="s">
        <v>834</v>
      </c>
      <c r="D31" s="5" t="s">
        <v>865</v>
      </c>
      <c r="E31" s="5" t="s">
        <v>866</v>
      </c>
      <c r="F31" s="3">
        <v>1</v>
      </c>
      <c r="G31" s="3">
        <v>0</v>
      </c>
      <c r="H31" s="3">
        <v>0</v>
      </c>
      <c r="I31" s="3">
        <v>1</v>
      </c>
      <c r="J31" s="8">
        <f>SUMIFS(COMPOSICIÓN!$J$2:$J$982,COMPOSICIÓN!$A$2:$A$982,A31,COMPOSICIÓN!$B$2:$B$982,"MAT")</f>
        <v>5053.7635</v>
      </c>
      <c r="K31" s="8">
        <f>SUMIFS(COMPOSICIÓN!$J$2:$J$982,COMPOSICIÓN!$A$2:$A$982,A31,COMPOSICIÓN!$B$2:$B$982,"MO")*I31</f>
        <v>14213.224350639899</v>
      </c>
      <c r="L31" s="8">
        <f>SUMIFS(COMPOSICIÓN!$J$2:$J$982,COMPOSICIÓN!$A$2:$A$982,A31,COMPOSICIÓN!$B$2:$B$982,"EQ")</f>
        <v>289.00479999999999</v>
      </c>
      <c r="M31" s="8">
        <f t="shared" si="0"/>
        <v>5053.7635</v>
      </c>
      <c r="N31" s="8">
        <f t="shared" si="1"/>
        <v>14213.224350639899</v>
      </c>
      <c r="O31" s="8">
        <f t="shared" si="2"/>
        <v>289.00479999999999</v>
      </c>
      <c r="P31" s="8">
        <f t="shared" si="3"/>
        <v>19555.992650639899</v>
      </c>
      <c r="Q31" s="7">
        <f>COUNTIF(COMPOSICIÓN!$A:$A,A31)</f>
        <v>5</v>
      </c>
      <c r="R31" s="13">
        <v>93</v>
      </c>
      <c r="S31" s="5" t="s">
        <v>1222</v>
      </c>
      <c r="T31" s="13">
        <v>5053.7633999999998</v>
      </c>
      <c r="U31" s="13">
        <v>14213.2235</v>
      </c>
      <c r="V31" s="13">
        <v>289.00479999999999</v>
      </c>
      <c r="W31" s="14">
        <f t="shared" si="4"/>
        <v>4.8611183522950796E-8</v>
      </c>
    </row>
    <row r="32" spans="1:23" x14ac:dyDescent="0.35">
      <c r="A32" s="5" t="s">
        <v>870</v>
      </c>
      <c r="B32" s="5">
        <v>4.01</v>
      </c>
      <c r="C32" s="5" t="s">
        <v>868</v>
      </c>
      <c r="D32" s="5" t="s">
        <v>869</v>
      </c>
      <c r="E32" s="5" t="s">
        <v>866</v>
      </c>
      <c r="F32" s="3">
        <v>1</v>
      </c>
      <c r="G32" s="3">
        <v>0</v>
      </c>
      <c r="H32" s="3">
        <v>0</v>
      </c>
      <c r="I32" s="3">
        <v>1</v>
      </c>
      <c r="J32" s="8">
        <f>SUMIFS(COMPOSICIÓN!$J$2:$J$982,COMPOSICIÓN!$A$2:$A$982,A32,COMPOSICIÓN!$B$2:$B$982,"MAT")</f>
        <v>6545.2009423757609</v>
      </c>
      <c r="K32" s="8">
        <f>SUMIFS(COMPOSICIÓN!$J$2:$J$982,COMPOSICIÓN!$A$2:$A$982,A32,COMPOSICIÓN!$B$2:$B$982,"MO")*I32</f>
        <v>8336.4864168243002</v>
      </c>
      <c r="L32" s="8">
        <f>SUMIFS(COMPOSICIÓN!$J$2:$J$982,COMPOSICIÓN!$A$2:$A$982,A32,COMPOSICIÓN!$B$2:$B$982,"EQ")</f>
        <v>229.16797534397099</v>
      </c>
      <c r="M32" s="8">
        <f t="shared" si="0"/>
        <v>6545.2009423757609</v>
      </c>
      <c r="N32" s="8">
        <f t="shared" si="1"/>
        <v>8336.4864168243002</v>
      </c>
      <c r="O32" s="8">
        <f t="shared" si="2"/>
        <v>229.16797534397099</v>
      </c>
      <c r="P32" s="8">
        <f t="shared" si="3"/>
        <v>15110.855334544032</v>
      </c>
      <c r="Q32" s="7">
        <f>COUNTIF(COMPOSICIÓN!$A:$A,A32)</f>
        <v>11</v>
      </c>
      <c r="R32" s="13">
        <v>819</v>
      </c>
      <c r="S32" s="5" t="s">
        <v>1221</v>
      </c>
      <c r="T32" s="13">
        <v>6545.2008999999998</v>
      </c>
      <c r="U32" s="13">
        <v>8336.4856999999993</v>
      </c>
      <c r="V32" s="13">
        <v>229.16800000000001</v>
      </c>
      <c r="W32" s="14">
        <f t="shared" si="4"/>
        <v>4.861035685088666E-8</v>
      </c>
    </row>
    <row r="33" spans="1:23" x14ac:dyDescent="0.35">
      <c r="A33" s="5" t="s">
        <v>872</v>
      </c>
      <c r="B33" s="5">
        <v>4.0199999999999996</v>
      </c>
      <c r="C33" s="5" t="s">
        <v>868</v>
      </c>
      <c r="D33" s="5" t="s">
        <v>871</v>
      </c>
      <c r="E33" s="5" t="s">
        <v>866</v>
      </c>
      <c r="F33" s="3">
        <v>1</v>
      </c>
      <c r="G33" s="3">
        <v>0</v>
      </c>
      <c r="H33" s="3">
        <v>0</v>
      </c>
      <c r="I33" s="3">
        <v>1</v>
      </c>
      <c r="J33" s="8">
        <f>SUMIFS(COMPOSICIÓN!$J$2:$J$982,COMPOSICIÓN!$A$2:$A$982,A33,COMPOSICIÓN!$B$2:$B$982,"MAT")</f>
        <v>11461.565499517143</v>
      </c>
      <c r="K33" s="8">
        <f>SUMIFS(COMPOSICIÓN!$J$2:$J$982,COMPOSICIÓN!$A$2:$A$982,A33,COMPOSICIÓN!$B$2:$B$982,"MO")*I33</f>
        <v>8336.4864168243002</v>
      </c>
      <c r="L33" s="8">
        <f>SUMIFS(COMPOSICIÓN!$J$2:$J$982,COMPOSICIÓN!$A$2:$A$982,A33,COMPOSICIÓN!$B$2:$B$982,"EQ")</f>
        <v>229.16797534397099</v>
      </c>
      <c r="M33" s="8">
        <f t="shared" si="0"/>
        <v>11461.565499517143</v>
      </c>
      <c r="N33" s="8">
        <f t="shared" si="1"/>
        <v>8336.4864168243002</v>
      </c>
      <c r="O33" s="8">
        <f t="shared" si="2"/>
        <v>229.16797534397099</v>
      </c>
      <c r="P33" s="8">
        <f t="shared" si="3"/>
        <v>20027.219891685414</v>
      </c>
      <c r="Q33" s="7">
        <f>COUNTIF(COMPOSICIÓN!$A:$A,A33)</f>
        <v>11</v>
      </c>
      <c r="R33" s="13">
        <v>612</v>
      </c>
      <c r="S33" s="5" t="s">
        <v>1221</v>
      </c>
      <c r="T33" s="13">
        <v>11461.565500000001</v>
      </c>
      <c r="U33" s="13">
        <v>8336.4856999999993</v>
      </c>
      <c r="V33" s="13">
        <v>229.16800000000001</v>
      </c>
      <c r="W33" s="14">
        <f t="shared" si="4"/>
        <v>3.4537266602185923E-8</v>
      </c>
    </row>
    <row r="34" spans="1:23" x14ac:dyDescent="0.35">
      <c r="A34" s="5" t="s">
        <v>874</v>
      </c>
      <c r="B34" s="5">
        <v>4.03</v>
      </c>
      <c r="C34" s="5" t="s">
        <v>868</v>
      </c>
      <c r="D34" s="5" t="s">
        <v>873</v>
      </c>
      <c r="E34" s="5" t="s">
        <v>866</v>
      </c>
      <c r="F34" s="3">
        <v>1</v>
      </c>
      <c r="G34" s="3">
        <v>0</v>
      </c>
      <c r="H34" s="3">
        <v>0</v>
      </c>
      <c r="I34" s="3">
        <v>1</v>
      </c>
      <c r="J34" s="8">
        <f>SUMIFS(COMPOSICIÓN!$J$2:$J$982,COMPOSICIÓN!$A$2:$A$982,A34,COMPOSICIÓN!$B$2:$B$982,"MAT")</f>
        <v>8229.0499567371608</v>
      </c>
      <c r="K34" s="8">
        <f>SUMIFS(COMPOSICIÓN!$J$2:$J$982,COMPOSICIÓN!$A$2:$A$982,A34,COMPOSICIÓN!$B$2:$B$982,"MO")*I34</f>
        <v>8336.4864168243002</v>
      </c>
      <c r="L34" s="8">
        <f>SUMIFS(COMPOSICIÓN!$J$2:$J$982,COMPOSICIÓN!$A$2:$A$982,A34,COMPOSICIÓN!$B$2:$B$982,"EQ")</f>
        <v>229.16797534397099</v>
      </c>
      <c r="M34" s="8">
        <f t="shared" ref="M34:M65" si="5">J34</f>
        <v>8229.0499567371608</v>
      </c>
      <c r="N34" s="8">
        <f t="shared" ref="N34:N65" si="6">IF(F34=0,0,K34/F34)</f>
        <v>8336.4864168243002</v>
      </c>
      <c r="O34" s="8">
        <f t="shared" ref="O34:O65" si="7">IF(F34=0,0,L34/F34)</f>
        <v>229.16797534397099</v>
      </c>
      <c r="P34" s="8">
        <f t="shared" ref="P34:P65" si="8">M34+N34+O34</f>
        <v>16794.70434890543</v>
      </c>
      <c r="Q34" s="7">
        <f>COUNTIF(COMPOSICIÓN!$A:$A,A34)</f>
        <v>11</v>
      </c>
      <c r="R34" s="13">
        <v>636</v>
      </c>
      <c r="S34" s="5" t="s">
        <v>1221</v>
      </c>
      <c r="T34" s="13">
        <v>8229.0499</v>
      </c>
      <c r="U34" s="13">
        <v>8336.4856999999993</v>
      </c>
      <c r="V34" s="13">
        <v>229.16800000000001</v>
      </c>
      <c r="W34" s="14">
        <f t="shared" ref="W34:W65" si="9">IFERROR(P34/(T34+U34+V34)-1,0)</f>
        <v>4.4591762282664149E-8</v>
      </c>
    </row>
    <row r="35" spans="1:23" x14ac:dyDescent="0.35">
      <c r="A35" s="5" t="s">
        <v>876</v>
      </c>
      <c r="B35" s="5">
        <v>4.04</v>
      </c>
      <c r="C35" s="5" t="s">
        <v>868</v>
      </c>
      <c r="D35" s="5" t="s">
        <v>875</v>
      </c>
      <c r="E35" s="5" t="s">
        <v>866</v>
      </c>
      <c r="F35" s="3">
        <v>1</v>
      </c>
      <c r="G35" s="3">
        <v>0</v>
      </c>
      <c r="H35" s="3">
        <v>0</v>
      </c>
      <c r="I35" s="3">
        <v>1</v>
      </c>
      <c r="J35" s="8">
        <f>SUMIFS(COMPOSICIÓN!$J$2:$J$982,COMPOSICIÓN!$A$2:$A$982,A35,COMPOSICIÓN!$B$2:$B$982,"MAT")</f>
        <v>5807.1589216136008</v>
      </c>
      <c r="K35" s="8">
        <f>SUMIFS(COMPOSICIÓN!$J$2:$J$982,COMPOSICIÓN!$A$2:$A$982,A35,COMPOSICIÓN!$B$2:$B$982,"MO")*I35</f>
        <v>5954.6331548745002</v>
      </c>
      <c r="L35" s="8">
        <f>SUMIFS(COMPOSICIÓN!$J$2:$J$982,COMPOSICIÓN!$A$2:$A$982,A35,COMPOSICIÓN!$B$2:$B$982,"EQ")</f>
        <v>245.53710501320899</v>
      </c>
      <c r="M35" s="8">
        <f t="shared" si="5"/>
        <v>5807.1589216136008</v>
      </c>
      <c r="N35" s="8">
        <f t="shared" si="6"/>
        <v>5954.6331548745002</v>
      </c>
      <c r="O35" s="8">
        <f t="shared" si="7"/>
        <v>245.53710501320899</v>
      </c>
      <c r="P35" s="8">
        <f t="shared" si="8"/>
        <v>12007.329181501311</v>
      </c>
      <c r="Q35" s="7">
        <f>COUNTIF(COMPOSICIÓN!$A:$A,A35)</f>
        <v>11</v>
      </c>
      <c r="R35" s="13">
        <v>195</v>
      </c>
      <c r="S35" s="5" t="s">
        <v>1221</v>
      </c>
      <c r="T35" s="13">
        <v>5807.1589999999997</v>
      </c>
      <c r="U35" s="13">
        <v>5954.6325999999999</v>
      </c>
      <c r="V35" s="13">
        <v>245.53710000000001</v>
      </c>
      <c r="W35" s="14">
        <f t="shared" si="9"/>
        <v>4.0100618825533729E-8</v>
      </c>
    </row>
    <row r="36" spans="1:23" x14ac:dyDescent="0.35">
      <c r="A36" s="5" t="s">
        <v>878</v>
      </c>
      <c r="B36" s="5">
        <v>4.05</v>
      </c>
      <c r="C36" s="5" t="s">
        <v>868</v>
      </c>
      <c r="D36" s="5" t="s">
        <v>877</v>
      </c>
      <c r="E36" s="5" t="s">
        <v>866</v>
      </c>
      <c r="F36" s="3">
        <v>1</v>
      </c>
      <c r="G36" s="3">
        <v>0</v>
      </c>
      <c r="H36" s="3">
        <v>0</v>
      </c>
      <c r="I36" s="3">
        <v>1</v>
      </c>
      <c r="J36" s="8">
        <f>SUMIFS(COMPOSICIÓN!$J$2:$J$982,COMPOSICIÓN!$A$2:$A$982,A36,COMPOSICIÓN!$B$2:$B$982,"MAT")</f>
        <v>17421.476862421601</v>
      </c>
      <c r="K36" s="8">
        <f>SUMIFS(COMPOSICIÓN!$J$2:$J$982,COMPOSICIÓN!$A$2:$A$982,A36,COMPOSICIÓN!$B$2:$B$982,"MO")*I36</f>
        <v>35727.795771158359</v>
      </c>
      <c r="L36" s="8">
        <f>SUMIFS(COMPOSICIÓN!$J$2:$J$982,COMPOSICIÓN!$A$2:$A$982,A36,COMPOSICIÓN!$B$2:$B$982,"EQ")</f>
        <v>491.07420446422998</v>
      </c>
      <c r="M36" s="8">
        <f t="shared" si="5"/>
        <v>17421.476862421601</v>
      </c>
      <c r="N36" s="8">
        <f t="shared" si="6"/>
        <v>35727.795771158359</v>
      </c>
      <c r="O36" s="8">
        <f t="shared" si="7"/>
        <v>491.07420446422998</v>
      </c>
      <c r="P36" s="8">
        <f t="shared" si="8"/>
        <v>53640.346838044192</v>
      </c>
      <c r="Q36" s="7">
        <f>COUNTIF(COMPOSICIÓN!$A:$A,A36)</f>
        <v>13</v>
      </c>
      <c r="R36" s="13">
        <v>30.053999999999998</v>
      </c>
      <c r="S36" s="5" t="s">
        <v>1221</v>
      </c>
      <c r="T36" s="13">
        <v>17421.476900000001</v>
      </c>
      <c r="U36" s="13">
        <v>35727.7958</v>
      </c>
      <c r="V36" s="13">
        <v>491.07420000000002</v>
      </c>
      <c r="W36" s="14">
        <f t="shared" si="9"/>
        <v>-1.1550226330925284E-9</v>
      </c>
    </row>
    <row r="37" spans="1:23" x14ac:dyDescent="0.35">
      <c r="A37" s="5" t="s">
        <v>880</v>
      </c>
      <c r="B37" s="5">
        <v>4.0599999999999996</v>
      </c>
      <c r="C37" s="5" t="s">
        <v>868</v>
      </c>
      <c r="D37" s="5" t="s">
        <v>879</v>
      </c>
      <c r="E37" s="5" t="s">
        <v>866</v>
      </c>
      <c r="F37" s="3">
        <v>1</v>
      </c>
      <c r="G37" s="3">
        <v>0</v>
      </c>
      <c r="H37" s="3">
        <v>0</v>
      </c>
      <c r="I37" s="3">
        <v>1</v>
      </c>
      <c r="J37" s="8">
        <f>SUMIFS(COMPOSICIÓN!$J$2:$J$982,COMPOSICIÓN!$A$2:$A$982,A37,COMPOSICIÓN!$B$2:$B$982,"MAT")</f>
        <v>28704.0999315474</v>
      </c>
      <c r="K37" s="8">
        <f>SUMIFS(COMPOSICIÓN!$J$2:$J$982,COMPOSICIÓN!$A$2:$A$982,A37,COMPOSICIÓN!$B$2:$B$982,"MO")*I37</f>
        <v>14682.225438635374</v>
      </c>
      <c r="L37" s="8">
        <f>SUMIFS(COMPOSICIÓN!$J$2:$J$982,COMPOSICIÓN!$A$2:$A$982,A37,COMPOSICIÓN!$B$2:$B$982,"EQ")</f>
        <v>298.91473315214</v>
      </c>
      <c r="M37" s="8">
        <f t="shared" si="5"/>
        <v>28704.0999315474</v>
      </c>
      <c r="N37" s="8">
        <f t="shared" si="6"/>
        <v>14682.225438635374</v>
      </c>
      <c r="O37" s="8">
        <f t="shared" si="7"/>
        <v>298.91473315214</v>
      </c>
      <c r="P37" s="8">
        <f t="shared" si="8"/>
        <v>43685.240103334916</v>
      </c>
      <c r="Q37" s="7">
        <f>COUNTIF(COMPOSICIÓN!$A:$A,A37)</f>
        <v>13</v>
      </c>
      <c r="R37" s="13">
        <v>24</v>
      </c>
      <c r="S37" s="5" t="s">
        <v>1221</v>
      </c>
      <c r="T37" s="13">
        <v>28704.099900000001</v>
      </c>
      <c r="U37" s="13">
        <v>14682.2251</v>
      </c>
      <c r="V37" s="13">
        <v>298.91469999999998</v>
      </c>
      <c r="W37" s="14">
        <f t="shared" si="9"/>
        <v>9.2327505640810159E-9</v>
      </c>
    </row>
    <row r="38" spans="1:23" x14ac:dyDescent="0.35">
      <c r="A38" s="5" t="s">
        <v>882</v>
      </c>
      <c r="B38" s="5">
        <v>4.07</v>
      </c>
      <c r="C38" s="5" t="s">
        <v>868</v>
      </c>
      <c r="D38" s="5" t="s">
        <v>881</v>
      </c>
      <c r="E38" s="5" t="s">
        <v>356</v>
      </c>
      <c r="F38" s="3">
        <v>1</v>
      </c>
      <c r="G38" s="3">
        <v>0</v>
      </c>
      <c r="H38" s="3">
        <v>0</v>
      </c>
      <c r="I38" s="3">
        <v>1</v>
      </c>
      <c r="J38" s="8">
        <f>SUMIFS(COMPOSICIÓN!$J$2:$J$982,COMPOSICIÓN!$A$2:$A$982,A38,COMPOSICIÓN!$B$2:$B$982,"MAT")</f>
        <v>17364.130552804298</v>
      </c>
      <c r="K38" s="8">
        <f>SUMIFS(COMPOSICIÓN!$J$2:$J$982,COMPOSICIÓN!$A$2:$A$982,A38,COMPOSICIÓN!$B$2:$B$982,"MO")*I38</f>
        <v>6926.4993140368006</v>
      </c>
      <c r="L38" s="8">
        <f>SUMIFS(COMPOSICIÓN!$J$2:$J$982,COMPOSICIÓN!$A$2:$A$982,A38,COMPOSICIÓN!$B$2:$B$982,"EQ")</f>
        <v>364.35939999999999</v>
      </c>
      <c r="M38" s="8">
        <f t="shared" si="5"/>
        <v>17364.130552804298</v>
      </c>
      <c r="N38" s="8">
        <f t="shared" si="6"/>
        <v>6926.4993140368006</v>
      </c>
      <c r="O38" s="8">
        <f t="shared" si="7"/>
        <v>364.35939999999999</v>
      </c>
      <c r="P38" s="8">
        <f t="shared" si="8"/>
        <v>24654.989266841098</v>
      </c>
      <c r="Q38" s="7">
        <f>COUNTIF(COMPOSICIÓN!$A:$A,A38)</f>
        <v>7</v>
      </c>
      <c r="R38" s="13">
        <v>81</v>
      </c>
      <c r="S38" s="5" t="s">
        <v>1222</v>
      </c>
      <c r="T38" s="13">
        <v>17364.127799999998</v>
      </c>
      <c r="U38" s="13">
        <v>6926.4989999999998</v>
      </c>
      <c r="V38" s="13">
        <v>364.35939999999999</v>
      </c>
      <c r="W38" s="14">
        <f t="shared" si="9"/>
        <v>1.2439029872801655E-7</v>
      </c>
    </row>
    <row r="39" spans="1:23" x14ac:dyDescent="0.35">
      <c r="A39" s="5" t="s">
        <v>884</v>
      </c>
      <c r="B39" s="5">
        <v>4.08</v>
      </c>
      <c r="C39" s="5" t="s">
        <v>868</v>
      </c>
      <c r="D39" s="5" t="s">
        <v>883</v>
      </c>
      <c r="E39" s="5" t="s">
        <v>470</v>
      </c>
      <c r="F39" s="3">
        <v>1</v>
      </c>
      <c r="G39" s="3">
        <v>0</v>
      </c>
      <c r="H39" s="3">
        <v>0</v>
      </c>
      <c r="I39" s="3">
        <v>1</v>
      </c>
      <c r="J39" s="8">
        <f>SUMIFS(COMPOSICIÓN!$J$2:$J$982,COMPOSICIÓN!$A$2:$A$982,A39,COMPOSICIÓN!$B$2:$B$982,"MAT")</f>
        <v>451217.94807569397</v>
      </c>
      <c r="K39" s="8">
        <f>SUMIFS(COMPOSICIÓN!$J$2:$J$982,COMPOSICIÓN!$A$2:$A$982,A39,COMPOSICIÓN!$B$2:$B$982,"MO")*I39</f>
        <v>426669.73</v>
      </c>
      <c r="L39" s="8">
        <f>SUMIFS(COMPOSICIÓN!$J$2:$J$982,COMPOSICIÓN!$A$2:$A$982,A39,COMPOSICIÓN!$B$2:$B$982,"EQ")</f>
        <v>13168.315000000001</v>
      </c>
      <c r="M39" s="8">
        <f t="shared" si="5"/>
        <v>451217.94807569397</v>
      </c>
      <c r="N39" s="8">
        <f t="shared" si="6"/>
        <v>426669.73</v>
      </c>
      <c r="O39" s="8">
        <f t="shared" si="7"/>
        <v>13168.315000000001</v>
      </c>
      <c r="P39" s="8">
        <f t="shared" si="8"/>
        <v>891055.99307569396</v>
      </c>
      <c r="Q39" s="7">
        <f>COUNTIF(COMPOSICIÓN!$A:$A,A39)</f>
        <v>8</v>
      </c>
      <c r="R39" s="13">
        <v>1</v>
      </c>
      <c r="S39" s="5" t="s">
        <v>1222</v>
      </c>
      <c r="T39" s="13">
        <v>451217.94809999998</v>
      </c>
      <c r="U39" s="13">
        <v>426669.71600000001</v>
      </c>
      <c r="V39" s="13">
        <v>13168.315000000001</v>
      </c>
      <c r="W39" s="14">
        <f t="shared" si="9"/>
        <v>1.5684417542516371E-8</v>
      </c>
    </row>
    <row r="40" spans="1:23" x14ac:dyDescent="0.35">
      <c r="A40" s="5" t="s">
        <v>887</v>
      </c>
      <c r="B40" s="5">
        <v>5.01</v>
      </c>
      <c r="C40" s="5" t="s">
        <v>885</v>
      </c>
      <c r="D40" s="5" t="s">
        <v>886</v>
      </c>
      <c r="E40" s="5" t="s">
        <v>866</v>
      </c>
      <c r="F40" s="3">
        <v>1</v>
      </c>
      <c r="G40" s="3">
        <v>0</v>
      </c>
      <c r="H40" s="3">
        <v>0</v>
      </c>
      <c r="I40" s="3">
        <v>1</v>
      </c>
      <c r="J40" s="8">
        <f>SUMIFS(COMPOSICIÓN!$J$2:$J$982,COMPOSICIÓN!$A$2:$A$982,A40,COMPOSICIÓN!$B$2:$B$982,"MAT")</f>
        <v>9809.5604840452434</v>
      </c>
      <c r="K40" s="8">
        <f>SUMIFS(COMPOSICIÓN!$J$2:$J$982,COMPOSICIÓN!$A$2:$A$982,A40,COMPOSICIÓN!$B$2:$B$982,"MO")*I40</f>
        <v>7502.8373080000001</v>
      </c>
      <c r="L40" s="8">
        <f>SUMIFS(COMPOSICIÓN!$J$2:$J$982,COMPOSICIÓN!$A$2:$A$982,A40,COMPOSICIÓN!$B$2:$B$982,"EQ")</f>
        <v>31.337343999999998</v>
      </c>
      <c r="M40" s="8">
        <f t="shared" si="5"/>
        <v>9809.5604840452434</v>
      </c>
      <c r="N40" s="8">
        <f t="shared" si="6"/>
        <v>7502.8373080000001</v>
      </c>
      <c r="O40" s="8">
        <f t="shared" si="7"/>
        <v>31.337343999999998</v>
      </c>
      <c r="P40" s="8">
        <f t="shared" si="8"/>
        <v>17343.735136045245</v>
      </c>
      <c r="Q40" s="7">
        <f>COUNTIF(COMPOSICIÓN!$A:$A,A40)</f>
        <v>13</v>
      </c>
      <c r="R40" s="13">
        <v>139.05000000000001</v>
      </c>
      <c r="S40" s="5" t="s">
        <v>1221</v>
      </c>
      <c r="T40" s="13">
        <v>9809.5604000000003</v>
      </c>
      <c r="U40" s="13">
        <v>7502.8370999999997</v>
      </c>
      <c r="V40" s="13">
        <v>31.337299999999999</v>
      </c>
      <c r="W40" s="14">
        <f t="shared" si="9"/>
        <v>1.9375598681037332E-8</v>
      </c>
    </row>
    <row r="41" spans="1:23" x14ac:dyDescent="0.35">
      <c r="A41" s="5" t="s">
        <v>889</v>
      </c>
      <c r="B41" s="5">
        <v>5.0199999999999996</v>
      </c>
      <c r="C41" s="5" t="s">
        <v>885</v>
      </c>
      <c r="D41" s="5" t="s">
        <v>888</v>
      </c>
      <c r="E41" s="5" t="s">
        <v>866</v>
      </c>
      <c r="F41" s="3">
        <v>1</v>
      </c>
      <c r="G41" s="3">
        <v>0</v>
      </c>
      <c r="H41" s="3">
        <v>0</v>
      </c>
      <c r="I41" s="3">
        <v>1</v>
      </c>
      <c r="J41" s="8">
        <f>SUMIFS(COMPOSICIÓN!$J$2:$J$982,COMPOSICIÓN!$A$2:$A$982,A41,COMPOSICIÓN!$B$2:$B$982,"MAT")</f>
        <v>758.10738300000003</v>
      </c>
      <c r="K41" s="8">
        <f>SUMIFS(COMPOSICIÓN!$J$2:$J$982,COMPOSICIÓN!$A$2:$A$982,A41,COMPOSICIÓN!$B$2:$B$982,"MO")*I41</f>
        <v>3395.9553221949</v>
      </c>
      <c r="L41" s="8">
        <f>SUMIFS(COMPOSICIÓN!$J$2:$J$982,COMPOSICIÓN!$A$2:$A$982,A41,COMPOSICIÓN!$B$2:$B$982,"EQ")</f>
        <v>122.768565522561</v>
      </c>
      <c r="M41" s="8">
        <f t="shared" si="5"/>
        <v>758.10738300000003</v>
      </c>
      <c r="N41" s="8">
        <f t="shared" si="6"/>
        <v>3395.9553221949</v>
      </c>
      <c r="O41" s="8">
        <f t="shared" si="7"/>
        <v>122.768565522561</v>
      </c>
      <c r="P41" s="8">
        <f t="shared" si="8"/>
        <v>4276.8312707174609</v>
      </c>
      <c r="Q41" s="7">
        <f>COUNTIF(COMPOSICIÓN!$A:$A,A41)</f>
        <v>8</v>
      </c>
      <c r="R41" s="13">
        <v>300</v>
      </c>
      <c r="S41" s="5" t="s">
        <v>1221</v>
      </c>
      <c r="T41" s="13">
        <v>758.10739999999998</v>
      </c>
      <c r="U41" s="13">
        <v>3395.9551000000001</v>
      </c>
      <c r="V41" s="13">
        <v>122.76860000000001</v>
      </c>
      <c r="W41" s="14">
        <f t="shared" si="9"/>
        <v>3.9916811411799813E-8</v>
      </c>
    </row>
    <row r="42" spans="1:23" x14ac:dyDescent="0.35">
      <c r="A42" s="5" t="s">
        <v>891</v>
      </c>
      <c r="B42" s="5">
        <v>5.03</v>
      </c>
      <c r="C42" s="5" t="s">
        <v>885</v>
      </c>
      <c r="D42" s="5" t="s">
        <v>890</v>
      </c>
      <c r="E42" s="5" t="s">
        <v>866</v>
      </c>
      <c r="F42" s="3">
        <v>1</v>
      </c>
      <c r="G42" s="3">
        <v>0</v>
      </c>
      <c r="H42" s="3">
        <v>0</v>
      </c>
      <c r="I42" s="3">
        <v>1</v>
      </c>
      <c r="J42" s="8">
        <f>SUMIFS(COMPOSICIÓN!$J$2:$J$982,COMPOSICIÓN!$A$2:$A$982,A42,COMPOSICIÓN!$B$2:$B$982,"MAT")</f>
        <v>758.10738300000003</v>
      </c>
      <c r="K42" s="8">
        <f>SUMIFS(COMPOSICIÓN!$J$2:$J$982,COMPOSICIÓN!$A$2:$A$982,A42,COMPOSICIÓN!$B$2:$B$982,"MO")*I42</f>
        <v>3395.9553221949</v>
      </c>
      <c r="L42" s="8">
        <f>SUMIFS(COMPOSICIÓN!$J$2:$J$982,COMPOSICIÓN!$A$2:$A$982,A42,COMPOSICIÓN!$B$2:$B$982,"EQ")</f>
        <v>122.768565522561</v>
      </c>
      <c r="M42" s="8">
        <f t="shared" si="5"/>
        <v>758.10738300000003</v>
      </c>
      <c r="N42" s="8">
        <f t="shared" si="6"/>
        <v>3395.9553221949</v>
      </c>
      <c r="O42" s="8">
        <f t="shared" si="7"/>
        <v>122.768565522561</v>
      </c>
      <c r="P42" s="8">
        <f t="shared" si="8"/>
        <v>4276.8312707174609</v>
      </c>
      <c r="Q42" s="7">
        <f>COUNTIF(COMPOSICIÓN!$A:$A,A42)</f>
        <v>8</v>
      </c>
      <c r="R42" s="13">
        <v>48</v>
      </c>
      <c r="S42" s="5" t="s">
        <v>1221</v>
      </c>
      <c r="T42" s="13">
        <v>758.10739999999998</v>
      </c>
      <c r="U42" s="13">
        <v>3395.9551000000001</v>
      </c>
      <c r="V42" s="13">
        <v>122.76860000000001</v>
      </c>
      <c r="W42" s="14">
        <f t="shared" si="9"/>
        <v>3.9916811411799813E-8</v>
      </c>
    </row>
    <row r="43" spans="1:23" x14ac:dyDescent="0.35">
      <c r="A43" s="5" t="s">
        <v>893</v>
      </c>
      <c r="B43" s="5">
        <v>5.04</v>
      </c>
      <c r="C43" s="5" t="s">
        <v>885</v>
      </c>
      <c r="D43" s="5" t="s">
        <v>892</v>
      </c>
      <c r="E43" s="5" t="s">
        <v>866</v>
      </c>
      <c r="F43" s="3">
        <v>1</v>
      </c>
      <c r="G43" s="3">
        <v>0</v>
      </c>
      <c r="H43" s="3">
        <v>0</v>
      </c>
      <c r="I43" s="3">
        <v>1</v>
      </c>
      <c r="J43" s="8">
        <f>SUMIFS(COMPOSICIÓN!$J$2:$J$982,COMPOSICIÓN!$A$2:$A$982,A43,COMPOSICIÓN!$B$2:$B$982,"MAT")</f>
        <v>3502.8</v>
      </c>
      <c r="K43" s="8">
        <f>SUMIFS(COMPOSICIÓN!$J$2:$J$982,COMPOSICIÓN!$A$2:$A$982,A43,COMPOSICIÓN!$B$2:$B$982,"MO")*I43</f>
        <v>0</v>
      </c>
      <c r="L43" s="8">
        <f>SUMIFS(COMPOSICIÓN!$J$2:$J$982,COMPOSICIÓN!$A$2:$A$982,A43,COMPOSICIÓN!$B$2:$B$982,"EQ")</f>
        <v>0</v>
      </c>
      <c r="M43" s="8">
        <f t="shared" si="5"/>
        <v>3502.8</v>
      </c>
      <c r="N43" s="8">
        <f t="shared" si="6"/>
        <v>0</v>
      </c>
      <c r="O43" s="8">
        <f t="shared" si="7"/>
        <v>0</v>
      </c>
      <c r="P43" s="8">
        <f t="shared" si="8"/>
        <v>3502.8</v>
      </c>
      <c r="Q43" s="7">
        <f>COUNTIF(COMPOSICIÓN!$A:$A,A43)</f>
        <v>1</v>
      </c>
      <c r="R43" s="13">
        <v>262</v>
      </c>
      <c r="S43" s="5" t="s">
        <v>1221</v>
      </c>
      <c r="T43" s="13">
        <v>3502.8</v>
      </c>
      <c r="U43" s="13">
        <v>0</v>
      </c>
      <c r="V43" s="13">
        <v>0</v>
      </c>
      <c r="W43" s="14">
        <f t="shared" si="9"/>
        <v>0</v>
      </c>
    </row>
    <row r="44" spans="1:23" x14ac:dyDescent="0.35">
      <c r="A44" s="5" t="s">
        <v>895</v>
      </c>
      <c r="B44" s="5">
        <v>5.05</v>
      </c>
      <c r="C44" s="5" t="s">
        <v>885</v>
      </c>
      <c r="D44" s="5" t="s">
        <v>894</v>
      </c>
      <c r="E44" s="5" t="s">
        <v>866</v>
      </c>
      <c r="F44" s="3">
        <v>1</v>
      </c>
      <c r="G44" s="3">
        <v>0</v>
      </c>
      <c r="H44" s="3">
        <v>0</v>
      </c>
      <c r="I44" s="3">
        <v>1</v>
      </c>
      <c r="J44" s="8">
        <f>SUMIFS(COMPOSICIÓN!$J$2:$J$982,COMPOSICIÓN!$A$2:$A$982,A44,COMPOSICIÓN!$B$2:$B$982,"MAT")</f>
        <v>1273.3408098452398</v>
      </c>
      <c r="K44" s="8">
        <f>SUMIFS(COMPOSICIÓN!$J$2:$J$982,COMPOSICIÓN!$A$2:$A$982,A44,COMPOSICIÓN!$B$2:$B$982,"MO")*I44</f>
        <v>1563.0911249999999</v>
      </c>
      <c r="L44" s="8">
        <f>SUMIFS(COMPOSICIÓN!$J$2:$J$982,COMPOSICIÓN!$A$2:$A$982,A44,COMPOSICIÓN!$B$2:$B$982,"EQ")</f>
        <v>9.7929200000000005</v>
      </c>
      <c r="M44" s="8">
        <f t="shared" si="5"/>
        <v>1273.3408098452398</v>
      </c>
      <c r="N44" s="8">
        <f t="shared" si="6"/>
        <v>1563.0911249999999</v>
      </c>
      <c r="O44" s="8">
        <f t="shared" si="7"/>
        <v>9.7929200000000005</v>
      </c>
      <c r="P44" s="8">
        <f t="shared" si="8"/>
        <v>2846.2248548452399</v>
      </c>
      <c r="Q44" s="7">
        <f>COUNTIF(COMPOSICIÓN!$A:$A,A44)</f>
        <v>8</v>
      </c>
      <c r="R44" s="13">
        <v>510</v>
      </c>
      <c r="S44" s="5" t="s">
        <v>1221</v>
      </c>
      <c r="T44" s="13">
        <v>1273.3407</v>
      </c>
      <c r="U44" s="13">
        <v>1563.0911000000001</v>
      </c>
      <c r="V44" s="13">
        <v>9.7928999999999995</v>
      </c>
      <c r="W44" s="14">
        <f t="shared" si="9"/>
        <v>5.440372974341301E-8</v>
      </c>
    </row>
    <row r="45" spans="1:23" x14ac:dyDescent="0.35">
      <c r="A45" s="5" t="s">
        <v>897</v>
      </c>
      <c r="B45" s="5">
        <v>5.0599999999999996</v>
      </c>
      <c r="C45" s="5" t="s">
        <v>885</v>
      </c>
      <c r="D45" s="5" t="s">
        <v>896</v>
      </c>
      <c r="E45" s="5" t="s">
        <v>866</v>
      </c>
      <c r="F45" s="3">
        <v>1</v>
      </c>
      <c r="G45" s="3">
        <v>0</v>
      </c>
      <c r="H45" s="3">
        <v>0</v>
      </c>
      <c r="I45" s="3">
        <v>1</v>
      </c>
      <c r="J45" s="8">
        <f>SUMIFS(COMPOSICIÓN!$J$2:$J$982,COMPOSICIÓN!$A$2:$A$982,A45,COMPOSICIÓN!$B$2:$B$982,"MAT")</f>
        <v>9809.5604840452434</v>
      </c>
      <c r="K45" s="8">
        <f>SUMIFS(COMPOSICIÓN!$J$2:$J$982,COMPOSICIÓN!$A$2:$A$982,A45,COMPOSICIÓN!$B$2:$B$982,"MO")*I45</f>
        <v>7502.8373080000001</v>
      </c>
      <c r="L45" s="8">
        <f>SUMIFS(COMPOSICIÓN!$J$2:$J$982,COMPOSICIÓN!$A$2:$A$982,A45,COMPOSICIÓN!$B$2:$B$982,"EQ")</f>
        <v>31.337343999999998</v>
      </c>
      <c r="M45" s="8">
        <f t="shared" si="5"/>
        <v>9809.5604840452434</v>
      </c>
      <c r="N45" s="8">
        <f t="shared" si="6"/>
        <v>7502.8373080000001</v>
      </c>
      <c r="O45" s="8">
        <f t="shared" si="7"/>
        <v>31.337343999999998</v>
      </c>
      <c r="P45" s="8">
        <f t="shared" si="8"/>
        <v>17343.735136045245</v>
      </c>
      <c r="Q45" s="7">
        <f>COUNTIF(COMPOSICIÓN!$A:$A,A45)</f>
        <v>13</v>
      </c>
      <c r="R45" s="13">
        <v>510</v>
      </c>
      <c r="S45" s="5" t="s">
        <v>1221</v>
      </c>
      <c r="T45" s="13">
        <v>9809.5604000000003</v>
      </c>
      <c r="U45" s="13">
        <v>7502.8370999999997</v>
      </c>
      <c r="V45" s="13">
        <v>31.337299999999999</v>
      </c>
      <c r="W45" s="14">
        <f t="shared" si="9"/>
        <v>1.9375598681037332E-8</v>
      </c>
    </row>
    <row r="46" spans="1:23" x14ac:dyDescent="0.35">
      <c r="A46" s="5" t="s">
        <v>898</v>
      </c>
      <c r="B46" s="5">
        <v>5.07</v>
      </c>
      <c r="C46" s="5" t="s">
        <v>885</v>
      </c>
      <c r="D46" s="5" t="s">
        <v>691</v>
      </c>
      <c r="E46" s="5" t="s">
        <v>470</v>
      </c>
      <c r="F46" s="3">
        <v>1</v>
      </c>
      <c r="G46" s="3">
        <v>0</v>
      </c>
      <c r="H46" s="3">
        <v>0</v>
      </c>
      <c r="I46" s="3">
        <v>1</v>
      </c>
      <c r="J46" s="8">
        <f>SUMIFS(COMPOSICIÓN!$J$2:$J$982,COMPOSICIÓN!$A$2:$A$982,A46,COMPOSICIÓN!$B$2:$B$982,"MAT")</f>
        <v>0</v>
      </c>
      <c r="K46" s="8">
        <f>SUMIFS(COMPOSICIÓN!$J$2:$J$982,COMPOSICIÓN!$A$2:$A$982,A46,COMPOSICIÓN!$B$2:$B$982,"MO")*I46</f>
        <v>13500000</v>
      </c>
      <c r="L46" s="8">
        <f>SUMIFS(COMPOSICIÓN!$J$2:$J$982,COMPOSICIÓN!$A$2:$A$982,A46,COMPOSICIÓN!$B$2:$B$982,"EQ")</f>
        <v>0</v>
      </c>
      <c r="M46" s="8">
        <f t="shared" si="5"/>
        <v>0</v>
      </c>
      <c r="N46" s="8">
        <f t="shared" si="6"/>
        <v>13500000</v>
      </c>
      <c r="O46" s="8">
        <f t="shared" si="7"/>
        <v>0</v>
      </c>
      <c r="P46" s="8">
        <f t="shared" si="8"/>
        <v>13500000</v>
      </c>
      <c r="Q46" s="7">
        <f>COUNTIF(COMPOSICIÓN!$A:$A,A46)</f>
        <v>1</v>
      </c>
      <c r="R46" s="13">
        <v>1</v>
      </c>
      <c r="S46" s="5" t="s">
        <v>1221</v>
      </c>
      <c r="T46" s="13">
        <v>0</v>
      </c>
      <c r="U46" s="13">
        <v>13500000</v>
      </c>
      <c r="V46" s="13">
        <v>0</v>
      </c>
      <c r="W46" s="14">
        <f t="shared" si="9"/>
        <v>0</v>
      </c>
    </row>
    <row r="47" spans="1:23" x14ac:dyDescent="0.35">
      <c r="A47" s="5" t="s">
        <v>901</v>
      </c>
      <c r="B47" s="5">
        <v>6.02</v>
      </c>
      <c r="C47" s="5" t="s">
        <v>899</v>
      </c>
      <c r="D47" s="5" t="s">
        <v>900</v>
      </c>
      <c r="E47" s="5" t="s">
        <v>356</v>
      </c>
      <c r="F47" s="3">
        <v>1</v>
      </c>
      <c r="G47" s="3">
        <v>0</v>
      </c>
      <c r="H47" s="3">
        <v>0</v>
      </c>
      <c r="I47" s="3">
        <v>1</v>
      </c>
      <c r="J47" s="8">
        <f>SUMIFS(COMPOSICIÓN!$J$2:$J$982,COMPOSICIÓN!$A$2:$A$982,A47,COMPOSICIÓN!$B$2:$B$982,"MAT")</f>
        <v>13939.396548429751</v>
      </c>
      <c r="K47" s="8">
        <f>SUMIFS(COMPOSICIÓN!$J$2:$J$982,COMPOSICIÓN!$A$2:$A$982,A47,COMPOSICIÓN!$B$2:$B$982,"MO")*I47</f>
        <v>4329.9035670096</v>
      </c>
      <c r="L47" s="8">
        <f>SUMIFS(COMPOSICIÓN!$J$2:$J$982,COMPOSICIÓN!$A$2:$A$982,A47,COMPOSICIÓN!$B$2:$B$982,"EQ")</f>
        <v>14004.342500000001</v>
      </c>
      <c r="M47" s="8">
        <f t="shared" si="5"/>
        <v>13939.396548429751</v>
      </c>
      <c r="N47" s="8">
        <f t="shared" si="6"/>
        <v>4329.9035670096</v>
      </c>
      <c r="O47" s="8">
        <f t="shared" si="7"/>
        <v>14004.342500000001</v>
      </c>
      <c r="P47" s="8">
        <f t="shared" si="8"/>
        <v>32273.642615439348</v>
      </c>
      <c r="Q47" s="7">
        <f>COUNTIF(COMPOSICIÓN!$A:$A,A47)</f>
        <v>6</v>
      </c>
      <c r="R47" s="13">
        <v>60</v>
      </c>
      <c r="S47" s="5" t="s">
        <v>1222</v>
      </c>
      <c r="T47" s="13">
        <v>13939.393899999999</v>
      </c>
      <c r="U47" s="13">
        <v>4329.9040000000005</v>
      </c>
      <c r="V47" s="13">
        <v>14004.342500000001</v>
      </c>
      <c r="W47" s="14">
        <f t="shared" si="9"/>
        <v>6.8645474193829159E-8</v>
      </c>
    </row>
    <row r="48" spans="1:23" x14ac:dyDescent="0.35">
      <c r="A48" s="5" t="s">
        <v>904</v>
      </c>
      <c r="B48" s="5">
        <v>7.01</v>
      </c>
      <c r="C48" s="5" t="s">
        <v>902</v>
      </c>
      <c r="D48" s="5" t="s">
        <v>903</v>
      </c>
      <c r="E48" s="5" t="s">
        <v>866</v>
      </c>
      <c r="F48" s="3">
        <v>1</v>
      </c>
      <c r="G48" s="3">
        <v>0</v>
      </c>
      <c r="H48" s="3">
        <v>0</v>
      </c>
      <c r="I48" s="3">
        <v>1</v>
      </c>
      <c r="J48" s="8">
        <f>SUMIFS(COMPOSICIÓN!$J$2:$J$982,COMPOSICIÓN!$A$2:$A$982,A48,COMPOSICIÓN!$B$2:$B$982,"MAT")</f>
        <v>3747.8693230000003</v>
      </c>
      <c r="K48" s="8">
        <f>SUMIFS(COMPOSICIÓN!$J$2:$J$982,COMPOSICIÓN!$A$2:$A$982,A48,COMPOSICIÓN!$B$2:$B$982,"MO")*I48</f>
        <v>9136.8339782643998</v>
      </c>
      <c r="L48" s="8">
        <f>SUMIFS(COMPOSICIÓN!$J$2:$J$982,COMPOSICIÓN!$A$2:$A$982,A48,COMPOSICIÓN!$B$2:$B$982,"EQ")</f>
        <v>298.91473315214</v>
      </c>
      <c r="M48" s="8">
        <f t="shared" si="5"/>
        <v>3747.8693230000003</v>
      </c>
      <c r="N48" s="8">
        <f t="shared" si="6"/>
        <v>9136.8339782643998</v>
      </c>
      <c r="O48" s="8">
        <f t="shared" si="7"/>
        <v>298.91473315214</v>
      </c>
      <c r="P48" s="8">
        <f t="shared" si="8"/>
        <v>13183.61803441654</v>
      </c>
      <c r="Q48" s="7">
        <f>COUNTIF(COMPOSICIÓN!$A:$A,A48)</f>
        <v>9</v>
      </c>
      <c r="R48" s="13">
        <v>678.25199999999995</v>
      </c>
      <c r="S48" s="5" t="s">
        <v>1221</v>
      </c>
      <c r="T48" s="13">
        <v>3747.8692999999998</v>
      </c>
      <c r="U48" s="13">
        <v>9136.8340000000007</v>
      </c>
      <c r="V48" s="13">
        <v>298.91469999999998</v>
      </c>
      <c r="W48" s="14">
        <f t="shared" si="9"/>
        <v>2.6105535511078415E-9</v>
      </c>
    </row>
    <row r="49" spans="1:23" x14ac:dyDescent="0.35">
      <c r="A49" s="5" t="s">
        <v>906</v>
      </c>
      <c r="B49" s="5">
        <v>7.02</v>
      </c>
      <c r="C49" s="5" t="s">
        <v>902</v>
      </c>
      <c r="D49" s="5" t="s">
        <v>905</v>
      </c>
      <c r="E49" s="5" t="s">
        <v>866</v>
      </c>
      <c r="F49" s="3">
        <v>1</v>
      </c>
      <c r="G49" s="3">
        <v>0</v>
      </c>
      <c r="H49" s="3">
        <v>0</v>
      </c>
      <c r="I49" s="3">
        <v>1</v>
      </c>
      <c r="J49" s="8">
        <f>SUMIFS(COMPOSICIÓN!$J$2:$J$982,COMPOSICIÓN!$A$2:$A$982,A49,COMPOSICIÓN!$B$2:$B$982,"MAT")</f>
        <v>3747.8693230000003</v>
      </c>
      <c r="K49" s="8">
        <f>SUMIFS(COMPOSICIÓN!$J$2:$J$982,COMPOSICIÓN!$A$2:$A$982,A49,COMPOSICIÓN!$B$2:$B$982,"MO")*I49</f>
        <v>13134.19925</v>
      </c>
      <c r="L49" s="8">
        <f>SUMIFS(COMPOSICIÓN!$J$2:$J$982,COMPOSICIÓN!$A$2:$A$982,A49,COMPOSICIÓN!$B$2:$B$982,"EQ")</f>
        <v>766.41030000000001</v>
      </c>
      <c r="M49" s="8">
        <f t="shared" si="5"/>
        <v>3747.8693230000003</v>
      </c>
      <c r="N49" s="8">
        <f t="shared" si="6"/>
        <v>13134.19925</v>
      </c>
      <c r="O49" s="8">
        <f t="shared" si="7"/>
        <v>766.41030000000001</v>
      </c>
      <c r="P49" s="8">
        <f t="shared" si="8"/>
        <v>17648.478873</v>
      </c>
      <c r="Q49" s="7">
        <f>COUNTIF(COMPOSICIÓN!$A:$A,A49)</f>
        <v>9</v>
      </c>
      <c r="R49" s="13">
        <v>876.08119999999985</v>
      </c>
      <c r="S49" s="5" t="s">
        <v>1221</v>
      </c>
      <c r="T49" s="13">
        <v>3747.8692999999998</v>
      </c>
      <c r="U49" s="13">
        <v>13134.1988</v>
      </c>
      <c r="V49" s="13">
        <v>766.41030000000001</v>
      </c>
      <c r="W49" s="14">
        <f t="shared" si="9"/>
        <v>2.6801177277491206E-8</v>
      </c>
    </row>
    <row r="50" spans="1:23" x14ac:dyDescent="0.35">
      <c r="A50" s="5" t="s">
        <v>907</v>
      </c>
      <c r="B50" s="5">
        <v>7.03</v>
      </c>
      <c r="C50" s="5" t="s">
        <v>902</v>
      </c>
      <c r="D50" s="5" t="s">
        <v>693</v>
      </c>
      <c r="E50" s="5" t="s">
        <v>356</v>
      </c>
      <c r="F50" s="3">
        <v>1</v>
      </c>
      <c r="G50" s="3">
        <v>0</v>
      </c>
      <c r="H50" s="3">
        <v>0</v>
      </c>
      <c r="I50" s="3">
        <v>1</v>
      </c>
      <c r="J50" s="8">
        <f>SUMIFS(COMPOSICIÓN!$J$2:$J$982,COMPOSICIÓN!$A$2:$A$982,A50,COMPOSICIÓN!$B$2:$B$982,"MAT")</f>
        <v>0</v>
      </c>
      <c r="K50" s="8">
        <f>SUMIFS(COMPOSICIÓN!$J$2:$J$982,COMPOSICIÓN!$A$2:$A$982,A50,COMPOSICIÓN!$B$2:$B$982,"MO")*I50</f>
        <v>8597.4064999999991</v>
      </c>
      <c r="L50" s="8">
        <f>SUMIFS(COMPOSICIÓN!$J$2:$J$982,COMPOSICIÓN!$A$2:$A$982,A50,COMPOSICIÓN!$B$2:$B$982,"EQ")</f>
        <v>0</v>
      </c>
      <c r="M50" s="8">
        <f t="shared" si="5"/>
        <v>0</v>
      </c>
      <c r="N50" s="8">
        <f t="shared" si="6"/>
        <v>8597.4064999999991</v>
      </c>
      <c r="O50" s="8">
        <f t="shared" si="7"/>
        <v>0</v>
      </c>
      <c r="P50" s="8">
        <f t="shared" si="8"/>
        <v>8597.4064999999991</v>
      </c>
      <c r="Q50" s="7">
        <f>COUNTIF(COMPOSICIÓN!$A:$A,A50)</f>
        <v>1</v>
      </c>
      <c r="R50" s="13">
        <v>182</v>
      </c>
      <c r="S50" s="5" t="s">
        <v>1221</v>
      </c>
      <c r="T50" s="13">
        <v>0</v>
      </c>
      <c r="U50" s="13">
        <v>8597.4064999999991</v>
      </c>
      <c r="V50" s="13">
        <v>0</v>
      </c>
      <c r="W50" s="14">
        <f t="shared" si="9"/>
        <v>0</v>
      </c>
    </row>
    <row r="51" spans="1:23" x14ac:dyDescent="0.35">
      <c r="A51" s="5" t="s">
        <v>909</v>
      </c>
      <c r="B51" s="5">
        <v>7.04</v>
      </c>
      <c r="C51" s="5" t="s">
        <v>902</v>
      </c>
      <c r="D51" s="5" t="s">
        <v>908</v>
      </c>
      <c r="E51" s="5" t="s">
        <v>866</v>
      </c>
      <c r="F51" s="3">
        <v>1</v>
      </c>
      <c r="G51" s="3">
        <v>0</v>
      </c>
      <c r="H51" s="3">
        <v>0</v>
      </c>
      <c r="I51" s="3">
        <v>1</v>
      </c>
      <c r="J51" s="8">
        <f>SUMIFS(COMPOSICIÓN!$J$2:$J$982,COMPOSICIÓN!$A$2:$A$982,A51,COMPOSICIÓN!$B$2:$B$982,"MAT")</f>
        <v>2606.075593</v>
      </c>
      <c r="K51" s="8">
        <f>SUMIFS(COMPOSICIÓN!$J$2:$J$982,COMPOSICIÓN!$A$2:$A$982,A51,COMPOSICIÓN!$B$2:$B$982,"MO")*I51</f>
        <v>17928.3844172627</v>
      </c>
      <c r="L51" s="8">
        <f>SUMIFS(COMPOSICIÓN!$J$2:$J$982,COMPOSICIÓN!$A$2:$A$982,A51,COMPOSICIÓN!$B$2:$B$982,"EQ")</f>
        <v>572.91992534397093</v>
      </c>
      <c r="M51" s="8">
        <f t="shared" si="5"/>
        <v>2606.075593</v>
      </c>
      <c r="N51" s="8">
        <f t="shared" si="6"/>
        <v>17928.3844172627</v>
      </c>
      <c r="O51" s="8">
        <f t="shared" si="7"/>
        <v>572.91992534397093</v>
      </c>
      <c r="P51" s="8">
        <f t="shared" si="8"/>
        <v>21107.37993560667</v>
      </c>
      <c r="Q51" s="7">
        <f>COUNTIF(COMPOSICIÓN!$A:$A,A51)</f>
        <v>9</v>
      </c>
      <c r="R51" s="13">
        <v>995.85109999999997</v>
      </c>
      <c r="S51" s="5" t="s">
        <v>1221</v>
      </c>
      <c r="T51" s="13">
        <v>2606.0756000000001</v>
      </c>
      <c r="U51" s="13">
        <v>17928.383699999998</v>
      </c>
      <c r="V51" s="13">
        <v>572.91989999999998</v>
      </c>
      <c r="W51" s="14">
        <f t="shared" si="9"/>
        <v>3.4850687224974308E-8</v>
      </c>
    </row>
    <row r="52" spans="1:23" x14ac:dyDescent="0.35">
      <c r="A52" s="5" t="s">
        <v>911</v>
      </c>
      <c r="B52" s="5">
        <v>7.05</v>
      </c>
      <c r="C52" s="5" t="s">
        <v>902</v>
      </c>
      <c r="D52" s="5" t="s">
        <v>910</v>
      </c>
      <c r="E52" s="5" t="s">
        <v>866</v>
      </c>
      <c r="F52" s="3">
        <v>1</v>
      </c>
      <c r="G52" s="3">
        <v>0</v>
      </c>
      <c r="H52" s="3">
        <v>0</v>
      </c>
      <c r="I52" s="3">
        <v>1</v>
      </c>
      <c r="J52" s="8">
        <f>SUMIFS(COMPOSICIÓN!$J$2:$J$982,COMPOSICIÓN!$A$2:$A$982,A52,COMPOSICIÓN!$B$2:$B$982,"MAT")</f>
        <v>5135.3397424288005</v>
      </c>
      <c r="K52" s="8">
        <f>SUMIFS(COMPOSICIÓN!$J$2:$J$982,COMPOSICIÓN!$A$2:$A$982,A52,COMPOSICIÓN!$B$2:$B$982,"MO")*I52</f>
        <v>12817.951499999999</v>
      </c>
      <c r="L52" s="8">
        <f>SUMIFS(COMPOSICIÓN!$J$2:$J$982,COMPOSICIÓN!$A$2:$A$982,A52,COMPOSICIÓN!$B$2:$B$982,"EQ")</f>
        <v>0</v>
      </c>
      <c r="M52" s="8">
        <f t="shared" si="5"/>
        <v>5135.3397424288005</v>
      </c>
      <c r="N52" s="8">
        <f t="shared" si="6"/>
        <v>12817.951499999999</v>
      </c>
      <c r="O52" s="8">
        <f t="shared" si="7"/>
        <v>0</v>
      </c>
      <c r="P52" s="8">
        <f t="shared" si="8"/>
        <v>17953.291242428801</v>
      </c>
      <c r="Q52" s="7">
        <f>COUNTIF(COMPOSICIÓN!$A:$A,A52)</f>
        <v>4</v>
      </c>
      <c r="R52" s="13">
        <v>2514.8970000000008</v>
      </c>
      <c r="S52" s="5" t="s">
        <v>1222</v>
      </c>
      <c r="T52" s="13">
        <v>5135.3398999999999</v>
      </c>
      <c r="U52" s="13">
        <v>12817.951499999999</v>
      </c>
      <c r="V52" s="13">
        <v>0</v>
      </c>
      <c r="W52" s="14">
        <f t="shared" si="9"/>
        <v>-8.776730342496819E-9</v>
      </c>
    </row>
    <row r="53" spans="1:23" x14ac:dyDescent="0.35">
      <c r="A53" s="5" t="s">
        <v>913</v>
      </c>
      <c r="B53" s="5">
        <v>7.06</v>
      </c>
      <c r="C53" s="5" t="s">
        <v>902</v>
      </c>
      <c r="D53" s="5" t="s">
        <v>912</v>
      </c>
      <c r="E53" s="5" t="s">
        <v>356</v>
      </c>
      <c r="F53" s="3">
        <v>1</v>
      </c>
      <c r="G53" s="3">
        <v>0</v>
      </c>
      <c r="H53" s="3">
        <v>0</v>
      </c>
      <c r="I53" s="3">
        <v>1</v>
      </c>
      <c r="J53" s="8">
        <f>SUMIFS(COMPOSICIÓN!$J$2:$J$982,COMPOSICIÓN!$A$2:$A$982,A53,COMPOSICIÓN!$B$2:$B$982,"MAT")</f>
        <v>0</v>
      </c>
      <c r="K53" s="8">
        <f>SUMIFS(COMPOSICIÓN!$J$2:$J$982,COMPOSICIÓN!$A$2:$A$982,A53,COMPOSICIÓN!$B$2:$B$982,"MO")*I53</f>
        <v>10160.5713</v>
      </c>
      <c r="L53" s="8">
        <f>SUMIFS(COMPOSICIÓN!$J$2:$J$982,COMPOSICIÓN!$A$2:$A$982,A53,COMPOSICIÓN!$B$2:$B$982,"EQ")</f>
        <v>0</v>
      </c>
      <c r="M53" s="8">
        <f t="shared" si="5"/>
        <v>0</v>
      </c>
      <c r="N53" s="8">
        <f t="shared" si="6"/>
        <v>10160.5713</v>
      </c>
      <c r="O53" s="8">
        <f t="shared" si="7"/>
        <v>0</v>
      </c>
      <c r="P53" s="8">
        <f t="shared" si="8"/>
        <v>10160.5713</v>
      </c>
      <c r="Q53" s="7">
        <f>COUNTIF(COMPOSICIÓN!$A:$A,A53)</f>
        <v>1</v>
      </c>
      <c r="R53" s="13">
        <v>509.9</v>
      </c>
      <c r="S53" s="5" t="s">
        <v>1222</v>
      </c>
      <c r="T53" s="13">
        <v>0</v>
      </c>
      <c r="U53" s="13">
        <v>10160.5713</v>
      </c>
      <c r="V53" s="13">
        <v>0</v>
      </c>
      <c r="W53" s="14">
        <f t="shared" si="9"/>
        <v>0</v>
      </c>
    </row>
    <row r="54" spans="1:23" x14ac:dyDescent="0.35">
      <c r="A54" s="5" t="s">
        <v>915</v>
      </c>
      <c r="B54" s="5">
        <v>7.07</v>
      </c>
      <c r="C54" s="5" t="s">
        <v>902</v>
      </c>
      <c r="D54" s="5" t="s">
        <v>914</v>
      </c>
      <c r="E54" s="5" t="s">
        <v>284</v>
      </c>
      <c r="F54" s="3">
        <v>1</v>
      </c>
      <c r="G54" s="3">
        <v>0</v>
      </c>
      <c r="H54" s="3">
        <v>0</v>
      </c>
      <c r="I54" s="3">
        <v>1</v>
      </c>
      <c r="J54" s="8">
        <f>SUMIFS(COMPOSICIÓN!$J$2:$J$982,COMPOSICIÓN!$A$2:$A$982,A54,COMPOSICIÓN!$B$2:$B$982,"MAT")</f>
        <v>1217.7454539600001</v>
      </c>
      <c r="K54" s="8">
        <f>SUMIFS(COMPOSICIÓN!$J$2:$J$982,COMPOSICIÓN!$A$2:$A$982,A54,COMPOSICIÓN!$B$2:$B$982,"MO")*I54</f>
        <v>10673.731461535064</v>
      </c>
      <c r="L54" s="8">
        <f>SUMIFS(COMPOSICIÓN!$J$2:$J$982,COMPOSICIÓN!$A$2:$A$982,A54,COMPOSICIÓN!$B$2:$B$982,"EQ")</f>
        <v>0</v>
      </c>
      <c r="M54" s="8">
        <f t="shared" si="5"/>
        <v>1217.7454539600001</v>
      </c>
      <c r="N54" s="8">
        <f t="shared" si="6"/>
        <v>10673.731461535064</v>
      </c>
      <c r="O54" s="8">
        <f t="shared" si="7"/>
        <v>0</v>
      </c>
      <c r="P54" s="8">
        <f t="shared" si="8"/>
        <v>11891.476915495065</v>
      </c>
      <c r="Q54" s="7">
        <f>COUNTIF(COMPOSICIÓN!$A:$A,A54)</f>
        <v>2</v>
      </c>
      <c r="R54" s="13">
        <v>198</v>
      </c>
      <c r="S54" s="5" t="s">
        <v>1222</v>
      </c>
      <c r="T54" s="13">
        <v>1217.7455</v>
      </c>
      <c r="U54" s="13">
        <v>10673.7315</v>
      </c>
      <c r="V54" s="13">
        <v>0</v>
      </c>
      <c r="W54" s="14">
        <f t="shared" si="9"/>
        <v>-7.1063447348862496E-9</v>
      </c>
    </row>
    <row r="55" spans="1:23" x14ac:dyDescent="0.35">
      <c r="A55" s="5" t="s">
        <v>917</v>
      </c>
      <c r="B55" s="5">
        <v>7.08</v>
      </c>
      <c r="C55" s="5" t="s">
        <v>902</v>
      </c>
      <c r="D55" s="5" t="s">
        <v>916</v>
      </c>
      <c r="E55" s="5" t="s">
        <v>866</v>
      </c>
      <c r="F55" s="3">
        <v>1</v>
      </c>
      <c r="G55" s="3">
        <v>0</v>
      </c>
      <c r="H55" s="3">
        <v>0</v>
      </c>
      <c r="I55" s="3">
        <v>1</v>
      </c>
      <c r="J55" s="8">
        <f>SUMIFS(COMPOSICIÓN!$J$2:$J$982,COMPOSICIÓN!$A$2:$A$982,A55,COMPOSICIÓN!$B$2:$B$982,"MAT")</f>
        <v>3747.8693230000003</v>
      </c>
      <c r="K55" s="8">
        <f>SUMIFS(COMPOSICIÓN!$J$2:$J$982,COMPOSICIÓN!$A$2:$A$982,A55,COMPOSICIÓN!$B$2:$B$982,"MO")*I55</f>
        <v>9136.8339782643998</v>
      </c>
      <c r="L55" s="8">
        <f>SUMIFS(COMPOSICIÓN!$J$2:$J$982,COMPOSICIÓN!$A$2:$A$982,A55,COMPOSICIÓN!$B$2:$B$982,"EQ")</f>
        <v>298.91473315214</v>
      </c>
      <c r="M55" s="8">
        <f t="shared" si="5"/>
        <v>3747.8693230000003</v>
      </c>
      <c r="N55" s="8">
        <f t="shared" si="6"/>
        <v>9136.8339782643998</v>
      </c>
      <c r="O55" s="8">
        <f t="shared" si="7"/>
        <v>298.91473315214</v>
      </c>
      <c r="P55" s="8">
        <f t="shared" si="8"/>
        <v>13183.61803441654</v>
      </c>
      <c r="Q55" s="7">
        <f>COUNTIF(COMPOSICIÓN!$A:$A,A55)</f>
        <v>9</v>
      </c>
      <c r="R55" s="13">
        <v>670.322</v>
      </c>
      <c r="S55" s="5" t="s">
        <v>1221</v>
      </c>
      <c r="T55" s="13">
        <v>3747.8692999999998</v>
      </c>
      <c r="U55" s="13">
        <v>9136.8340000000007</v>
      </c>
      <c r="V55" s="13">
        <v>298.91469999999998</v>
      </c>
      <c r="W55" s="14">
        <f t="shared" si="9"/>
        <v>2.6105535511078415E-9</v>
      </c>
    </row>
    <row r="56" spans="1:23" x14ac:dyDescent="0.35">
      <c r="A56" s="5" t="s">
        <v>920</v>
      </c>
      <c r="B56" s="5">
        <v>8.01</v>
      </c>
      <c r="C56" s="5" t="s">
        <v>918</v>
      </c>
      <c r="D56" s="5" t="s">
        <v>919</v>
      </c>
      <c r="E56" s="5" t="s">
        <v>866</v>
      </c>
      <c r="F56" s="3">
        <v>1</v>
      </c>
      <c r="G56" s="3">
        <v>0</v>
      </c>
      <c r="H56" s="3">
        <v>0</v>
      </c>
      <c r="I56" s="3">
        <v>1</v>
      </c>
      <c r="J56" s="8">
        <f>SUMIFS(COMPOSICIÓN!$J$2:$J$982,COMPOSICIÓN!$A$2:$A$982,A56,COMPOSICIÓN!$B$2:$B$982,"MAT")</f>
        <v>9763.5190306500008</v>
      </c>
      <c r="K56" s="8">
        <f>SUMIFS(COMPOSICIÓN!$J$2:$J$982,COMPOSICIÓN!$A$2:$A$982,A56,COMPOSICIÓN!$B$2:$B$982,"MO")*I56</f>
        <v>15181.2897147966</v>
      </c>
      <c r="L56" s="8">
        <f>SUMIFS(COMPOSICIÓN!$J$2:$J$982,COMPOSICIÓN!$A$2:$A$982,A56,COMPOSICIÓN!$B$2:$B$982,"EQ")</f>
        <v>451.34429097311397</v>
      </c>
      <c r="M56" s="8">
        <f t="shared" si="5"/>
        <v>9763.5190306500008</v>
      </c>
      <c r="N56" s="8">
        <f t="shared" si="6"/>
        <v>15181.2897147966</v>
      </c>
      <c r="O56" s="8">
        <f t="shared" si="7"/>
        <v>451.34429097311397</v>
      </c>
      <c r="P56" s="8">
        <f t="shared" si="8"/>
        <v>25396.153036419713</v>
      </c>
      <c r="Q56" s="7">
        <f>COUNTIF(COMPOSICIÓN!$A:$A,A56)</f>
        <v>8</v>
      </c>
      <c r="R56" s="13">
        <v>104</v>
      </c>
      <c r="S56" s="5" t="s">
        <v>1221</v>
      </c>
      <c r="T56" s="13">
        <v>9763.5190000000002</v>
      </c>
      <c r="U56" s="13">
        <v>15181.2891</v>
      </c>
      <c r="V56" s="13">
        <v>451.34429999999998</v>
      </c>
      <c r="W56" s="14">
        <f t="shared" si="9"/>
        <v>2.5059690100803778E-8</v>
      </c>
    </row>
    <row r="57" spans="1:23" x14ac:dyDescent="0.35">
      <c r="A57" s="5" t="s">
        <v>921</v>
      </c>
      <c r="B57" s="5">
        <v>8.02</v>
      </c>
      <c r="C57" s="5" t="s">
        <v>918</v>
      </c>
      <c r="D57" s="5" t="s">
        <v>196</v>
      </c>
      <c r="E57" s="5" t="s">
        <v>866</v>
      </c>
      <c r="F57" s="3">
        <v>1</v>
      </c>
      <c r="G57" s="3">
        <v>0</v>
      </c>
      <c r="H57" s="3">
        <v>0</v>
      </c>
      <c r="I57" s="3">
        <v>1</v>
      </c>
      <c r="J57" s="8">
        <f>SUMIFS(COMPOSICIÓN!$J$2:$J$982,COMPOSICIÓN!$A$2:$A$982,A57,COMPOSICIÓN!$B$2:$B$982,"MAT")</f>
        <v>13518.025374200002</v>
      </c>
      <c r="K57" s="8">
        <f>SUMIFS(COMPOSICIÓN!$J$2:$J$982,COMPOSICIÓN!$A$2:$A$982,A57,COMPOSICIÓN!$B$2:$B$982,"MO")*I57</f>
        <v>15681.2897147966</v>
      </c>
      <c r="L57" s="8">
        <f>SUMIFS(COMPOSICIÓN!$J$2:$J$982,COMPOSICIÓN!$A$2:$A$982,A57,COMPOSICIÓN!$B$2:$B$982,"EQ")</f>
        <v>451.34429097311397</v>
      </c>
      <c r="M57" s="8">
        <f t="shared" si="5"/>
        <v>13518.025374200002</v>
      </c>
      <c r="N57" s="8">
        <f t="shared" si="6"/>
        <v>15681.2897147966</v>
      </c>
      <c r="O57" s="8">
        <f t="shared" si="7"/>
        <v>451.34429097311397</v>
      </c>
      <c r="P57" s="8">
        <f t="shared" si="8"/>
        <v>29650.659379969715</v>
      </c>
      <c r="Q57" s="7">
        <f>COUNTIF(COMPOSICIÓN!$A:$A,A57)</f>
        <v>10</v>
      </c>
      <c r="R57" s="13">
        <v>48</v>
      </c>
      <c r="S57" s="5" t="s">
        <v>1221</v>
      </c>
      <c r="T57" s="13">
        <v>13518.0254</v>
      </c>
      <c r="U57" s="13">
        <v>15681.2891</v>
      </c>
      <c r="V57" s="13">
        <v>451.34429999999998</v>
      </c>
      <c r="W57" s="14">
        <f t="shared" si="9"/>
        <v>1.9560095321224935E-8</v>
      </c>
    </row>
    <row r="58" spans="1:23" x14ac:dyDescent="0.35">
      <c r="A58" s="5" t="s">
        <v>923</v>
      </c>
      <c r="B58" s="5">
        <v>8.0299999999999994</v>
      </c>
      <c r="C58" s="5" t="s">
        <v>918</v>
      </c>
      <c r="D58" s="5" t="s">
        <v>922</v>
      </c>
      <c r="E58" s="5" t="s">
        <v>866</v>
      </c>
      <c r="F58" s="3">
        <v>1</v>
      </c>
      <c r="G58" s="3">
        <v>0</v>
      </c>
      <c r="H58" s="3">
        <v>0</v>
      </c>
      <c r="I58" s="3">
        <v>1</v>
      </c>
      <c r="J58" s="8">
        <f>SUMIFS(COMPOSICIÓN!$J$2:$J$982,COMPOSICIÓN!$A$2:$A$982,A58,COMPOSICIÓN!$B$2:$B$982,"MAT")</f>
        <v>11716.222836780002</v>
      </c>
      <c r="K58" s="8">
        <f>SUMIFS(COMPOSICIÓN!$J$2:$J$982,COMPOSICIÓN!$A$2:$A$982,A58,COMPOSICIÓN!$B$2:$B$982,"MO")*I58</f>
        <v>13663.160642601699</v>
      </c>
      <c r="L58" s="8">
        <f>SUMIFS(COMPOSICIÓN!$J$2:$J$982,COMPOSICIÓN!$A$2:$A$982,A58,COMPOSICIÓN!$B$2:$B$982,"EQ")</f>
        <v>406.20987451344297</v>
      </c>
      <c r="M58" s="8">
        <f t="shared" si="5"/>
        <v>11716.222836780002</v>
      </c>
      <c r="N58" s="8">
        <f t="shared" si="6"/>
        <v>13663.160642601699</v>
      </c>
      <c r="O58" s="8">
        <f t="shared" si="7"/>
        <v>406.20987451344297</v>
      </c>
      <c r="P58" s="8">
        <f t="shared" si="8"/>
        <v>25785.593353895143</v>
      </c>
      <c r="Q58" s="7">
        <f>COUNTIF(COMPOSICIÓN!$A:$A,A58)</f>
        <v>8</v>
      </c>
      <c r="R58" s="13">
        <v>235</v>
      </c>
      <c r="S58" s="5" t="s">
        <v>1221</v>
      </c>
      <c r="T58" s="13">
        <v>11716.2228</v>
      </c>
      <c r="U58" s="13">
        <v>13663.1602</v>
      </c>
      <c r="V58" s="13">
        <v>406.2099</v>
      </c>
      <c r="W58" s="14">
        <f t="shared" si="9"/>
        <v>1.7602664437177395E-8</v>
      </c>
    </row>
    <row r="59" spans="1:23" x14ac:dyDescent="0.35">
      <c r="A59" s="5" t="s">
        <v>925</v>
      </c>
      <c r="B59" s="5">
        <v>8.0399999999999991</v>
      </c>
      <c r="C59" s="5" t="s">
        <v>918</v>
      </c>
      <c r="D59" s="5" t="s">
        <v>924</v>
      </c>
      <c r="E59" s="5" t="s">
        <v>866</v>
      </c>
      <c r="F59" s="3">
        <v>1</v>
      </c>
      <c r="G59" s="3">
        <v>0</v>
      </c>
      <c r="H59" s="3">
        <v>0</v>
      </c>
      <c r="I59" s="3">
        <v>1</v>
      </c>
      <c r="J59" s="8">
        <f>SUMIFS(COMPOSICIÓN!$J$2:$J$982,COMPOSICIÓN!$A$2:$A$982,A59,COMPOSICIÓN!$B$2:$B$982,"MAT")</f>
        <v>6431.8161560100007</v>
      </c>
      <c r="K59" s="8">
        <f>SUMIFS(COMPOSICIÓN!$J$2:$J$982,COMPOSICIÓN!$A$2:$A$982,A59,COMPOSICIÓN!$B$2:$B$982,"MO")*I59</f>
        <v>8572.252428612599</v>
      </c>
      <c r="L59" s="8">
        <f>SUMIFS(COMPOSICIÓN!$J$2:$J$982,COMPOSICIÓN!$A$2:$A$982,A59,COMPOSICIÓN!$B$2:$B$982,"EQ")</f>
        <v>116.902588702272</v>
      </c>
      <c r="M59" s="8">
        <f t="shared" si="5"/>
        <v>6431.8161560100007</v>
      </c>
      <c r="N59" s="8">
        <f t="shared" si="6"/>
        <v>8572.252428612599</v>
      </c>
      <c r="O59" s="8">
        <f t="shared" si="7"/>
        <v>116.902588702272</v>
      </c>
      <c r="P59" s="8">
        <f t="shared" si="8"/>
        <v>15120.971173324873</v>
      </c>
      <c r="Q59" s="7">
        <f>COUNTIF(COMPOSICIÓN!$A:$A,A59)</f>
        <v>8</v>
      </c>
      <c r="R59" s="13">
        <v>878</v>
      </c>
      <c r="S59" s="5" t="s">
        <v>1221</v>
      </c>
      <c r="T59" s="13">
        <v>6431.8162000000002</v>
      </c>
      <c r="U59" s="13">
        <v>8572.2517000000007</v>
      </c>
      <c r="V59" s="13">
        <v>116.90260000000001</v>
      </c>
      <c r="W59" s="14">
        <f t="shared" si="9"/>
        <v>4.4529210097010719E-8</v>
      </c>
    </row>
    <row r="60" spans="1:23" x14ac:dyDescent="0.35">
      <c r="A60" s="5" t="s">
        <v>927</v>
      </c>
      <c r="B60" s="5">
        <v>8.0500000000000007</v>
      </c>
      <c r="C60" s="5" t="s">
        <v>918</v>
      </c>
      <c r="D60" s="5" t="s">
        <v>926</v>
      </c>
      <c r="E60" s="5" t="s">
        <v>866</v>
      </c>
      <c r="F60" s="3">
        <v>1</v>
      </c>
      <c r="G60" s="3">
        <v>0</v>
      </c>
      <c r="H60" s="3">
        <v>0</v>
      </c>
      <c r="I60" s="3">
        <v>1</v>
      </c>
      <c r="J60" s="8">
        <f>SUMIFS(COMPOSICIÓN!$J$2:$J$982,COMPOSICIÓN!$A$2:$A$982,A60,COMPOSICIÓN!$B$2:$B$982,"MAT")</f>
        <v>3180.0905400000011</v>
      </c>
      <c r="K60" s="8">
        <f>SUMIFS(COMPOSICIÓN!$J$2:$J$982,COMPOSICIÓN!$A$2:$A$982,A60,COMPOSICIÓN!$B$2:$B$982,"MO")*I60</f>
        <v>6505.5641170434992</v>
      </c>
      <c r="L60" s="8">
        <f>SUMIFS(COMPOSICIÓN!$J$2:$J$982,COMPOSICIÓN!$A$2:$A$982,A60,COMPOSICIÓN!$B$2:$B$982,"EQ")</f>
        <v>210.627350531367</v>
      </c>
      <c r="M60" s="8">
        <f t="shared" si="5"/>
        <v>3180.0905400000011</v>
      </c>
      <c r="N60" s="8">
        <f t="shared" si="6"/>
        <v>6505.5641170434992</v>
      </c>
      <c r="O60" s="8">
        <f t="shared" si="7"/>
        <v>210.627350531367</v>
      </c>
      <c r="P60" s="8">
        <f t="shared" si="8"/>
        <v>9896.2820075748677</v>
      </c>
      <c r="Q60" s="7">
        <f>COUNTIF(COMPOSICIÓN!$A:$A,A60)</f>
        <v>6</v>
      </c>
      <c r="R60" s="13">
        <v>564</v>
      </c>
      <c r="S60" s="5" t="s">
        <v>1221</v>
      </c>
      <c r="T60" s="13">
        <v>3180.0904999999998</v>
      </c>
      <c r="U60" s="13">
        <v>6505.5636999999997</v>
      </c>
      <c r="V60" s="13">
        <v>210.62729999999999</v>
      </c>
      <c r="W60" s="14">
        <f t="shared" si="9"/>
        <v>5.128945335108881E-8</v>
      </c>
    </row>
    <row r="61" spans="1:23" x14ac:dyDescent="0.35">
      <c r="A61" s="5" t="s">
        <v>929</v>
      </c>
      <c r="B61" s="5">
        <v>8.06</v>
      </c>
      <c r="C61" s="5" t="s">
        <v>918</v>
      </c>
      <c r="D61" s="5" t="s">
        <v>928</v>
      </c>
      <c r="E61" s="5" t="s">
        <v>866</v>
      </c>
      <c r="F61" s="3">
        <v>1</v>
      </c>
      <c r="G61" s="3">
        <v>0</v>
      </c>
      <c r="H61" s="3">
        <v>0</v>
      </c>
      <c r="I61" s="3">
        <v>1</v>
      </c>
      <c r="J61" s="8">
        <f>SUMIFS(COMPOSICIÓN!$J$2:$J$982,COMPOSICIÓN!$A$2:$A$982,A61,COMPOSICIÓN!$B$2:$B$982,"MAT")</f>
        <v>3180.0905400000011</v>
      </c>
      <c r="K61" s="8">
        <f>SUMIFS(COMPOSICIÓN!$J$2:$J$982,COMPOSICIÓN!$A$2:$A$982,A61,COMPOSICIÓN!$B$2:$B$982,"MO")*I61</f>
        <v>6505.5641170434992</v>
      </c>
      <c r="L61" s="8">
        <f>SUMIFS(COMPOSICIÓN!$J$2:$J$982,COMPOSICIÓN!$A$2:$A$982,A61,COMPOSICIÓN!$B$2:$B$982,"EQ")</f>
        <v>210.627350531367</v>
      </c>
      <c r="M61" s="8">
        <f t="shared" si="5"/>
        <v>3180.0905400000011</v>
      </c>
      <c r="N61" s="8">
        <f t="shared" si="6"/>
        <v>6505.5641170434992</v>
      </c>
      <c r="O61" s="8">
        <f t="shared" si="7"/>
        <v>210.627350531367</v>
      </c>
      <c r="P61" s="8">
        <f t="shared" si="8"/>
        <v>9896.2820075748677</v>
      </c>
      <c r="Q61" s="7">
        <f>COUNTIF(COMPOSICIÓN!$A:$A,A61)</f>
        <v>6</v>
      </c>
      <c r="R61" s="13">
        <v>438</v>
      </c>
      <c r="S61" s="5" t="s">
        <v>1221</v>
      </c>
      <c r="T61" s="13">
        <v>3180.0904999999998</v>
      </c>
      <c r="U61" s="13">
        <v>6505.5636999999997</v>
      </c>
      <c r="V61" s="13">
        <v>210.62729999999999</v>
      </c>
      <c r="W61" s="14">
        <f t="shared" si="9"/>
        <v>5.128945335108881E-8</v>
      </c>
    </row>
    <row r="62" spans="1:23" x14ac:dyDescent="0.35">
      <c r="A62" s="5" t="s">
        <v>931</v>
      </c>
      <c r="B62" s="5">
        <v>8.07</v>
      </c>
      <c r="C62" s="5" t="s">
        <v>918</v>
      </c>
      <c r="D62" s="5" t="s">
        <v>930</v>
      </c>
      <c r="E62" s="5" t="s">
        <v>470</v>
      </c>
      <c r="F62" s="3">
        <v>1</v>
      </c>
      <c r="G62" s="3">
        <v>0</v>
      </c>
      <c r="H62" s="3">
        <v>0</v>
      </c>
      <c r="I62" s="3">
        <v>1</v>
      </c>
      <c r="J62" s="8">
        <f>SUMIFS(COMPOSICIÓN!$J$2:$J$982,COMPOSICIÓN!$A$2:$A$982,A62,COMPOSICIÓN!$B$2:$B$982,"MAT")</f>
        <v>1076227.6575</v>
      </c>
      <c r="K62" s="8">
        <f>SUMIFS(COMPOSICIÓN!$J$2:$J$982,COMPOSICIÓN!$A$2:$A$982,A62,COMPOSICIÓN!$B$2:$B$982,"MO")*I62</f>
        <v>826143.64999999991</v>
      </c>
      <c r="L62" s="8">
        <f>SUMIFS(COMPOSICIÓN!$J$2:$J$982,COMPOSICIÓN!$A$2:$A$982,A62,COMPOSICIÓN!$B$2:$B$982,"EQ")</f>
        <v>28535.569100000001</v>
      </c>
      <c r="M62" s="8">
        <f t="shared" si="5"/>
        <v>1076227.6575</v>
      </c>
      <c r="N62" s="8">
        <f t="shared" si="6"/>
        <v>826143.64999999991</v>
      </c>
      <c r="O62" s="8">
        <f t="shared" si="7"/>
        <v>28535.569100000001</v>
      </c>
      <c r="P62" s="8">
        <f t="shared" si="8"/>
        <v>1930906.8765999998</v>
      </c>
      <c r="Q62" s="7">
        <f>COUNTIF(COMPOSICIÓN!$A:$A,A62)</f>
        <v>6</v>
      </c>
      <c r="R62" s="13">
        <v>1</v>
      </c>
      <c r="S62" s="5" t="s">
        <v>1222</v>
      </c>
      <c r="T62" s="13">
        <v>1076227.6597</v>
      </c>
      <c r="U62" s="13">
        <v>826143.61380000005</v>
      </c>
      <c r="V62" s="13">
        <v>28535.569100000001</v>
      </c>
      <c r="W62" s="14">
        <f t="shared" si="9"/>
        <v>1.7608306590588541E-8</v>
      </c>
    </row>
    <row r="63" spans="1:23" x14ac:dyDescent="0.35">
      <c r="A63" s="5" t="s">
        <v>933</v>
      </c>
      <c r="B63" s="5">
        <v>8.08</v>
      </c>
      <c r="C63" s="5" t="s">
        <v>918</v>
      </c>
      <c r="D63" s="5" t="s">
        <v>932</v>
      </c>
      <c r="E63" s="5" t="s">
        <v>470</v>
      </c>
      <c r="F63" s="3">
        <v>1</v>
      </c>
      <c r="G63" s="3">
        <v>0</v>
      </c>
      <c r="H63" s="3">
        <v>0</v>
      </c>
      <c r="I63" s="3">
        <v>1</v>
      </c>
      <c r="J63" s="8">
        <f>SUMIFS(COMPOSICIÓN!$J$2:$J$982,COMPOSICIÓN!$A$2:$A$982,A63,COMPOSICIÓN!$B$2:$B$982,"MAT")</f>
        <v>215055.49451999998</v>
      </c>
      <c r="K63" s="8">
        <f>SUMIFS(COMPOSICIÓN!$J$2:$J$982,COMPOSICIÓN!$A$2:$A$982,A63,COMPOSICIÓN!$B$2:$B$982,"MO")*I63</f>
        <v>165228.72999999998</v>
      </c>
      <c r="L63" s="8">
        <f>SUMIFS(COMPOSICIÓN!$J$2:$J$982,COMPOSICIÓN!$A$2:$A$982,A63,COMPOSICIÓN!$B$2:$B$982,"EQ")</f>
        <v>5704.2632999999996</v>
      </c>
      <c r="M63" s="8">
        <f t="shared" si="5"/>
        <v>215055.49451999998</v>
      </c>
      <c r="N63" s="8">
        <f t="shared" si="6"/>
        <v>165228.72999999998</v>
      </c>
      <c r="O63" s="8">
        <f t="shared" si="7"/>
        <v>5704.2632999999996</v>
      </c>
      <c r="P63" s="8">
        <f t="shared" si="8"/>
        <v>385988.48781999992</v>
      </c>
      <c r="Q63" s="7">
        <f>COUNTIF(COMPOSICIÓN!$A:$A,A63)</f>
        <v>6</v>
      </c>
      <c r="R63" s="13">
        <v>1</v>
      </c>
      <c r="S63" s="5" t="s">
        <v>1222</v>
      </c>
      <c r="T63" s="13">
        <v>215055.4952</v>
      </c>
      <c r="U63" s="13">
        <v>165228.72279999999</v>
      </c>
      <c r="V63" s="13">
        <v>5704.2632999999996</v>
      </c>
      <c r="W63" s="14">
        <f t="shared" si="9"/>
        <v>1.6891695597820444E-8</v>
      </c>
    </row>
    <row r="64" spans="1:23" x14ac:dyDescent="0.35">
      <c r="A64" s="5" t="s">
        <v>936</v>
      </c>
      <c r="B64" s="5">
        <v>9.01</v>
      </c>
      <c r="C64" s="5" t="s">
        <v>934</v>
      </c>
      <c r="D64" s="5" t="s">
        <v>935</v>
      </c>
      <c r="E64" s="5" t="s">
        <v>470</v>
      </c>
      <c r="F64" s="3">
        <v>1</v>
      </c>
      <c r="G64" s="3">
        <v>0</v>
      </c>
      <c r="H64" s="3">
        <v>0</v>
      </c>
      <c r="I64" s="3">
        <v>1</v>
      </c>
      <c r="J64" s="8">
        <f>SUMIFS(COMPOSICIÓN!$J$2:$J$982,COMPOSICIÓN!$A$2:$A$982,A64,COMPOSICIÓN!$B$2:$B$982,"MAT")</f>
        <v>203505.43942080002</v>
      </c>
      <c r="K64" s="8">
        <f>SUMIFS(COMPOSICIÓN!$J$2:$J$982,COMPOSICIÓN!$A$2:$A$982,A64,COMPOSICIÓN!$B$2:$B$982,"MO")*I64</f>
        <v>1383533.88</v>
      </c>
      <c r="L64" s="8">
        <f>SUMIFS(COMPOSICIÓN!$J$2:$J$982,COMPOSICIÓN!$A$2:$A$982,A64,COMPOSICIÓN!$B$2:$B$982,"EQ")</f>
        <v>23805.589</v>
      </c>
      <c r="M64" s="8">
        <f t="shared" si="5"/>
        <v>203505.43942080002</v>
      </c>
      <c r="N64" s="8">
        <f t="shared" si="6"/>
        <v>1383533.88</v>
      </c>
      <c r="O64" s="8">
        <f t="shared" si="7"/>
        <v>23805.589</v>
      </c>
      <c r="P64" s="8">
        <f t="shared" si="8"/>
        <v>1610844.9084207998</v>
      </c>
      <c r="Q64" s="7">
        <f>COUNTIF(COMPOSICIÓN!$A:$A,A64)</f>
        <v>4</v>
      </c>
      <c r="R64" s="13">
        <v>1</v>
      </c>
      <c r="S64" s="5" t="s">
        <v>1222</v>
      </c>
      <c r="T64" s="13">
        <v>203505.44200000001</v>
      </c>
      <c r="U64" s="13">
        <v>1383533.8263999999</v>
      </c>
      <c r="V64" s="13">
        <v>23805.589</v>
      </c>
      <c r="W64" s="14">
        <f t="shared" si="9"/>
        <v>3.1673317080205265E-8</v>
      </c>
    </row>
    <row r="65" spans="1:23" x14ac:dyDescent="0.35">
      <c r="A65" s="5" t="s">
        <v>938</v>
      </c>
      <c r="B65" s="5">
        <v>9.02</v>
      </c>
      <c r="C65" s="5" t="s">
        <v>934</v>
      </c>
      <c r="D65" s="5" t="s">
        <v>937</v>
      </c>
      <c r="E65" s="5" t="s">
        <v>356</v>
      </c>
      <c r="F65" s="3">
        <v>1</v>
      </c>
      <c r="G65" s="3">
        <v>0</v>
      </c>
      <c r="H65" s="3">
        <v>0</v>
      </c>
      <c r="I65" s="3">
        <v>1</v>
      </c>
      <c r="J65" s="8">
        <f>SUMIFS(COMPOSICIÓN!$J$2:$J$982,COMPOSICIÓN!$A$2:$A$982,A65,COMPOSICIÓN!$B$2:$B$982,"MAT")</f>
        <v>2447.097200824735</v>
      </c>
      <c r="K65" s="8">
        <f>SUMIFS(COMPOSICIÓN!$J$2:$J$982,COMPOSICIÓN!$A$2:$A$982,A65,COMPOSICIÓN!$B$2:$B$982,"MO")*I65</f>
        <v>12299.7339756114</v>
      </c>
      <c r="L65" s="8">
        <f>SUMIFS(COMPOSICIÓN!$J$2:$J$982,COMPOSICIÓN!$A$2:$A$982,A65,COMPOSICIÓN!$B$2:$B$982,"EQ")</f>
        <v>221.20249999999999</v>
      </c>
      <c r="M65" s="8">
        <f t="shared" si="5"/>
        <v>2447.097200824735</v>
      </c>
      <c r="N65" s="8">
        <f t="shared" si="6"/>
        <v>12299.7339756114</v>
      </c>
      <c r="O65" s="8">
        <f t="shared" si="7"/>
        <v>221.20249999999999</v>
      </c>
      <c r="P65" s="8">
        <f t="shared" si="8"/>
        <v>14968.033676436135</v>
      </c>
      <c r="Q65" s="7">
        <f>COUNTIF(COMPOSICIÓN!$A:$A,A65)</f>
        <v>6</v>
      </c>
      <c r="R65" s="13">
        <v>122</v>
      </c>
      <c r="S65" s="5" t="s">
        <v>1222</v>
      </c>
      <c r="T65" s="13">
        <v>2447.0972000000002</v>
      </c>
      <c r="U65" s="13">
        <v>12299.733</v>
      </c>
      <c r="V65" s="13">
        <v>221.20249999999999</v>
      </c>
      <c r="W65" s="14">
        <f t="shared" si="9"/>
        <v>6.5234767587796227E-8</v>
      </c>
    </row>
    <row r="66" spans="1:23" x14ac:dyDescent="0.35">
      <c r="A66" s="5" t="s">
        <v>940</v>
      </c>
      <c r="B66" s="5">
        <v>9.0299999999999994</v>
      </c>
      <c r="C66" s="5" t="s">
        <v>934</v>
      </c>
      <c r="D66" s="5" t="s">
        <v>939</v>
      </c>
      <c r="E66" s="5" t="s">
        <v>356</v>
      </c>
      <c r="F66" s="3">
        <v>1</v>
      </c>
      <c r="G66" s="3">
        <v>0</v>
      </c>
      <c r="H66" s="3">
        <v>0</v>
      </c>
      <c r="I66" s="3">
        <v>1</v>
      </c>
      <c r="J66" s="8">
        <f>SUMIFS(COMPOSICIÓN!$J$2:$J$982,COMPOSICIÓN!$A$2:$A$982,A66,COMPOSICIÓN!$B$2:$B$982,"MAT")</f>
        <v>758.10738300000003</v>
      </c>
      <c r="K66" s="8">
        <f>SUMIFS(COMPOSICIÓN!$J$2:$J$982,COMPOSICIÓN!$A$2:$A$982,A66,COMPOSICIÓN!$B$2:$B$982,"MO")*I66</f>
        <v>3395.9553221949</v>
      </c>
      <c r="L66" s="8">
        <f>SUMIFS(COMPOSICIÓN!$J$2:$J$982,COMPOSICIÓN!$A$2:$A$982,A66,COMPOSICIÓN!$B$2:$B$982,"EQ")</f>
        <v>122.768565522561</v>
      </c>
      <c r="M66" s="8">
        <f t="shared" ref="M66:M97" si="10">J66</f>
        <v>758.10738300000003</v>
      </c>
      <c r="N66" s="8">
        <f t="shared" ref="N66:N97" si="11">IF(F66=0,0,K66/F66)</f>
        <v>3395.9553221949</v>
      </c>
      <c r="O66" s="8">
        <f t="shared" ref="O66:O97" si="12">IF(F66=0,0,L66/F66)</f>
        <v>122.768565522561</v>
      </c>
      <c r="P66" s="8">
        <f t="shared" ref="P66:P97" si="13">M66+N66+O66</f>
        <v>4276.8312707174609</v>
      </c>
      <c r="Q66" s="7">
        <f>COUNTIF(COMPOSICIÓN!$A:$A,A66)</f>
        <v>8</v>
      </c>
      <c r="R66" s="13">
        <v>155</v>
      </c>
      <c r="S66" s="5" t="s">
        <v>1221</v>
      </c>
      <c r="T66" s="13">
        <v>758.10739999999998</v>
      </c>
      <c r="U66" s="13">
        <v>3395.9551000000001</v>
      </c>
      <c r="V66" s="13">
        <v>122.76860000000001</v>
      </c>
      <c r="W66" s="14">
        <f t="shared" ref="W66:W97" si="14">IFERROR(P66/(T66+U66+V66)-1,0)</f>
        <v>3.9916811411799813E-8</v>
      </c>
    </row>
    <row r="67" spans="1:23" x14ac:dyDescent="0.35">
      <c r="A67" s="5" t="s">
        <v>942</v>
      </c>
      <c r="B67" s="5">
        <v>9.0399999999999991</v>
      </c>
      <c r="C67" s="5" t="s">
        <v>934</v>
      </c>
      <c r="D67" s="5" t="s">
        <v>941</v>
      </c>
      <c r="E67" s="5" t="s">
        <v>356</v>
      </c>
      <c r="F67" s="3">
        <v>1</v>
      </c>
      <c r="G67" s="3">
        <v>0</v>
      </c>
      <c r="H67" s="3">
        <v>0</v>
      </c>
      <c r="I67" s="3">
        <v>1</v>
      </c>
      <c r="J67" s="8">
        <f>SUMIFS(COMPOSICIÓN!$J$2:$J$982,COMPOSICIÓN!$A$2:$A$982,A67,COMPOSICIÓN!$B$2:$B$982,"MAT")</f>
        <v>7086.2117672878467</v>
      </c>
      <c r="K67" s="8">
        <f>SUMIFS(COMPOSICIÓN!$J$2:$J$982,COMPOSICIÓN!$A$2:$A$982,A67,COMPOSICIÓN!$B$2:$B$982,"MO")*I67</f>
        <v>10591.585077891199</v>
      </c>
      <c r="L67" s="8">
        <f>SUMIFS(COMPOSICIÓN!$J$2:$J$982,COMPOSICIÓN!$A$2:$A$982,A67,COMPOSICIÓN!$B$2:$B$982,"EQ")</f>
        <v>265.1669</v>
      </c>
      <c r="M67" s="8">
        <f t="shared" si="10"/>
        <v>7086.2117672878467</v>
      </c>
      <c r="N67" s="8">
        <f t="shared" si="11"/>
        <v>10591.585077891199</v>
      </c>
      <c r="O67" s="8">
        <f t="shared" si="12"/>
        <v>265.1669</v>
      </c>
      <c r="P67" s="8">
        <f t="shared" si="13"/>
        <v>17942.963745179044</v>
      </c>
      <c r="Q67" s="7">
        <f>COUNTIF(COMPOSICIÓN!$A:$A,A67)</f>
        <v>5</v>
      </c>
      <c r="R67" s="13">
        <v>31.2</v>
      </c>
      <c r="S67" s="5" t="s">
        <v>1222</v>
      </c>
      <c r="T67" s="13">
        <v>7086.2111000000004</v>
      </c>
      <c r="U67" s="13">
        <v>10591.584800000001</v>
      </c>
      <c r="V67" s="13">
        <v>265.1669</v>
      </c>
      <c r="W67" s="14">
        <f t="shared" si="14"/>
        <v>5.2676865758272129E-8</v>
      </c>
    </row>
    <row r="68" spans="1:23" x14ac:dyDescent="0.35">
      <c r="A68" s="5" t="s">
        <v>945</v>
      </c>
      <c r="B68" s="5">
        <v>10.01</v>
      </c>
      <c r="C68" s="5" t="s">
        <v>943</v>
      </c>
      <c r="D68" s="5" t="s">
        <v>944</v>
      </c>
      <c r="E68" s="5" t="s">
        <v>470</v>
      </c>
      <c r="F68" s="3">
        <v>1</v>
      </c>
      <c r="G68" s="3">
        <v>0</v>
      </c>
      <c r="H68" s="3">
        <v>0</v>
      </c>
      <c r="I68" s="3">
        <v>1</v>
      </c>
      <c r="J68" s="8">
        <f>SUMIFS(COMPOSICIÓN!$J$2:$J$982,COMPOSICIÓN!$A$2:$A$982,A68,COMPOSICIÓN!$B$2:$B$982,"MAT")</f>
        <v>0</v>
      </c>
      <c r="K68" s="8">
        <f>SUMIFS(COMPOSICIÓN!$J$2:$J$982,COMPOSICIÓN!$A$2:$A$982,A68,COMPOSICIÓN!$B$2:$B$982,"MO")*I68</f>
        <v>0</v>
      </c>
      <c r="L68" s="8">
        <f>SUMIFS(COMPOSICIÓN!$J$2:$J$982,COMPOSICIÓN!$A$2:$A$982,A68,COMPOSICIÓN!$B$2:$B$982,"EQ")</f>
        <v>0</v>
      </c>
      <c r="M68" s="8">
        <f t="shared" si="10"/>
        <v>0</v>
      </c>
      <c r="N68" s="8">
        <f t="shared" si="11"/>
        <v>0</v>
      </c>
      <c r="O68" s="8">
        <f t="shared" si="12"/>
        <v>0</v>
      </c>
      <c r="P68" s="8">
        <f t="shared" si="13"/>
        <v>0</v>
      </c>
      <c r="Q68" s="7">
        <f>COUNTIF(COMPOSICIÓN!$A:$A,A68)</f>
        <v>0</v>
      </c>
      <c r="R68" s="13">
        <v>0</v>
      </c>
      <c r="S68" s="5" t="s">
        <v>1221</v>
      </c>
      <c r="T68" s="13">
        <v>0</v>
      </c>
      <c r="U68" s="13">
        <v>0</v>
      </c>
      <c r="V68" s="13">
        <v>0</v>
      </c>
      <c r="W68" s="14">
        <f t="shared" si="14"/>
        <v>0</v>
      </c>
    </row>
    <row r="69" spans="1:23" x14ac:dyDescent="0.35">
      <c r="A69" s="5" t="s">
        <v>946</v>
      </c>
      <c r="B69" s="5">
        <v>10.02</v>
      </c>
      <c r="C69" s="5" t="s">
        <v>943</v>
      </c>
      <c r="D69" s="5" t="s">
        <v>212</v>
      </c>
      <c r="E69" s="5" t="s">
        <v>470</v>
      </c>
      <c r="F69" s="3">
        <v>1</v>
      </c>
      <c r="G69" s="3">
        <v>0</v>
      </c>
      <c r="H69" s="3">
        <v>0</v>
      </c>
      <c r="I69" s="3">
        <v>1</v>
      </c>
      <c r="J69" s="8">
        <f>SUMIFS(COMPOSICIÓN!$J$2:$J$982,COMPOSICIÓN!$A$2:$A$982,A69,COMPOSICIÓN!$B$2:$B$982,"MAT")</f>
        <v>700000</v>
      </c>
      <c r="K69" s="8">
        <f>SUMIFS(COMPOSICIÓN!$J$2:$J$982,COMPOSICIÓN!$A$2:$A$982,A69,COMPOSICIÓN!$B$2:$B$982,"MO")*I69</f>
        <v>1050000</v>
      </c>
      <c r="L69" s="8">
        <f>SUMIFS(COMPOSICIÓN!$J$2:$J$982,COMPOSICIÓN!$A$2:$A$982,A69,COMPOSICIÓN!$B$2:$B$982,"EQ")</f>
        <v>0</v>
      </c>
      <c r="M69" s="8">
        <f t="shared" si="10"/>
        <v>700000</v>
      </c>
      <c r="N69" s="8">
        <f t="shared" si="11"/>
        <v>1050000</v>
      </c>
      <c r="O69" s="8">
        <f t="shared" si="12"/>
        <v>0</v>
      </c>
      <c r="P69" s="8">
        <f t="shared" si="13"/>
        <v>1750000</v>
      </c>
      <c r="Q69" s="7">
        <f>COUNTIF(COMPOSICIÓN!$A:$A,A69)</f>
        <v>2</v>
      </c>
      <c r="R69" s="13">
        <v>1</v>
      </c>
      <c r="S69" s="5" t="s">
        <v>1221</v>
      </c>
      <c r="T69" s="13">
        <v>700000</v>
      </c>
      <c r="U69" s="13">
        <v>1050000</v>
      </c>
      <c r="V69" s="13">
        <v>0</v>
      </c>
      <c r="W69" s="14">
        <f t="shared" si="14"/>
        <v>0</v>
      </c>
    </row>
    <row r="70" spans="1:23" x14ac:dyDescent="0.35">
      <c r="A70" s="5" t="s">
        <v>948</v>
      </c>
      <c r="B70" s="5">
        <v>10.029999999999999</v>
      </c>
      <c r="C70" s="5" t="s">
        <v>943</v>
      </c>
      <c r="D70" s="5" t="s">
        <v>947</v>
      </c>
      <c r="E70" s="5" t="s">
        <v>807</v>
      </c>
      <c r="F70" s="3">
        <v>1</v>
      </c>
      <c r="G70" s="3">
        <v>0</v>
      </c>
      <c r="H70" s="3">
        <v>0</v>
      </c>
      <c r="I70" s="3">
        <v>1</v>
      </c>
      <c r="J70" s="8">
        <f>SUMIFS(COMPOSICIÓN!$J$2:$J$982,COMPOSICIÓN!$A$2:$A$982,A70,COMPOSICIÓN!$B$2:$B$982,"MAT")</f>
        <v>0</v>
      </c>
      <c r="K70" s="8">
        <f>SUMIFS(COMPOSICIÓN!$J$2:$J$982,COMPOSICIÓN!$A$2:$A$982,A70,COMPOSICIÓN!$B$2:$B$982,"MO")*I70</f>
        <v>0</v>
      </c>
      <c r="L70" s="8">
        <f>SUMIFS(COMPOSICIÓN!$J$2:$J$982,COMPOSICIÓN!$A$2:$A$982,A70,COMPOSICIÓN!$B$2:$B$982,"EQ")</f>
        <v>0</v>
      </c>
      <c r="M70" s="8">
        <f t="shared" si="10"/>
        <v>0</v>
      </c>
      <c r="N70" s="8">
        <f t="shared" si="11"/>
        <v>0</v>
      </c>
      <c r="O70" s="8">
        <f t="shared" si="12"/>
        <v>0</v>
      </c>
      <c r="P70" s="8">
        <f t="shared" si="13"/>
        <v>0</v>
      </c>
      <c r="Q70" s="7">
        <f>COUNTIF(COMPOSICIÓN!$A:$A,A70)</f>
        <v>0</v>
      </c>
      <c r="R70" s="13">
        <v>0</v>
      </c>
      <c r="S70" s="5" t="s">
        <v>1221</v>
      </c>
      <c r="T70" s="13">
        <v>0</v>
      </c>
      <c r="U70" s="13">
        <v>0</v>
      </c>
      <c r="V70" s="13">
        <v>0</v>
      </c>
      <c r="W70" s="14">
        <f t="shared" si="14"/>
        <v>0</v>
      </c>
    </row>
    <row r="71" spans="1:23" x14ac:dyDescent="0.35">
      <c r="A71" s="5" t="s">
        <v>950</v>
      </c>
      <c r="B71" s="5">
        <v>10.039999999999999</v>
      </c>
      <c r="C71" s="5" t="s">
        <v>943</v>
      </c>
      <c r="D71" s="5" t="s">
        <v>949</v>
      </c>
      <c r="E71" s="5" t="s">
        <v>284</v>
      </c>
      <c r="F71" s="3">
        <v>1</v>
      </c>
      <c r="G71" s="3">
        <v>0</v>
      </c>
      <c r="H71" s="3">
        <v>0</v>
      </c>
      <c r="I71" s="3">
        <v>1</v>
      </c>
      <c r="J71" s="8">
        <f>SUMIFS(COMPOSICIÓN!$J$2:$J$982,COMPOSICIÓN!$A$2:$A$982,A71,COMPOSICIÓN!$B$2:$B$982,"MAT")</f>
        <v>225038.87599999999</v>
      </c>
      <c r="K71" s="8">
        <f>SUMIFS(COMPOSICIÓN!$J$2:$J$982,COMPOSICIÓN!$A$2:$A$982,A71,COMPOSICIÓN!$B$2:$B$982,"MO")*I71</f>
        <v>55670.194300000003</v>
      </c>
      <c r="L71" s="8">
        <f>SUMIFS(COMPOSICIÓN!$J$2:$J$982,COMPOSICIÓN!$A$2:$A$982,A71,COMPOSICIÓN!$B$2:$B$982,"EQ")</f>
        <v>0</v>
      </c>
      <c r="M71" s="8">
        <f t="shared" si="10"/>
        <v>225038.87599999999</v>
      </c>
      <c r="N71" s="8">
        <f t="shared" si="11"/>
        <v>55670.194300000003</v>
      </c>
      <c r="O71" s="8">
        <f t="shared" si="12"/>
        <v>0</v>
      </c>
      <c r="P71" s="8">
        <f t="shared" si="13"/>
        <v>280709.07030000002</v>
      </c>
      <c r="Q71" s="7">
        <f>COUNTIF(COMPOSICIÓN!$A:$A,A71)</f>
        <v>2</v>
      </c>
      <c r="R71" s="13">
        <v>7</v>
      </c>
      <c r="S71" s="5" t="s">
        <v>1221</v>
      </c>
      <c r="T71" s="13">
        <v>225038.87599999999</v>
      </c>
      <c r="U71" s="13">
        <v>55670.194300000003</v>
      </c>
      <c r="V71" s="13">
        <v>0</v>
      </c>
      <c r="W71" s="14">
        <f t="shared" si="14"/>
        <v>0</v>
      </c>
    </row>
    <row r="72" spans="1:23" x14ac:dyDescent="0.35">
      <c r="A72" s="5" t="s">
        <v>953</v>
      </c>
      <c r="B72" s="5">
        <v>11.01</v>
      </c>
      <c r="C72" s="5" t="s">
        <v>951</v>
      </c>
      <c r="D72" s="5" t="s">
        <v>952</v>
      </c>
      <c r="E72" s="5" t="s">
        <v>866</v>
      </c>
      <c r="F72" s="3">
        <v>1</v>
      </c>
      <c r="G72" s="3">
        <v>0</v>
      </c>
      <c r="H72" s="3">
        <v>0</v>
      </c>
      <c r="I72" s="3">
        <v>1</v>
      </c>
      <c r="J72" s="8">
        <f>SUMIFS(COMPOSICIÓN!$J$2:$J$982,COMPOSICIÓN!$A$2:$A$982,A72,COMPOSICIÓN!$B$2:$B$982,"MAT")</f>
        <v>7250.1086545000007</v>
      </c>
      <c r="K72" s="8">
        <f>SUMIFS(COMPOSICIÓN!$J$2:$J$982,COMPOSICIÓN!$A$2:$A$982,A72,COMPOSICIÓN!$B$2:$B$982,"MO")*I72</f>
        <v>9992.0865535295998</v>
      </c>
      <c r="L72" s="8">
        <f>SUMIFS(COMPOSICIÓN!$J$2:$J$982,COMPOSICIÓN!$A$2:$A$982,A72,COMPOSICIÓN!$B$2:$B$982,"EQ")</f>
        <v>219.89813956515601</v>
      </c>
      <c r="M72" s="8">
        <f t="shared" si="10"/>
        <v>7250.1086545000007</v>
      </c>
      <c r="N72" s="8">
        <f t="shared" si="11"/>
        <v>9992.0865535295998</v>
      </c>
      <c r="O72" s="8">
        <f t="shared" si="12"/>
        <v>219.89813956515601</v>
      </c>
      <c r="P72" s="8">
        <f t="shared" si="13"/>
        <v>17462.093347594757</v>
      </c>
      <c r="Q72" s="7">
        <f>COUNTIF(COMPOSICIÓN!$A:$A,A72)</f>
        <v>9</v>
      </c>
      <c r="R72" s="13">
        <v>30</v>
      </c>
      <c r="S72" s="5" t="s">
        <v>1221</v>
      </c>
      <c r="T72" s="13">
        <v>7250.1086999999998</v>
      </c>
      <c r="U72" s="13">
        <v>9992.0861999999997</v>
      </c>
      <c r="V72" s="13">
        <v>219.8981</v>
      </c>
      <c r="W72" s="14">
        <f t="shared" si="14"/>
        <v>1.9905675552323032E-8</v>
      </c>
    </row>
    <row r="73" spans="1:23" x14ac:dyDescent="0.35">
      <c r="A73" s="5" t="s">
        <v>955</v>
      </c>
      <c r="B73" s="5">
        <v>11.02</v>
      </c>
      <c r="C73" s="5" t="s">
        <v>951</v>
      </c>
      <c r="D73" s="5" t="s">
        <v>954</v>
      </c>
      <c r="E73" s="5" t="s">
        <v>866</v>
      </c>
      <c r="F73" s="3">
        <v>1</v>
      </c>
      <c r="G73" s="3">
        <v>0</v>
      </c>
      <c r="H73" s="3">
        <v>0</v>
      </c>
      <c r="I73" s="3">
        <v>1</v>
      </c>
      <c r="J73" s="8">
        <f>SUMIFS(COMPOSICIÓN!$J$2:$J$982,COMPOSICIÓN!$A$2:$A$982,A73,COMPOSICIÓN!$B$2:$B$982,"MAT")</f>
        <v>7250.1086545000007</v>
      </c>
      <c r="K73" s="8">
        <f>SUMIFS(COMPOSICIÓN!$J$2:$J$982,COMPOSICIÓN!$A$2:$A$982,A73,COMPOSICIÓN!$B$2:$B$982,"MO")*I73</f>
        <v>9992.0865535295998</v>
      </c>
      <c r="L73" s="8">
        <f>SUMIFS(COMPOSICIÓN!$J$2:$J$982,COMPOSICIÓN!$A$2:$A$982,A73,COMPOSICIÓN!$B$2:$B$982,"EQ")</f>
        <v>219.89813956515601</v>
      </c>
      <c r="M73" s="8">
        <f t="shared" si="10"/>
        <v>7250.1086545000007</v>
      </c>
      <c r="N73" s="8">
        <f t="shared" si="11"/>
        <v>9992.0865535295998</v>
      </c>
      <c r="O73" s="8">
        <f t="shared" si="12"/>
        <v>219.89813956515601</v>
      </c>
      <c r="P73" s="8">
        <f t="shared" si="13"/>
        <v>17462.093347594757</v>
      </c>
      <c r="Q73" s="7">
        <f>COUNTIF(COMPOSICIÓN!$A:$A,A73)</f>
        <v>9</v>
      </c>
      <c r="R73" s="13">
        <v>185</v>
      </c>
      <c r="S73" s="5" t="s">
        <v>1221</v>
      </c>
      <c r="T73" s="13">
        <v>7250.1086999999998</v>
      </c>
      <c r="U73" s="13">
        <v>9992.0861999999997</v>
      </c>
      <c r="V73" s="13">
        <v>219.8981</v>
      </c>
      <c r="W73" s="14">
        <f t="shared" si="14"/>
        <v>1.9905675552323032E-8</v>
      </c>
    </row>
    <row r="74" spans="1:23" x14ac:dyDescent="0.35">
      <c r="A74" s="5" t="s">
        <v>957</v>
      </c>
      <c r="B74" s="5">
        <v>11.03</v>
      </c>
      <c r="C74" s="5" t="s">
        <v>951</v>
      </c>
      <c r="D74" s="5" t="s">
        <v>956</v>
      </c>
      <c r="E74" s="5" t="s">
        <v>866</v>
      </c>
      <c r="F74" s="3">
        <v>1</v>
      </c>
      <c r="G74" s="3">
        <v>0</v>
      </c>
      <c r="H74" s="3">
        <v>0</v>
      </c>
      <c r="I74" s="3">
        <v>1</v>
      </c>
      <c r="J74" s="8">
        <f>SUMIFS(COMPOSICIÓN!$J$2:$J$982,COMPOSICIÓN!$A$2:$A$982,A74,COMPOSICIÓN!$B$2:$B$982,"MAT")</f>
        <v>7250.1086545000007</v>
      </c>
      <c r="K74" s="8">
        <f>SUMIFS(COMPOSICIÓN!$J$2:$J$982,COMPOSICIÓN!$A$2:$A$982,A74,COMPOSICIÓN!$B$2:$B$982,"MO")*I74</f>
        <v>9992.0865535295998</v>
      </c>
      <c r="L74" s="8">
        <f>SUMIFS(COMPOSICIÓN!$J$2:$J$982,COMPOSICIÓN!$A$2:$A$982,A74,COMPOSICIÓN!$B$2:$B$982,"EQ")</f>
        <v>219.89813956515601</v>
      </c>
      <c r="M74" s="8">
        <f t="shared" si="10"/>
        <v>7250.1086545000007</v>
      </c>
      <c r="N74" s="8">
        <f t="shared" si="11"/>
        <v>9992.0865535295998</v>
      </c>
      <c r="O74" s="8">
        <f t="shared" si="12"/>
        <v>219.89813956515601</v>
      </c>
      <c r="P74" s="8">
        <f t="shared" si="13"/>
        <v>17462.093347594757</v>
      </c>
      <c r="Q74" s="7">
        <f>COUNTIF(COMPOSICIÓN!$A:$A,A74)</f>
        <v>9</v>
      </c>
      <c r="R74" s="13">
        <v>942</v>
      </c>
      <c r="S74" s="5" t="s">
        <v>1221</v>
      </c>
      <c r="T74" s="13">
        <v>7250.1086999999998</v>
      </c>
      <c r="U74" s="13">
        <v>9992.0861999999997</v>
      </c>
      <c r="V74" s="13">
        <v>219.8981</v>
      </c>
      <c r="W74" s="14">
        <f t="shared" si="14"/>
        <v>1.9905675552323032E-8</v>
      </c>
    </row>
    <row r="75" spans="1:23" x14ac:dyDescent="0.35">
      <c r="A75" s="5" t="s">
        <v>959</v>
      </c>
      <c r="B75" s="5">
        <v>11.04</v>
      </c>
      <c r="C75" s="5" t="s">
        <v>951</v>
      </c>
      <c r="D75" s="5" t="s">
        <v>958</v>
      </c>
      <c r="E75" s="5" t="s">
        <v>866</v>
      </c>
      <c r="F75" s="3">
        <v>1</v>
      </c>
      <c r="G75" s="3">
        <v>0</v>
      </c>
      <c r="H75" s="3">
        <v>0</v>
      </c>
      <c r="I75" s="3">
        <v>1</v>
      </c>
      <c r="J75" s="8">
        <f>SUMIFS(COMPOSICIÓN!$J$2:$J$982,COMPOSICIÓN!$A$2:$A$982,A75,COMPOSICIÓN!$B$2:$B$982,"MAT")</f>
        <v>7250.1086545000007</v>
      </c>
      <c r="K75" s="8">
        <f>SUMIFS(COMPOSICIÓN!$J$2:$J$982,COMPOSICIÓN!$A$2:$A$982,A75,COMPOSICIÓN!$B$2:$B$982,"MO")*I75</f>
        <v>12989.712</v>
      </c>
      <c r="L75" s="8">
        <f>SUMIFS(COMPOSICIÓN!$J$2:$J$982,COMPOSICIÓN!$A$2:$A$982,A75,COMPOSICIÓN!$B$2:$B$982,"EQ")</f>
        <v>285.86757</v>
      </c>
      <c r="M75" s="8">
        <f t="shared" si="10"/>
        <v>7250.1086545000007</v>
      </c>
      <c r="N75" s="8">
        <f t="shared" si="11"/>
        <v>12989.712</v>
      </c>
      <c r="O75" s="8">
        <f t="shared" si="12"/>
        <v>285.86757</v>
      </c>
      <c r="P75" s="8">
        <f t="shared" si="13"/>
        <v>20525.688224499998</v>
      </c>
      <c r="Q75" s="7">
        <f>COUNTIF(COMPOSICIÓN!$A:$A,A75)</f>
        <v>9</v>
      </c>
      <c r="R75" s="13">
        <v>110</v>
      </c>
      <c r="S75" s="5" t="s">
        <v>1221</v>
      </c>
      <c r="T75" s="13">
        <v>7250.1086999999998</v>
      </c>
      <c r="U75" s="13">
        <v>12989.712</v>
      </c>
      <c r="V75" s="13">
        <v>285.86759999999998</v>
      </c>
      <c r="W75" s="14">
        <f t="shared" si="14"/>
        <v>-3.6783177614907459E-9</v>
      </c>
    </row>
    <row r="76" spans="1:23" x14ac:dyDescent="0.35">
      <c r="A76" s="5" t="s">
        <v>961</v>
      </c>
      <c r="B76" s="5">
        <v>11.05</v>
      </c>
      <c r="C76" s="5" t="s">
        <v>951</v>
      </c>
      <c r="D76" s="5" t="s">
        <v>960</v>
      </c>
      <c r="E76" s="5" t="s">
        <v>866</v>
      </c>
      <c r="F76" s="3">
        <v>1</v>
      </c>
      <c r="G76" s="3">
        <v>0</v>
      </c>
      <c r="H76" s="3">
        <v>0</v>
      </c>
      <c r="I76" s="3">
        <v>1</v>
      </c>
      <c r="J76" s="8">
        <f>SUMIFS(COMPOSICIÓN!$J$2:$J$982,COMPOSICIÓN!$A$2:$A$982,A76,COMPOSICIÓN!$B$2:$B$982,"MAT")</f>
        <v>3816.1086480000004</v>
      </c>
      <c r="K76" s="8">
        <f>SUMIFS(COMPOSICIÓN!$J$2:$J$982,COMPOSICIÓN!$A$2:$A$982,A76,COMPOSICIÓN!$B$2:$B$982,"MO")*I76</f>
        <v>8702.6233042084004</v>
      </c>
      <c r="L76" s="8">
        <f>SUMIFS(COMPOSICIÓN!$J$2:$J$982,COMPOSICIÓN!$A$2:$A$982,A76,COMPOSICIÓN!$B$2:$B$982,"EQ")</f>
        <v>274.73130754885199</v>
      </c>
      <c r="M76" s="8">
        <f t="shared" si="10"/>
        <v>3816.1086480000004</v>
      </c>
      <c r="N76" s="8">
        <f t="shared" si="11"/>
        <v>8702.6233042084004</v>
      </c>
      <c r="O76" s="8">
        <f t="shared" si="12"/>
        <v>274.73130754885199</v>
      </c>
      <c r="P76" s="8">
        <f t="shared" si="13"/>
        <v>12793.463259757253</v>
      </c>
      <c r="Q76" s="7">
        <f>COUNTIF(COMPOSICIÓN!$A:$A,A76)</f>
        <v>6</v>
      </c>
      <c r="R76" s="13">
        <v>128</v>
      </c>
      <c r="S76" s="5" t="s">
        <v>1221</v>
      </c>
      <c r="T76" s="13">
        <v>3816.1086</v>
      </c>
      <c r="U76" s="13">
        <v>8702.6232</v>
      </c>
      <c r="V76" s="13">
        <v>274.73129999999998</v>
      </c>
      <c r="W76" s="14">
        <f t="shared" si="14"/>
        <v>1.2487412659467623E-8</v>
      </c>
    </row>
    <row r="77" spans="1:23" x14ac:dyDescent="0.35">
      <c r="A77" s="5" t="s">
        <v>963</v>
      </c>
      <c r="B77" s="5">
        <v>11.06</v>
      </c>
      <c r="C77" s="5" t="s">
        <v>951</v>
      </c>
      <c r="D77" s="5" t="s">
        <v>962</v>
      </c>
      <c r="E77" s="5" t="s">
        <v>866</v>
      </c>
      <c r="F77" s="3">
        <v>1</v>
      </c>
      <c r="G77" s="3">
        <v>0</v>
      </c>
      <c r="H77" s="3">
        <v>0</v>
      </c>
      <c r="I77" s="3">
        <v>1</v>
      </c>
      <c r="J77" s="8">
        <f>SUMIFS(COMPOSICIÓN!$J$2:$J$982,COMPOSICIÓN!$A$2:$A$982,A77,COMPOSICIÓN!$B$2:$B$982,"MAT")</f>
        <v>7250.1086545000007</v>
      </c>
      <c r="K77" s="8">
        <f>SUMIFS(COMPOSICIÓN!$J$2:$J$982,COMPOSICIÓN!$A$2:$A$982,A77,COMPOSICIÓN!$B$2:$B$982,"MO")*I77</f>
        <v>9992.0865535295998</v>
      </c>
      <c r="L77" s="8">
        <f>SUMIFS(COMPOSICIÓN!$J$2:$J$982,COMPOSICIÓN!$A$2:$A$982,A77,COMPOSICIÓN!$B$2:$B$982,"EQ")</f>
        <v>219.89813956515601</v>
      </c>
      <c r="M77" s="8">
        <f t="shared" si="10"/>
        <v>7250.1086545000007</v>
      </c>
      <c r="N77" s="8">
        <f t="shared" si="11"/>
        <v>9992.0865535295998</v>
      </c>
      <c r="O77" s="8">
        <f t="shared" si="12"/>
        <v>219.89813956515601</v>
      </c>
      <c r="P77" s="8">
        <f t="shared" si="13"/>
        <v>17462.093347594757</v>
      </c>
      <c r="Q77" s="7">
        <f>COUNTIF(COMPOSICIÓN!$A:$A,A77)</f>
        <v>9</v>
      </c>
      <c r="R77" s="13">
        <v>48</v>
      </c>
      <c r="S77" s="5" t="s">
        <v>1221</v>
      </c>
      <c r="T77" s="13">
        <v>7250.1086999999998</v>
      </c>
      <c r="U77" s="13">
        <v>9992.0861999999997</v>
      </c>
      <c r="V77" s="13">
        <v>219.8981</v>
      </c>
      <c r="W77" s="14">
        <f t="shared" si="14"/>
        <v>1.9905675552323032E-8</v>
      </c>
    </row>
    <row r="78" spans="1:23" x14ac:dyDescent="0.35">
      <c r="A78" s="5" t="s">
        <v>965</v>
      </c>
      <c r="B78" s="5">
        <v>11.07</v>
      </c>
      <c r="C78" s="5" t="s">
        <v>951</v>
      </c>
      <c r="D78" s="5" t="s">
        <v>964</v>
      </c>
      <c r="E78" s="5" t="s">
        <v>866</v>
      </c>
      <c r="F78" s="3">
        <v>1</v>
      </c>
      <c r="G78" s="3">
        <v>0</v>
      </c>
      <c r="H78" s="3">
        <v>0</v>
      </c>
      <c r="I78" s="3">
        <v>1</v>
      </c>
      <c r="J78" s="8">
        <f>SUMIFS(COMPOSICIÓN!$J$2:$J$982,COMPOSICIÓN!$A$2:$A$982,A78,COMPOSICIÓN!$B$2:$B$982,"MAT")</f>
        <v>44376.439616007985</v>
      </c>
      <c r="K78" s="8">
        <f>SUMIFS(COMPOSICIÓN!$J$2:$J$982,COMPOSICIÓN!$A$2:$A$982,A78,COMPOSICIÓN!$B$2:$B$982,"MO")*I78</f>
        <v>13536.777372947399</v>
      </c>
      <c r="L78" s="8">
        <f>SUMIFS(COMPOSICIÓN!$J$2:$J$982,COMPOSICIÓN!$A$2:$A$982,A78,COMPOSICIÓN!$B$2:$B$982,"EQ")</f>
        <v>868.69799999999998</v>
      </c>
      <c r="M78" s="8">
        <f t="shared" si="10"/>
        <v>44376.439616007985</v>
      </c>
      <c r="N78" s="8">
        <f t="shared" si="11"/>
        <v>13536.777372947399</v>
      </c>
      <c r="O78" s="8">
        <f t="shared" si="12"/>
        <v>868.69799999999998</v>
      </c>
      <c r="P78" s="8">
        <f t="shared" si="13"/>
        <v>58781.914988955381</v>
      </c>
      <c r="Q78" s="7">
        <f>COUNTIF(COMPOSICIÓN!$A:$A,A78)</f>
        <v>13</v>
      </c>
      <c r="R78" s="13">
        <v>226</v>
      </c>
      <c r="S78" s="5" t="s">
        <v>1222</v>
      </c>
      <c r="T78" s="13">
        <v>44376.421900000001</v>
      </c>
      <c r="U78" s="13">
        <v>13536.775100000001</v>
      </c>
      <c r="V78" s="13">
        <v>868.69799999999998</v>
      </c>
      <c r="W78" s="14">
        <f t="shared" si="14"/>
        <v>3.4005292581795743E-7</v>
      </c>
    </row>
    <row r="79" spans="1:23" x14ac:dyDescent="0.35">
      <c r="A79" s="5" t="s">
        <v>968</v>
      </c>
      <c r="B79" s="5">
        <v>12.01</v>
      </c>
      <c r="C79" s="5" t="s">
        <v>966</v>
      </c>
      <c r="D79" s="5" t="s">
        <v>967</v>
      </c>
      <c r="E79" s="5" t="s">
        <v>356</v>
      </c>
      <c r="F79" s="3">
        <v>1</v>
      </c>
      <c r="G79" s="3">
        <v>0</v>
      </c>
      <c r="H79" s="3">
        <v>0</v>
      </c>
      <c r="I79" s="3">
        <v>1</v>
      </c>
      <c r="J79" s="8">
        <f>SUMIFS(COMPOSICIÓN!$J$2:$J$982,COMPOSICIÓN!$A$2:$A$982,A79,COMPOSICIÓN!$B$2:$B$982,"MAT")</f>
        <v>3132.23144</v>
      </c>
      <c r="K79" s="8">
        <f>SUMIFS(COMPOSICIÓN!$J$2:$J$982,COMPOSICIÓN!$A$2:$A$982,A79,COMPOSICIÓN!$B$2:$B$982,"MO")*I79</f>
        <v>2684.8886111775</v>
      </c>
      <c r="L79" s="8">
        <f>SUMIFS(COMPOSICIÓN!$J$2:$J$982,COMPOSICIÓN!$A$2:$A$982,A79,COMPOSICIÓN!$B$2:$B$982,"EQ")</f>
        <v>87.256799999999998</v>
      </c>
      <c r="M79" s="8">
        <f t="shared" si="10"/>
        <v>3132.23144</v>
      </c>
      <c r="N79" s="8">
        <f t="shared" si="11"/>
        <v>2684.8886111775</v>
      </c>
      <c r="O79" s="8">
        <f t="shared" si="12"/>
        <v>87.256799999999998</v>
      </c>
      <c r="P79" s="8">
        <f t="shared" si="13"/>
        <v>5904.3768511775006</v>
      </c>
      <c r="Q79" s="7">
        <f>COUNTIF(COMPOSICIÓN!$A:$A,A79)</f>
        <v>4</v>
      </c>
      <c r="R79" s="13">
        <v>779</v>
      </c>
      <c r="S79" s="5" t="s">
        <v>1222</v>
      </c>
      <c r="T79" s="13">
        <v>3132.2314000000001</v>
      </c>
      <c r="U79" s="13">
        <v>2684.8881999999999</v>
      </c>
      <c r="V79" s="13">
        <v>87.256799999999998</v>
      </c>
      <c r="W79" s="14">
        <f t="shared" si="14"/>
        <v>7.6414081728870542E-8</v>
      </c>
    </row>
    <row r="80" spans="1:23" x14ac:dyDescent="0.35">
      <c r="A80" s="5" t="s">
        <v>969</v>
      </c>
      <c r="B80" s="5">
        <v>12.02</v>
      </c>
      <c r="C80" s="5" t="s">
        <v>966</v>
      </c>
      <c r="D80" s="5" t="s">
        <v>939</v>
      </c>
      <c r="E80" s="5" t="s">
        <v>356</v>
      </c>
      <c r="F80" s="3">
        <v>1</v>
      </c>
      <c r="G80" s="3">
        <v>0</v>
      </c>
      <c r="H80" s="3">
        <v>0</v>
      </c>
      <c r="I80" s="3">
        <v>1</v>
      </c>
      <c r="J80" s="8">
        <f>SUMIFS(COMPOSICIÓN!$J$2:$J$982,COMPOSICIÓN!$A$2:$A$982,A80,COMPOSICIÓN!$B$2:$B$982,"MAT")</f>
        <v>758.10738300000003</v>
      </c>
      <c r="K80" s="8">
        <f>SUMIFS(COMPOSICIÓN!$J$2:$J$982,COMPOSICIÓN!$A$2:$A$982,A80,COMPOSICIÓN!$B$2:$B$982,"MO")*I80</f>
        <v>3395.9553221949</v>
      </c>
      <c r="L80" s="8">
        <f>SUMIFS(COMPOSICIÓN!$J$2:$J$982,COMPOSICIÓN!$A$2:$A$982,A80,COMPOSICIÓN!$B$2:$B$982,"EQ")</f>
        <v>122.768565522561</v>
      </c>
      <c r="M80" s="8">
        <f t="shared" si="10"/>
        <v>758.10738300000003</v>
      </c>
      <c r="N80" s="8">
        <f t="shared" si="11"/>
        <v>3395.9553221949</v>
      </c>
      <c r="O80" s="8">
        <f t="shared" si="12"/>
        <v>122.768565522561</v>
      </c>
      <c r="P80" s="8">
        <f t="shared" si="13"/>
        <v>4276.8312707174609</v>
      </c>
      <c r="Q80" s="7">
        <f>COUNTIF(COMPOSICIÓN!$A:$A,A80)</f>
        <v>8</v>
      </c>
      <c r="R80" s="13">
        <v>155</v>
      </c>
      <c r="S80" s="5" t="s">
        <v>1221</v>
      </c>
      <c r="T80" s="13">
        <v>758.10739999999998</v>
      </c>
      <c r="U80" s="13">
        <v>3395.9551000000001</v>
      </c>
      <c r="V80" s="13">
        <v>122.76860000000001</v>
      </c>
      <c r="W80" s="14">
        <f t="shared" si="14"/>
        <v>3.9916811411799813E-8</v>
      </c>
    </row>
    <row r="81" spans="1:23" x14ac:dyDescent="0.35">
      <c r="A81" s="5" t="s">
        <v>971</v>
      </c>
      <c r="B81" s="5">
        <v>12.03</v>
      </c>
      <c r="C81" s="5" t="s">
        <v>966</v>
      </c>
      <c r="D81" s="5" t="s">
        <v>970</v>
      </c>
      <c r="E81" s="5" t="s">
        <v>356</v>
      </c>
      <c r="F81" s="3">
        <v>1</v>
      </c>
      <c r="G81" s="3">
        <v>0</v>
      </c>
      <c r="H81" s="3">
        <v>0</v>
      </c>
      <c r="I81" s="3">
        <v>1</v>
      </c>
      <c r="J81" s="8">
        <f>SUMIFS(COMPOSICIÓN!$J$2:$J$982,COMPOSICIÓN!$A$2:$A$982,A81,COMPOSICIÓN!$B$2:$B$982,"MAT")</f>
        <v>1185.4173163749999</v>
      </c>
      <c r="K81" s="8">
        <f>SUMIFS(COMPOSICIÓN!$J$2:$J$982,COMPOSICIÓN!$A$2:$A$982,A81,COMPOSICIÓN!$B$2:$B$982,"MO")*I81</f>
        <v>4329.9035670096</v>
      </c>
      <c r="L81" s="8">
        <f>SUMIFS(COMPOSICIÓN!$J$2:$J$982,COMPOSICIÓN!$A$2:$A$982,A81,COMPOSICIÓN!$B$2:$B$982,"EQ")</f>
        <v>95.289180471080996</v>
      </c>
      <c r="M81" s="8">
        <f t="shared" si="10"/>
        <v>1185.4173163749999</v>
      </c>
      <c r="N81" s="8">
        <f t="shared" si="11"/>
        <v>4329.9035670096</v>
      </c>
      <c r="O81" s="8">
        <f t="shared" si="12"/>
        <v>95.289180471080996</v>
      </c>
      <c r="P81" s="8">
        <f t="shared" si="13"/>
        <v>5610.6100638556809</v>
      </c>
      <c r="Q81" s="7">
        <f>COUNTIF(COMPOSICIÓN!$A:$A,A81)</f>
        <v>8</v>
      </c>
      <c r="R81" s="13">
        <v>37</v>
      </c>
      <c r="S81" s="5" t="s">
        <v>1221</v>
      </c>
      <c r="T81" s="13">
        <v>1185.4173000000001</v>
      </c>
      <c r="U81" s="13">
        <v>4329.9040000000005</v>
      </c>
      <c r="V81" s="13">
        <v>95.289199999999994</v>
      </c>
      <c r="W81" s="14">
        <f t="shared" si="14"/>
        <v>-7.7735626047292783E-8</v>
      </c>
    </row>
    <row r="82" spans="1:23" x14ac:dyDescent="0.35">
      <c r="A82" s="5" t="s">
        <v>973</v>
      </c>
      <c r="B82" s="5">
        <v>12.04</v>
      </c>
      <c r="C82" s="5" t="s">
        <v>966</v>
      </c>
      <c r="D82" s="5" t="s">
        <v>972</v>
      </c>
      <c r="E82" s="5" t="s">
        <v>356</v>
      </c>
      <c r="F82" s="3">
        <v>1</v>
      </c>
      <c r="G82" s="3">
        <v>0</v>
      </c>
      <c r="H82" s="3">
        <v>0</v>
      </c>
      <c r="I82" s="3">
        <v>1</v>
      </c>
      <c r="J82" s="8">
        <f>SUMIFS(COMPOSICIÓN!$J$2:$J$982,COMPOSICIÓN!$A$2:$A$982,A82,COMPOSICIÓN!$B$2:$B$982,"MAT")</f>
        <v>1185.4173163749999</v>
      </c>
      <c r="K82" s="8">
        <f>SUMIFS(COMPOSICIÓN!$J$2:$J$982,COMPOSICIÓN!$A$2:$A$982,A82,COMPOSICIÓN!$B$2:$B$982,"MO")*I82</f>
        <v>4329.9035670096</v>
      </c>
      <c r="L82" s="8">
        <f>SUMIFS(COMPOSICIÓN!$J$2:$J$982,COMPOSICIÓN!$A$2:$A$982,A82,COMPOSICIÓN!$B$2:$B$982,"EQ")</f>
        <v>95.289180471080996</v>
      </c>
      <c r="M82" s="8">
        <f t="shared" si="10"/>
        <v>1185.4173163749999</v>
      </c>
      <c r="N82" s="8">
        <f t="shared" si="11"/>
        <v>4329.9035670096</v>
      </c>
      <c r="O82" s="8">
        <f t="shared" si="12"/>
        <v>95.289180471080996</v>
      </c>
      <c r="P82" s="8">
        <f t="shared" si="13"/>
        <v>5610.6100638556809</v>
      </c>
      <c r="Q82" s="7">
        <f>COUNTIF(COMPOSICIÓN!$A:$A,A82)</f>
        <v>8</v>
      </c>
      <c r="R82" s="13">
        <v>433</v>
      </c>
      <c r="S82" s="5" t="s">
        <v>1221</v>
      </c>
      <c r="T82" s="13">
        <v>1185.4173000000001</v>
      </c>
      <c r="U82" s="13">
        <v>4329.9040000000005</v>
      </c>
      <c r="V82" s="13">
        <v>95.289199999999994</v>
      </c>
      <c r="W82" s="14">
        <f t="shared" si="14"/>
        <v>-7.7735626047292783E-8</v>
      </c>
    </row>
    <row r="83" spans="1:23" x14ac:dyDescent="0.35">
      <c r="A83" s="5" t="s">
        <v>975</v>
      </c>
      <c r="B83" s="5">
        <v>12.05</v>
      </c>
      <c r="C83" s="5" t="s">
        <v>966</v>
      </c>
      <c r="D83" s="5" t="s">
        <v>974</v>
      </c>
      <c r="E83" s="5" t="s">
        <v>356</v>
      </c>
      <c r="F83" s="3">
        <v>1</v>
      </c>
      <c r="G83" s="3">
        <v>0</v>
      </c>
      <c r="H83" s="3">
        <v>0</v>
      </c>
      <c r="I83" s="3">
        <v>1</v>
      </c>
      <c r="J83" s="8">
        <f>SUMIFS(COMPOSICIÓN!$J$2:$J$982,COMPOSICIÓN!$A$2:$A$982,A83,COMPOSICIÓN!$B$2:$B$982,"MAT")</f>
        <v>1185.4173163749999</v>
      </c>
      <c r="K83" s="8">
        <f>SUMIFS(COMPOSICIÓN!$J$2:$J$982,COMPOSICIÓN!$A$2:$A$982,A83,COMPOSICIÓN!$B$2:$B$982,"MO")*I83</f>
        <v>4329.9035670096</v>
      </c>
      <c r="L83" s="8">
        <f>SUMIFS(COMPOSICIÓN!$J$2:$J$982,COMPOSICIÓN!$A$2:$A$982,A83,COMPOSICIÓN!$B$2:$B$982,"EQ")</f>
        <v>95.289180471080996</v>
      </c>
      <c r="M83" s="8">
        <f t="shared" si="10"/>
        <v>1185.4173163749999</v>
      </c>
      <c r="N83" s="8">
        <f t="shared" si="11"/>
        <v>4329.9035670096</v>
      </c>
      <c r="O83" s="8">
        <f t="shared" si="12"/>
        <v>95.289180471080996</v>
      </c>
      <c r="P83" s="8">
        <f t="shared" si="13"/>
        <v>5610.6100638556809</v>
      </c>
      <c r="Q83" s="7">
        <f>COUNTIF(COMPOSICIÓN!$A:$A,A83)</f>
        <v>8</v>
      </c>
      <c r="R83" s="13">
        <v>155</v>
      </c>
      <c r="S83" s="5" t="s">
        <v>1221</v>
      </c>
      <c r="T83" s="13">
        <v>1185.4173000000001</v>
      </c>
      <c r="U83" s="13">
        <v>4329.9040000000005</v>
      </c>
      <c r="V83" s="13">
        <v>95.289199999999994</v>
      </c>
      <c r="W83" s="14">
        <f t="shared" si="14"/>
        <v>-7.7735626047292783E-8</v>
      </c>
    </row>
    <row r="84" spans="1:23" x14ac:dyDescent="0.35">
      <c r="A84" s="5" t="s">
        <v>978</v>
      </c>
      <c r="B84" s="5">
        <v>13.01</v>
      </c>
      <c r="C84" s="5" t="s">
        <v>976</v>
      </c>
      <c r="D84" s="5" t="s">
        <v>977</v>
      </c>
      <c r="E84" s="5" t="s">
        <v>866</v>
      </c>
      <c r="F84" s="3">
        <v>1</v>
      </c>
      <c r="G84" s="3">
        <v>0</v>
      </c>
      <c r="H84" s="3">
        <v>0</v>
      </c>
      <c r="I84" s="3">
        <v>1</v>
      </c>
      <c r="J84" s="8">
        <f>SUMIFS(COMPOSICIÓN!$J$2:$J$982,COMPOSICIÓN!$A$2:$A$982,A84,COMPOSICIÓN!$B$2:$B$982,"MAT")</f>
        <v>7250.1086545000007</v>
      </c>
      <c r="K84" s="8">
        <f>SUMIFS(COMPOSICIÓN!$J$2:$J$982,COMPOSICIÓN!$A$2:$A$982,A84,COMPOSICIÓN!$B$2:$B$982,"MO")*I84</f>
        <v>12989.712</v>
      </c>
      <c r="L84" s="8">
        <f>SUMIFS(COMPOSICIÓN!$J$2:$J$982,COMPOSICIÓN!$A$2:$A$982,A84,COMPOSICIÓN!$B$2:$B$982,"EQ")</f>
        <v>285.86757</v>
      </c>
      <c r="M84" s="8">
        <f t="shared" si="10"/>
        <v>7250.1086545000007</v>
      </c>
      <c r="N84" s="8">
        <f t="shared" si="11"/>
        <v>12989.712</v>
      </c>
      <c r="O84" s="8">
        <f t="shared" si="12"/>
        <v>285.86757</v>
      </c>
      <c r="P84" s="8">
        <f t="shared" si="13"/>
        <v>20525.688224499998</v>
      </c>
      <c r="Q84" s="7">
        <f>COUNTIF(COMPOSICIÓN!$A:$A,A84)</f>
        <v>9</v>
      </c>
      <c r="R84" s="13">
        <v>511</v>
      </c>
      <c r="S84" s="5" t="s">
        <v>1221</v>
      </c>
      <c r="T84" s="13">
        <v>7250.1086999999998</v>
      </c>
      <c r="U84" s="13">
        <v>12989.712</v>
      </c>
      <c r="V84" s="13">
        <v>285.86759999999998</v>
      </c>
      <c r="W84" s="14">
        <f t="shared" si="14"/>
        <v>-3.6783177614907459E-9</v>
      </c>
    </row>
    <row r="85" spans="1:23" x14ac:dyDescent="0.35">
      <c r="A85" s="5" t="s">
        <v>980</v>
      </c>
      <c r="B85" s="5">
        <v>13.02</v>
      </c>
      <c r="C85" s="5" t="s">
        <v>976</v>
      </c>
      <c r="D85" s="5" t="s">
        <v>979</v>
      </c>
      <c r="E85" s="5" t="s">
        <v>866</v>
      </c>
      <c r="F85" s="3">
        <v>1</v>
      </c>
      <c r="G85" s="3">
        <v>0</v>
      </c>
      <c r="H85" s="3">
        <v>0</v>
      </c>
      <c r="I85" s="3">
        <v>1</v>
      </c>
      <c r="J85" s="8">
        <f>SUMIFS(COMPOSICIÓN!$J$2:$J$982,COMPOSICIÓN!$A$2:$A$982,A85,COMPOSICIÓN!$B$2:$B$982,"MAT")</f>
        <v>7250.1086545000007</v>
      </c>
      <c r="K85" s="8">
        <f>SUMIFS(COMPOSICIÓN!$J$2:$J$982,COMPOSICIÓN!$A$2:$A$982,A85,COMPOSICIÓN!$B$2:$B$982,"MO")*I85</f>
        <v>12989.712</v>
      </c>
      <c r="L85" s="8">
        <f>SUMIFS(COMPOSICIÓN!$J$2:$J$982,COMPOSICIÓN!$A$2:$A$982,A85,COMPOSICIÓN!$B$2:$B$982,"EQ")</f>
        <v>285.86757</v>
      </c>
      <c r="M85" s="8">
        <f t="shared" si="10"/>
        <v>7250.1086545000007</v>
      </c>
      <c r="N85" s="8">
        <f t="shared" si="11"/>
        <v>12989.712</v>
      </c>
      <c r="O85" s="8">
        <f t="shared" si="12"/>
        <v>285.86757</v>
      </c>
      <c r="P85" s="8">
        <f t="shared" si="13"/>
        <v>20525.688224499998</v>
      </c>
      <c r="Q85" s="7">
        <f>COUNTIF(COMPOSICIÓN!$A:$A,A85)</f>
        <v>9</v>
      </c>
      <c r="R85" s="13">
        <v>40</v>
      </c>
      <c r="S85" s="5" t="s">
        <v>1221</v>
      </c>
      <c r="T85" s="13">
        <v>7250.1086999999998</v>
      </c>
      <c r="U85" s="13">
        <v>12989.712</v>
      </c>
      <c r="V85" s="13">
        <v>285.86759999999998</v>
      </c>
      <c r="W85" s="14">
        <f t="shared" si="14"/>
        <v>-3.6783177614907459E-9</v>
      </c>
    </row>
    <row r="86" spans="1:23" x14ac:dyDescent="0.35">
      <c r="A86" s="5" t="s">
        <v>982</v>
      </c>
      <c r="B86" s="5">
        <v>13.03</v>
      </c>
      <c r="C86" s="5" t="s">
        <v>976</v>
      </c>
      <c r="D86" s="5" t="s">
        <v>981</v>
      </c>
      <c r="E86" s="5" t="s">
        <v>866</v>
      </c>
      <c r="F86" s="3">
        <v>1</v>
      </c>
      <c r="G86" s="3">
        <v>0</v>
      </c>
      <c r="H86" s="3">
        <v>0</v>
      </c>
      <c r="I86" s="3">
        <v>1</v>
      </c>
      <c r="J86" s="8">
        <f>SUMIFS(COMPOSICIÓN!$J$2:$J$982,COMPOSICIÓN!$A$2:$A$982,A86,COMPOSICIÓN!$B$2:$B$982,"MAT")</f>
        <v>7250.1086545000007</v>
      </c>
      <c r="K86" s="8">
        <f>SUMIFS(COMPOSICIÓN!$J$2:$J$982,COMPOSICIÓN!$A$2:$A$982,A86,COMPOSICIÓN!$B$2:$B$982,"MO")*I86</f>
        <v>16237.140000000001</v>
      </c>
      <c r="L86" s="8">
        <f>SUMIFS(COMPOSICIÓN!$J$2:$J$982,COMPOSICIÓN!$A$2:$A$982,A86,COMPOSICIÓN!$B$2:$B$982,"EQ")</f>
        <v>285.86757</v>
      </c>
      <c r="M86" s="8">
        <f t="shared" si="10"/>
        <v>7250.1086545000007</v>
      </c>
      <c r="N86" s="8">
        <f t="shared" si="11"/>
        <v>16237.140000000001</v>
      </c>
      <c r="O86" s="8">
        <f t="shared" si="12"/>
        <v>285.86757</v>
      </c>
      <c r="P86" s="8">
        <f t="shared" si="13"/>
        <v>23773.116224500001</v>
      </c>
      <c r="Q86" s="7">
        <f>COUNTIF(COMPOSICIÓN!$A:$A,A86)</f>
        <v>11</v>
      </c>
      <c r="R86" s="13">
        <v>147.601</v>
      </c>
      <c r="S86" s="5" t="s">
        <v>1221</v>
      </c>
      <c r="T86" s="13">
        <v>7250.1086999999998</v>
      </c>
      <c r="U86" s="13">
        <v>16237.14</v>
      </c>
      <c r="V86" s="13">
        <v>285.86759999999998</v>
      </c>
      <c r="W86" s="14">
        <f t="shared" si="14"/>
        <v>-3.1758562446526639E-9</v>
      </c>
    </row>
    <row r="87" spans="1:23" x14ac:dyDescent="0.35">
      <c r="A87" s="5" t="s">
        <v>984</v>
      </c>
      <c r="B87" s="5">
        <v>13.04</v>
      </c>
      <c r="C87" s="5" t="s">
        <v>976</v>
      </c>
      <c r="D87" s="5" t="s">
        <v>983</v>
      </c>
      <c r="E87" s="5" t="s">
        <v>284</v>
      </c>
      <c r="F87" s="3">
        <v>1</v>
      </c>
      <c r="G87" s="3">
        <v>0</v>
      </c>
      <c r="H87" s="3">
        <v>0</v>
      </c>
      <c r="I87" s="3">
        <v>1</v>
      </c>
      <c r="J87" s="8">
        <f>SUMIFS(COMPOSICIÓN!$J$2:$J$982,COMPOSICIÓN!$A$2:$A$982,A87,COMPOSICIÓN!$B$2:$B$982,"MAT")</f>
        <v>15666.9421</v>
      </c>
      <c r="K87" s="8">
        <f>SUMIFS(COMPOSICIÓN!$J$2:$J$982,COMPOSICIÓN!$A$2:$A$982,A87,COMPOSICIÓN!$B$2:$B$982,"MO")*I87</f>
        <v>0</v>
      </c>
      <c r="L87" s="8">
        <f>SUMIFS(COMPOSICIÓN!$J$2:$J$982,COMPOSICIÓN!$A$2:$A$982,A87,COMPOSICIÓN!$B$2:$B$982,"EQ")</f>
        <v>0</v>
      </c>
      <c r="M87" s="8">
        <f t="shared" si="10"/>
        <v>15666.9421</v>
      </c>
      <c r="N87" s="8">
        <f t="shared" si="11"/>
        <v>0</v>
      </c>
      <c r="O87" s="8">
        <f t="shared" si="12"/>
        <v>0</v>
      </c>
      <c r="P87" s="8">
        <f t="shared" si="13"/>
        <v>15666.9421</v>
      </c>
      <c r="Q87" s="7">
        <f>COUNTIF(COMPOSICIÓN!$A:$A,A87)</f>
        <v>1</v>
      </c>
      <c r="R87" s="13">
        <v>41</v>
      </c>
      <c r="S87" s="5" t="s">
        <v>1221</v>
      </c>
      <c r="T87" s="13">
        <v>15666.9421</v>
      </c>
      <c r="U87" s="13">
        <v>0</v>
      </c>
      <c r="V87" s="13">
        <v>0</v>
      </c>
      <c r="W87" s="14">
        <f t="shared" si="14"/>
        <v>0</v>
      </c>
    </row>
    <row r="88" spans="1:23" x14ac:dyDescent="0.35">
      <c r="A88" s="5" t="s">
        <v>987</v>
      </c>
      <c r="B88" s="5">
        <v>14.01</v>
      </c>
      <c r="C88" s="5" t="s">
        <v>985</v>
      </c>
      <c r="D88" s="5" t="s">
        <v>986</v>
      </c>
      <c r="E88" s="5" t="s">
        <v>866</v>
      </c>
      <c r="F88" s="3">
        <v>1</v>
      </c>
      <c r="G88" s="3">
        <v>0</v>
      </c>
      <c r="H88" s="3">
        <v>0</v>
      </c>
      <c r="I88" s="3">
        <v>1</v>
      </c>
      <c r="J88" s="8">
        <f>SUMIFS(COMPOSICIÓN!$J$2:$J$982,COMPOSICIÓN!$A$2:$A$982,A88,COMPOSICIÓN!$B$2:$B$982,"MAT")</f>
        <v>9357.5318055232565</v>
      </c>
      <c r="K88" s="8">
        <f>SUMIFS(COMPOSICIÓN!$J$2:$J$982,COMPOSICIÓN!$A$2:$A$982,A88,COMPOSICIÓN!$B$2:$B$982,"MO")*I88</f>
        <v>13673.381326099199</v>
      </c>
      <c r="L88" s="8">
        <f>SUMIFS(COMPOSICIÓN!$J$2:$J$982,COMPOSICIÓN!$A$2:$A$982,A88,COMPOSICIÓN!$B$2:$B$982,"EQ")</f>
        <v>256.82236303118401</v>
      </c>
      <c r="M88" s="8">
        <f t="shared" si="10"/>
        <v>9357.5318055232565</v>
      </c>
      <c r="N88" s="8">
        <f t="shared" si="11"/>
        <v>13673.381326099199</v>
      </c>
      <c r="O88" s="8">
        <f t="shared" si="12"/>
        <v>256.82236303118401</v>
      </c>
      <c r="P88" s="8">
        <f t="shared" si="13"/>
        <v>23287.73549465364</v>
      </c>
      <c r="Q88" s="7">
        <f>COUNTIF(COMPOSICIÓN!$A:$A,A88)</f>
        <v>12</v>
      </c>
      <c r="R88" s="13">
        <v>334.91520000000003</v>
      </c>
      <c r="S88" s="5" t="s">
        <v>1221</v>
      </c>
      <c r="T88" s="13">
        <v>9357.5318000000007</v>
      </c>
      <c r="U88" s="13">
        <v>13673.381100000001</v>
      </c>
      <c r="V88" s="13">
        <v>256.82240000000002</v>
      </c>
      <c r="W88" s="14">
        <f t="shared" si="14"/>
        <v>8.3586331189877683E-9</v>
      </c>
    </row>
    <row r="89" spans="1:23" x14ac:dyDescent="0.35">
      <c r="A89" s="5" t="s">
        <v>989</v>
      </c>
      <c r="B89" s="5">
        <v>14.02</v>
      </c>
      <c r="C89" s="5" t="s">
        <v>985</v>
      </c>
      <c r="D89" s="5" t="s">
        <v>988</v>
      </c>
      <c r="E89" s="5" t="s">
        <v>866</v>
      </c>
      <c r="F89" s="3">
        <v>1</v>
      </c>
      <c r="G89" s="3">
        <v>0</v>
      </c>
      <c r="H89" s="3">
        <v>0</v>
      </c>
      <c r="I89" s="3">
        <v>1</v>
      </c>
      <c r="J89" s="8">
        <f>SUMIFS(COMPOSICIÓN!$J$2:$J$982,COMPOSICIÓN!$A$2:$A$982,A89,COMPOSICIÓN!$B$2:$B$982,"MAT")</f>
        <v>13094.309757060983</v>
      </c>
      <c r="K89" s="8">
        <f>SUMIFS(COMPOSICIÓN!$J$2:$J$982,COMPOSICIÓN!$A$2:$A$982,A89,COMPOSICIÓN!$B$2:$B$982,"MO")*I89</f>
        <v>13673.381326099199</v>
      </c>
      <c r="L89" s="8">
        <f>SUMIFS(COMPOSICIÓN!$J$2:$J$982,COMPOSICIÓN!$A$2:$A$982,A89,COMPOSICIÓN!$B$2:$B$982,"EQ")</f>
        <v>256.82236303118401</v>
      </c>
      <c r="M89" s="8">
        <f t="shared" si="10"/>
        <v>13094.309757060983</v>
      </c>
      <c r="N89" s="8">
        <f t="shared" si="11"/>
        <v>13673.381326099199</v>
      </c>
      <c r="O89" s="8">
        <f t="shared" si="12"/>
        <v>256.82236303118401</v>
      </c>
      <c r="P89" s="8">
        <f t="shared" si="13"/>
        <v>27024.513446191366</v>
      </c>
      <c r="Q89" s="7">
        <f>COUNTIF(COMPOSICIÓN!$A:$A,A89)</f>
        <v>12</v>
      </c>
      <c r="R89" s="13">
        <v>280.3913</v>
      </c>
      <c r="S89" s="5" t="s">
        <v>1221</v>
      </c>
      <c r="T89" s="13">
        <v>13094.3097</v>
      </c>
      <c r="U89" s="13">
        <v>13673.381100000001</v>
      </c>
      <c r="V89" s="13">
        <v>256.82240000000002</v>
      </c>
      <c r="W89" s="14">
        <f t="shared" si="14"/>
        <v>9.1099279231343644E-9</v>
      </c>
    </row>
    <row r="90" spans="1:23" x14ac:dyDescent="0.35">
      <c r="A90" s="5" t="s">
        <v>991</v>
      </c>
      <c r="B90" s="5">
        <v>14.03</v>
      </c>
      <c r="C90" s="5" t="s">
        <v>985</v>
      </c>
      <c r="D90" s="5" t="s">
        <v>990</v>
      </c>
      <c r="E90" s="5" t="s">
        <v>356</v>
      </c>
      <c r="F90" s="3">
        <v>1</v>
      </c>
      <c r="G90" s="3">
        <v>0</v>
      </c>
      <c r="H90" s="3">
        <v>0</v>
      </c>
      <c r="I90" s="3">
        <v>1</v>
      </c>
      <c r="J90" s="8">
        <f>SUMIFS(COMPOSICIÓN!$J$2:$J$982,COMPOSICIÓN!$A$2:$A$982,A90,COMPOSICIÓN!$B$2:$B$982,"MAT")</f>
        <v>9357.5318055232565</v>
      </c>
      <c r="K90" s="8">
        <f>SUMIFS(COMPOSICIÓN!$J$2:$J$982,COMPOSICIÓN!$A$2:$A$982,A90,COMPOSICIÓN!$B$2:$B$982,"MO")*I90</f>
        <v>13673.381326099199</v>
      </c>
      <c r="L90" s="8">
        <f>SUMIFS(COMPOSICIÓN!$J$2:$J$982,COMPOSICIÓN!$A$2:$A$982,A90,COMPOSICIÓN!$B$2:$B$982,"EQ")</f>
        <v>256.82236303118401</v>
      </c>
      <c r="M90" s="8">
        <f t="shared" si="10"/>
        <v>9357.5318055232565</v>
      </c>
      <c r="N90" s="8">
        <f t="shared" si="11"/>
        <v>13673.381326099199</v>
      </c>
      <c r="O90" s="8">
        <f t="shared" si="12"/>
        <v>256.82236303118401</v>
      </c>
      <c r="P90" s="8">
        <f t="shared" si="13"/>
        <v>23287.73549465364</v>
      </c>
      <c r="Q90" s="7">
        <f>COUNTIF(COMPOSICIÓN!$A:$A,A90)</f>
        <v>12</v>
      </c>
      <c r="R90" s="13">
        <v>60.8</v>
      </c>
      <c r="S90" s="5" t="s">
        <v>1221</v>
      </c>
      <c r="T90" s="13">
        <v>9357.5318000000007</v>
      </c>
      <c r="U90" s="13">
        <v>13673.381100000001</v>
      </c>
      <c r="V90" s="13">
        <v>256.82240000000002</v>
      </c>
      <c r="W90" s="14">
        <f t="shared" si="14"/>
        <v>8.3586331189877683E-9</v>
      </c>
    </row>
    <row r="91" spans="1:23" x14ac:dyDescent="0.35">
      <c r="A91" s="5" t="s">
        <v>993</v>
      </c>
      <c r="B91" s="5">
        <v>14.04</v>
      </c>
      <c r="C91" s="5" t="s">
        <v>985</v>
      </c>
      <c r="D91" s="5" t="s">
        <v>992</v>
      </c>
      <c r="E91" s="5" t="s">
        <v>356</v>
      </c>
      <c r="F91" s="3">
        <v>1</v>
      </c>
      <c r="G91" s="3">
        <v>0</v>
      </c>
      <c r="H91" s="3">
        <v>0</v>
      </c>
      <c r="I91" s="3">
        <v>1</v>
      </c>
      <c r="J91" s="8">
        <f>SUMIFS(COMPOSICIÓN!$J$2:$J$982,COMPOSICIÓN!$A$2:$A$982,A91,COMPOSICIÓN!$B$2:$B$982,"MAT")</f>
        <v>1093.3011411096729</v>
      </c>
      <c r="K91" s="8">
        <f>SUMIFS(COMPOSICIÓN!$J$2:$J$982,COMPOSICIÓN!$A$2:$A$982,A91,COMPOSICIÓN!$B$2:$B$982,"MO")*I91</f>
        <v>5007.5367970434945</v>
      </c>
      <c r="L91" s="8">
        <f>SUMIFS(COMPOSICIÓN!$J$2:$J$982,COMPOSICIÓN!$A$2:$A$982,A91,COMPOSICIÓN!$B$2:$B$982,"EQ")</f>
        <v>162.65416813270798</v>
      </c>
      <c r="M91" s="8">
        <f t="shared" si="10"/>
        <v>1093.3011411096729</v>
      </c>
      <c r="N91" s="8">
        <f t="shared" si="11"/>
        <v>5007.5367970434945</v>
      </c>
      <c r="O91" s="8">
        <f t="shared" si="12"/>
        <v>162.65416813270798</v>
      </c>
      <c r="P91" s="8">
        <f t="shared" si="13"/>
        <v>6263.4921062858757</v>
      </c>
      <c r="Q91" s="7">
        <f>COUNTIF(COMPOSICIÓN!$A:$A,A91)</f>
        <v>5</v>
      </c>
      <c r="R91" s="13">
        <v>1058.3800000000001</v>
      </c>
      <c r="S91" s="5" t="s">
        <v>1221</v>
      </c>
      <c r="T91" s="13">
        <v>1093.3010999999999</v>
      </c>
      <c r="U91" s="13">
        <v>5007.5365000000002</v>
      </c>
      <c r="V91" s="13">
        <v>162.6542</v>
      </c>
      <c r="W91" s="14">
        <f t="shared" si="14"/>
        <v>4.8900179905331242E-8</v>
      </c>
    </row>
    <row r="92" spans="1:23" x14ac:dyDescent="0.35">
      <c r="A92" s="5" t="s">
        <v>995</v>
      </c>
      <c r="B92" s="5">
        <v>14.05</v>
      </c>
      <c r="C92" s="5" t="s">
        <v>985</v>
      </c>
      <c r="D92" s="5" t="s">
        <v>994</v>
      </c>
      <c r="E92" s="5" t="s">
        <v>866</v>
      </c>
      <c r="F92" s="3">
        <v>1</v>
      </c>
      <c r="G92" s="3">
        <v>0</v>
      </c>
      <c r="H92" s="3">
        <v>0</v>
      </c>
      <c r="I92" s="3">
        <v>1</v>
      </c>
      <c r="J92" s="8">
        <f>SUMIFS(COMPOSICIÓN!$J$2:$J$982,COMPOSICIÓN!$A$2:$A$982,A92,COMPOSICIÓN!$B$2:$B$982,"MAT")</f>
        <v>5770.2845463965996</v>
      </c>
      <c r="K92" s="8">
        <f>SUMIFS(COMPOSICIÓN!$J$2:$J$982,COMPOSICIÓN!$A$2:$A$982,A92,COMPOSICIÓN!$B$2:$B$982,"MO")*I92</f>
        <v>12817.951499999999</v>
      </c>
      <c r="L92" s="8">
        <f>SUMIFS(COMPOSICIÓN!$J$2:$J$982,COMPOSICIÓN!$A$2:$A$982,A92,COMPOSICIÓN!$B$2:$B$982,"EQ")</f>
        <v>0</v>
      </c>
      <c r="M92" s="8">
        <f t="shared" si="10"/>
        <v>5770.2845463965996</v>
      </c>
      <c r="N92" s="8">
        <f t="shared" si="11"/>
        <v>12817.951499999999</v>
      </c>
      <c r="O92" s="8">
        <f t="shared" si="12"/>
        <v>0</v>
      </c>
      <c r="P92" s="8">
        <f t="shared" si="13"/>
        <v>18588.2360463966</v>
      </c>
      <c r="Q92" s="7">
        <f>COUNTIF(COMPOSICIÓN!$A:$A,A92)</f>
        <v>3</v>
      </c>
      <c r="R92" s="13">
        <v>504.12220000000002</v>
      </c>
      <c r="S92" s="5" t="s">
        <v>1222</v>
      </c>
      <c r="T92" s="13">
        <v>5770.2851000000001</v>
      </c>
      <c r="U92" s="13">
        <v>12817.951499999999</v>
      </c>
      <c r="V92" s="13">
        <v>0</v>
      </c>
      <c r="W92" s="14">
        <f t="shared" si="14"/>
        <v>-2.9782459276539441E-8</v>
      </c>
    </row>
    <row r="93" spans="1:23" x14ac:dyDescent="0.35">
      <c r="A93" s="5" t="s">
        <v>997</v>
      </c>
      <c r="B93" s="5">
        <v>14.06</v>
      </c>
      <c r="C93" s="5" t="s">
        <v>985</v>
      </c>
      <c r="D93" s="5" t="s">
        <v>996</v>
      </c>
      <c r="E93" s="5" t="s">
        <v>356</v>
      </c>
      <c r="F93" s="3">
        <v>1</v>
      </c>
      <c r="G93" s="3">
        <v>0</v>
      </c>
      <c r="H93" s="3">
        <v>0</v>
      </c>
      <c r="I93" s="3">
        <v>1</v>
      </c>
      <c r="J93" s="8">
        <f>SUMIFS(COMPOSICIÓN!$J$2:$J$982,COMPOSICIÓN!$A$2:$A$982,A93,COMPOSICIÓN!$B$2:$B$982,"MAT")</f>
        <v>0</v>
      </c>
      <c r="K93" s="8">
        <f>SUMIFS(COMPOSICIÓN!$J$2:$J$982,COMPOSICIÓN!$A$2:$A$982,A93,COMPOSICIÓN!$B$2:$B$982,"MO")*I93</f>
        <v>10160.5713</v>
      </c>
      <c r="L93" s="8">
        <f>SUMIFS(COMPOSICIÓN!$J$2:$J$982,COMPOSICIÓN!$A$2:$A$982,A93,COMPOSICIÓN!$B$2:$B$982,"EQ")</f>
        <v>0</v>
      </c>
      <c r="M93" s="8">
        <f t="shared" si="10"/>
        <v>0</v>
      </c>
      <c r="N93" s="8">
        <f t="shared" si="11"/>
        <v>10160.5713</v>
      </c>
      <c r="O93" s="8">
        <f t="shared" si="12"/>
        <v>0</v>
      </c>
      <c r="P93" s="8">
        <f t="shared" si="13"/>
        <v>10160.5713</v>
      </c>
      <c r="Q93" s="7">
        <f>COUNTIF(COMPOSICIÓN!$A:$A,A93)</f>
        <v>1</v>
      </c>
      <c r="R93" s="13">
        <v>555.99</v>
      </c>
      <c r="S93" s="5" t="s">
        <v>1221</v>
      </c>
      <c r="T93" s="13">
        <v>0</v>
      </c>
      <c r="U93" s="13">
        <v>10160.5713</v>
      </c>
      <c r="V93" s="13">
        <v>0</v>
      </c>
      <c r="W93" s="14">
        <f t="shared" si="14"/>
        <v>0</v>
      </c>
    </row>
    <row r="94" spans="1:23" x14ac:dyDescent="0.35">
      <c r="A94" s="5" t="s">
        <v>999</v>
      </c>
      <c r="B94" s="5">
        <v>14.07</v>
      </c>
      <c r="C94" s="5" t="s">
        <v>985</v>
      </c>
      <c r="D94" s="5" t="s">
        <v>998</v>
      </c>
      <c r="E94" s="5" t="s">
        <v>866</v>
      </c>
      <c r="F94" s="3">
        <v>1</v>
      </c>
      <c r="G94" s="3">
        <v>0</v>
      </c>
      <c r="H94" s="3">
        <v>0</v>
      </c>
      <c r="I94" s="3">
        <v>1</v>
      </c>
      <c r="J94" s="8">
        <f>SUMIFS(COMPOSICIÓN!$J$2:$J$982,COMPOSICIÓN!$A$2:$A$982,A94,COMPOSICIÓN!$B$2:$B$982,"MAT")</f>
        <v>699.17399999999998</v>
      </c>
      <c r="K94" s="8">
        <f>SUMIFS(COMPOSICIÓN!$J$2:$J$982,COMPOSICIÓN!$A$2:$A$982,A94,COMPOSICIÓN!$B$2:$B$982,"MO")*I94</f>
        <v>2914.3271312820002</v>
      </c>
      <c r="L94" s="8">
        <f>SUMIFS(COMPOSICIÓN!$J$2:$J$982,COMPOSICIÓN!$A$2:$A$982,A94,COMPOSICIÓN!$B$2:$B$982,"EQ")</f>
        <v>54.202500000000001</v>
      </c>
      <c r="M94" s="8">
        <f t="shared" si="10"/>
        <v>699.17399999999998</v>
      </c>
      <c r="N94" s="8">
        <f t="shared" si="11"/>
        <v>2914.3271312820002</v>
      </c>
      <c r="O94" s="8">
        <f t="shared" si="12"/>
        <v>54.202500000000001</v>
      </c>
      <c r="P94" s="8">
        <f t="shared" si="13"/>
        <v>3667.7036312820001</v>
      </c>
      <c r="Q94" s="7">
        <f>COUNTIF(COMPOSICIÓN!$A:$A,A94)</f>
        <v>5</v>
      </c>
      <c r="R94" s="13">
        <v>429.07780000000002</v>
      </c>
      <c r="S94" s="5" t="s">
        <v>1222</v>
      </c>
      <c r="T94" s="13">
        <v>699.1739</v>
      </c>
      <c r="U94" s="13">
        <v>2914.3265999999999</v>
      </c>
      <c r="V94" s="13">
        <v>54.202500000000001</v>
      </c>
      <c r="W94" s="14">
        <f t="shared" si="14"/>
        <v>1.7211917113790776E-7</v>
      </c>
    </row>
    <row r="95" spans="1:23" x14ac:dyDescent="0.35">
      <c r="A95" s="5" t="s">
        <v>1002</v>
      </c>
      <c r="B95" s="5">
        <v>15.01</v>
      </c>
      <c r="C95" s="5" t="s">
        <v>1000</v>
      </c>
      <c r="D95" s="5" t="s">
        <v>1001</v>
      </c>
      <c r="E95" s="5" t="s">
        <v>866</v>
      </c>
      <c r="F95" s="3">
        <v>1</v>
      </c>
      <c r="G95" s="3">
        <v>0</v>
      </c>
      <c r="H95" s="3">
        <v>0</v>
      </c>
      <c r="I95" s="3">
        <v>1</v>
      </c>
      <c r="J95" s="8">
        <f>SUMIFS(COMPOSICIÓN!$J$2:$J$982,COMPOSICIÓN!$A$2:$A$982,A95,COMPOSICIÓN!$B$2:$B$982,"MAT")</f>
        <v>0</v>
      </c>
      <c r="K95" s="8">
        <f>SUMIFS(COMPOSICIÓN!$J$2:$J$982,COMPOSICIÓN!$A$2:$A$982,A95,COMPOSICIÓN!$B$2:$B$982,"MO")*I95</f>
        <v>0</v>
      </c>
      <c r="L95" s="8">
        <f>SUMIFS(COMPOSICIÓN!$J$2:$J$982,COMPOSICIÓN!$A$2:$A$982,A95,COMPOSICIÓN!$B$2:$B$982,"EQ")</f>
        <v>0</v>
      </c>
      <c r="M95" s="8">
        <f t="shared" si="10"/>
        <v>0</v>
      </c>
      <c r="N95" s="8">
        <f t="shared" si="11"/>
        <v>0</v>
      </c>
      <c r="O95" s="8">
        <f t="shared" si="12"/>
        <v>0</v>
      </c>
      <c r="P95" s="8">
        <f t="shared" si="13"/>
        <v>0</v>
      </c>
      <c r="Q95" s="7">
        <f>COUNTIF(COMPOSICIÓN!$A:$A,A95)</f>
        <v>0</v>
      </c>
      <c r="R95" s="13">
        <v>2670</v>
      </c>
      <c r="S95" s="5" t="s">
        <v>1221</v>
      </c>
      <c r="T95" s="13">
        <v>0</v>
      </c>
      <c r="U95" s="13">
        <v>0</v>
      </c>
      <c r="V95" s="13">
        <v>0</v>
      </c>
      <c r="W95" s="14">
        <f t="shared" si="14"/>
        <v>0</v>
      </c>
    </row>
    <row r="96" spans="1:23" x14ac:dyDescent="0.35">
      <c r="A96" s="5" t="s">
        <v>1004</v>
      </c>
      <c r="B96" s="5">
        <v>15.02</v>
      </c>
      <c r="C96" s="5" t="s">
        <v>1000</v>
      </c>
      <c r="D96" s="5" t="s">
        <v>1003</v>
      </c>
      <c r="E96" s="5" t="s">
        <v>866</v>
      </c>
      <c r="F96" s="3">
        <v>1</v>
      </c>
      <c r="G96" s="3">
        <v>0</v>
      </c>
      <c r="H96" s="3">
        <v>0</v>
      </c>
      <c r="I96" s="3">
        <v>1</v>
      </c>
      <c r="J96" s="8">
        <f>SUMIFS(COMPOSICIÓN!$J$2:$J$982,COMPOSICIÓN!$A$2:$A$982,A96,COMPOSICIÓN!$B$2:$B$982,"MAT")</f>
        <v>0</v>
      </c>
      <c r="K96" s="8">
        <f>SUMIFS(COMPOSICIÓN!$J$2:$J$982,COMPOSICIÓN!$A$2:$A$982,A96,COMPOSICIÓN!$B$2:$B$982,"MO")*I96</f>
        <v>0</v>
      </c>
      <c r="L96" s="8">
        <f>SUMIFS(COMPOSICIÓN!$J$2:$J$982,COMPOSICIÓN!$A$2:$A$982,A96,COMPOSICIÓN!$B$2:$B$982,"EQ")</f>
        <v>0</v>
      </c>
      <c r="M96" s="8">
        <f t="shared" si="10"/>
        <v>0</v>
      </c>
      <c r="N96" s="8">
        <f t="shared" si="11"/>
        <v>0</v>
      </c>
      <c r="O96" s="8">
        <f t="shared" si="12"/>
        <v>0</v>
      </c>
      <c r="P96" s="8">
        <f t="shared" si="13"/>
        <v>0</v>
      </c>
      <c r="Q96" s="7">
        <f>COUNTIF(COMPOSICIÓN!$A:$A,A96)</f>
        <v>0</v>
      </c>
      <c r="R96" s="13">
        <v>961</v>
      </c>
      <c r="S96" s="5" t="s">
        <v>1221</v>
      </c>
      <c r="T96" s="13">
        <v>0</v>
      </c>
      <c r="U96" s="13">
        <v>0</v>
      </c>
      <c r="V96" s="13">
        <v>0</v>
      </c>
      <c r="W96" s="14">
        <f t="shared" si="14"/>
        <v>0</v>
      </c>
    </row>
    <row r="97" spans="1:23" x14ac:dyDescent="0.35">
      <c r="A97" s="5" t="s">
        <v>1006</v>
      </c>
      <c r="B97" s="5">
        <v>15.03</v>
      </c>
      <c r="C97" s="5" t="s">
        <v>1000</v>
      </c>
      <c r="D97" s="5" t="s">
        <v>1005</v>
      </c>
      <c r="E97" s="5" t="s">
        <v>866</v>
      </c>
      <c r="F97" s="3">
        <v>1</v>
      </c>
      <c r="G97" s="3">
        <v>0</v>
      </c>
      <c r="H97" s="3">
        <v>0</v>
      </c>
      <c r="I97" s="3">
        <v>1</v>
      </c>
      <c r="J97" s="8">
        <f>SUMIFS(COMPOSICIÓN!$J$2:$J$982,COMPOSICIÓN!$A$2:$A$982,A97,COMPOSICIÓN!$B$2:$B$982,"MAT")</f>
        <v>0</v>
      </c>
      <c r="K97" s="8">
        <f>SUMIFS(COMPOSICIÓN!$J$2:$J$982,COMPOSICIÓN!$A$2:$A$982,A97,COMPOSICIÓN!$B$2:$B$982,"MO")*I97</f>
        <v>0</v>
      </c>
      <c r="L97" s="8">
        <f>SUMIFS(COMPOSICIÓN!$J$2:$J$982,COMPOSICIÓN!$A$2:$A$982,A97,COMPOSICIÓN!$B$2:$B$982,"EQ")</f>
        <v>0</v>
      </c>
      <c r="M97" s="8">
        <f t="shared" si="10"/>
        <v>0</v>
      </c>
      <c r="N97" s="8">
        <f t="shared" si="11"/>
        <v>0</v>
      </c>
      <c r="O97" s="8">
        <f t="shared" si="12"/>
        <v>0</v>
      </c>
      <c r="P97" s="8">
        <f t="shared" si="13"/>
        <v>0</v>
      </c>
      <c r="Q97" s="7">
        <f>COUNTIF(COMPOSICIÓN!$A:$A,A97)</f>
        <v>0</v>
      </c>
      <c r="R97" s="13">
        <v>518</v>
      </c>
      <c r="S97" s="5" t="s">
        <v>1221</v>
      </c>
      <c r="T97" s="13">
        <v>0</v>
      </c>
      <c r="U97" s="13">
        <v>0</v>
      </c>
      <c r="V97" s="13">
        <v>0</v>
      </c>
      <c r="W97" s="14">
        <f t="shared" si="14"/>
        <v>0</v>
      </c>
    </row>
    <row r="98" spans="1:23" x14ac:dyDescent="0.35">
      <c r="A98" s="5" t="s">
        <v>1008</v>
      </c>
      <c r="B98" s="5">
        <v>15.04</v>
      </c>
      <c r="C98" s="5" t="s">
        <v>1000</v>
      </c>
      <c r="D98" s="5" t="s">
        <v>1007</v>
      </c>
      <c r="E98" s="5" t="s">
        <v>866</v>
      </c>
      <c r="F98" s="3">
        <v>1</v>
      </c>
      <c r="G98" s="3">
        <v>0</v>
      </c>
      <c r="H98" s="3">
        <v>0</v>
      </c>
      <c r="I98" s="3">
        <v>1</v>
      </c>
      <c r="J98" s="8">
        <f>SUMIFS(COMPOSICIÓN!$J$2:$J$982,COMPOSICIÓN!$A$2:$A$982,A98,COMPOSICIÓN!$B$2:$B$982,"MAT")</f>
        <v>0</v>
      </c>
      <c r="K98" s="8">
        <f>SUMIFS(COMPOSICIÓN!$J$2:$J$982,COMPOSICIÓN!$A$2:$A$982,A98,COMPOSICIÓN!$B$2:$B$982,"MO")*I98</f>
        <v>0</v>
      </c>
      <c r="L98" s="8">
        <f>SUMIFS(COMPOSICIÓN!$J$2:$J$982,COMPOSICIÓN!$A$2:$A$982,A98,COMPOSICIÓN!$B$2:$B$982,"EQ")</f>
        <v>0</v>
      </c>
      <c r="M98" s="8">
        <f t="shared" ref="M98:M129" si="15">J98</f>
        <v>0</v>
      </c>
      <c r="N98" s="8">
        <f t="shared" ref="N98:N129" si="16">IF(F98=0,0,K98/F98)</f>
        <v>0</v>
      </c>
      <c r="O98" s="8">
        <f t="shared" ref="O98:O129" si="17">IF(F98=0,0,L98/F98)</f>
        <v>0</v>
      </c>
      <c r="P98" s="8">
        <f t="shared" ref="P98:P129" si="18">M98+N98+O98</f>
        <v>0</v>
      </c>
      <c r="Q98" s="7">
        <f>COUNTIF(COMPOSICIÓN!$A:$A,A98)</f>
        <v>0</v>
      </c>
      <c r="R98" s="13">
        <v>612</v>
      </c>
      <c r="S98" s="5" t="s">
        <v>1221</v>
      </c>
      <c r="T98" s="13">
        <v>0</v>
      </c>
      <c r="U98" s="13">
        <v>0</v>
      </c>
      <c r="V98" s="13">
        <v>0</v>
      </c>
      <c r="W98" s="14">
        <f t="shared" ref="W98:W129" si="19">IFERROR(P98/(T98+U98+V98)-1,0)</f>
        <v>0</v>
      </c>
    </row>
    <row r="99" spans="1:23" x14ac:dyDescent="0.35">
      <c r="A99" s="5" t="s">
        <v>1010</v>
      </c>
      <c r="B99" s="5">
        <v>15.05</v>
      </c>
      <c r="C99" s="5" t="s">
        <v>1000</v>
      </c>
      <c r="D99" s="5" t="s">
        <v>1009</v>
      </c>
      <c r="E99" s="5" t="s">
        <v>866</v>
      </c>
      <c r="F99" s="3">
        <v>1</v>
      </c>
      <c r="G99" s="3">
        <v>0</v>
      </c>
      <c r="H99" s="3">
        <v>0</v>
      </c>
      <c r="I99" s="3">
        <v>1</v>
      </c>
      <c r="J99" s="8">
        <f>SUMIFS(COMPOSICIÓN!$J$2:$J$982,COMPOSICIÓN!$A$2:$A$982,A99,COMPOSICIÓN!$B$2:$B$982,"MAT")</f>
        <v>0</v>
      </c>
      <c r="K99" s="8">
        <f>SUMIFS(COMPOSICIÓN!$J$2:$J$982,COMPOSICIÓN!$A$2:$A$982,A99,COMPOSICIÓN!$B$2:$B$982,"MO")*I99</f>
        <v>0</v>
      </c>
      <c r="L99" s="8">
        <f>SUMIFS(COMPOSICIÓN!$J$2:$J$982,COMPOSICIÓN!$A$2:$A$982,A99,COMPOSICIÓN!$B$2:$B$982,"EQ")</f>
        <v>0</v>
      </c>
      <c r="M99" s="8">
        <f t="shared" si="15"/>
        <v>0</v>
      </c>
      <c r="N99" s="8">
        <f t="shared" si="16"/>
        <v>0</v>
      </c>
      <c r="O99" s="8">
        <f t="shared" si="17"/>
        <v>0</v>
      </c>
      <c r="P99" s="8">
        <f t="shared" si="18"/>
        <v>0</v>
      </c>
      <c r="Q99" s="7">
        <f>COUNTIF(COMPOSICIÓN!$A:$A,A99)</f>
        <v>0</v>
      </c>
      <c r="R99" s="13">
        <v>422</v>
      </c>
      <c r="S99" s="5" t="s">
        <v>1221</v>
      </c>
      <c r="T99" s="13">
        <v>0</v>
      </c>
      <c r="U99" s="13">
        <v>0</v>
      </c>
      <c r="V99" s="13">
        <v>0</v>
      </c>
      <c r="W99" s="14">
        <f t="shared" si="19"/>
        <v>0</v>
      </c>
    </row>
    <row r="100" spans="1:23" x14ac:dyDescent="0.35">
      <c r="A100" s="5" t="s">
        <v>1012</v>
      </c>
      <c r="B100" s="5">
        <v>15.07</v>
      </c>
      <c r="C100" s="5" t="s">
        <v>1000</v>
      </c>
      <c r="D100" s="5" t="s">
        <v>1011</v>
      </c>
      <c r="E100" s="5" t="s">
        <v>866</v>
      </c>
      <c r="F100" s="3">
        <v>1</v>
      </c>
      <c r="G100" s="3">
        <v>0</v>
      </c>
      <c r="H100" s="3">
        <v>0</v>
      </c>
      <c r="I100" s="3">
        <v>1</v>
      </c>
      <c r="J100" s="8">
        <f>SUMIFS(COMPOSICIÓN!$J$2:$J$982,COMPOSICIÓN!$A$2:$A$982,A100,COMPOSICIÓN!$B$2:$B$982,"MAT")</f>
        <v>0</v>
      </c>
      <c r="K100" s="8">
        <f>SUMIFS(COMPOSICIÓN!$J$2:$J$982,COMPOSICIÓN!$A$2:$A$982,A100,COMPOSICIÓN!$B$2:$B$982,"MO")*I100</f>
        <v>0</v>
      </c>
      <c r="L100" s="8">
        <f>SUMIFS(COMPOSICIÓN!$J$2:$J$982,COMPOSICIÓN!$A$2:$A$982,A100,COMPOSICIÓN!$B$2:$B$982,"EQ")</f>
        <v>0</v>
      </c>
      <c r="M100" s="8">
        <f t="shared" si="15"/>
        <v>0</v>
      </c>
      <c r="N100" s="8">
        <f t="shared" si="16"/>
        <v>0</v>
      </c>
      <c r="O100" s="8">
        <f t="shared" si="17"/>
        <v>0</v>
      </c>
      <c r="P100" s="8">
        <f t="shared" si="18"/>
        <v>0</v>
      </c>
      <c r="Q100" s="7">
        <f>COUNTIF(COMPOSICIÓN!$A:$A,A100)</f>
        <v>0</v>
      </c>
      <c r="R100" s="13">
        <v>678.25199999999995</v>
      </c>
      <c r="S100" s="5" t="s">
        <v>1221</v>
      </c>
      <c r="T100" s="13">
        <v>0</v>
      </c>
      <c r="U100" s="13">
        <v>0</v>
      </c>
      <c r="V100" s="13">
        <v>0</v>
      </c>
      <c r="W100" s="14">
        <f t="shared" si="19"/>
        <v>0</v>
      </c>
    </row>
    <row r="101" spans="1:23" x14ac:dyDescent="0.35">
      <c r="A101" s="5" t="s">
        <v>1014</v>
      </c>
      <c r="B101" s="5">
        <v>15.08</v>
      </c>
      <c r="C101" s="5" t="s">
        <v>1000</v>
      </c>
      <c r="D101" s="5" t="s">
        <v>1013</v>
      </c>
      <c r="E101" s="5" t="s">
        <v>866</v>
      </c>
      <c r="F101" s="3">
        <v>1</v>
      </c>
      <c r="G101" s="3">
        <v>0</v>
      </c>
      <c r="H101" s="3">
        <v>0</v>
      </c>
      <c r="I101" s="3">
        <v>1</v>
      </c>
      <c r="J101" s="8">
        <f>SUMIFS(COMPOSICIÓN!$J$2:$J$982,COMPOSICIÓN!$A$2:$A$982,A101,COMPOSICIÓN!$B$2:$B$982,"MAT")</f>
        <v>0</v>
      </c>
      <c r="K101" s="8">
        <f>SUMIFS(COMPOSICIÓN!$J$2:$J$982,COMPOSICIÓN!$A$2:$A$982,A101,COMPOSICIÓN!$B$2:$B$982,"MO")*I101</f>
        <v>0</v>
      </c>
      <c r="L101" s="8">
        <f>SUMIFS(COMPOSICIÓN!$J$2:$J$982,COMPOSICIÓN!$A$2:$A$982,A101,COMPOSICIÓN!$B$2:$B$982,"EQ")</f>
        <v>0</v>
      </c>
      <c r="M101" s="8">
        <f t="shared" si="15"/>
        <v>0</v>
      </c>
      <c r="N101" s="8">
        <f t="shared" si="16"/>
        <v>0</v>
      </c>
      <c r="O101" s="8">
        <f t="shared" si="17"/>
        <v>0</v>
      </c>
      <c r="P101" s="8">
        <f t="shared" si="18"/>
        <v>0</v>
      </c>
      <c r="Q101" s="7">
        <f>COUNTIF(COMPOSICIÓN!$A:$A,A101)</f>
        <v>0</v>
      </c>
      <c r="R101" s="13">
        <v>728.48019999999985</v>
      </c>
      <c r="S101" s="5" t="s">
        <v>1221</v>
      </c>
      <c r="T101" s="13">
        <v>0</v>
      </c>
      <c r="U101" s="13">
        <v>0</v>
      </c>
      <c r="V101" s="13">
        <v>0</v>
      </c>
      <c r="W101" s="14">
        <f t="shared" si="19"/>
        <v>0</v>
      </c>
    </row>
    <row r="102" spans="1:23" x14ac:dyDescent="0.35">
      <c r="A102" s="5" t="s">
        <v>1016</v>
      </c>
      <c r="B102" s="5">
        <v>15.09</v>
      </c>
      <c r="C102" s="5" t="s">
        <v>1000</v>
      </c>
      <c r="D102" s="5" t="s">
        <v>1015</v>
      </c>
      <c r="E102" s="5" t="s">
        <v>807</v>
      </c>
      <c r="F102" s="3">
        <v>1</v>
      </c>
      <c r="G102" s="3">
        <v>0</v>
      </c>
      <c r="H102" s="3">
        <v>0</v>
      </c>
      <c r="I102" s="3">
        <v>1</v>
      </c>
      <c r="J102" s="8">
        <f>SUMIFS(COMPOSICIÓN!$J$2:$J$982,COMPOSICIÓN!$A$2:$A$982,A102,COMPOSICIÓN!$B$2:$B$982,"MAT")</f>
        <v>0</v>
      </c>
      <c r="K102" s="8">
        <f>SUMIFS(COMPOSICIÓN!$J$2:$J$982,COMPOSICIÓN!$A$2:$A$982,A102,COMPOSICIÓN!$B$2:$B$982,"MO")*I102</f>
        <v>0</v>
      </c>
      <c r="L102" s="8">
        <f>SUMIFS(COMPOSICIÓN!$J$2:$J$982,COMPOSICIÓN!$A$2:$A$982,A102,COMPOSICIÓN!$B$2:$B$982,"EQ")</f>
        <v>0</v>
      </c>
      <c r="M102" s="8">
        <f t="shared" si="15"/>
        <v>0</v>
      </c>
      <c r="N102" s="8">
        <f t="shared" si="16"/>
        <v>0</v>
      </c>
      <c r="O102" s="8">
        <f t="shared" si="17"/>
        <v>0</v>
      </c>
      <c r="P102" s="8">
        <f t="shared" si="18"/>
        <v>0</v>
      </c>
      <c r="Q102" s="7">
        <f>COUNTIF(COMPOSICIÓN!$A:$A,A102)</f>
        <v>0</v>
      </c>
      <c r="R102" s="13">
        <v>76</v>
      </c>
      <c r="S102" s="5" t="s">
        <v>1222</v>
      </c>
      <c r="T102" s="13">
        <v>0</v>
      </c>
      <c r="U102" s="13">
        <v>0</v>
      </c>
      <c r="V102" s="13">
        <v>0</v>
      </c>
      <c r="W102" s="14">
        <f t="shared" si="19"/>
        <v>0</v>
      </c>
    </row>
    <row r="103" spans="1:23" x14ac:dyDescent="0.35">
      <c r="A103" s="5" t="s">
        <v>1018</v>
      </c>
      <c r="B103" s="5">
        <v>15.1</v>
      </c>
      <c r="C103" s="5" t="s">
        <v>1000</v>
      </c>
      <c r="D103" s="5" t="s">
        <v>1017</v>
      </c>
      <c r="E103" s="5" t="s">
        <v>470</v>
      </c>
      <c r="F103" s="3">
        <v>1</v>
      </c>
      <c r="G103" s="3">
        <v>0</v>
      </c>
      <c r="H103" s="3">
        <v>0</v>
      </c>
      <c r="I103" s="3">
        <v>1</v>
      </c>
      <c r="J103" s="8">
        <f>SUMIFS(COMPOSICIÓN!$J$2:$J$982,COMPOSICIÓN!$A$2:$A$982,A103,COMPOSICIÓN!$B$2:$B$982,"MAT")</f>
        <v>0</v>
      </c>
      <c r="K103" s="8">
        <f>SUMIFS(COMPOSICIÓN!$J$2:$J$982,COMPOSICIÓN!$A$2:$A$982,A103,COMPOSICIÓN!$B$2:$B$982,"MO")*I103</f>
        <v>0</v>
      </c>
      <c r="L103" s="8">
        <f>SUMIFS(COMPOSICIÓN!$J$2:$J$982,COMPOSICIÓN!$A$2:$A$982,A103,COMPOSICIÓN!$B$2:$B$982,"EQ")</f>
        <v>0</v>
      </c>
      <c r="M103" s="8">
        <f t="shared" si="15"/>
        <v>0</v>
      </c>
      <c r="N103" s="8">
        <f t="shared" si="16"/>
        <v>0</v>
      </c>
      <c r="O103" s="8">
        <f t="shared" si="17"/>
        <v>0</v>
      </c>
      <c r="P103" s="8">
        <f t="shared" si="18"/>
        <v>0</v>
      </c>
      <c r="Q103" s="7">
        <f>COUNTIF(COMPOSICIÓN!$A:$A,A103)</f>
        <v>0</v>
      </c>
      <c r="R103" s="13">
        <v>1</v>
      </c>
      <c r="S103" s="5" t="s">
        <v>1222</v>
      </c>
      <c r="T103" s="13">
        <v>0</v>
      </c>
      <c r="U103" s="13">
        <v>0</v>
      </c>
      <c r="V103" s="13">
        <v>0</v>
      </c>
      <c r="W103" s="14">
        <f t="shared" si="19"/>
        <v>0</v>
      </c>
    </row>
    <row r="104" spans="1:23" x14ac:dyDescent="0.35">
      <c r="A104" s="5" t="s">
        <v>1021</v>
      </c>
      <c r="B104" s="5">
        <v>17.010000000000002</v>
      </c>
      <c r="C104" s="5" t="s">
        <v>1019</v>
      </c>
      <c r="D104" s="5" t="s">
        <v>1020</v>
      </c>
      <c r="E104" s="5" t="s">
        <v>284</v>
      </c>
      <c r="F104" s="3">
        <v>1</v>
      </c>
      <c r="G104" s="3">
        <v>0</v>
      </c>
      <c r="H104" s="3">
        <v>0</v>
      </c>
      <c r="I104" s="3">
        <v>1</v>
      </c>
      <c r="J104" s="8">
        <f>SUMIFS(COMPOSICIÓN!$J$2:$J$982,COMPOSICIÓN!$A$2:$A$982,A104,COMPOSICIÓN!$B$2:$B$982,"MAT")</f>
        <v>3816.1086480000004</v>
      </c>
      <c r="K104" s="8">
        <f>SUMIFS(COMPOSICIÓN!$J$2:$J$982,COMPOSICIÓN!$A$2:$A$982,A104,COMPOSICIÓN!$B$2:$B$982,"MO")*I104</f>
        <v>46892.733749999999</v>
      </c>
      <c r="L104" s="8">
        <f>SUMIFS(COMPOSICIÓN!$J$2:$J$982,COMPOSICIÓN!$A$2:$A$982,A104,COMPOSICIÓN!$B$2:$B$982,"EQ")</f>
        <v>394.92626250000001</v>
      </c>
      <c r="M104" s="8">
        <f t="shared" si="15"/>
        <v>3816.1086480000004</v>
      </c>
      <c r="N104" s="8">
        <f t="shared" si="16"/>
        <v>46892.733749999999</v>
      </c>
      <c r="O104" s="8">
        <f t="shared" si="17"/>
        <v>394.92626250000001</v>
      </c>
      <c r="P104" s="8">
        <f t="shared" si="18"/>
        <v>51103.768660499998</v>
      </c>
      <c r="Q104" s="7">
        <f>COUNTIF(COMPOSICIÓN!$A:$A,A104)</f>
        <v>6</v>
      </c>
      <c r="R104" s="13">
        <v>47</v>
      </c>
      <c r="S104" s="5" t="s">
        <v>1221</v>
      </c>
      <c r="T104" s="13">
        <v>3816.1086</v>
      </c>
      <c r="U104" s="13">
        <v>46892.732000000004</v>
      </c>
      <c r="V104" s="13">
        <v>394.92630000000003</v>
      </c>
      <c r="W104" s="14">
        <f t="shared" si="19"/>
        <v>3.4449515240453366E-8</v>
      </c>
    </row>
    <row r="105" spans="1:23" x14ac:dyDescent="0.35">
      <c r="A105" s="5" t="s">
        <v>1023</v>
      </c>
      <c r="B105" s="5">
        <v>17.02</v>
      </c>
      <c r="C105" s="5" t="s">
        <v>1019</v>
      </c>
      <c r="D105" s="5" t="s">
        <v>1022</v>
      </c>
      <c r="E105" s="5" t="s">
        <v>284</v>
      </c>
      <c r="F105" s="3">
        <v>1</v>
      </c>
      <c r="G105" s="3">
        <v>0</v>
      </c>
      <c r="H105" s="3">
        <v>0</v>
      </c>
      <c r="I105" s="3">
        <v>1</v>
      </c>
      <c r="J105" s="8">
        <f>SUMIFS(COMPOSICIÓN!$J$2:$J$982,COMPOSICIÓN!$A$2:$A$982,A105,COMPOSICIÓN!$B$2:$B$982,"MAT")</f>
        <v>3816.1086480000004</v>
      </c>
      <c r="K105" s="8">
        <f>SUMIFS(COMPOSICIÓN!$J$2:$J$982,COMPOSICIÓN!$A$2:$A$982,A105,COMPOSICIÓN!$B$2:$B$982,"MO")*I105</f>
        <v>46892.733749999999</v>
      </c>
      <c r="L105" s="8">
        <f>SUMIFS(COMPOSICIÓN!$J$2:$J$982,COMPOSICIÓN!$A$2:$A$982,A105,COMPOSICIÓN!$B$2:$B$982,"EQ")</f>
        <v>394.92626250000001</v>
      </c>
      <c r="M105" s="8">
        <f t="shared" si="15"/>
        <v>3816.1086480000004</v>
      </c>
      <c r="N105" s="8">
        <f t="shared" si="16"/>
        <v>46892.733749999999</v>
      </c>
      <c r="O105" s="8">
        <f t="shared" si="17"/>
        <v>394.92626250000001</v>
      </c>
      <c r="P105" s="8">
        <f t="shared" si="18"/>
        <v>51103.768660499998</v>
      </c>
      <c r="Q105" s="7">
        <f>COUNTIF(COMPOSICIÓN!$A:$A,A105)</f>
        <v>6</v>
      </c>
      <c r="R105" s="13">
        <v>23</v>
      </c>
      <c r="S105" s="5" t="s">
        <v>1221</v>
      </c>
      <c r="T105" s="13">
        <v>3816.1086</v>
      </c>
      <c r="U105" s="13">
        <v>46892.732000000004</v>
      </c>
      <c r="V105" s="13">
        <v>394.92630000000003</v>
      </c>
      <c r="W105" s="14">
        <f t="shared" si="19"/>
        <v>3.4449515240453366E-8</v>
      </c>
    </row>
    <row r="106" spans="1:23" x14ac:dyDescent="0.35">
      <c r="A106" s="5" t="s">
        <v>1025</v>
      </c>
      <c r="B106" s="5">
        <v>17.03</v>
      </c>
      <c r="C106" s="5" t="s">
        <v>1019</v>
      </c>
      <c r="D106" s="5" t="s">
        <v>1024</v>
      </c>
      <c r="E106" s="5" t="s">
        <v>284</v>
      </c>
      <c r="F106" s="3">
        <v>1</v>
      </c>
      <c r="G106" s="3">
        <v>0</v>
      </c>
      <c r="H106" s="3">
        <v>0</v>
      </c>
      <c r="I106" s="3">
        <v>1</v>
      </c>
      <c r="J106" s="8">
        <f>SUMIFS(COMPOSICIÓN!$J$2:$J$982,COMPOSICIÓN!$A$2:$A$982,A106,COMPOSICIÓN!$B$2:$B$982,"MAT")</f>
        <v>1396.3488462000003</v>
      </c>
      <c r="K106" s="8">
        <f>SUMIFS(COMPOSICIÓN!$J$2:$J$982,COMPOSICIÓN!$A$2:$A$982,A106,COMPOSICIÓN!$B$2:$B$982,"MO")*I106</f>
        <v>31261.822500000002</v>
      </c>
      <c r="L106" s="8">
        <f>SUMIFS(COMPOSICIÓN!$J$2:$J$982,COMPOSICIÓN!$A$2:$A$982,A106,COMPOSICIÓN!$B$2:$B$982,"EQ")</f>
        <v>197.46313125</v>
      </c>
      <c r="M106" s="8">
        <f t="shared" si="15"/>
        <v>1396.3488462000003</v>
      </c>
      <c r="N106" s="8">
        <f t="shared" si="16"/>
        <v>31261.822500000002</v>
      </c>
      <c r="O106" s="8">
        <f t="shared" si="17"/>
        <v>197.46313125</v>
      </c>
      <c r="P106" s="8">
        <f t="shared" si="18"/>
        <v>32855.634477450003</v>
      </c>
      <c r="Q106" s="7">
        <f>COUNTIF(COMPOSICIÓN!$A:$A,A106)</f>
        <v>6</v>
      </c>
      <c r="R106" s="13">
        <v>51</v>
      </c>
      <c r="S106" s="5" t="s">
        <v>1221</v>
      </c>
      <c r="T106" s="13">
        <v>1396.3488</v>
      </c>
      <c r="U106" s="13">
        <v>31261.821400000001</v>
      </c>
      <c r="V106" s="13">
        <v>197.4631</v>
      </c>
      <c r="W106" s="14">
        <f t="shared" si="19"/>
        <v>3.5837081302503293E-8</v>
      </c>
    </row>
    <row r="107" spans="1:23" x14ac:dyDescent="0.35">
      <c r="A107" s="5" t="s">
        <v>1027</v>
      </c>
      <c r="B107" s="5">
        <v>17.04</v>
      </c>
      <c r="C107" s="5" t="s">
        <v>1019</v>
      </c>
      <c r="D107" s="5" t="s">
        <v>1026</v>
      </c>
      <c r="E107" s="5" t="s">
        <v>284</v>
      </c>
      <c r="F107" s="3">
        <v>1</v>
      </c>
      <c r="G107" s="3">
        <v>0</v>
      </c>
      <c r="H107" s="3">
        <v>0</v>
      </c>
      <c r="I107" s="3">
        <v>1</v>
      </c>
      <c r="J107" s="8">
        <f>SUMIFS(COMPOSICIÓN!$J$2:$J$982,COMPOSICIÓN!$A$2:$A$982,A107,COMPOSICIÓN!$B$2:$B$982,"MAT")</f>
        <v>3816.1086480000004</v>
      </c>
      <c r="K107" s="8">
        <f>SUMIFS(COMPOSICIÓN!$J$2:$J$982,COMPOSICIÓN!$A$2:$A$982,A107,COMPOSICIÓN!$B$2:$B$982,"MO")*I107</f>
        <v>70339.099762500002</v>
      </c>
      <c r="L107" s="8">
        <f>SUMIFS(COMPOSICIÓN!$J$2:$J$982,COMPOSICIÓN!$A$2:$A$982,A107,COMPOSICIÓN!$B$2:$B$982,"EQ")</f>
        <v>394.92630000000003</v>
      </c>
      <c r="M107" s="8">
        <f t="shared" si="15"/>
        <v>3816.1086480000004</v>
      </c>
      <c r="N107" s="8">
        <f t="shared" si="16"/>
        <v>70339.099762500002</v>
      </c>
      <c r="O107" s="8">
        <f t="shared" si="17"/>
        <v>394.92630000000003</v>
      </c>
      <c r="P107" s="8">
        <f t="shared" si="18"/>
        <v>74550.134710500002</v>
      </c>
      <c r="Q107" s="7">
        <f>COUNTIF(COMPOSICIÓN!$A:$A,A107)</f>
        <v>7</v>
      </c>
      <c r="R107" s="13">
        <v>7</v>
      </c>
      <c r="S107" s="5" t="s">
        <v>1221</v>
      </c>
      <c r="T107" s="13">
        <v>3816.1086</v>
      </c>
      <c r="U107" s="13">
        <v>70339.098100000003</v>
      </c>
      <c r="V107" s="13">
        <v>394.92630000000003</v>
      </c>
      <c r="W107" s="14">
        <f t="shared" si="19"/>
        <v>2.2944291577786657E-8</v>
      </c>
    </row>
    <row r="108" spans="1:23" x14ac:dyDescent="0.35">
      <c r="A108" s="5" t="s">
        <v>1030</v>
      </c>
      <c r="B108" s="5">
        <v>18.010000000000002</v>
      </c>
      <c r="C108" s="5" t="s">
        <v>1028</v>
      </c>
      <c r="D108" s="5" t="s">
        <v>1029</v>
      </c>
      <c r="E108" s="5" t="s">
        <v>284</v>
      </c>
      <c r="F108" s="3">
        <v>1</v>
      </c>
      <c r="G108" s="3">
        <v>0</v>
      </c>
      <c r="H108" s="3">
        <v>0</v>
      </c>
      <c r="I108" s="3">
        <v>1</v>
      </c>
      <c r="J108" s="8">
        <f>SUMIFS(COMPOSICIÓN!$J$2:$J$982,COMPOSICIÓN!$A$2:$A$982,A108,COMPOSICIÓN!$B$2:$B$982,"MAT")</f>
        <v>13184.711837886724</v>
      </c>
      <c r="K108" s="8">
        <f>SUMIFS(COMPOSICIÓN!$J$2:$J$982,COMPOSICIÓN!$A$2:$A$982,A108,COMPOSICIÓN!$B$2:$B$982,"MO")*I108</f>
        <v>32886.699999999997</v>
      </c>
      <c r="L108" s="8">
        <f>SUMIFS(COMPOSICIÓN!$J$2:$J$982,COMPOSICIÓN!$A$2:$A$982,A108,COMPOSICIÓN!$B$2:$B$982,"EQ")</f>
        <v>1623.6466702520881</v>
      </c>
      <c r="M108" s="8">
        <f t="shared" si="15"/>
        <v>13184.711837886724</v>
      </c>
      <c r="N108" s="8">
        <f t="shared" si="16"/>
        <v>32886.699999999997</v>
      </c>
      <c r="O108" s="8">
        <f t="shared" si="17"/>
        <v>1623.6466702520881</v>
      </c>
      <c r="P108" s="8">
        <f t="shared" si="18"/>
        <v>47695.058508138805</v>
      </c>
      <c r="Q108" s="7">
        <f>COUNTIF(COMPOSICIÓN!$A:$A,A108)</f>
        <v>13</v>
      </c>
      <c r="R108" s="13">
        <v>392</v>
      </c>
      <c r="S108" s="5" t="s">
        <v>1221</v>
      </c>
      <c r="T108" s="13">
        <v>13184.711799999999</v>
      </c>
      <c r="U108" s="13">
        <v>32886.699999999997</v>
      </c>
      <c r="V108" s="13">
        <v>1623.6467</v>
      </c>
      <c r="W108" s="14">
        <f t="shared" si="19"/>
        <v>1.7064261115251611E-10</v>
      </c>
    </row>
    <row r="109" spans="1:23" x14ac:dyDescent="0.35">
      <c r="A109" s="5" t="s">
        <v>1032</v>
      </c>
      <c r="B109" s="5">
        <v>18.02</v>
      </c>
      <c r="C109" s="5" t="s">
        <v>1028</v>
      </c>
      <c r="D109" s="5" t="s">
        <v>1031</v>
      </c>
      <c r="E109" s="5" t="s">
        <v>284</v>
      </c>
      <c r="F109" s="3">
        <v>1</v>
      </c>
      <c r="G109" s="3">
        <v>0</v>
      </c>
      <c r="H109" s="3">
        <v>0</v>
      </c>
      <c r="I109" s="3">
        <v>1</v>
      </c>
      <c r="J109" s="8">
        <f>SUMIFS(COMPOSICIÓN!$J$2:$J$982,COMPOSICIÓN!$A$2:$A$982,A109,COMPOSICIÓN!$B$2:$B$982,"MAT")</f>
        <v>13184.711837886724</v>
      </c>
      <c r="K109" s="8">
        <f>SUMIFS(COMPOSICIÓN!$J$2:$J$982,COMPOSICIÓN!$A$2:$A$982,A109,COMPOSICIÓN!$B$2:$B$982,"MO")*I109</f>
        <v>32886.699999999997</v>
      </c>
      <c r="L109" s="8">
        <f>SUMIFS(COMPOSICIÓN!$J$2:$J$982,COMPOSICIÓN!$A$2:$A$982,A109,COMPOSICIÓN!$B$2:$B$982,"EQ")</f>
        <v>1623.6466702520881</v>
      </c>
      <c r="M109" s="8">
        <f t="shared" si="15"/>
        <v>13184.711837886724</v>
      </c>
      <c r="N109" s="8">
        <f t="shared" si="16"/>
        <v>32886.699999999997</v>
      </c>
      <c r="O109" s="8">
        <f t="shared" si="17"/>
        <v>1623.6466702520881</v>
      </c>
      <c r="P109" s="8">
        <f t="shared" si="18"/>
        <v>47695.058508138805</v>
      </c>
      <c r="Q109" s="7">
        <f>COUNTIF(COMPOSICIÓN!$A:$A,A109)</f>
        <v>13</v>
      </c>
      <c r="R109" s="13">
        <v>19</v>
      </c>
      <c r="S109" s="5" t="s">
        <v>1221</v>
      </c>
      <c r="T109" s="13">
        <v>13184.711799999999</v>
      </c>
      <c r="U109" s="13">
        <v>32886.699999999997</v>
      </c>
      <c r="V109" s="13">
        <v>1623.6467</v>
      </c>
      <c r="W109" s="14">
        <f t="shared" si="19"/>
        <v>1.7064261115251611E-10</v>
      </c>
    </row>
    <row r="110" spans="1:23" x14ac:dyDescent="0.35">
      <c r="A110" s="5" t="s">
        <v>1034</v>
      </c>
      <c r="B110" s="5">
        <v>18.03</v>
      </c>
      <c r="C110" s="5" t="s">
        <v>1028</v>
      </c>
      <c r="D110" s="5" t="s">
        <v>1033</v>
      </c>
      <c r="E110" s="5" t="s">
        <v>284</v>
      </c>
      <c r="F110" s="3">
        <v>1</v>
      </c>
      <c r="G110" s="3">
        <v>0</v>
      </c>
      <c r="H110" s="3">
        <v>0</v>
      </c>
      <c r="I110" s="3">
        <v>1</v>
      </c>
      <c r="J110" s="8">
        <f>SUMIFS(COMPOSICIÓN!$J$2:$J$982,COMPOSICIÓN!$A$2:$A$982,A110,COMPOSICIÓN!$B$2:$B$982,"MAT")</f>
        <v>11193.920474030796</v>
      </c>
      <c r="K110" s="8">
        <f>SUMIFS(COMPOSICIÓN!$J$2:$J$982,COMPOSICIÓN!$A$2:$A$982,A110,COMPOSICIÓN!$B$2:$B$982,"MO")*I110</f>
        <v>32886.699999999997</v>
      </c>
      <c r="L110" s="8">
        <f>SUMIFS(COMPOSICIÓN!$J$2:$J$982,COMPOSICIÓN!$A$2:$A$982,A110,COMPOSICIÓN!$B$2:$B$982,"EQ")</f>
        <v>1623.6466702520881</v>
      </c>
      <c r="M110" s="8">
        <f t="shared" si="15"/>
        <v>11193.920474030796</v>
      </c>
      <c r="N110" s="8">
        <f t="shared" si="16"/>
        <v>32886.699999999997</v>
      </c>
      <c r="O110" s="8">
        <f t="shared" si="17"/>
        <v>1623.6466702520881</v>
      </c>
      <c r="P110" s="8">
        <f t="shared" si="18"/>
        <v>45704.26714428288</v>
      </c>
      <c r="Q110" s="7">
        <f>COUNTIF(COMPOSICIÓN!$A:$A,A110)</f>
        <v>11</v>
      </c>
      <c r="R110" s="13">
        <v>349</v>
      </c>
      <c r="S110" s="5" t="s">
        <v>1221</v>
      </c>
      <c r="T110" s="13">
        <v>11193.9205</v>
      </c>
      <c r="U110" s="13">
        <v>32886.699999999997</v>
      </c>
      <c r="V110" s="13">
        <v>1623.6467</v>
      </c>
      <c r="W110" s="14">
        <f t="shared" si="19"/>
        <v>-1.2190790599220236E-9</v>
      </c>
    </row>
    <row r="111" spans="1:23" x14ac:dyDescent="0.35">
      <c r="A111" s="5" t="s">
        <v>1036</v>
      </c>
      <c r="B111" s="5">
        <v>18.04</v>
      </c>
      <c r="C111" s="5" t="s">
        <v>1028</v>
      </c>
      <c r="D111" s="5" t="s">
        <v>1035</v>
      </c>
      <c r="E111" s="5" t="s">
        <v>284</v>
      </c>
      <c r="F111" s="3">
        <v>1</v>
      </c>
      <c r="G111" s="3">
        <v>0</v>
      </c>
      <c r="H111" s="3">
        <v>0</v>
      </c>
      <c r="I111" s="3">
        <v>1</v>
      </c>
      <c r="J111" s="8">
        <f>SUMIFS(COMPOSICIÓN!$J$2:$J$982,COMPOSICIÓN!$A$2:$A$982,A111,COMPOSICIÓN!$B$2:$B$982,"MAT")</f>
        <v>16790.880760089767</v>
      </c>
      <c r="K111" s="8">
        <f>SUMIFS(COMPOSICIÓN!$J$2:$J$982,COMPOSICIÓN!$A$2:$A$982,A111,COMPOSICIÓN!$B$2:$B$982,"MO")*I111</f>
        <v>32886.699999999997</v>
      </c>
      <c r="L111" s="8">
        <f>SUMIFS(COMPOSICIÓN!$J$2:$J$982,COMPOSICIÓN!$A$2:$A$982,A111,COMPOSICIÓN!$B$2:$B$982,"EQ")</f>
        <v>1623.6466702520881</v>
      </c>
      <c r="M111" s="8">
        <f t="shared" si="15"/>
        <v>16790.880760089767</v>
      </c>
      <c r="N111" s="8">
        <f t="shared" si="16"/>
        <v>32886.699999999997</v>
      </c>
      <c r="O111" s="8">
        <f t="shared" si="17"/>
        <v>1623.6466702520881</v>
      </c>
      <c r="P111" s="8">
        <f t="shared" si="18"/>
        <v>51301.227430341853</v>
      </c>
      <c r="Q111" s="7">
        <f>COUNTIF(COMPOSICIÓN!$A:$A,A111)</f>
        <v>11</v>
      </c>
      <c r="R111" s="13">
        <v>35</v>
      </c>
      <c r="S111" s="5" t="s">
        <v>1221</v>
      </c>
      <c r="T111" s="13">
        <v>16790.880799999999</v>
      </c>
      <c r="U111" s="13">
        <v>32886.699999999997</v>
      </c>
      <c r="V111" s="13">
        <v>1623.6467</v>
      </c>
      <c r="W111" s="14">
        <f t="shared" si="19"/>
        <v>-1.3578259627777811E-9</v>
      </c>
    </row>
    <row r="112" spans="1:23" x14ac:dyDescent="0.35">
      <c r="A112" s="5" t="s">
        <v>1038</v>
      </c>
      <c r="B112" s="5">
        <v>18.05</v>
      </c>
      <c r="C112" s="5" t="s">
        <v>1028</v>
      </c>
      <c r="D112" s="5" t="s">
        <v>1037</v>
      </c>
      <c r="E112" s="5" t="s">
        <v>284</v>
      </c>
      <c r="F112" s="3">
        <v>1</v>
      </c>
      <c r="G112" s="3">
        <v>0</v>
      </c>
      <c r="H112" s="3">
        <v>0</v>
      </c>
      <c r="I112" s="3">
        <v>1</v>
      </c>
      <c r="J112" s="8">
        <f>SUMIFS(COMPOSICIÓN!$J$2:$J$982,COMPOSICIÓN!$A$2:$A$982,A112,COMPOSICIÓN!$B$2:$B$982,"MAT")</f>
        <v>11193.920474030796</v>
      </c>
      <c r="K112" s="8">
        <f>SUMIFS(COMPOSICIÓN!$J$2:$J$982,COMPOSICIÓN!$A$2:$A$982,A112,COMPOSICIÓN!$B$2:$B$982,"MO")*I112</f>
        <v>32886.699999999997</v>
      </c>
      <c r="L112" s="8">
        <f>SUMIFS(COMPOSICIÓN!$J$2:$J$982,COMPOSICIÓN!$A$2:$A$982,A112,COMPOSICIÓN!$B$2:$B$982,"EQ")</f>
        <v>1623.6466702520881</v>
      </c>
      <c r="M112" s="8">
        <f t="shared" si="15"/>
        <v>11193.920474030796</v>
      </c>
      <c r="N112" s="8">
        <f t="shared" si="16"/>
        <v>32886.699999999997</v>
      </c>
      <c r="O112" s="8">
        <f t="shared" si="17"/>
        <v>1623.6466702520881</v>
      </c>
      <c r="P112" s="8">
        <f t="shared" si="18"/>
        <v>45704.26714428288</v>
      </c>
      <c r="Q112" s="7">
        <f>COUNTIF(COMPOSICIÓN!$A:$A,A112)</f>
        <v>11</v>
      </c>
      <c r="R112" s="13">
        <v>16</v>
      </c>
      <c r="S112" s="5" t="s">
        <v>1221</v>
      </c>
      <c r="T112" s="13">
        <v>11193.9205</v>
      </c>
      <c r="U112" s="13">
        <v>32886.699999999997</v>
      </c>
      <c r="V112" s="13">
        <v>1623.6467</v>
      </c>
      <c r="W112" s="14">
        <f t="shared" si="19"/>
        <v>-1.2190790599220236E-9</v>
      </c>
    </row>
    <row r="113" spans="1:23" x14ac:dyDescent="0.35">
      <c r="A113" s="5" t="s">
        <v>1040</v>
      </c>
      <c r="B113" s="5">
        <v>18.059999999999999</v>
      </c>
      <c r="C113" s="5" t="s">
        <v>1028</v>
      </c>
      <c r="D113" s="5" t="s">
        <v>1039</v>
      </c>
      <c r="E113" s="5" t="s">
        <v>284</v>
      </c>
      <c r="F113" s="3">
        <v>1</v>
      </c>
      <c r="G113" s="3">
        <v>0</v>
      </c>
      <c r="H113" s="3">
        <v>0</v>
      </c>
      <c r="I113" s="3">
        <v>1</v>
      </c>
      <c r="J113" s="8">
        <f>SUMIFS(COMPOSICIÓN!$J$2:$J$982,COMPOSICIÓN!$A$2:$A$982,A113,COMPOSICIÓN!$B$2:$B$982,"MAT")</f>
        <v>11193.920474030796</v>
      </c>
      <c r="K113" s="8">
        <f>SUMIFS(COMPOSICIÓN!$J$2:$J$982,COMPOSICIÓN!$A$2:$A$982,A113,COMPOSICIÓN!$B$2:$B$982,"MO")*I113</f>
        <v>32886.699999999997</v>
      </c>
      <c r="L113" s="8">
        <f>SUMIFS(COMPOSICIÓN!$J$2:$J$982,COMPOSICIÓN!$A$2:$A$982,A113,COMPOSICIÓN!$B$2:$B$982,"EQ")</f>
        <v>1623.6466702520881</v>
      </c>
      <c r="M113" s="8">
        <f t="shared" si="15"/>
        <v>11193.920474030796</v>
      </c>
      <c r="N113" s="8">
        <f t="shared" si="16"/>
        <v>32886.699999999997</v>
      </c>
      <c r="O113" s="8">
        <f t="shared" si="17"/>
        <v>1623.6466702520881</v>
      </c>
      <c r="P113" s="8">
        <f t="shared" si="18"/>
        <v>45704.26714428288</v>
      </c>
      <c r="Q113" s="7">
        <f>COUNTIF(COMPOSICIÓN!$A:$A,A113)</f>
        <v>11</v>
      </c>
      <c r="R113" s="13">
        <v>16</v>
      </c>
      <c r="S113" s="5" t="s">
        <v>1221</v>
      </c>
      <c r="T113" s="13">
        <v>11193.9205</v>
      </c>
      <c r="U113" s="13">
        <v>32886.699999999997</v>
      </c>
      <c r="V113" s="13">
        <v>1623.6467</v>
      </c>
      <c r="W113" s="14">
        <f t="shared" si="19"/>
        <v>-1.2190790599220236E-9</v>
      </c>
    </row>
    <row r="114" spans="1:23" x14ac:dyDescent="0.35">
      <c r="A114" s="5" t="s">
        <v>1042</v>
      </c>
      <c r="B114" s="5">
        <v>18.07</v>
      </c>
      <c r="C114" s="5" t="s">
        <v>1028</v>
      </c>
      <c r="D114" s="5" t="s">
        <v>1041</v>
      </c>
      <c r="E114" s="5" t="s">
        <v>284</v>
      </c>
      <c r="F114" s="3">
        <v>1</v>
      </c>
      <c r="G114" s="3">
        <v>0</v>
      </c>
      <c r="H114" s="3">
        <v>0</v>
      </c>
      <c r="I114" s="3">
        <v>1</v>
      </c>
      <c r="J114" s="8">
        <f>SUMIFS(COMPOSICIÓN!$J$2:$J$982,COMPOSICIÓN!$A$2:$A$982,A114,COMPOSICIÓN!$B$2:$B$982,"MAT")</f>
        <v>9888.5338554291138</v>
      </c>
      <c r="K114" s="8">
        <f>SUMIFS(COMPOSICIÓN!$J$2:$J$982,COMPOSICIÓN!$A$2:$A$982,A114,COMPOSICIÓN!$B$2:$B$982,"MO")*I114</f>
        <v>22868.3</v>
      </c>
      <c r="L114" s="8">
        <f>SUMIFS(COMPOSICIÓN!$J$2:$J$982,COMPOSICIÓN!$A$2:$A$982,A114,COMPOSICIÓN!$B$2:$B$982,"EQ")</f>
        <v>1623.6466702520881</v>
      </c>
      <c r="M114" s="8">
        <f t="shared" si="15"/>
        <v>9888.5338554291138</v>
      </c>
      <c r="N114" s="8">
        <f t="shared" si="16"/>
        <v>22868.3</v>
      </c>
      <c r="O114" s="8">
        <f t="shared" si="17"/>
        <v>1623.6466702520881</v>
      </c>
      <c r="P114" s="8">
        <f t="shared" si="18"/>
        <v>34380.480525681196</v>
      </c>
      <c r="Q114" s="7">
        <f>COUNTIF(COMPOSICIÓN!$A:$A,A114)</f>
        <v>13</v>
      </c>
      <c r="R114" s="13">
        <v>46</v>
      </c>
      <c r="S114" s="5" t="s">
        <v>1221</v>
      </c>
      <c r="T114" s="13">
        <v>9888.5339000000004</v>
      </c>
      <c r="U114" s="13">
        <v>22868.3</v>
      </c>
      <c r="V114" s="13">
        <v>1623.6467</v>
      </c>
      <c r="W114" s="14">
        <f t="shared" si="19"/>
        <v>-2.1616567424942446E-9</v>
      </c>
    </row>
    <row r="115" spans="1:23" x14ac:dyDescent="0.35">
      <c r="A115" s="5" t="s">
        <v>1044</v>
      </c>
      <c r="B115" s="5">
        <v>18.079999999999998</v>
      </c>
      <c r="C115" s="5" t="s">
        <v>1028</v>
      </c>
      <c r="D115" s="5" t="s">
        <v>1043</v>
      </c>
      <c r="E115" s="5" t="s">
        <v>284</v>
      </c>
      <c r="F115" s="3">
        <v>1</v>
      </c>
      <c r="G115" s="3">
        <v>0</v>
      </c>
      <c r="H115" s="3">
        <v>0</v>
      </c>
      <c r="I115" s="3">
        <v>1</v>
      </c>
      <c r="J115" s="8">
        <f>SUMIFS(COMPOSICIÓN!$J$2:$J$982,COMPOSICIÓN!$A$2:$A$982,A115,COMPOSICIÓN!$B$2:$B$982,"MAT")</f>
        <v>9888.5338554291138</v>
      </c>
      <c r="K115" s="8">
        <f>SUMIFS(COMPOSICIÓN!$J$2:$J$982,COMPOSICIÓN!$A$2:$A$982,A115,COMPOSICIÓN!$B$2:$B$982,"MO")*I115</f>
        <v>22868.3</v>
      </c>
      <c r="L115" s="8">
        <f>SUMIFS(COMPOSICIÓN!$J$2:$J$982,COMPOSICIÓN!$A$2:$A$982,A115,COMPOSICIÓN!$B$2:$B$982,"EQ")</f>
        <v>1623.6466702520881</v>
      </c>
      <c r="M115" s="8">
        <f t="shared" si="15"/>
        <v>9888.5338554291138</v>
      </c>
      <c r="N115" s="8">
        <f t="shared" si="16"/>
        <v>22868.3</v>
      </c>
      <c r="O115" s="8">
        <f t="shared" si="17"/>
        <v>1623.6466702520881</v>
      </c>
      <c r="P115" s="8">
        <f t="shared" si="18"/>
        <v>34380.480525681196</v>
      </c>
      <c r="Q115" s="7">
        <f>COUNTIF(COMPOSICIÓN!$A:$A,A115)</f>
        <v>13</v>
      </c>
      <c r="R115" s="13">
        <v>17</v>
      </c>
      <c r="S115" s="5" t="s">
        <v>1221</v>
      </c>
      <c r="T115" s="13">
        <v>9888.5339000000004</v>
      </c>
      <c r="U115" s="13">
        <v>22868.3</v>
      </c>
      <c r="V115" s="13">
        <v>1623.6467</v>
      </c>
      <c r="W115" s="14">
        <f t="shared" si="19"/>
        <v>-2.1616567424942446E-9</v>
      </c>
    </row>
    <row r="116" spans="1:23" x14ac:dyDescent="0.35">
      <c r="A116" s="5" t="s">
        <v>1046</v>
      </c>
      <c r="B116" s="5">
        <v>18.09</v>
      </c>
      <c r="C116" s="5" t="s">
        <v>1028</v>
      </c>
      <c r="D116" s="5" t="s">
        <v>1045</v>
      </c>
      <c r="E116" s="5" t="s">
        <v>284</v>
      </c>
      <c r="F116" s="3">
        <v>1</v>
      </c>
      <c r="G116" s="3">
        <v>0</v>
      </c>
      <c r="H116" s="3">
        <v>0</v>
      </c>
      <c r="I116" s="3">
        <v>1</v>
      </c>
      <c r="J116" s="8">
        <f>SUMIFS(COMPOSICIÓN!$J$2:$J$982,COMPOSICIÓN!$A$2:$A$982,A116,COMPOSICIÓN!$B$2:$B$982,"MAT")</f>
        <v>9888.5338554291138</v>
      </c>
      <c r="K116" s="8">
        <f>SUMIFS(COMPOSICIÓN!$J$2:$J$982,COMPOSICIÓN!$A$2:$A$982,A116,COMPOSICIÓN!$B$2:$B$982,"MO")*I116</f>
        <v>22868.3</v>
      </c>
      <c r="L116" s="8">
        <f>SUMIFS(COMPOSICIÓN!$J$2:$J$982,COMPOSICIÓN!$A$2:$A$982,A116,COMPOSICIÓN!$B$2:$B$982,"EQ")</f>
        <v>1623.6466702520881</v>
      </c>
      <c r="M116" s="8">
        <f t="shared" si="15"/>
        <v>9888.5338554291138</v>
      </c>
      <c r="N116" s="8">
        <f t="shared" si="16"/>
        <v>22868.3</v>
      </c>
      <c r="O116" s="8">
        <f t="shared" si="17"/>
        <v>1623.6466702520881</v>
      </c>
      <c r="P116" s="8">
        <f t="shared" si="18"/>
        <v>34380.480525681196</v>
      </c>
      <c r="Q116" s="7">
        <f>COUNTIF(COMPOSICIÓN!$A:$A,A116)</f>
        <v>13</v>
      </c>
      <c r="R116" s="13">
        <v>11</v>
      </c>
      <c r="S116" s="5" t="s">
        <v>1221</v>
      </c>
      <c r="T116" s="13">
        <v>9888.5339000000004</v>
      </c>
      <c r="U116" s="13">
        <v>22868.3</v>
      </c>
      <c r="V116" s="13">
        <v>1623.6467</v>
      </c>
      <c r="W116" s="14">
        <f t="shared" si="19"/>
        <v>-2.1616567424942446E-9</v>
      </c>
    </row>
    <row r="117" spans="1:23" x14ac:dyDescent="0.35">
      <c r="A117" s="5" t="s">
        <v>1048</v>
      </c>
      <c r="B117" s="5">
        <v>18.100000000000001</v>
      </c>
      <c r="C117" s="5" t="s">
        <v>1028</v>
      </c>
      <c r="D117" s="5" t="s">
        <v>1047</v>
      </c>
      <c r="E117" s="5" t="s">
        <v>284</v>
      </c>
      <c r="F117" s="3">
        <v>1</v>
      </c>
      <c r="G117" s="3">
        <v>0</v>
      </c>
      <c r="H117" s="3">
        <v>0</v>
      </c>
      <c r="I117" s="3">
        <v>1</v>
      </c>
      <c r="J117" s="8">
        <f>SUMIFS(COMPOSICIÓN!$J$2:$J$982,COMPOSICIÓN!$A$2:$A$982,A117,COMPOSICIÓN!$B$2:$B$982,"MAT")</f>
        <v>1524162.9246999999</v>
      </c>
      <c r="K117" s="8">
        <f>SUMIFS(COMPOSICIÓN!$J$2:$J$982,COMPOSICIÓN!$A$2:$A$982,A117,COMPOSICIÓN!$B$2:$B$982,"MO")*I117</f>
        <v>329747.40000000002</v>
      </c>
      <c r="L117" s="8">
        <f>SUMIFS(COMPOSICIÓN!$J$2:$J$982,COMPOSICIÓN!$A$2:$A$982,A117,COMPOSICIÓN!$B$2:$B$982,"EQ")</f>
        <v>27808.654900000001</v>
      </c>
      <c r="M117" s="8">
        <f t="shared" si="15"/>
        <v>1524162.9246999999</v>
      </c>
      <c r="N117" s="8">
        <f t="shared" si="16"/>
        <v>329747.40000000002</v>
      </c>
      <c r="O117" s="8">
        <f t="shared" si="17"/>
        <v>27808.654900000001</v>
      </c>
      <c r="P117" s="8">
        <f t="shared" si="18"/>
        <v>1881718.9795999997</v>
      </c>
      <c r="Q117" s="7">
        <f>COUNTIF(COMPOSICIÓN!$A:$A,A117)</f>
        <v>19</v>
      </c>
      <c r="R117" s="13">
        <v>1</v>
      </c>
      <c r="S117" s="5" t="s">
        <v>1221</v>
      </c>
      <c r="T117" s="13">
        <v>1524162.9240999999</v>
      </c>
      <c r="U117" s="13">
        <v>329747.40000000002</v>
      </c>
      <c r="V117" s="13">
        <v>27808.654900000001</v>
      </c>
      <c r="W117" s="14">
        <f t="shared" si="19"/>
        <v>3.1885738493997451E-10</v>
      </c>
    </row>
    <row r="118" spans="1:23" x14ac:dyDescent="0.35">
      <c r="A118" s="5" t="s">
        <v>1050</v>
      </c>
      <c r="B118" s="5">
        <v>18.11</v>
      </c>
      <c r="C118" s="5" t="s">
        <v>1028</v>
      </c>
      <c r="D118" s="5" t="s">
        <v>1049</v>
      </c>
      <c r="E118" s="5" t="s">
        <v>284</v>
      </c>
      <c r="F118" s="3">
        <v>1</v>
      </c>
      <c r="G118" s="3">
        <v>0</v>
      </c>
      <c r="H118" s="3">
        <v>0</v>
      </c>
      <c r="I118" s="3">
        <v>1</v>
      </c>
      <c r="J118" s="8">
        <f>SUMIFS(COMPOSICIÓN!$J$2:$J$982,COMPOSICIÓN!$A$2:$A$982,A118,COMPOSICIÓN!$B$2:$B$982,"MAT")</f>
        <v>651921.59560000012</v>
      </c>
      <c r="K118" s="8">
        <f>SUMIFS(COMPOSICIÓN!$J$2:$J$982,COMPOSICIÓN!$A$2:$A$982,A118,COMPOSICIÓN!$B$2:$B$982,"MO")*I118</f>
        <v>219841.65</v>
      </c>
      <c r="L118" s="8">
        <f>SUMIFS(COMPOSICIÓN!$J$2:$J$982,COMPOSICIÓN!$A$2:$A$982,A118,COMPOSICIÓN!$B$2:$B$982,"EQ")</f>
        <v>13076.448700000001</v>
      </c>
      <c r="M118" s="8">
        <f t="shared" si="15"/>
        <v>651921.59560000012</v>
      </c>
      <c r="N118" s="8">
        <f t="shared" si="16"/>
        <v>219841.65</v>
      </c>
      <c r="O118" s="8">
        <f t="shared" si="17"/>
        <v>13076.448700000001</v>
      </c>
      <c r="P118" s="8">
        <f t="shared" si="18"/>
        <v>884839.69430000009</v>
      </c>
      <c r="Q118" s="7">
        <f>COUNTIF(COMPOSICIÓN!$A:$A,A118)</f>
        <v>11</v>
      </c>
      <c r="R118" s="13">
        <v>1</v>
      </c>
      <c r="S118" s="5" t="s">
        <v>1221</v>
      </c>
      <c r="T118" s="13">
        <v>651921.5956</v>
      </c>
      <c r="U118" s="13">
        <v>219841.65</v>
      </c>
      <c r="V118" s="13">
        <v>13076.448700000001</v>
      </c>
      <c r="W118" s="14">
        <f t="shared" si="19"/>
        <v>2.2204460492503131E-16</v>
      </c>
    </row>
    <row r="119" spans="1:23" x14ac:dyDescent="0.35">
      <c r="A119" s="5" t="s">
        <v>1052</v>
      </c>
      <c r="B119" s="5">
        <v>18.12</v>
      </c>
      <c r="C119" s="5" t="s">
        <v>1028</v>
      </c>
      <c r="D119" s="5" t="s">
        <v>1051</v>
      </c>
      <c r="E119" s="5" t="s">
        <v>284</v>
      </c>
      <c r="F119" s="3">
        <v>1</v>
      </c>
      <c r="G119" s="3">
        <v>0</v>
      </c>
      <c r="H119" s="3">
        <v>0</v>
      </c>
      <c r="I119" s="3">
        <v>1</v>
      </c>
      <c r="J119" s="8">
        <f>SUMIFS(COMPOSICIÓN!$J$2:$J$982,COMPOSICIÓN!$A$2:$A$982,A119,COMPOSICIÓN!$B$2:$B$982,"MAT")</f>
        <v>304564.37300000002</v>
      </c>
      <c r="K119" s="8">
        <f>SUMIFS(COMPOSICIÓN!$J$2:$J$982,COMPOSICIÓN!$A$2:$A$982,A119,COMPOSICIÓN!$B$2:$B$982,"MO")*I119</f>
        <v>219841.65</v>
      </c>
      <c r="L119" s="8">
        <f>SUMIFS(COMPOSICIÓN!$J$2:$J$982,COMPOSICIÓN!$A$2:$A$982,A119,COMPOSICIÓN!$B$2:$B$982,"EQ")</f>
        <v>7866.0902999999998</v>
      </c>
      <c r="M119" s="8">
        <f t="shared" si="15"/>
        <v>304564.37300000002</v>
      </c>
      <c r="N119" s="8">
        <f t="shared" si="16"/>
        <v>219841.65</v>
      </c>
      <c r="O119" s="8">
        <f t="shared" si="17"/>
        <v>7866.0902999999998</v>
      </c>
      <c r="P119" s="8">
        <f t="shared" si="18"/>
        <v>532272.11330000008</v>
      </c>
      <c r="Q119" s="7">
        <f>COUNTIF(COMPOSICIÓN!$A:$A,A119)</f>
        <v>8</v>
      </c>
      <c r="R119" s="13">
        <v>1</v>
      </c>
      <c r="S119" s="5" t="s">
        <v>1221</v>
      </c>
      <c r="T119" s="13">
        <v>304564.37300000002</v>
      </c>
      <c r="U119" s="13">
        <v>219841.65</v>
      </c>
      <c r="V119" s="13">
        <v>7866.0902999999998</v>
      </c>
      <c r="W119" s="14">
        <f t="shared" si="19"/>
        <v>0</v>
      </c>
    </row>
    <row r="120" spans="1:23" x14ac:dyDescent="0.35">
      <c r="A120" s="5" t="s">
        <v>1054</v>
      </c>
      <c r="B120" s="5">
        <v>18.13</v>
      </c>
      <c r="C120" s="5" t="s">
        <v>1028</v>
      </c>
      <c r="D120" s="5" t="s">
        <v>1053</v>
      </c>
      <c r="E120" s="5" t="s">
        <v>284</v>
      </c>
      <c r="F120" s="3">
        <v>1</v>
      </c>
      <c r="G120" s="3">
        <v>0</v>
      </c>
      <c r="H120" s="3">
        <v>0</v>
      </c>
      <c r="I120" s="3">
        <v>1</v>
      </c>
      <c r="J120" s="8">
        <f>SUMIFS(COMPOSICIÓN!$J$2:$J$982,COMPOSICIÓN!$A$2:$A$982,A120,COMPOSICIÓN!$B$2:$B$982,"MAT")</f>
        <v>540706.66409999994</v>
      </c>
      <c r="K120" s="8">
        <f>SUMIFS(COMPOSICIÓN!$J$2:$J$982,COMPOSICIÓN!$A$2:$A$982,A120,COMPOSICIÓN!$B$2:$B$982,"MO")*I120</f>
        <v>219841.65</v>
      </c>
      <c r="L120" s="8">
        <f>SUMIFS(COMPOSICIÓN!$J$2:$J$982,COMPOSICIÓN!$A$2:$A$982,A120,COMPOSICIÓN!$B$2:$B$982,"EQ")</f>
        <v>11408.224700000001</v>
      </c>
      <c r="M120" s="8">
        <f t="shared" si="15"/>
        <v>540706.66409999994</v>
      </c>
      <c r="N120" s="8">
        <f t="shared" si="16"/>
        <v>219841.65</v>
      </c>
      <c r="O120" s="8">
        <f t="shared" si="17"/>
        <v>11408.224700000001</v>
      </c>
      <c r="P120" s="8">
        <f t="shared" si="18"/>
        <v>771956.53879999998</v>
      </c>
      <c r="Q120" s="7">
        <f>COUNTIF(COMPOSICIÓN!$A:$A,A120)</f>
        <v>11</v>
      </c>
      <c r="R120" s="13">
        <v>1</v>
      </c>
      <c r="S120" s="5" t="s">
        <v>1221</v>
      </c>
      <c r="T120" s="13">
        <v>540706.66410000005</v>
      </c>
      <c r="U120" s="13">
        <v>219841.65</v>
      </c>
      <c r="V120" s="13">
        <v>11408.224700000001</v>
      </c>
      <c r="W120" s="14">
        <f t="shared" si="19"/>
        <v>-1.1102230246251565E-16</v>
      </c>
    </row>
    <row r="121" spans="1:23" x14ac:dyDescent="0.35">
      <c r="A121" s="5" t="s">
        <v>1056</v>
      </c>
      <c r="B121" s="5">
        <v>18.14</v>
      </c>
      <c r="C121" s="5" t="s">
        <v>1028</v>
      </c>
      <c r="D121" s="5" t="s">
        <v>1055</v>
      </c>
      <c r="E121" s="5" t="s">
        <v>284</v>
      </c>
      <c r="F121" s="3">
        <v>1</v>
      </c>
      <c r="G121" s="3">
        <v>0</v>
      </c>
      <c r="H121" s="3">
        <v>0</v>
      </c>
      <c r="I121" s="3">
        <v>1</v>
      </c>
      <c r="J121" s="8">
        <f>SUMIFS(COMPOSICIÓN!$J$2:$J$982,COMPOSICIÓN!$A$2:$A$982,A121,COMPOSICIÓN!$B$2:$B$982,"MAT")</f>
        <v>178279.6979</v>
      </c>
      <c r="K121" s="8">
        <f>SUMIFS(COMPOSICIÓN!$J$2:$J$982,COMPOSICIÓN!$A$2:$A$982,A121,COMPOSICIÓN!$B$2:$B$982,"MO")*I121</f>
        <v>219841.65</v>
      </c>
      <c r="L121" s="8">
        <f>SUMIFS(COMPOSICIÓN!$J$2:$J$982,COMPOSICIÓN!$A$2:$A$982,A121,COMPOSICIÓN!$B$2:$B$982,"EQ")</f>
        <v>5971.8202000000001</v>
      </c>
      <c r="M121" s="8">
        <f t="shared" si="15"/>
        <v>178279.6979</v>
      </c>
      <c r="N121" s="8">
        <f t="shared" si="16"/>
        <v>219841.65</v>
      </c>
      <c r="O121" s="8">
        <f t="shared" si="17"/>
        <v>5971.8202000000001</v>
      </c>
      <c r="P121" s="8">
        <f t="shared" si="18"/>
        <v>404093.16810000001</v>
      </c>
      <c r="Q121" s="7">
        <f>COUNTIF(COMPOSICIÓN!$A:$A,A121)</f>
        <v>7</v>
      </c>
      <c r="R121" s="13">
        <v>1</v>
      </c>
      <c r="S121" s="5" t="s">
        <v>1221</v>
      </c>
      <c r="T121" s="13">
        <v>178279.698</v>
      </c>
      <c r="U121" s="13">
        <v>219841.65</v>
      </c>
      <c r="V121" s="13">
        <v>5971.8202000000001</v>
      </c>
      <c r="W121" s="14">
        <f t="shared" si="19"/>
        <v>-2.4746771298822523E-10</v>
      </c>
    </row>
    <row r="122" spans="1:23" x14ac:dyDescent="0.35">
      <c r="A122" s="5" t="s">
        <v>1058</v>
      </c>
      <c r="B122" s="5">
        <v>18.149999999999999</v>
      </c>
      <c r="C122" s="5" t="s">
        <v>1028</v>
      </c>
      <c r="D122" s="5" t="s">
        <v>1057</v>
      </c>
      <c r="E122" s="5" t="s">
        <v>284</v>
      </c>
      <c r="F122" s="3">
        <v>1</v>
      </c>
      <c r="G122" s="3">
        <v>0</v>
      </c>
      <c r="H122" s="3">
        <v>0</v>
      </c>
      <c r="I122" s="3">
        <v>1</v>
      </c>
      <c r="J122" s="8">
        <f>SUMIFS(COMPOSICIÓN!$J$2:$J$982,COMPOSICIÓN!$A$2:$A$982,A122,COMPOSICIÓN!$B$2:$B$982,"MAT")</f>
        <v>178279.6979</v>
      </c>
      <c r="K122" s="8">
        <f>SUMIFS(COMPOSICIÓN!$J$2:$J$982,COMPOSICIÓN!$A$2:$A$982,A122,COMPOSICIÓN!$B$2:$B$982,"MO")*I122</f>
        <v>219841.65</v>
      </c>
      <c r="L122" s="8">
        <f>SUMIFS(COMPOSICIÓN!$J$2:$J$982,COMPOSICIÓN!$A$2:$A$982,A122,COMPOSICIÓN!$B$2:$B$982,"EQ")</f>
        <v>5971.8202000000001</v>
      </c>
      <c r="M122" s="8">
        <f t="shared" si="15"/>
        <v>178279.6979</v>
      </c>
      <c r="N122" s="8">
        <f t="shared" si="16"/>
        <v>219841.65</v>
      </c>
      <c r="O122" s="8">
        <f t="shared" si="17"/>
        <v>5971.8202000000001</v>
      </c>
      <c r="P122" s="8">
        <f t="shared" si="18"/>
        <v>404093.16810000001</v>
      </c>
      <c r="Q122" s="7">
        <f>COUNTIF(COMPOSICIÓN!$A:$A,A122)</f>
        <v>7</v>
      </c>
      <c r="R122" s="13">
        <v>7</v>
      </c>
      <c r="S122" s="5" t="s">
        <v>1221</v>
      </c>
      <c r="T122" s="13">
        <v>178279.698</v>
      </c>
      <c r="U122" s="13">
        <v>219841.65</v>
      </c>
      <c r="V122" s="13">
        <v>5971.8202000000001</v>
      </c>
      <c r="W122" s="14">
        <f t="shared" si="19"/>
        <v>-2.4746771298822523E-10</v>
      </c>
    </row>
    <row r="123" spans="1:23" x14ac:dyDescent="0.35">
      <c r="A123" s="5" t="s">
        <v>1060</v>
      </c>
      <c r="B123" s="5">
        <v>18.16</v>
      </c>
      <c r="C123" s="5" t="s">
        <v>1028</v>
      </c>
      <c r="D123" s="5" t="s">
        <v>1059</v>
      </c>
      <c r="E123" s="5" t="s">
        <v>284</v>
      </c>
      <c r="F123" s="3">
        <v>1</v>
      </c>
      <c r="G123" s="3">
        <v>0</v>
      </c>
      <c r="H123" s="3">
        <v>0</v>
      </c>
      <c r="I123" s="3">
        <v>1</v>
      </c>
      <c r="J123" s="8">
        <f>SUMIFS(COMPOSICIÓN!$J$2:$J$982,COMPOSICIÓN!$A$2:$A$982,A123,COMPOSICIÓN!$B$2:$B$982,"MAT")</f>
        <v>246945.70800000001</v>
      </c>
      <c r="K123" s="8">
        <f>SUMIFS(COMPOSICIÓN!$J$2:$J$982,COMPOSICIÓN!$A$2:$A$982,A123,COMPOSICIÓN!$B$2:$B$982,"MO")*I123</f>
        <v>219841.65</v>
      </c>
      <c r="L123" s="8">
        <f>SUMIFS(COMPOSICIÓN!$J$2:$J$982,COMPOSICIÓN!$A$2:$A$982,A123,COMPOSICIÓN!$B$2:$B$982,"EQ")</f>
        <v>7001.8104000000003</v>
      </c>
      <c r="M123" s="8">
        <f t="shared" si="15"/>
        <v>246945.70800000001</v>
      </c>
      <c r="N123" s="8">
        <f t="shared" si="16"/>
        <v>219841.65</v>
      </c>
      <c r="O123" s="8">
        <f t="shared" si="17"/>
        <v>7001.8104000000003</v>
      </c>
      <c r="P123" s="8">
        <f t="shared" si="18"/>
        <v>473789.16840000002</v>
      </c>
      <c r="Q123" s="7">
        <f>COUNTIF(COMPOSICIÓN!$A:$A,A123)</f>
        <v>10</v>
      </c>
      <c r="R123" s="13">
        <v>9</v>
      </c>
      <c r="S123" s="5" t="s">
        <v>1221</v>
      </c>
      <c r="T123" s="13">
        <v>246945.70800000001</v>
      </c>
      <c r="U123" s="13">
        <v>219841.65</v>
      </c>
      <c r="V123" s="13">
        <v>7001.8104000000003</v>
      </c>
      <c r="W123" s="14">
        <f t="shared" si="19"/>
        <v>0</v>
      </c>
    </row>
    <row r="124" spans="1:23" x14ac:dyDescent="0.35">
      <c r="A124" s="5" t="s">
        <v>1061</v>
      </c>
      <c r="B124" s="5">
        <v>18.170000000000002</v>
      </c>
      <c r="C124" s="5" t="s">
        <v>1028</v>
      </c>
      <c r="D124" s="5" t="s">
        <v>336</v>
      </c>
      <c r="E124" s="5" t="s">
        <v>470</v>
      </c>
      <c r="F124" s="3">
        <v>1</v>
      </c>
      <c r="G124" s="3">
        <v>0</v>
      </c>
      <c r="H124" s="3">
        <v>0</v>
      </c>
      <c r="I124" s="3">
        <v>1</v>
      </c>
      <c r="J124" s="8">
        <f>SUMIFS(COMPOSICIÓN!$J$2:$J$982,COMPOSICIÓN!$A$2:$A$982,A124,COMPOSICIÓN!$B$2:$B$982,"MAT")</f>
        <v>5500000</v>
      </c>
      <c r="K124" s="8">
        <f>SUMIFS(COMPOSICIÓN!$J$2:$J$982,COMPOSICIÓN!$A$2:$A$982,A124,COMPOSICIÓN!$B$2:$B$982,"MO")*I124</f>
        <v>1948456.8000000003</v>
      </c>
      <c r="L124" s="8">
        <f>SUMIFS(COMPOSICIÓN!$J$2:$J$982,COMPOSICIÓN!$A$2:$A$982,A124,COMPOSICIÓN!$B$2:$B$982,"EQ")</f>
        <v>111726.852</v>
      </c>
      <c r="M124" s="8">
        <f t="shared" si="15"/>
        <v>5500000</v>
      </c>
      <c r="N124" s="8">
        <f t="shared" si="16"/>
        <v>1948456.8000000003</v>
      </c>
      <c r="O124" s="8">
        <f t="shared" si="17"/>
        <v>111726.852</v>
      </c>
      <c r="P124" s="8">
        <f t="shared" si="18"/>
        <v>7560183.6520000007</v>
      </c>
      <c r="Q124" s="7">
        <f>COUNTIF(COMPOSICIÓN!$A:$A,A124)</f>
        <v>6</v>
      </c>
      <c r="R124" s="13">
        <v>1</v>
      </c>
      <c r="S124" s="5" t="s">
        <v>1221</v>
      </c>
      <c r="T124" s="13">
        <v>5500000</v>
      </c>
      <c r="U124" s="13">
        <v>1948456.7999</v>
      </c>
      <c r="V124" s="13">
        <v>111726.852</v>
      </c>
      <c r="W124" s="14">
        <f t="shared" si="19"/>
        <v>1.3227197115384115E-11</v>
      </c>
    </row>
    <row r="125" spans="1:23" x14ac:dyDescent="0.35">
      <c r="A125" s="5" t="s">
        <v>1063</v>
      </c>
      <c r="B125" s="5">
        <v>18.18</v>
      </c>
      <c r="C125" s="5" t="s">
        <v>1028</v>
      </c>
      <c r="D125" s="5" t="s">
        <v>1062</v>
      </c>
      <c r="E125" s="5" t="s">
        <v>470</v>
      </c>
      <c r="F125" s="3">
        <v>1</v>
      </c>
      <c r="G125" s="3">
        <v>0</v>
      </c>
      <c r="H125" s="3">
        <v>0</v>
      </c>
      <c r="I125" s="3">
        <v>1</v>
      </c>
      <c r="J125" s="8">
        <f>SUMIFS(COMPOSICIÓN!$J$2:$J$982,COMPOSICIÓN!$A$2:$A$982,A125,COMPOSICIÓN!$B$2:$B$982,"MAT")</f>
        <v>607800.87082700001</v>
      </c>
      <c r="K125" s="8">
        <f>SUMIFS(COMPOSICIÓN!$J$2:$J$982,COMPOSICIÓN!$A$2:$A$982,A125,COMPOSICIÓN!$B$2:$B$982,"MO")*I125</f>
        <v>864708.65249999997</v>
      </c>
      <c r="L125" s="8">
        <f>SUMIFS(COMPOSICIÓN!$J$2:$J$982,COMPOSICIÓN!$A$2:$A$982,A125,COMPOSICIÓN!$B$2:$B$982,"EQ")</f>
        <v>22087.642800000001</v>
      </c>
      <c r="M125" s="8">
        <f t="shared" si="15"/>
        <v>607800.87082700001</v>
      </c>
      <c r="N125" s="8">
        <f t="shared" si="16"/>
        <v>864708.65249999997</v>
      </c>
      <c r="O125" s="8">
        <f t="shared" si="17"/>
        <v>22087.642800000001</v>
      </c>
      <c r="P125" s="8">
        <f t="shared" si="18"/>
        <v>1494597.166127</v>
      </c>
      <c r="Q125" s="7">
        <f>COUNTIF(COMPOSICIÓN!$A:$A,A125)</f>
        <v>13</v>
      </c>
      <c r="R125" s="13">
        <v>1</v>
      </c>
      <c r="S125" s="5" t="s">
        <v>1221</v>
      </c>
      <c r="T125" s="13">
        <v>607800.87760000001</v>
      </c>
      <c r="U125" s="13">
        <v>864708.64150000003</v>
      </c>
      <c r="V125" s="13">
        <v>22087.642800000001</v>
      </c>
      <c r="W125" s="14">
        <f t="shared" si="19"/>
        <v>2.8281867958668272E-9</v>
      </c>
    </row>
    <row r="126" spans="1:23" x14ac:dyDescent="0.35">
      <c r="A126" s="5" t="s">
        <v>1065</v>
      </c>
      <c r="B126" s="5">
        <v>18.190000000000001</v>
      </c>
      <c r="C126" s="5" t="s">
        <v>1028</v>
      </c>
      <c r="D126" s="5" t="s">
        <v>1064</v>
      </c>
      <c r="E126" s="5" t="s">
        <v>470</v>
      </c>
      <c r="F126" s="3">
        <v>1</v>
      </c>
      <c r="G126" s="3">
        <v>0</v>
      </c>
      <c r="H126" s="3">
        <v>0</v>
      </c>
      <c r="I126" s="3">
        <v>1</v>
      </c>
      <c r="J126" s="8">
        <f>SUMIFS(COMPOSICIÓN!$J$2:$J$982,COMPOSICIÓN!$A$2:$A$982,A126,COMPOSICIÓN!$B$2:$B$982,"MAT")</f>
        <v>607800.87082700001</v>
      </c>
      <c r="K126" s="8">
        <f>SUMIFS(COMPOSICIÓN!$J$2:$J$982,COMPOSICIÓN!$A$2:$A$982,A126,COMPOSICIÓN!$B$2:$B$982,"MO")*I126</f>
        <v>864708.65249999997</v>
      </c>
      <c r="L126" s="8">
        <f>SUMIFS(COMPOSICIÓN!$J$2:$J$982,COMPOSICIÓN!$A$2:$A$982,A126,COMPOSICIÓN!$B$2:$B$982,"EQ")</f>
        <v>22087.642800000001</v>
      </c>
      <c r="M126" s="8">
        <f t="shared" si="15"/>
        <v>607800.87082700001</v>
      </c>
      <c r="N126" s="8">
        <f t="shared" si="16"/>
        <v>864708.65249999997</v>
      </c>
      <c r="O126" s="8">
        <f t="shared" si="17"/>
        <v>22087.642800000001</v>
      </c>
      <c r="P126" s="8">
        <f t="shared" si="18"/>
        <v>1494597.166127</v>
      </c>
      <c r="Q126" s="7">
        <f>COUNTIF(COMPOSICIÓN!$A:$A,A126)</f>
        <v>13</v>
      </c>
      <c r="R126" s="13">
        <v>1</v>
      </c>
      <c r="S126" s="5" t="s">
        <v>1221</v>
      </c>
      <c r="T126" s="13">
        <v>607800.87760000001</v>
      </c>
      <c r="U126" s="13">
        <v>864708.64150000003</v>
      </c>
      <c r="V126" s="13">
        <v>22087.642800000001</v>
      </c>
      <c r="W126" s="14">
        <f t="shared" si="19"/>
        <v>2.8281867958668272E-9</v>
      </c>
    </row>
    <row r="127" spans="1:23" x14ac:dyDescent="0.35">
      <c r="A127" s="5" t="s">
        <v>1067</v>
      </c>
      <c r="B127" s="5">
        <v>18.2</v>
      </c>
      <c r="C127" s="5" t="s">
        <v>1028</v>
      </c>
      <c r="D127" s="5" t="s">
        <v>1066</v>
      </c>
      <c r="E127" s="5" t="s">
        <v>284</v>
      </c>
      <c r="F127" s="3">
        <v>1</v>
      </c>
      <c r="G127" s="3">
        <v>0</v>
      </c>
      <c r="H127" s="3">
        <v>0</v>
      </c>
      <c r="I127" s="3">
        <v>1</v>
      </c>
      <c r="J127" s="8">
        <f>SUMIFS(COMPOSICIÓN!$J$2:$J$982,COMPOSICIÓN!$A$2:$A$982,A127,COMPOSICIÓN!$B$2:$B$982,"MAT")</f>
        <v>0</v>
      </c>
      <c r="K127" s="8">
        <f>SUMIFS(COMPOSICIÓN!$J$2:$J$982,COMPOSICIÓN!$A$2:$A$982,A127,COMPOSICIÓN!$B$2:$B$982,"MO")*I127</f>
        <v>11158</v>
      </c>
      <c r="L127" s="8">
        <f>SUMIFS(COMPOSICIÓN!$J$2:$J$982,COMPOSICIÓN!$A$2:$A$982,A127,COMPOSICIÓN!$B$2:$B$982,"EQ")</f>
        <v>167.37</v>
      </c>
      <c r="M127" s="8">
        <f t="shared" si="15"/>
        <v>0</v>
      </c>
      <c r="N127" s="8">
        <f t="shared" si="16"/>
        <v>11158</v>
      </c>
      <c r="O127" s="8">
        <f t="shared" si="17"/>
        <v>167.37</v>
      </c>
      <c r="P127" s="8">
        <f t="shared" si="18"/>
        <v>11325.37</v>
      </c>
      <c r="Q127" s="7">
        <f>COUNTIF(COMPOSICIÓN!$A:$A,A127)</f>
        <v>2</v>
      </c>
      <c r="R127" s="13">
        <v>33</v>
      </c>
      <c r="S127" s="5" t="s">
        <v>1221</v>
      </c>
      <c r="T127" s="13">
        <v>0</v>
      </c>
      <c r="U127" s="13">
        <v>11158</v>
      </c>
      <c r="V127" s="13">
        <v>167.37</v>
      </c>
      <c r="W127" s="14">
        <f t="shared" si="19"/>
        <v>0</v>
      </c>
    </row>
    <row r="128" spans="1:23" x14ac:dyDescent="0.35">
      <c r="A128" s="5" t="s">
        <v>1069</v>
      </c>
      <c r="B128" s="5">
        <v>18.21</v>
      </c>
      <c r="C128" s="5" t="s">
        <v>1028</v>
      </c>
      <c r="D128" s="5" t="s">
        <v>1068</v>
      </c>
      <c r="E128" s="5" t="s">
        <v>284</v>
      </c>
      <c r="F128" s="3">
        <v>1</v>
      </c>
      <c r="G128" s="3">
        <v>0</v>
      </c>
      <c r="H128" s="3">
        <v>0</v>
      </c>
      <c r="I128" s="3">
        <v>1</v>
      </c>
      <c r="J128" s="8">
        <f>SUMIFS(COMPOSICIÓN!$J$2:$J$982,COMPOSICIÓN!$A$2:$A$982,A128,COMPOSICIÓN!$B$2:$B$982,"MAT")</f>
        <v>0</v>
      </c>
      <c r="K128" s="8">
        <f>SUMIFS(COMPOSICIÓN!$J$2:$J$982,COMPOSICIÓN!$A$2:$A$982,A128,COMPOSICIÓN!$B$2:$B$982,"MO")*I128</f>
        <v>7270.9</v>
      </c>
      <c r="L128" s="8">
        <f>SUMIFS(COMPOSICIÓN!$J$2:$J$982,COMPOSICIÓN!$A$2:$A$982,A128,COMPOSICIÓN!$B$2:$B$982,"EQ")</f>
        <v>109.0635</v>
      </c>
      <c r="M128" s="8">
        <f t="shared" si="15"/>
        <v>0</v>
      </c>
      <c r="N128" s="8">
        <f t="shared" si="16"/>
        <v>7270.9</v>
      </c>
      <c r="O128" s="8">
        <f t="shared" si="17"/>
        <v>109.0635</v>
      </c>
      <c r="P128" s="8">
        <f t="shared" si="18"/>
        <v>7379.9634999999998</v>
      </c>
      <c r="Q128" s="7">
        <f>COUNTIF(COMPOSICIÓN!$A:$A,A128)</f>
        <v>2</v>
      </c>
      <c r="R128" s="13">
        <v>150</v>
      </c>
      <c r="S128" s="5" t="s">
        <v>1221</v>
      </c>
      <c r="T128" s="13">
        <v>0</v>
      </c>
      <c r="U128" s="13">
        <v>7270.9</v>
      </c>
      <c r="V128" s="13">
        <v>109.0635</v>
      </c>
      <c r="W128" s="14">
        <f t="shared" si="19"/>
        <v>0</v>
      </c>
    </row>
    <row r="129" spans="1:23" x14ac:dyDescent="0.35">
      <c r="A129" s="5" t="s">
        <v>1071</v>
      </c>
      <c r="B129" s="5">
        <v>18.22</v>
      </c>
      <c r="C129" s="5" t="s">
        <v>1028</v>
      </c>
      <c r="D129" s="5" t="s">
        <v>1070</v>
      </c>
      <c r="E129" s="5" t="s">
        <v>284</v>
      </c>
      <c r="F129" s="3">
        <v>1</v>
      </c>
      <c r="G129" s="3">
        <v>0</v>
      </c>
      <c r="H129" s="3">
        <v>0</v>
      </c>
      <c r="I129" s="3">
        <v>1</v>
      </c>
      <c r="J129" s="8">
        <f>SUMIFS(COMPOSICIÓN!$J$2:$J$982,COMPOSICIÓN!$A$2:$A$982,A129,COMPOSICIÓN!$B$2:$B$982,"MAT")</f>
        <v>0</v>
      </c>
      <c r="K129" s="8">
        <f>SUMIFS(COMPOSICIÓN!$J$2:$J$982,COMPOSICIÓN!$A$2:$A$982,A129,COMPOSICIÓN!$B$2:$B$982,"MO")*I129</f>
        <v>7270.9</v>
      </c>
      <c r="L129" s="8">
        <f>SUMIFS(COMPOSICIÓN!$J$2:$J$982,COMPOSICIÓN!$A$2:$A$982,A129,COMPOSICIÓN!$B$2:$B$982,"EQ")</f>
        <v>109.0635</v>
      </c>
      <c r="M129" s="8">
        <f t="shared" si="15"/>
        <v>0</v>
      </c>
      <c r="N129" s="8">
        <f t="shared" si="16"/>
        <v>7270.9</v>
      </c>
      <c r="O129" s="8">
        <f t="shared" si="17"/>
        <v>109.0635</v>
      </c>
      <c r="P129" s="8">
        <f t="shared" si="18"/>
        <v>7379.9634999999998</v>
      </c>
      <c r="Q129" s="7">
        <f>COUNTIF(COMPOSICIÓN!$A:$A,A129)</f>
        <v>2</v>
      </c>
      <c r="R129" s="13">
        <v>16</v>
      </c>
      <c r="S129" s="5" t="s">
        <v>1221</v>
      </c>
      <c r="T129" s="13">
        <v>0</v>
      </c>
      <c r="U129" s="13">
        <v>7270.9</v>
      </c>
      <c r="V129" s="13">
        <v>109.0635</v>
      </c>
      <c r="W129" s="14">
        <f t="shared" si="19"/>
        <v>0</v>
      </c>
    </row>
    <row r="130" spans="1:23" x14ac:dyDescent="0.35">
      <c r="A130" s="5" t="s">
        <v>1073</v>
      </c>
      <c r="B130" s="5">
        <v>18.23</v>
      </c>
      <c r="C130" s="5" t="s">
        <v>1028</v>
      </c>
      <c r="D130" s="5" t="s">
        <v>1072</v>
      </c>
      <c r="E130" s="5" t="s">
        <v>284</v>
      </c>
      <c r="F130" s="3">
        <v>1</v>
      </c>
      <c r="G130" s="3">
        <v>0</v>
      </c>
      <c r="H130" s="3">
        <v>0</v>
      </c>
      <c r="I130" s="3">
        <v>1</v>
      </c>
      <c r="J130" s="8">
        <f>SUMIFS(COMPOSICIÓN!$J$2:$J$982,COMPOSICIÓN!$A$2:$A$982,A130,COMPOSICIÓN!$B$2:$B$982,"MAT")</f>
        <v>0</v>
      </c>
      <c r="K130" s="8">
        <f>SUMIFS(COMPOSICIÓN!$J$2:$J$982,COMPOSICIÓN!$A$2:$A$982,A130,COMPOSICIÓN!$B$2:$B$982,"MO")*I130</f>
        <v>7270.9</v>
      </c>
      <c r="L130" s="8">
        <f>SUMIFS(COMPOSICIÓN!$J$2:$J$982,COMPOSICIÓN!$A$2:$A$982,A130,COMPOSICIÓN!$B$2:$B$982,"EQ")</f>
        <v>109.0635</v>
      </c>
      <c r="M130" s="8">
        <f t="shared" ref="M130:M161" si="20">J130</f>
        <v>0</v>
      </c>
      <c r="N130" s="8">
        <f t="shared" ref="N130:N161" si="21">IF(F130=0,0,K130/F130)</f>
        <v>7270.9</v>
      </c>
      <c r="O130" s="8">
        <f t="shared" ref="O130:O161" si="22">IF(F130=0,0,L130/F130)</f>
        <v>109.0635</v>
      </c>
      <c r="P130" s="8">
        <f t="shared" ref="P130:P161" si="23">M130+N130+O130</f>
        <v>7379.9634999999998</v>
      </c>
      <c r="Q130" s="7">
        <f>COUNTIF(COMPOSICIÓN!$A:$A,A130)</f>
        <v>2</v>
      </c>
      <c r="R130" s="13">
        <v>349</v>
      </c>
      <c r="S130" s="5" t="s">
        <v>1221</v>
      </c>
      <c r="T130" s="13">
        <v>0</v>
      </c>
      <c r="U130" s="13">
        <v>7270.9</v>
      </c>
      <c r="V130" s="13">
        <v>109.0635</v>
      </c>
      <c r="W130" s="14">
        <f t="shared" ref="W130:W161" si="24">IFERROR(P130/(T130+U130+V130)-1,0)</f>
        <v>0</v>
      </c>
    </row>
    <row r="131" spans="1:23" x14ac:dyDescent="0.35">
      <c r="A131" s="5" t="s">
        <v>1075</v>
      </c>
      <c r="B131" s="5">
        <v>18.239999999999998</v>
      </c>
      <c r="C131" s="5" t="s">
        <v>1028</v>
      </c>
      <c r="D131" s="5" t="s">
        <v>1074</v>
      </c>
      <c r="E131" s="5" t="s">
        <v>284</v>
      </c>
      <c r="F131" s="3">
        <v>1</v>
      </c>
      <c r="G131" s="3">
        <v>0</v>
      </c>
      <c r="H131" s="3">
        <v>0</v>
      </c>
      <c r="I131" s="3">
        <v>1</v>
      </c>
      <c r="J131" s="8">
        <f>SUMIFS(COMPOSICIÓN!$J$2:$J$982,COMPOSICIÓN!$A$2:$A$982,A131,COMPOSICIÓN!$B$2:$B$982,"MAT")</f>
        <v>0</v>
      </c>
      <c r="K131" s="8">
        <f>SUMIFS(COMPOSICIÓN!$J$2:$J$982,COMPOSICIÓN!$A$2:$A$982,A131,COMPOSICIÓN!$B$2:$B$982,"MO")*I131</f>
        <v>17500</v>
      </c>
      <c r="L131" s="8">
        <f>SUMIFS(COMPOSICIÓN!$J$2:$J$982,COMPOSICIÓN!$A$2:$A$982,A131,COMPOSICIÓN!$B$2:$B$982,"EQ")</f>
        <v>262.5</v>
      </c>
      <c r="M131" s="8">
        <f t="shared" si="20"/>
        <v>0</v>
      </c>
      <c r="N131" s="8">
        <f t="shared" si="21"/>
        <v>17500</v>
      </c>
      <c r="O131" s="8">
        <f t="shared" si="22"/>
        <v>262.5</v>
      </c>
      <c r="P131" s="8">
        <f t="shared" si="23"/>
        <v>17762.5</v>
      </c>
      <c r="Q131" s="7">
        <f>COUNTIF(COMPOSICIÓN!$A:$A,A131)</f>
        <v>2</v>
      </c>
      <c r="R131" s="13">
        <v>27</v>
      </c>
      <c r="S131" s="5" t="s">
        <v>1221</v>
      </c>
      <c r="T131" s="13">
        <v>0</v>
      </c>
      <c r="U131" s="13">
        <v>17500</v>
      </c>
      <c r="V131" s="13">
        <v>262.5</v>
      </c>
      <c r="W131" s="14">
        <f t="shared" si="24"/>
        <v>0</v>
      </c>
    </row>
    <row r="132" spans="1:23" x14ac:dyDescent="0.35">
      <c r="A132" s="5" t="s">
        <v>1077</v>
      </c>
      <c r="B132" s="5">
        <v>18.25</v>
      </c>
      <c r="C132" s="5" t="s">
        <v>1028</v>
      </c>
      <c r="D132" s="5" t="s">
        <v>1076</v>
      </c>
      <c r="E132" s="5" t="s">
        <v>284</v>
      </c>
      <c r="F132" s="3">
        <v>1</v>
      </c>
      <c r="G132" s="3">
        <v>0</v>
      </c>
      <c r="H132" s="3">
        <v>0</v>
      </c>
      <c r="I132" s="3">
        <v>1</v>
      </c>
      <c r="J132" s="8">
        <f>SUMIFS(COMPOSICIÓN!$J$2:$J$982,COMPOSICIÓN!$A$2:$A$982,A132,COMPOSICIÓN!$B$2:$B$982,"MAT")</f>
        <v>0</v>
      </c>
      <c r="K132" s="8">
        <f>SUMIFS(COMPOSICIÓN!$J$2:$J$982,COMPOSICIÓN!$A$2:$A$982,A132,COMPOSICIÓN!$B$2:$B$982,"MO")*I132</f>
        <v>11158</v>
      </c>
      <c r="L132" s="8">
        <f>SUMIFS(COMPOSICIÓN!$J$2:$J$982,COMPOSICIÓN!$A$2:$A$982,A132,COMPOSICIÓN!$B$2:$B$982,"EQ")</f>
        <v>167.37</v>
      </c>
      <c r="M132" s="8">
        <f t="shared" si="20"/>
        <v>0</v>
      </c>
      <c r="N132" s="8">
        <f t="shared" si="21"/>
        <v>11158</v>
      </c>
      <c r="O132" s="8">
        <f t="shared" si="22"/>
        <v>167.37</v>
      </c>
      <c r="P132" s="8">
        <f t="shared" si="23"/>
        <v>11325.37</v>
      </c>
      <c r="Q132" s="7">
        <f>COUNTIF(COMPOSICIÓN!$A:$A,A132)</f>
        <v>2</v>
      </c>
      <c r="R132" s="13">
        <v>16</v>
      </c>
      <c r="S132" s="5" t="s">
        <v>1221</v>
      </c>
      <c r="T132" s="13">
        <v>0</v>
      </c>
      <c r="U132" s="13">
        <v>11158</v>
      </c>
      <c r="V132" s="13">
        <v>167.37</v>
      </c>
      <c r="W132" s="14">
        <f t="shared" si="24"/>
        <v>0</v>
      </c>
    </row>
    <row r="133" spans="1:23" x14ac:dyDescent="0.35">
      <c r="A133" s="5" t="s">
        <v>1079</v>
      </c>
      <c r="B133" s="5">
        <v>18.260000000000002</v>
      </c>
      <c r="C133" s="5" t="s">
        <v>1028</v>
      </c>
      <c r="D133" s="5" t="s">
        <v>1078</v>
      </c>
      <c r="E133" s="5" t="s">
        <v>284</v>
      </c>
      <c r="F133" s="3">
        <v>1</v>
      </c>
      <c r="G133" s="3">
        <v>0</v>
      </c>
      <c r="H133" s="3">
        <v>0</v>
      </c>
      <c r="I133" s="3">
        <v>1</v>
      </c>
      <c r="J133" s="8">
        <f>SUMIFS(COMPOSICIÓN!$J$2:$J$982,COMPOSICIÓN!$A$2:$A$982,A133,COMPOSICIÓN!$B$2:$B$982,"MAT")</f>
        <v>0</v>
      </c>
      <c r="K133" s="8">
        <f>SUMIFS(COMPOSICIÓN!$J$2:$J$982,COMPOSICIÓN!$A$2:$A$982,A133,COMPOSICIÓN!$B$2:$B$982,"MO")*I133</f>
        <v>11158</v>
      </c>
      <c r="L133" s="8">
        <f>SUMIFS(COMPOSICIÓN!$J$2:$J$982,COMPOSICIÓN!$A$2:$A$982,A133,COMPOSICIÓN!$B$2:$B$982,"EQ")</f>
        <v>167.37</v>
      </c>
      <c r="M133" s="8">
        <f t="shared" si="20"/>
        <v>0</v>
      </c>
      <c r="N133" s="8">
        <f t="shared" si="21"/>
        <v>11158</v>
      </c>
      <c r="O133" s="8">
        <f t="shared" si="22"/>
        <v>167.37</v>
      </c>
      <c r="P133" s="8">
        <f t="shared" si="23"/>
        <v>11325.37</v>
      </c>
      <c r="Q133" s="7">
        <f>COUNTIF(COMPOSICIÓN!$A:$A,A133)</f>
        <v>2</v>
      </c>
      <c r="R133" s="13">
        <v>137</v>
      </c>
      <c r="S133" s="5" t="s">
        <v>1221</v>
      </c>
      <c r="T133" s="13">
        <v>0</v>
      </c>
      <c r="U133" s="13">
        <v>11158</v>
      </c>
      <c r="V133" s="13">
        <v>167.37</v>
      </c>
      <c r="W133" s="14">
        <f t="shared" si="24"/>
        <v>0</v>
      </c>
    </row>
    <row r="134" spans="1:23" x14ac:dyDescent="0.35">
      <c r="A134" s="5" t="s">
        <v>1081</v>
      </c>
      <c r="B134" s="5">
        <v>18.27</v>
      </c>
      <c r="C134" s="5" t="s">
        <v>1028</v>
      </c>
      <c r="D134" s="5" t="s">
        <v>1080</v>
      </c>
      <c r="E134" s="5" t="s">
        <v>284</v>
      </c>
      <c r="F134" s="3">
        <v>1</v>
      </c>
      <c r="G134" s="3">
        <v>0</v>
      </c>
      <c r="H134" s="3">
        <v>0</v>
      </c>
      <c r="I134" s="3">
        <v>1</v>
      </c>
      <c r="J134" s="8">
        <f>SUMIFS(COMPOSICIÓN!$J$2:$J$982,COMPOSICIÓN!$A$2:$A$982,A134,COMPOSICIÓN!$B$2:$B$982,"MAT")</f>
        <v>0</v>
      </c>
      <c r="K134" s="8">
        <f>SUMIFS(COMPOSICIÓN!$J$2:$J$982,COMPOSICIÓN!$A$2:$A$982,A134,COMPOSICIÓN!$B$2:$B$982,"MO")*I134</f>
        <v>11158</v>
      </c>
      <c r="L134" s="8">
        <f>SUMIFS(COMPOSICIÓN!$J$2:$J$982,COMPOSICIÓN!$A$2:$A$982,A134,COMPOSICIÓN!$B$2:$B$982,"EQ")</f>
        <v>167.37</v>
      </c>
      <c r="M134" s="8">
        <f t="shared" si="20"/>
        <v>0</v>
      </c>
      <c r="N134" s="8">
        <f t="shared" si="21"/>
        <v>11158</v>
      </c>
      <c r="O134" s="8">
        <f t="shared" si="22"/>
        <v>167.37</v>
      </c>
      <c r="P134" s="8">
        <f t="shared" si="23"/>
        <v>11325.37</v>
      </c>
      <c r="Q134" s="7">
        <f>COUNTIF(COMPOSICIÓN!$A:$A,A134)</f>
        <v>2</v>
      </c>
      <c r="R134" s="13">
        <v>1</v>
      </c>
      <c r="S134" s="5" t="s">
        <v>1221</v>
      </c>
      <c r="T134" s="13">
        <v>0</v>
      </c>
      <c r="U134" s="13">
        <v>11158</v>
      </c>
      <c r="V134" s="13">
        <v>167.37</v>
      </c>
      <c r="W134" s="14">
        <f t="shared" si="24"/>
        <v>0</v>
      </c>
    </row>
    <row r="135" spans="1:23" x14ac:dyDescent="0.35">
      <c r="A135" s="5" t="s">
        <v>1083</v>
      </c>
      <c r="B135" s="5">
        <v>18.28</v>
      </c>
      <c r="C135" s="5" t="s">
        <v>1028</v>
      </c>
      <c r="D135" s="5" t="s">
        <v>1082</v>
      </c>
      <c r="E135" s="5" t="s">
        <v>470</v>
      </c>
      <c r="F135" s="3">
        <v>1</v>
      </c>
      <c r="G135" s="3">
        <v>0</v>
      </c>
      <c r="H135" s="3">
        <v>0</v>
      </c>
      <c r="I135" s="3">
        <v>1</v>
      </c>
      <c r="J135" s="8">
        <f>SUMIFS(COMPOSICIÓN!$J$2:$J$982,COMPOSICIÓN!$A$2:$A$982,A135,COMPOSICIÓN!$B$2:$B$982,"MAT")</f>
        <v>5844722.2259</v>
      </c>
      <c r="K135" s="8">
        <f>SUMIFS(COMPOSICIÓN!$J$2:$J$982,COMPOSICIÓN!$A$2:$A$982,A135,COMPOSICIÓN!$B$2:$B$982,"MO")*I135</f>
        <v>1471041.6</v>
      </c>
      <c r="L135" s="8">
        <f>SUMIFS(COMPOSICIÓN!$J$2:$J$982,COMPOSICIÓN!$A$2:$A$982,A135,COMPOSICIÓN!$B$2:$B$982,"EQ")</f>
        <v>109736.4574</v>
      </c>
      <c r="M135" s="8">
        <f t="shared" si="20"/>
        <v>5844722.2259</v>
      </c>
      <c r="N135" s="8">
        <f t="shared" si="21"/>
        <v>1471041.6</v>
      </c>
      <c r="O135" s="8">
        <f t="shared" si="22"/>
        <v>109736.4574</v>
      </c>
      <c r="P135" s="8">
        <f t="shared" si="23"/>
        <v>7425500.2832999993</v>
      </c>
      <c r="Q135" s="7">
        <f>COUNTIF(COMPOSICIÓN!$A:$A,A135)</f>
        <v>12</v>
      </c>
      <c r="R135" s="13">
        <v>1</v>
      </c>
      <c r="S135" s="5" t="s">
        <v>1221</v>
      </c>
      <c r="T135" s="13">
        <v>5844722.2282999996</v>
      </c>
      <c r="U135" s="13">
        <v>1471041.6</v>
      </c>
      <c r="V135" s="13">
        <v>109736.4574</v>
      </c>
      <c r="W135" s="14">
        <f t="shared" si="24"/>
        <v>-3.2321045839722728E-10</v>
      </c>
    </row>
    <row r="136" spans="1:23" x14ac:dyDescent="0.35">
      <c r="A136" s="5" t="s">
        <v>1085</v>
      </c>
      <c r="B136" s="5">
        <v>18.29</v>
      </c>
      <c r="C136" s="5" t="s">
        <v>1028</v>
      </c>
      <c r="D136" s="5" t="s">
        <v>1084</v>
      </c>
      <c r="E136" s="5" t="s">
        <v>470</v>
      </c>
      <c r="F136" s="3">
        <v>1</v>
      </c>
      <c r="G136" s="3">
        <v>0</v>
      </c>
      <c r="H136" s="3">
        <v>0</v>
      </c>
      <c r="I136" s="3">
        <v>1</v>
      </c>
      <c r="J136" s="8">
        <f>SUMIFS(COMPOSICIÓN!$J$2:$J$982,COMPOSICIÓN!$A$2:$A$982,A136,COMPOSICIÓN!$B$2:$B$982,"MAT")</f>
        <v>1261512.1495999999</v>
      </c>
      <c r="K136" s="8">
        <f>SUMIFS(COMPOSICIÓN!$J$2:$J$982,COMPOSICIÓN!$A$2:$A$982,A136,COMPOSICIÓN!$B$2:$B$982,"MO")*I136</f>
        <v>305252.5</v>
      </c>
      <c r="L136" s="8">
        <f>SUMIFS(COMPOSICIÓN!$J$2:$J$982,COMPOSICIÓN!$A$2:$A$982,A136,COMPOSICIÓN!$B$2:$B$982,"EQ")</f>
        <v>23501.469799999999</v>
      </c>
      <c r="M136" s="8">
        <f t="shared" si="20"/>
        <v>1261512.1495999999</v>
      </c>
      <c r="N136" s="8">
        <f t="shared" si="21"/>
        <v>305252.5</v>
      </c>
      <c r="O136" s="8">
        <f t="shared" si="22"/>
        <v>23501.469799999999</v>
      </c>
      <c r="P136" s="8">
        <f t="shared" si="23"/>
        <v>1590266.1194</v>
      </c>
      <c r="Q136" s="7">
        <f>COUNTIF(COMPOSICIÓN!$A:$A,A136)</f>
        <v>7</v>
      </c>
      <c r="R136" s="13">
        <v>1</v>
      </c>
      <c r="S136" s="5" t="s">
        <v>1221</v>
      </c>
      <c r="T136" s="13">
        <v>1261512.1510000001</v>
      </c>
      <c r="U136" s="13">
        <v>305252.5</v>
      </c>
      <c r="V136" s="13">
        <v>23501.469799999999</v>
      </c>
      <c r="W136" s="14">
        <f t="shared" si="24"/>
        <v>-8.8035589929091884E-10</v>
      </c>
    </row>
    <row r="137" spans="1:23" x14ac:dyDescent="0.35">
      <c r="A137" s="5" t="s">
        <v>1087</v>
      </c>
      <c r="B137" s="5">
        <v>18.3</v>
      </c>
      <c r="C137" s="5" t="s">
        <v>1028</v>
      </c>
      <c r="D137" s="5" t="s">
        <v>1086</v>
      </c>
      <c r="E137" s="5" t="s">
        <v>470</v>
      </c>
      <c r="F137" s="3">
        <v>1</v>
      </c>
      <c r="G137" s="3">
        <v>0</v>
      </c>
      <c r="H137" s="3">
        <v>0</v>
      </c>
      <c r="I137" s="3">
        <v>1</v>
      </c>
      <c r="J137" s="8">
        <f>SUMIFS(COMPOSICIÓN!$J$2:$J$982,COMPOSICIÓN!$A$2:$A$982,A137,COMPOSICIÓN!$B$2:$B$982,"MAT")</f>
        <v>0</v>
      </c>
      <c r="K137" s="8">
        <f>SUMIFS(COMPOSICIÓN!$J$2:$J$982,COMPOSICIÓN!$A$2:$A$982,A137,COMPOSICIÓN!$B$2:$B$982,"MO")*I137</f>
        <v>100127.461</v>
      </c>
      <c r="L137" s="8">
        <f>SUMIFS(COMPOSICIÓN!$J$2:$J$982,COMPOSICIÓN!$A$2:$A$982,A137,COMPOSICIÓN!$B$2:$B$982,"EQ")</f>
        <v>0</v>
      </c>
      <c r="M137" s="8">
        <f t="shared" si="20"/>
        <v>0</v>
      </c>
      <c r="N137" s="8">
        <f t="shared" si="21"/>
        <v>100127.461</v>
      </c>
      <c r="O137" s="8">
        <f t="shared" si="22"/>
        <v>0</v>
      </c>
      <c r="P137" s="8">
        <f t="shared" si="23"/>
        <v>100127.461</v>
      </c>
      <c r="Q137" s="7">
        <f>COUNTIF(COMPOSICIÓN!$A:$A,A137)</f>
        <v>1</v>
      </c>
      <c r="R137" s="13">
        <v>1</v>
      </c>
      <c r="S137" s="5" t="s">
        <v>1221</v>
      </c>
      <c r="T137" s="13">
        <v>0</v>
      </c>
      <c r="U137" s="13">
        <v>100127.461</v>
      </c>
      <c r="V137" s="13">
        <v>0</v>
      </c>
      <c r="W137" s="14">
        <f t="shared" si="24"/>
        <v>0</v>
      </c>
    </row>
    <row r="138" spans="1:23" x14ac:dyDescent="0.35">
      <c r="A138" s="5" t="s">
        <v>1089</v>
      </c>
      <c r="B138" s="5">
        <v>19.010000000000002</v>
      </c>
      <c r="C138" s="5" t="s">
        <v>1088</v>
      </c>
      <c r="D138" s="5" t="s">
        <v>376</v>
      </c>
      <c r="E138" s="5" t="s">
        <v>470</v>
      </c>
      <c r="F138" s="3">
        <v>1</v>
      </c>
      <c r="G138" s="3">
        <v>0</v>
      </c>
      <c r="H138" s="3">
        <v>0</v>
      </c>
      <c r="I138" s="3">
        <v>1</v>
      </c>
      <c r="J138" s="8">
        <f>SUMIFS(COMPOSICIÓN!$J$2:$J$982,COMPOSICIÓN!$A$2:$A$982,A138,COMPOSICIÓN!$B$2:$B$982,"MAT")</f>
        <v>2127230.3546000002</v>
      </c>
      <c r="K138" s="8">
        <f>SUMIFS(COMPOSICIÓN!$J$2:$J$982,COMPOSICIÓN!$A$2:$A$982,A138,COMPOSICIÓN!$B$2:$B$982,"MO")*I138</f>
        <v>3545383.9243999999</v>
      </c>
      <c r="L138" s="8">
        <f>SUMIFS(COMPOSICIÓN!$J$2:$J$982,COMPOSICIÓN!$A$2:$A$982,A138,COMPOSICIÓN!$B$2:$B$982,"EQ")</f>
        <v>85089.214200000002</v>
      </c>
      <c r="M138" s="8">
        <f t="shared" si="20"/>
        <v>2127230.3546000002</v>
      </c>
      <c r="N138" s="8">
        <f t="shared" si="21"/>
        <v>3545383.9243999999</v>
      </c>
      <c r="O138" s="8">
        <f t="shared" si="22"/>
        <v>85089.214200000002</v>
      </c>
      <c r="P138" s="8">
        <f t="shared" si="23"/>
        <v>5757703.4932000004</v>
      </c>
      <c r="Q138" s="7">
        <f>COUNTIF(COMPOSICIÓN!$A:$A,A138)</f>
        <v>3</v>
      </c>
      <c r="R138" s="13">
        <v>1</v>
      </c>
      <c r="S138" s="5" t="s">
        <v>1221</v>
      </c>
      <c r="T138" s="13">
        <v>2127230.3546000002</v>
      </c>
      <c r="U138" s="13">
        <v>3545383.9243999999</v>
      </c>
      <c r="V138" s="13">
        <v>85089.214200000002</v>
      </c>
      <c r="W138" s="14">
        <f t="shared" si="24"/>
        <v>0</v>
      </c>
    </row>
    <row r="139" spans="1:23" x14ac:dyDescent="0.35">
      <c r="A139" s="5" t="s">
        <v>1090</v>
      </c>
      <c r="B139" s="5">
        <v>19.02</v>
      </c>
      <c r="C139" s="5" t="s">
        <v>1088</v>
      </c>
      <c r="D139" s="5" t="s">
        <v>378</v>
      </c>
      <c r="E139" s="5" t="s">
        <v>470</v>
      </c>
      <c r="F139" s="3">
        <v>1</v>
      </c>
      <c r="G139" s="3">
        <v>0</v>
      </c>
      <c r="H139" s="3">
        <v>0</v>
      </c>
      <c r="I139" s="3">
        <v>1</v>
      </c>
      <c r="J139" s="8">
        <f>SUMIFS(COMPOSICIÓN!$J$2:$J$982,COMPOSICIÓN!$A$2:$A$982,A139,COMPOSICIÓN!$B$2:$B$982,"MAT")</f>
        <v>278565.8798</v>
      </c>
      <c r="K139" s="8">
        <f>SUMIFS(COMPOSICIÓN!$J$2:$J$982,COMPOSICIÓN!$A$2:$A$982,A139,COMPOSICIÓN!$B$2:$B$982,"MO")*I139</f>
        <v>506483.4178</v>
      </c>
      <c r="L139" s="8">
        <f>SUMIFS(COMPOSICIÓN!$J$2:$J$982,COMPOSICIÓN!$A$2:$A$982,A139,COMPOSICIÓN!$B$2:$B$982,"EQ")</f>
        <v>11775.7395</v>
      </c>
      <c r="M139" s="8">
        <f t="shared" si="20"/>
        <v>278565.8798</v>
      </c>
      <c r="N139" s="8">
        <f t="shared" si="21"/>
        <v>506483.4178</v>
      </c>
      <c r="O139" s="8">
        <f t="shared" si="22"/>
        <v>11775.7395</v>
      </c>
      <c r="P139" s="8">
        <f t="shared" si="23"/>
        <v>796825.03709999996</v>
      </c>
      <c r="Q139" s="7">
        <f>COUNTIF(COMPOSICIÓN!$A:$A,A139)</f>
        <v>3</v>
      </c>
      <c r="R139" s="13">
        <v>1</v>
      </c>
      <c r="S139" s="5" t="s">
        <v>1221</v>
      </c>
      <c r="T139" s="13">
        <v>278565.8798</v>
      </c>
      <c r="U139" s="13">
        <v>506483.4178</v>
      </c>
      <c r="V139" s="13">
        <v>11775.7395</v>
      </c>
      <c r="W139" s="14">
        <f t="shared" si="24"/>
        <v>0</v>
      </c>
    </row>
    <row r="140" spans="1:23" x14ac:dyDescent="0.35">
      <c r="A140" s="5" t="s">
        <v>1091</v>
      </c>
      <c r="B140" s="5">
        <v>19.03</v>
      </c>
      <c r="C140" s="5" t="s">
        <v>1088</v>
      </c>
      <c r="D140" s="5" t="s">
        <v>380</v>
      </c>
      <c r="E140" s="5" t="s">
        <v>470</v>
      </c>
      <c r="F140" s="3">
        <v>1</v>
      </c>
      <c r="G140" s="3">
        <v>0</v>
      </c>
      <c r="H140" s="3">
        <v>0</v>
      </c>
      <c r="I140" s="3">
        <v>1</v>
      </c>
      <c r="J140" s="8">
        <f>SUMIFS(COMPOSICIÓN!$J$2:$J$982,COMPOSICIÓN!$A$2:$A$982,A140,COMPOSICIÓN!$B$2:$B$982,"MAT")</f>
        <v>2836307.1395</v>
      </c>
      <c r="K140" s="8">
        <f>SUMIFS(COMPOSICIÓN!$J$2:$J$982,COMPOSICIÓN!$A$2:$A$982,A140,COMPOSICIÓN!$B$2:$B$982,"MO")*I140</f>
        <v>4051867.3421</v>
      </c>
      <c r="L140" s="8">
        <f>SUMIFS(COMPOSICIÓN!$J$2:$J$982,COMPOSICIÓN!$A$2:$A$982,A140,COMPOSICIÓN!$B$2:$B$982,"EQ")</f>
        <v>103322.61719999999</v>
      </c>
      <c r="M140" s="8">
        <f t="shared" si="20"/>
        <v>2836307.1395</v>
      </c>
      <c r="N140" s="8">
        <f t="shared" si="21"/>
        <v>4051867.3421</v>
      </c>
      <c r="O140" s="8">
        <f t="shared" si="22"/>
        <v>103322.61719999999</v>
      </c>
      <c r="P140" s="8">
        <f t="shared" si="23"/>
        <v>6991497.0987999998</v>
      </c>
      <c r="Q140" s="7">
        <f>COUNTIF(COMPOSICIÓN!$A:$A,A140)</f>
        <v>3</v>
      </c>
      <c r="R140" s="13">
        <v>1</v>
      </c>
      <c r="S140" s="5" t="s">
        <v>1221</v>
      </c>
      <c r="T140" s="13">
        <v>2836307.1395</v>
      </c>
      <c r="U140" s="13">
        <v>4051867.3421</v>
      </c>
      <c r="V140" s="13">
        <v>103322.61719999999</v>
      </c>
      <c r="W140" s="14">
        <f t="shared" si="24"/>
        <v>0</v>
      </c>
    </row>
    <row r="141" spans="1:23" x14ac:dyDescent="0.35">
      <c r="A141" s="5" t="s">
        <v>1092</v>
      </c>
      <c r="B141" s="5">
        <v>19.04</v>
      </c>
      <c r="C141" s="5" t="s">
        <v>1088</v>
      </c>
      <c r="D141" s="5" t="s">
        <v>382</v>
      </c>
      <c r="E141" s="5" t="s">
        <v>470</v>
      </c>
      <c r="F141" s="3">
        <v>1</v>
      </c>
      <c r="G141" s="3">
        <v>0</v>
      </c>
      <c r="H141" s="3">
        <v>0</v>
      </c>
      <c r="I141" s="3">
        <v>1</v>
      </c>
      <c r="J141" s="8">
        <f>SUMIFS(COMPOSICIÓN!$J$2:$J$982,COMPOSICIÓN!$A$2:$A$982,A141,COMPOSICIÓN!$B$2:$B$982,"MAT")</f>
        <v>1215560.2026</v>
      </c>
      <c r="K141" s="8">
        <f>SUMIFS(COMPOSICIÓN!$J$2:$J$982,COMPOSICIÓN!$A$2:$A$982,A141,COMPOSICIÓN!$B$2:$B$982,"MO")*I141</f>
        <v>2025933.6710999999</v>
      </c>
      <c r="L141" s="8">
        <f>SUMIFS(COMPOSICIÓN!$J$2:$J$982,COMPOSICIÓN!$A$2:$A$982,A141,COMPOSICIÓN!$B$2:$B$982,"EQ")</f>
        <v>48622.408100000001</v>
      </c>
      <c r="M141" s="8">
        <f t="shared" si="20"/>
        <v>1215560.2026</v>
      </c>
      <c r="N141" s="8">
        <f t="shared" si="21"/>
        <v>2025933.6710999999</v>
      </c>
      <c r="O141" s="8">
        <f t="shared" si="22"/>
        <v>48622.408100000001</v>
      </c>
      <c r="P141" s="8">
        <f t="shared" si="23"/>
        <v>3290116.2818</v>
      </c>
      <c r="Q141" s="7">
        <f>COUNTIF(COMPOSICIÓN!$A:$A,A141)</f>
        <v>3</v>
      </c>
      <c r="R141" s="13">
        <v>1</v>
      </c>
      <c r="S141" s="5" t="s">
        <v>1221</v>
      </c>
      <c r="T141" s="13">
        <v>1215560.2026</v>
      </c>
      <c r="U141" s="13">
        <v>2025933.6710999999</v>
      </c>
      <c r="V141" s="13">
        <v>48622.408100000001</v>
      </c>
      <c r="W141" s="14">
        <f t="shared" si="24"/>
        <v>0</v>
      </c>
    </row>
    <row r="142" spans="1:23" x14ac:dyDescent="0.35">
      <c r="A142" s="5" t="s">
        <v>1093</v>
      </c>
      <c r="B142" s="5">
        <v>19.05</v>
      </c>
      <c r="C142" s="5" t="s">
        <v>1088</v>
      </c>
      <c r="D142" s="5" t="s">
        <v>384</v>
      </c>
      <c r="E142" s="5" t="s">
        <v>470</v>
      </c>
      <c r="F142" s="3">
        <v>1</v>
      </c>
      <c r="G142" s="3">
        <v>0</v>
      </c>
      <c r="H142" s="3">
        <v>0</v>
      </c>
      <c r="I142" s="3">
        <v>1</v>
      </c>
      <c r="J142" s="8">
        <f>SUMIFS(COMPOSICIÓN!$J$2:$J$982,COMPOSICIÓN!$A$2:$A$982,A142,COMPOSICIÓN!$B$2:$B$982,"MAT")</f>
        <v>599178.95070000004</v>
      </c>
      <c r="K142" s="8">
        <f>SUMIFS(COMPOSICIÓN!$J$2:$J$982,COMPOSICIÓN!$A$2:$A$982,A142,COMPOSICIÓN!$B$2:$B$982,"MO")*I142</f>
        <v>1497947.3766999999</v>
      </c>
      <c r="L142" s="8">
        <f>SUMIFS(COMPOSICIÓN!$J$2:$J$982,COMPOSICIÓN!$A$2:$A$982,A142,COMPOSICIÓN!$B$2:$B$982,"EQ")</f>
        <v>31456.894899999999</v>
      </c>
      <c r="M142" s="8">
        <f t="shared" si="20"/>
        <v>599178.95070000004</v>
      </c>
      <c r="N142" s="8">
        <f t="shared" si="21"/>
        <v>1497947.3766999999</v>
      </c>
      <c r="O142" s="8">
        <f t="shared" si="22"/>
        <v>31456.894899999999</v>
      </c>
      <c r="P142" s="8">
        <f t="shared" si="23"/>
        <v>2128583.2223</v>
      </c>
      <c r="Q142" s="7">
        <f>COUNTIF(COMPOSICIÓN!$A:$A,A142)</f>
        <v>3</v>
      </c>
      <c r="R142" s="13">
        <v>1</v>
      </c>
      <c r="S142" s="5" t="s">
        <v>1221</v>
      </c>
      <c r="T142" s="13">
        <v>599178.95070000004</v>
      </c>
      <c r="U142" s="13">
        <v>1497947.3766999999</v>
      </c>
      <c r="V142" s="13">
        <v>31456.894899999999</v>
      </c>
      <c r="W142" s="14">
        <f t="shared" si="24"/>
        <v>0</v>
      </c>
    </row>
    <row r="143" spans="1:23" x14ac:dyDescent="0.35">
      <c r="A143" s="5" t="s">
        <v>1094</v>
      </c>
      <c r="B143" s="5">
        <v>19.059999999999999</v>
      </c>
      <c r="C143" s="5" t="s">
        <v>1088</v>
      </c>
      <c r="D143" s="5" t="s">
        <v>386</v>
      </c>
      <c r="E143" s="5" t="s">
        <v>470</v>
      </c>
      <c r="F143" s="3">
        <v>1</v>
      </c>
      <c r="G143" s="3">
        <v>0</v>
      </c>
      <c r="H143" s="3">
        <v>0</v>
      </c>
      <c r="I143" s="3">
        <v>1</v>
      </c>
      <c r="J143" s="8">
        <f>SUMIFS(COMPOSICIÓN!$J$2:$J$982,COMPOSICIÓN!$A$2:$A$982,A143,COMPOSICIÓN!$B$2:$B$982,"MAT")</f>
        <v>898768.42599999998</v>
      </c>
      <c r="K143" s="8">
        <f>SUMIFS(COMPOSICIÓN!$J$2:$J$982,COMPOSICIÓN!$A$2:$A$982,A143,COMPOSICIÓN!$B$2:$B$982,"MO")*I143</f>
        <v>1497947.3766999999</v>
      </c>
      <c r="L143" s="8">
        <f>SUMIFS(COMPOSICIÓN!$J$2:$J$982,COMPOSICIÓN!$A$2:$A$982,A143,COMPOSICIÓN!$B$2:$B$982,"EQ")</f>
        <v>35950.737000000001</v>
      </c>
      <c r="M143" s="8">
        <f t="shared" si="20"/>
        <v>898768.42599999998</v>
      </c>
      <c r="N143" s="8">
        <f t="shared" si="21"/>
        <v>1497947.3766999999</v>
      </c>
      <c r="O143" s="8">
        <f t="shared" si="22"/>
        <v>35950.737000000001</v>
      </c>
      <c r="P143" s="8">
        <f t="shared" si="23"/>
        <v>2432666.5397000001</v>
      </c>
      <c r="Q143" s="7">
        <f>COUNTIF(COMPOSICIÓN!$A:$A,A143)</f>
        <v>3</v>
      </c>
      <c r="R143" s="13">
        <v>1</v>
      </c>
      <c r="S143" s="5" t="s">
        <v>1221</v>
      </c>
      <c r="T143" s="13">
        <v>898768.42599999998</v>
      </c>
      <c r="U143" s="13">
        <v>1497947.3766999999</v>
      </c>
      <c r="V143" s="13">
        <v>35950.737000000001</v>
      </c>
      <c r="W143" s="14">
        <f t="shared" si="24"/>
        <v>0</v>
      </c>
    </row>
    <row r="144" spans="1:23" x14ac:dyDescent="0.35">
      <c r="A144" s="5" t="s">
        <v>1095</v>
      </c>
      <c r="B144" s="5">
        <v>19.07</v>
      </c>
      <c r="C144" s="5" t="s">
        <v>1088</v>
      </c>
      <c r="D144" s="5" t="s">
        <v>388</v>
      </c>
      <c r="E144" s="5" t="s">
        <v>470</v>
      </c>
      <c r="F144" s="3">
        <v>1</v>
      </c>
      <c r="G144" s="3">
        <v>0</v>
      </c>
      <c r="H144" s="3">
        <v>0</v>
      </c>
      <c r="I144" s="3">
        <v>1</v>
      </c>
      <c r="J144" s="8">
        <f>SUMIFS(COMPOSICIÓN!$J$2:$J$982,COMPOSICIÓN!$A$2:$A$982,A144,COMPOSICIÓN!$B$2:$B$982,"MAT")</f>
        <v>213992.48240000001</v>
      </c>
      <c r="K144" s="8">
        <f>SUMIFS(COMPOSICIÓN!$J$2:$J$982,COMPOSICIÓN!$A$2:$A$982,A144,COMPOSICIÓN!$B$2:$B$982,"MO")*I144</f>
        <v>427984.96480000002</v>
      </c>
      <c r="L144" s="8">
        <f>SUMIFS(COMPOSICIÓN!$J$2:$J$982,COMPOSICIÓN!$A$2:$A$982,A144,COMPOSICIÓN!$B$2:$B$982,"EQ")</f>
        <v>9629.6617000000006</v>
      </c>
      <c r="M144" s="8">
        <f t="shared" si="20"/>
        <v>213992.48240000001</v>
      </c>
      <c r="N144" s="8">
        <f t="shared" si="21"/>
        <v>427984.96480000002</v>
      </c>
      <c r="O144" s="8">
        <f t="shared" si="22"/>
        <v>9629.6617000000006</v>
      </c>
      <c r="P144" s="8">
        <f t="shared" si="23"/>
        <v>651607.10890000011</v>
      </c>
      <c r="Q144" s="7">
        <f>COUNTIF(COMPOSICIÓN!$A:$A,A144)</f>
        <v>3</v>
      </c>
      <c r="R144" s="13">
        <v>1</v>
      </c>
      <c r="S144" s="5" t="s">
        <v>1221</v>
      </c>
      <c r="T144" s="13">
        <v>213992.48240000001</v>
      </c>
      <c r="U144" s="13">
        <v>427984.96480000002</v>
      </c>
      <c r="V144" s="13">
        <v>9629.6617000000006</v>
      </c>
      <c r="W144" s="14">
        <f t="shared" si="24"/>
        <v>0</v>
      </c>
    </row>
    <row r="145" spans="1:23" x14ac:dyDescent="0.35">
      <c r="A145" s="5" t="s">
        <v>1096</v>
      </c>
      <c r="B145" s="5">
        <v>19.079999999999998</v>
      </c>
      <c r="C145" s="5" t="s">
        <v>1088</v>
      </c>
      <c r="D145" s="5" t="s">
        <v>390</v>
      </c>
      <c r="E145" s="5" t="s">
        <v>470</v>
      </c>
      <c r="F145" s="3">
        <v>1</v>
      </c>
      <c r="G145" s="3">
        <v>0</v>
      </c>
      <c r="H145" s="3">
        <v>0</v>
      </c>
      <c r="I145" s="3">
        <v>1</v>
      </c>
      <c r="J145" s="8">
        <f>SUMIFS(COMPOSICIÓN!$J$2:$J$982,COMPOSICIÓN!$A$2:$A$982,A145,COMPOSICIÓN!$B$2:$B$982,"MAT")</f>
        <v>979935.30830000003</v>
      </c>
      <c r="K145" s="8">
        <f>SUMIFS(COMPOSICIÓN!$J$2:$J$982,COMPOSICIÓN!$A$2:$A$982,A145,COMPOSICIÓN!$B$2:$B$982,"MO")*I145</f>
        <v>1959870.6166000001</v>
      </c>
      <c r="L145" s="8">
        <f>SUMIFS(COMPOSICIÓN!$J$2:$J$982,COMPOSICIÓN!$A$2:$A$982,A145,COMPOSICIÓN!$B$2:$B$982,"EQ")</f>
        <v>44097.088900000002</v>
      </c>
      <c r="M145" s="8">
        <f t="shared" si="20"/>
        <v>979935.30830000003</v>
      </c>
      <c r="N145" s="8">
        <f t="shared" si="21"/>
        <v>1959870.6166000001</v>
      </c>
      <c r="O145" s="8">
        <f t="shared" si="22"/>
        <v>44097.088900000002</v>
      </c>
      <c r="P145" s="8">
        <f t="shared" si="23"/>
        <v>2983903.0137999998</v>
      </c>
      <c r="Q145" s="7">
        <f>COUNTIF(COMPOSICIÓN!$A:$A,A145)</f>
        <v>3</v>
      </c>
      <c r="R145" s="13">
        <v>1</v>
      </c>
      <c r="S145" s="5" t="s">
        <v>1221</v>
      </c>
      <c r="T145" s="13">
        <v>979935.30830000003</v>
      </c>
      <c r="U145" s="13">
        <v>1959870.6166000001</v>
      </c>
      <c r="V145" s="13">
        <v>44097.088900000002</v>
      </c>
      <c r="W145" s="14">
        <f t="shared" si="24"/>
        <v>0</v>
      </c>
    </row>
    <row r="146" spans="1:23" x14ac:dyDescent="0.35">
      <c r="A146" s="5" t="s">
        <v>1097</v>
      </c>
      <c r="B146" s="5">
        <v>19.09</v>
      </c>
      <c r="C146" s="5" t="s">
        <v>1088</v>
      </c>
      <c r="D146" s="5" t="s">
        <v>392</v>
      </c>
      <c r="E146" s="5" t="s">
        <v>470</v>
      </c>
      <c r="F146" s="3">
        <v>1</v>
      </c>
      <c r="G146" s="3">
        <v>0</v>
      </c>
      <c r="H146" s="3">
        <v>0</v>
      </c>
      <c r="I146" s="3">
        <v>1</v>
      </c>
      <c r="J146" s="8">
        <f>SUMIFS(COMPOSICIÓN!$J$2:$J$982,COMPOSICIÓN!$A$2:$A$982,A146,COMPOSICIÓN!$B$2:$B$982,"MAT")</f>
        <v>1959870.6166000001</v>
      </c>
      <c r="K146" s="8">
        <f>SUMIFS(COMPOSICIÓN!$J$2:$J$982,COMPOSICIÓN!$A$2:$A$982,A146,COMPOSICIÓN!$B$2:$B$982,"MO")*I146</f>
        <v>3919741.2332000001</v>
      </c>
      <c r="L146" s="8">
        <f>SUMIFS(COMPOSICIÓN!$J$2:$J$982,COMPOSICIÓN!$A$2:$A$982,A146,COMPOSICIÓN!$B$2:$B$982,"EQ")</f>
        <v>88194.1777</v>
      </c>
      <c r="M146" s="8">
        <f t="shared" si="20"/>
        <v>1959870.6166000001</v>
      </c>
      <c r="N146" s="8">
        <f t="shared" si="21"/>
        <v>3919741.2332000001</v>
      </c>
      <c r="O146" s="8">
        <f t="shared" si="22"/>
        <v>88194.1777</v>
      </c>
      <c r="P146" s="8">
        <f t="shared" si="23"/>
        <v>5967806.0274999999</v>
      </c>
      <c r="Q146" s="7">
        <f>COUNTIF(COMPOSICIÓN!$A:$A,A146)</f>
        <v>3</v>
      </c>
      <c r="R146" s="13">
        <v>1</v>
      </c>
      <c r="S146" s="5" t="s">
        <v>1221</v>
      </c>
      <c r="T146" s="13">
        <v>1959870.6166000001</v>
      </c>
      <c r="U146" s="13">
        <v>3919741.2332000001</v>
      </c>
      <c r="V146" s="13">
        <v>88194.1777</v>
      </c>
      <c r="W146" s="14">
        <f t="shared" si="24"/>
        <v>0</v>
      </c>
    </row>
    <row r="147" spans="1:23" x14ac:dyDescent="0.35">
      <c r="A147" s="5" t="s">
        <v>1098</v>
      </c>
      <c r="B147" s="5">
        <v>19.100000000000001</v>
      </c>
      <c r="C147" s="5" t="s">
        <v>1088</v>
      </c>
      <c r="D147" s="5" t="s">
        <v>394</v>
      </c>
      <c r="E147" s="5" t="s">
        <v>470</v>
      </c>
      <c r="F147" s="3">
        <v>1</v>
      </c>
      <c r="G147" s="3">
        <v>0</v>
      </c>
      <c r="H147" s="3">
        <v>0</v>
      </c>
      <c r="I147" s="3">
        <v>1</v>
      </c>
      <c r="J147" s="8">
        <f>SUMIFS(COMPOSICIÓN!$J$2:$J$982,COMPOSICIÓN!$A$2:$A$982,A147,COMPOSICIÓN!$B$2:$B$982,"MAT")</f>
        <v>391974.12329999998</v>
      </c>
      <c r="K147" s="8">
        <f>SUMIFS(COMPOSICIÓN!$J$2:$J$982,COMPOSICIÓN!$A$2:$A$982,A147,COMPOSICIÓN!$B$2:$B$982,"MO")*I147</f>
        <v>979935.30830000003</v>
      </c>
      <c r="L147" s="8">
        <f>SUMIFS(COMPOSICIÓN!$J$2:$J$982,COMPOSICIÓN!$A$2:$A$982,A147,COMPOSICIÓN!$B$2:$B$982,"EQ")</f>
        <v>20578.641500000002</v>
      </c>
      <c r="M147" s="8">
        <f t="shared" si="20"/>
        <v>391974.12329999998</v>
      </c>
      <c r="N147" s="8">
        <f t="shared" si="21"/>
        <v>979935.30830000003</v>
      </c>
      <c r="O147" s="8">
        <f t="shared" si="22"/>
        <v>20578.641500000002</v>
      </c>
      <c r="P147" s="8">
        <f t="shared" si="23"/>
        <v>1392488.0730999999</v>
      </c>
      <c r="Q147" s="7">
        <f>COUNTIF(COMPOSICIÓN!$A:$A,A147)</f>
        <v>3</v>
      </c>
      <c r="R147" s="13">
        <v>1</v>
      </c>
      <c r="S147" s="5" t="s">
        <v>1221</v>
      </c>
      <c r="T147" s="13">
        <v>391974.12329999998</v>
      </c>
      <c r="U147" s="13">
        <v>979935.30830000003</v>
      </c>
      <c r="V147" s="13">
        <v>20578.641500000002</v>
      </c>
      <c r="W147" s="14">
        <f t="shared" si="24"/>
        <v>0</v>
      </c>
    </row>
    <row r="148" spans="1:23" x14ac:dyDescent="0.35">
      <c r="A148" s="5" t="s">
        <v>1099</v>
      </c>
      <c r="B148" s="5">
        <v>19.11</v>
      </c>
      <c r="C148" s="5" t="s">
        <v>1088</v>
      </c>
      <c r="D148" s="5" t="s">
        <v>396</v>
      </c>
      <c r="E148" s="5" t="s">
        <v>470</v>
      </c>
      <c r="F148" s="3">
        <v>1</v>
      </c>
      <c r="G148" s="3">
        <v>0</v>
      </c>
      <c r="H148" s="3">
        <v>0</v>
      </c>
      <c r="I148" s="3">
        <v>1</v>
      </c>
      <c r="J148" s="8">
        <f>SUMIFS(COMPOSICIÓN!$J$2:$J$982,COMPOSICIÓN!$A$2:$A$982,A148,COMPOSICIÓN!$B$2:$B$982,"MAT")</f>
        <v>3135792.9865000001</v>
      </c>
      <c r="K148" s="8">
        <f>SUMIFS(COMPOSICIÓN!$J$2:$J$982,COMPOSICIÓN!$A$2:$A$982,A148,COMPOSICIÓN!$B$2:$B$982,"MO")*I148</f>
        <v>7839482.4663000004</v>
      </c>
      <c r="L148" s="8">
        <f>SUMIFS(COMPOSICIÓN!$J$2:$J$982,COMPOSICIÓN!$A$2:$A$982,A148,COMPOSICIÓN!$B$2:$B$982,"EQ")</f>
        <v>164629.1318</v>
      </c>
      <c r="M148" s="8">
        <f t="shared" si="20"/>
        <v>3135792.9865000001</v>
      </c>
      <c r="N148" s="8">
        <f t="shared" si="21"/>
        <v>7839482.4663000004</v>
      </c>
      <c r="O148" s="8">
        <f t="shared" si="22"/>
        <v>164629.1318</v>
      </c>
      <c r="P148" s="8">
        <f t="shared" si="23"/>
        <v>11139904.5846</v>
      </c>
      <c r="Q148" s="7">
        <f>COUNTIF(COMPOSICIÓN!$A:$A,A148)</f>
        <v>3</v>
      </c>
      <c r="R148" s="13">
        <v>1</v>
      </c>
      <c r="S148" s="5" t="s">
        <v>1221</v>
      </c>
      <c r="T148" s="13">
        <v>3135792.9865000001</v>
      </c>
      <c r="U148" s="13">
        <v>7839482.4663000004</v>
      </c>
      <c r="V148" s="13">
        <v>164629.1318</v>
      </c>
      <c r="W148" s="14">
        <f t="shared" si="24"/>
        <v>0</v>
      </c>
    </row>
    <row r="149" spans="1:23" x14ac:dyDescent="0.35">
      <c r="A149" s="5" t="s">
        <v>1100</v>
      </c>
      <c r="B149" s="5">
        <v>19.12</v>
      </c>
      <c r="C149" s="5" t="s">
        <v>1088</v>
      </c>
      <c r="D149" s="5" t="s">
        <v>398</v>
      </c>
      <c r="E149" s="5" t="s">
        <v>470</v>
      </c>
      <c r="F149" s="3">
        <v>1</v>
      </c>
      <c r="G149" s="3">
        <v>0</v>
      </c>
      <c r="H149" s="3">
        <v>0</v>
      </c>
      <c r="I149" s="3">
        <v>1</v>
      </c>
      <c r="J149" s="8">
        <f>SUMIFS(COMPOSICIÓN!$J$2:$J$982,COMPOSICIÓN!$A$2:$A$982,A149,COMPOSICIÓN!$B$2:$B$982,"MAT")</f>
        <v>2939805.9249</v>
      </c>
      <c r="K149" s="8">
        <f>SUMIFS(COMPOSICIÓN!$J$2:$J$982,COMPOSICIÓN!$A$2:$A$982,A149,COMPOSICIÓN!$B$2:$B$982,"MO")*I149</f>
        <v>4899676.5415000003</v>
      </c>
      <c r="L149" s="8">
        <f>SUMIFS(COMPOSICIÓN!$J$2:$J$982,COMPOSICIÓN!$A$2:$A$982,A149,COMPOSICIÓN!$B$2:$B$982,"EQ")</f>
        <v>117592.23699999999</v>
      </c>
      <c r="M149" s="8">
        <f t="shared" si="20"/>
        <v>2939805.9249</v>
      </c>
      <c r="N149" s="8">
        <f t="shared" si="21"/>
        <v>4899676.5415000003</v>
      </c>
      <c r="O149" s="8">
        <f t="shared" si="22"/>
        <v>117592.23699999999</v>
      </c>
      <c r="P149" s="8">
        <f t="shared" si="23"/>
        <v>7957074.7034</v>
      </c>
      <c r="Q149" s="7">
        <f>COUNTIF(COMPOSICIÓN!$A:$A,A149)</f>
        <v>3</v>
      </c>
      <c r="R149" s="13">
        <v>1</v>
      </c>
      <c r="S149" s="5" t="s">
        <v>1221</v>
      </c>
      <c r="T149" s="13">
        <v>2939805.9249</v>
      </c>
      <c r="U149" s="13">
        <v>4899676.5415000003</v>
      </c>
      <c r="V149" s="13">
        <v>117592.23699999999</v>
      </c>
      <c r="W149" s="14">
        <f t="shared" si="24"/>
        <v>0</v>
      </c>
    </row>
    <row r="150" spans="1:23" x14ac:dyDescent="0.35">
      <c r="A150" s="5" t="s">
        <v>1101</v>
      </c>
      <c r="B150" s="5">
        <v>19.13</v>
      </c>
      <c r="C150" s="5" t="s">
        <v>1088</v>
      </c>
      <c r="D150" s="5" t="s">
        <v>400</v>
      </c>
      <c r="E150" s="5" t="s">
        <v>470</v>
      </c>
      <c r="F150" s="3">
        <v>1</v>
      </c>
      <c r="G150" s="3">
        <v>0</v>
      </c>
      <c r="H150" s="3">
        <v>0</v>
      </c>
      <c r="I150" s="3">
        <v>1</v>
      </c>
      <c r="J150" s="8">
        <f>SUMIFS(COMPOSICIÓN!$J$2:$J$982,COMPOSICIÓN!$A$2:$A$982,A150,COMPOSICIÓN!$B$2:$B$982,"MAT")</f>
        <v>534981.20600000001</v>
      </c>
      <c r="K150" s="8">
        <f>SUMIFS(COMPOSICIÓN!$J$2:$J$982,COMPOSICIÓN!$A$2:$A$982,A150,COMPOSICIÓN!$B$2:$B$982,"MO")*I150</f>
        <v>1069962.412</v>
      </c>
      <c r="L150" s="8">
        <f>SUMIFS(COMPOSICIÓN!$J$2:$J$982,COMPOSICIÓN!$A$2:$A$982,A150,COMPOSICIÓN!$B$2:$B$982,"EQ")</f>
        <v>24074.154299999998</v>
      </c>
      <c r="M150" s="8">
        <f t="shared" si="20"/>
        <v>534981.20600000001</v>
      </c>
      <c r="N150" s="8">
        <f t="shared" si="21"/>
        <v>1069962.412</v>
      </c>
      <c r="O150" s="8">
        <f t="shared" si="22"/>
        <v>24074.154299999998</v>
      </c>
      <c r="P150" s="8">
        <f t="shared" si="23"/>
        <v>1629017.7723000001</v>
      </c>
      <c r="Q150" s="7">
        <f>COUNTIF(COMPOSICIÓN!$A:$A,A150)</f>
        <v>3</v>
      </c>
      <c r="R150" s="13">
        <v>1</v>
      </c>
      <c r="S150" s="5" t="s">
        <v>1221</v>
      </c>
      <c r="T150" s="13">
        <v>534981.20600000001</v>
      </c>
      <c r="U150" s="13">
        <v>1069962.412</v>
      </c>
      <c r="V150" s="13">
        <v>24074.154299999998</v>
      </c>
      <c r="W150" s="14">
        <f t="shared" si="24"/>
        <v>0</v>
      </c>
    </row>
    <row r="151" spans="1:23" x14ac:dyDescent="0.35">
      <c r="A151" s="5" t="s">
        <v>1102</v>
      </c>
      <c r="B151" s="5">
        <v>19.14</v>
      </c>
      <c r="C151" s="5" t="s">
        <v>1088</v>
      </c>
      <c r="D151" s="5" t="s">
        <v>402</v>
      </c>
      <c r="E151" s="5" t="s">
        <v>470</v>
      </c>
      <c r="F151" s="3">
        <v>1</v>
      </c>
      <c r="G151" s="3">
        <v>0</v>
      </c>
      <c r="H151" s="3">
        <v>0</v>
      </c>
      <c r="I151" s="3">
        <v>1</v>
      </c>
      <c r="J151" s="8">
        <f>SUMIFS(COMPOSICIÓN!$J$2:$J$982,COMPOSICIÓN!$A$2:$A$982,A151,COMPOSICIÓN!$B$2:$B$982,"MAT")</f>
        <v>3558424.4301</v>
      </c>
      <c r="K151" s="8">
        <f>SUMIFS(COMPOSICIÓN!$J$2:$J$982,COMPOSICIÓN!$A$2:$A$982,A151,COMPOSICIÓN!$B$2:$B$982,"MO")*I151</f>
        <v>8896061.0752000008</v>
      </c>
      <c r="L151" s="8">
        <f>SUMIFS(COMPOSICIÓN!$J$2:$J$982,COMPOSICIÓN!$A$2:$A$982,A151,COMPOSICIÓN!$B$2:$B$982,"EQ")</f>
        <v>186817.28260000001</v>
      </c>
      <c r="M151" s="8">
        <f t="shared" si="20"/>
        <v>3558424.4301</v>
      </c>
      <c r="N151" s="8">
        <f t="shared" si="21"/>
        <v>8896061.0752000008</v>
      </c>
      <c r="O151" s="8">
        <f t="shared" si="22"/>
        <v>186817.28260000001</v>
      </c>
      <c r="P151" s="8">
        <f t="shared" si="23"/>
        <v>12641302.787900001</v>
      </c>
      <c r="Q151" s="7">
        <f>COUNTIF(COMPOSICIÓN!$A:$A,A151)</f>
        <v>3</v>
      </c>
      <c r="R151" s="13">
        <v>1</v>
      </c>
      <c r="S151" s="5" t="s">
        <v>1221</v>
      </c>
      <c r="T151" s="13">
        <v>3558424.4301</v>
      </c>
      <c r="U151" s="13">
        <v>8896061.0752000008</v>
      </c>
      <c r="V151" s="13">
        <v>186817.28260000001</v>
      </c>
      <c r="W151" s="14">
        <f t="shared" si="24"/>
        <v>0</v>
      </c>
    </row>
    <row r="152" spans="1:23" x14ac:dyDescent="0.35">
      <c r="A152" s="5" t="s">
        <v>1104</v>
      </c>
      <c r="B152" s="5">
        <v>19.149999999999999</v>
      </c>
      <c r="C152" s="5" t="s">
        <v>1088</v>
      </c>
      <c r="D152" s="5" t="s">
        <v>1103</v>
      </c>
      <c r="E152" s="5" t="s">
        <v>470</v>
      </c>
      <c r="F152" s="3">
        <v>1</v>
      </c>
      <c r="G152" s="3">
        <v>0</v>
      </c>
      <c r="H152" s="3">
        <v>0</v>
      </c>
      <c r="I152" s="3">
        <v>1</v>
      </c>
      <c r="J152" s="8">
        <f>SUMIFS(COMPOSICIÓN!$J$2:$J$982,COMPOSICIÓN!$A$2:$A$982,A152,COMPOSICIÓN!$B$2:$B$982,"MAT")</f>
        <v>0</v>
      </c>
      <c r="K152" s="8">
        <f>SUMIFS(COMPOSICIÓN!$J$2:$J$982,COMPOSICIÓN!$A$2:$A$982,A152,COMPOSICIÓN!$B$2:$B$982,"MO")*I152</f>
        <v>4852396.9501</v>
      </c>
      <c r="L152" s="8">
        <f>SUMIFS(COMPOSICIÓN!$J$2:$J$982,COMPOSICIÓN!$A$2:$A$982,A152,COMPOSICIÓN!$B$2:$B$982,"EQ")</f>
        <v>72785.954299999998</v>
      </c>
      <c r="M152" s="8">
        <f t="shared" si="20"/>
        <v>0</v>
      </c>
      <c r="N152" s="8">
        <f t="shared" si="21"/>
        <v>4852396.9501</v>
      </c>
      <c r="O152" s="8">
        <f t="shared" si="22"/>
        <v>72785.954299999998</v>
      </c>
      <c r="P152" s="8">
        <f t="shared" si="23"/>
        <v>4925182.9044000003</v>
      </c>
      <c r="Q152" s="7">
        <f>COUNTIF(COMPOSICIÓN!$A:$A,A152)</f>
        <v>2</v>
      </c>
      <c r="R152" s="13">
        <v>1</v>
      </c>
      <c r="S152" s="5" t="s">
        <v>1221</v>
      </c>
      <c r="T152" s="13">
        <v>0</v>
      </c>
      <c r="U152" s="13">
        <v>4852396.9501</v>
      </c>
      <c r="V152" s="13">
        <v>72785.954299999998</v>
      </c>
      <c r="W152" s="14">
        <f t="shared" si="24"/>
        <v>0</v>
      </c>
    </row>
    <row r="153" spans="1:23" x14ac:dyDescent="0.35">
      <c r="A153" s="5" t="s">
        <v>1105</v>
      </c>
      <c r="B153" s="5">
        <v>19.16</v>
      </c>
      <c r="C153" s="5" t="s">
        <v>1088</v>
      </c>
      <c r="D153" s="5" t="s">
        <v>404</v>
      </c>
      <c r="E153" s="5" t="s">
        <v>470</v>
      </c>
      <c r="F153" s="3">
        <v>1</v>
      </c>
      <c r="G153" s="3">
        <v>0</v>
      </c>
      <c r="H153" s="3">
        <v>0</v>
      </c>
      <c r="I153" s="3">
        <v>1</v>
      </c>
      <c r="J153" s="8">
        <f>SUMIFS(COMPOSICIÓN!$J$2:$J$982,COMPOSICIÓN!$A$2:$A$982,A153,COMPOSICIÓN!$B$2:$B$982,"MAT")</f>
        <v>1455719.085</v>
      </c>
      <c r="K153" s="8">
        <f>SUMIFS(COMPOSICIÓN!$J$2:$J$982,COMPOSICIÓN!$A$2:$A$982,A153,COMPOSICIÓN!$B$2:$B$982,"MO")*I153</f>
        <v>2426198.4750000001</v>
      </c>
      <c r="L153" s="8">
        <f>SUMIFS(COMPOSICIÓN!$J$2:$J$982,COMPOSICIÓN!$A$2:$A$982,A153,COMPOSICIÓN!$B$2:$B$982,"EQ")</f>
        <v>58228.763400000003</v>
      </c>
      <c r="M153" s="8">
        <f t="shared" si="20"/>
        <v>1455719.085</v>
      </c>
      <c r="N153" s="8">
        <f t="shared" si="21"/>
        <v>2426198.4750000001</v>
      </c>
      <c r="O153" s="8">
        <f t="shared" si="22"/>
        <v>58228.763400000003</v>
      </c>
      <c r="P153" s="8">
        <f t="shared" si="23"/>
        <v>3940146.3234000001</v>
      </c>
      <c r="Q153" s="7">
        <f>COUNTIF(COMPOSICIÓN!$A:$A,A153)</f>
        <v>3</v>
      </c>
      <c r="R153" s="13">
        <v>1</v>
      </c>
      <c r="S153" s="5" t="s">
        <v>1221</v>
      </c>
      <c r="T153" s="13">
        <v>1455719.085</v>
      </c>
      <c r="U153" s="13">
        <v>2426198.4750000001</v>
      </c>
      <c r="V153" s="13">
        <v>58228.763400000003</v>
      </c>
      <c r="W153" s="14">
        <f t="shared" si="24"/>
        <v>0</v>
      </c>
    </row>
    <row r="154" spans="1:23" x14ac:dyDescent="0.35">
      <c r="A154" s="5" t="s">
        <v>1107</v>
      </c>
      <c r="B154" s="5">
        <v>19.170000000000002</v>
      </c>
      <c r="C154" s="5" t="s">
        <v>1088</v>
      </c>
      <c r="D154" s="5" t="s">
        <v>1106</v>
      </c>
      <c r="E154" s="5" t="s">
        <v>470</v>
      </c>
      <c r="F154" s="3">
        <v>1</v>
      </c>
      <c r="G154" s="3">
        <v>0</v>
      </c>
      <c r="H154" s="3">
        <v>0</v>
      </c>
      <c r="I154" s="3">
        <v>1</v>
      </c>
      <c r="J154" s="8">
        <f>SUMIFS(COMPOSICIÓN!$J$2:$J$982,COMPOSICIÓN!$A$2:$A$982,A154,COMPOSICIÓN!$B$2:$B$982,"MAT")</f>
        <v>2093587.3781999999</v>
      </c>
      <c r="K154" s="8">
        <f>SUMIFS(COMPOSICIÓN!$J$2:$J$982,COMPOSICIÓN!$A$2:$A$982,A154,COMPOSICIÓN!$B$2:$B$982,"MO")*I154</f>
        <v>1987743.777</v>
      </c>
      <c r="L154" s="8">
        <f>SUMIFS(COMPOSICIÓN!$J$2:$J$982,COMPOSICIÓN!$A$2:$A$982,A154,COMPOSICIÓN!$B$2:$B$982,"EQ")</f>
        <v>61219.967299999997</v>
      </c>
      <c r="M154" s="8">
        <f t="shared" si="20"/>
        <v>2093587.3781999999</v>
      </c>
      <c r="N154" s="8">
        <f t="shared" si="21"/>
        <v>1987743.777</v>
      </c>
      <c r="O154" s="8">
        <f t="shared" si="22"/>
        <v>61219.967299999997</v>
      </c>
      <c r="P154" s="8">
        <f t="shared" si="23"/>
        <v>4142551.1225000001</v>
      </c>
      <c r="Q154" s="7">
        <f>COUNTIF(COMPOSICIÓN!$A:$A,A154)</f>
        <v>3</v>
      </c>
      <c r="R154" s="13">
        <v>1</v>
      </c>
      <c r="S154" s="5" t="s">
        <v>1221</v>
      </c>
      <c r="T154" s="13">
        <v>2093587.3781999999</v>
      </c>
      <c r="U154" s="13">
        <v>1987743.777</v>
      </c>
      <c r="V154" s="13">
        <v>61219.967299999997</v>
      </c>
      <c r="W154" s="14">
        <f t="shared" si="24"/>
        <v>0</v>
      </c>
    </row>
    <row r="155" spans="1:23" x14ac:dyDescent="0.35">
      <c r="A155" s="5" t="s">
        <v>1108</v>
      </c>
      <c r="B155" s="5">
        <v>19.18</v>
      </c>
      <c r="C155" s="5" t="s">
        <v>1088</v>
      </c>
      <c r="D155" s="5" t="s">
        <v>408</v>
      </c>
      <c r="E155" s="5" t="s">
        <v>470</v>
      </c>
      <c r="F155" s="3">
        <v>1</v>
      </c>
      <c r="G155" s="3">
        <v>0</v>
      </c>
      <c r="H155" s="3">
        <v>0</v>
      </c>
      <c r="I155" s="3">
        <v>1</v>
      </c>
      <c r="J155" s="8">
        <f>SUMIFS(COMPOSICIÓN!$J$2:$J$982,COMPOSICIÓN!$A$2:$A$982,A155,COMPOSICIÓN!$B$2:$B$982,"MAT")</f>
        <v>6500000</v>
      </c>
      <c r="K155" s="8">
        <f>SUMIFS(COMPOSICIÓN!$J$2:$J$982,COMPOSICIÓN!$A$2:$A$982,A155,COMPOSICIÓN!$B$2:$B$982,"MO")*I155</f>
        <v>6500000</v>
      </c>
      <c r="L155" s="8">
        <f>SUMIFS(COMPOSICIÓN!$J$2:$J$982,COMPOSICIÓN!$A$2:$A$982,A155,COMPOSICIÓN!$B$2:$B$982,"EQ")</f>
        <v>195000</v>
      </c>
      <c r="M155" s="8">
        <f t="shared" si="20"/>
        <v>6500000</v>
      </c>
      <c r="N155" s="8">
        <f t="shared" si="21"/>
        <v>6500000</v>
      </c>
      <c r="O155" s="8">
        <f t="shared" si="22"/>
        <v>195000</v>
      </c>
      <c r="P155" s="8">
        <f t="shared" si="23"/>
        <v>13195000</v>
      </c>
      <c r="Q155" s="7">
        <f>COUNTIF(COMPOSICIÓN!$A:$A,A155)</f>
        <v>3</v>
      </c>
      <c r="R155" s="13">
        <v>1</v>
      </c>
      <c r="S155" s="5" t="s">
        <v>1221</v>
      </c>
      <c r="T155" s="13">
        <v>6500000</v>
      </c>
      <c r="U155" s="13">
        <v>6500000</v>
      </c>
      <c r="V155" s="13">
        <v>195000</v>
      </c>
      <c r="W155" s="14">
        <f t="shared" si="24"/>
        <v>0</v>
      </c>
    </row>
    <row r="156" spans="1:23" x14ac:dyDescent="0.35">
      <c r="A156" s="5" t="s">
        <v>1109</v>
      </c>
      <c r="B156" s="5">
        <v>19.190000000000001</v>
      </c>
      <c r="C156" s="5" t="s">
        <v>1088</v>
      </c>
      <c r="D156" s="5" t="s">
        <v>767</v>
      </c>
      <c r="E156" s="5" t="s">
        <v>470</v>
      </c>
      <c r="F156" s="3">
        <v>1</v>
      </c>
      <c r="G156" s="3">
        <v>0</v>
      </c>
      <c r="H156" s="3">
        <v>0</v>
      </c>
      <c r="I156" s="3">
        <v>1</v>
      </c>
      <c r="J156" s="8">
        <f>SUMIFS(COMPOSICIÓN!$J$2:$J$982,COMPOSICIÓN!$A$2:$A$982,A156,COMPOSICIÓN!$B$2:$B$982,"MAT")</f>
        <v>0</v>
      </c>
      <c r="K156" s="8">
        <f>SUMIFS(COMPOSICIÓN!$J$2:$J$982,COMPOSICIÓN!$A$2:$A$982,A156,COMPOSICIÓN!$B$2:$B$982,"MO")*I156</f>
        <v>2925000</v>
      </c>
      <c r="L156" s="8">
        <f>SUMIFS(COMPOSICIÓN!$J$2:$J$982,COMPOSICIÓN!$A$2:$A$982,A156,COMPOSICIÓN!$B$2:$B$982,"EQ")</f>
        <v>0</v>
      </c>
      <c r="M156" s="8">
        <f t="shared" si="20"/>
        <v>0</v>
      </c>
      <c r="N156" s="8">
        <f t="shared" si="21"/>
        <v>2925000</v>
      </c>
      <c r="O156" s="8">
        <f t="shared" si="22"/>
        <v>0</v>
      </c>
      <c r="P156" s="8">
        <f t="shared" si="23"/>
        <v>2925000</v>
      </c>
      <c r="Q156" s="7">
        <f>COUNTIF(COMPOSICIÓN!$A:$A,A156)</f>
        <v>1</v>
      </c>
      <c r="R156" s="13">
        <v>1</v>
      </c>
      <c r="S156" s="5" t="s">
        <v>1221</v>
      </c>
      <c r="T156" s="13">
        <v>0</v>
      </c>
      <c r="U156" s="13">
        <v>2925000</v>
      </c>
      <c r="V156" s="13">
        <v>0</v>
      </c>
      <c r="W156" s="14">
        <f t="shared" si="24"/>
        <v>0</v>
      </c>
    </row>
    <row r="157" spans="1:23" x14ac:dyDescent="0.35">
      <c r="A157" s="5" t="s">
        <v>1112</v>
      </c>
      <c r="B157" s="5">
        <v>20.010000000000002</v>
      </c>
      <c r="C157" s="5" t="s">
        <v>1110</v>
      </c>
      <c r="D157" s="5" t="s">
        <v>1111</v>
      </c>
      <c r="E157" s="5" t="s">
        <v>284</v>
      </c>
      <c r="F157" s="3">
        <v>1</v>
      </c>
      <c r="G157" s="3">
        <v>0</v>
      </c>
      <c r="H157" s="3">
        <v>0</v>
      </c>
      <c r="I157" s="3">
        <v>1</v>
      </c>
      <c r="J157" s="8">
        <f>SUMIFS(COMPOSICIÓN!$J$2:$J$982,COMPOSICIÓN!$A$2:$A$982,A157,COMPOSICIÓN!$B$2:$B$982,"MAT")</f>
        <v>375000</v>
      </c>
      <c r="K157" s="8">
        <f>SUMIFS(COMPOSICIÓN!$J$2:$J$982,COMPOSICIÓN!$A$2:$A$982,A157,COMPOSICIÓN!$B$2:$B$982,"MO")*I157</f>
        <v>213888.88889999999</v>
      </c>
      <c r="L157" s="8">
        <f>SUMIFS(COMPOSICIÓN!$J$2:$J$982,COMPOSICIÓN!$A$2:$A$982,A157,COMPOSICIÓN!$B$2:$B$982,"EQ")</f>
        <v>0</v>
      </c>
      <c r="M157" s="8">
        <f t="shared" si="20"/>
        <v>375000</v>
      </c>
      <c r="N157" s="8">
        <f t="shared" si="21"/>
        <v>213888.88889999999</v>
      </c>
      <c r="O157" s="8">
        <f t="shared" si="22"/>
        <v>0</v>
      </c>
      <c r="P157" s="8">
        <f t="shared" si="23"/>
        <v>588888.88890000002</v>
      </c>
      <c r="Q157" s="7">
        <f>COUNTIF(COMPOSICIÓN!$A:$A,A157)</f>
        <v>2</v>
      </c>
      <c r="R157" s="13">
        <v>36</v>
      </c>
      <c r="S157" s="5" t="s">
        <v>1221</v>
      </c>
      <c r="T157" s="13">
        <v>375000</v>
      </c>
      <c r="U157" s="13">
        <v>213888.88889999999</v>
      </c>
      <c r="V157" s="13">
        <v>0</v>
      </c>
      <c r="W157" s="14">
        <f t="shared" si="24"/>
        <v>0</v>
      </c>
    </row>
    <row r="158" spans="1:23" x14ac:dyDescent="0.35">
      <c r="A158" s="5" t="s">
        <v>1114</v>
      </c>
      <c r="B158" s="5">
        <v>20.02</v>
      </c>
      <c r="C158" s="5" t="s">
        <v>1110</v>
      </c>
      <c r="D158" s="5" t="s">
        <v>1113</v>
      </c>
      <c r="E158" s="5" t="s">
        <v>284</v>
      </c>
      <c r="F158" s="3">
        <v>1</v>
      </c>
      <c r="G158" s="3">
        <v>0</v>
      </c>
      <c r="H158" s="3">
        <v>0</v>
      </c>
      <c r="I158" s="3">
        <v>1</v>
      </c>
      <c r="J158" s="8">
        <f>SUMIFS(COMPOSICIÓN!$J$2:$J$982,COMPOSICIÓN!$A$2:$A$982,A158,COMPOSICIÓN!$B$2:$B$982,"MAT")</f>
        <v>0</v>
      </c>
      <c r="K158" s="8">
        <f>SUMIFS(COMPOSICIÓN!$J$2:$J$982,COMPOSICIÓN!$A$2:$A$982,A158,COMPOSICIÓN!$B$2:$B$982,"MO")*I158</f>
        <v>189000</v>
      </c>
      <c r="L158" s="8">
        <f>SUMIFS(COMPOSICIÓN!$J$2:$J$982,COMPOSICIÓN!$A$2:$A$982,A158,COMPOSICIÓN!$B$2:$B$982,"EQ")</f>
        <v>0</v>
      </c>
      <c r="M158" s="8">
        <f t="shared" si="20"/>
        <v>0</v>
      </c>
      <c r="N158" s="8">
        <f t="shared" si="21"/>
        <v>189000</v>
      </c>
      <c r="O158" s="8">
        <f t="shared" si="22"/>
        <v>0</v>
      </c>
      <c r="P158" s="8">
        <f t="shared" si="23"/>
        <v>189000</v>
      </c>
      <c r="Q158" s="7">
        <f>COUNTIF(COMPOSICIÓN!$A:$A,A158)</f>
        <v>1</v>
      </c>
      <c r="R158" s="13">
        <v>36</v>
      </c>
      <c r="S158" s="5" t="s">
        <v>1221</v>
      </c>
      <c r="T158" s="13">
        <v>0</v>
      </c>
      <c r="U158" s="13">
        <v>189000</v>
      </c>
      <c r="V158" s="13">
        <v>0</v>
      </c>
      <c r="W158" s="14">
        <f t="shared" si="24"/>
        <v>0</v>
      </c>
    </row>
    <row r="159" spans="1:23" x14ac:dyDescent="0.35">
      <c r="A159" s="5" t="s">
        <v>1117</v>
      </c>
      <c r="B159" s="5">
        <v>21.01</v>
      </c>
      <c r="C159" s="5" t="s">
        <v>1115</v>
      </c>
      <c r="D159" s="5" t="s">
        <v>1116</v>
      </c>
      <c r="E159" s="5" t="s">
        <v>470</v>
      </c>
      <c r="F159" s="3">
        <v>1</v>
      </c>
      <c r="G159" s="3">
        <v>0</v>
      </c>
      <c r="H159" s="3">
        <v>0</v>
      </c>
      <c r="I159" s="3">
        <v>1</v>
      </c>
      <c r="J159" s="8">
        <f>SUMIFS(COMPOSICIÓN!$J$2:$J$982,COMPOSICIÓN!$A$2:$A$982,A159,COMPOSICIÓN!$B$2:$B$982,"MAT")</f>
        <v>0</v>
      </c>
      <c r="K159" s="8">
        <f>SUMIFS(COMPOSICIÓN!$J$2:$J$982,COMPOSICIÓN!$A$2:$A$982,A159,COMPOSICIÓN!$B$2:$B$982,"MO")*I159</f>
        <v>0</v>
      </c>
      <c r="L159" s="8">
        <f>SUMIFS(COMPOSICIÓN!$J$2:$J$982,COMPOSICIÓN!$A$2:$A$982,A159,COMPOSICIÓN!$B$2:$B$982,"EQ")</f>
        <v>0</v>
      </c>
      <c r="M159" s="8">
        <f t="shared" si="20"/>
        <v>0</v>
      </c>
      <c r="N159" s="8">
        <f t="shared" si="21"/>
        <v>0</v>
      </c>
      <c r="O159" s="8">
        <f t="shared" si="22"/>
        <v>0</v>
      </c>
      <c r="P159" s="8">
        <f t="shared" si="23"/>
        <v>0</v>
      </c>
      <c r="Q159" s="7">
        <f>COUNTIF(COMPOSICIÓN!$A:$A,A159)</f>
        <v>0</v>
      </c>
      <c r="R159" s="13">
        <v>0</v>
      </c>
      <c r="S159" s="5" t="s">
        <v>1221</v>
      </c>
      <c r="T159" s="13">
        <v>0</v>
      </c>
      <c r="U159" s="13">
        <v>0</v>
      </c>
      <c r="V159" s="13">
        <v>0</v>
      </c>
      <c r="W159" s="14">
        <f t="shared" si="24"/>
        <v>0</v>
      </c>
    </row>
    <row r="160" spans="1:23" x14ac:dyDescent="0.35">
      <c r="A160" s="5" t="s">
        <v>1120</v>
      </c>
      <c r="B160" s="5">
        <v>22.01</v>
      </c>
      <c r="C160" s="5" t="s">
        <v>1118</v>
      </c>
      <c r="D160" s="5" t="s">
        <v>1119</v>
      </c>
      <c r="E160" s="5" t="s">
        <v>284</v>
      </c>
      <c r="F160" s="3">
        <v>1</v>
      </c>
      <c r="G160" s="3">
        <v>0</v>
      </c>
      <c r="H160" s="3">
        <v>0</v>
      </c>
      <c r="I160" s="3">
        <v>1</v>
      </c>
      <c r="J160" s="8">
        <f>SUMIFS(COMPOSICIÓN!$J$2:$J$982,COMPOSICIÓN!$A$2:$A$982,A160,COMPOSICIÓN!$B$2:$B$982,"MAT")</f>
        <v>0</v>
      </c>
      <c r="K160" s="8">
        <f>SUMIFS(COMPOSICIÓN!$J$2:$J$982,COMPOSICIÓN!$A$2:$A$982,A160,COMPOSICIÓN!$B$2:$B$982,"MO")*I160</f>
        <v>64400</v>
      </c>
      <c r="L160" s="8">
        <f>SUMIFS(COMPOSICIÓN!$J$2:$J$982,COMPOSICIÓN!$A$2:$A$982,A160,COMPOSICIÓN!$B$2:$B$982,"EQ")</f>
        <v>0</v>
      </c>
      <c r="M160" s="8">
        <f t="shared" si="20"/>
        <v>0</v>
      </c>
      <c r="N160" s="8">
        <f t="shared" si="21"/>
        <v>64400</v>
      </c>
      <c r="O160" s="8">
        <f t="shared" si="22"/>
        <v>0</v>
      </c>
      <c r="P160" s="8">
        <f t="shared" si="23"/>
        <v>64400</v>
      </c>
      <c r="Q160" s="7">
        <f>COUNTIF(COMPOSICIÓN!$A:$A,A160)</f>
        <v>1</v>
      </c>
      <c r="R160" s="13">
        <v>16</v>
      </c>
      <c r="S160" s="5" t="s">
        <v>1221</v>
      </c>
      <c r="T160" s="13">
        <v>0</v>
      </c>
      <c r="U160" s="13">
        <v>64400</v>
      </c>
      <c r="V160" s="13">
        <v>0</v>
      </c>
      <c r="W160" s="14">
        <f t="shared" si="24"/>
        <v>0</v>
      </c>
    </row>
    <row r="161" spans="1:23" x14ac:dyDescent="0.35">
      <c r="A161" s="5" t="s">
        <v>1122</v>
      </c>
      <c r="B161" s="5">
        <v>22.02</v>
      </c>
      <c r="C161" s="5" t="s">
        <v>1118</v>
      </c>
      <c r="D161" s="5" t="s">
        <v>1121</v>
      </c>
      <c r="E161" s="5" t="s">
        <v>284</v>
      </c>
      <c r="F161" s="3">
        <v>1</v>
      </c>
      <c r="G161" s="3">
        <v>0</v>
      </c>
      <c r="H161" s="3">
        <v>0</v>
      </c>
      <c r="I161" s="3">
        <v>1</v>
      </c>
      <c r="J161" s="8">
        <f>SUMIFS(COMPOSICIÓN!$J$2:$J$982,COMPOSICIÓN!$A$2:$A$982,A161,COMPOSICIÓN!$B$2:$B$982,"MAT")</f>
        <v>0</v>
      </c>
      <c r="K161" s="8">
        <f>SUMIFS(COMPOSICIÓN!$J$2:$J$982,COMPOSICIÓN!$A$2:$A$982,A161,COMPOSICIÓN!$B$2:$B$982,"MO")*I161</f>
        <v>64400</v>
      </c>
      <c r="L161" s="8">
        <f>SUMIFS(COMPOSICIÓN!$J$2:$J$982,COMPOSICIÓN!$A$2:$A$982,A161,COMPOSICIÓN!$B$2:$B$982,"EQ")</f>
        <v>0</v>
      </c>
      <c r="M161" s="8">
        <f t="shared" si="20"/>
        <v>0</v>
      </c>
      <c r="N161" s="8">
        <f t="shared" si="21"/>
        <v>64400</v>
      </c>
      <c r="O161" s="8">
        <f t="shared" si="22"/>
        <v>0</v>
      </c>
      <c r="P161" s="8">
        <f t="shared" si="23"/>
        <v>64400</v>
      </c>
      <c r="Q161" s="7">
        <f>COUNTIF(COMPOSICIÓN!$A:$A,A161)</f>
        <v>1</v>
      </c>
      <c r="R161" s="13">
        <v>17</v>
      </c>
      <c r="S161" s="5" t="s">
        <v>1221</v>
      </c>
      <c r="T161" s="13">
        <v>0</v>
      </c>
      <c r="U161" s="13">
        <v>64400</v>
      </c>
      <c r="V161" s="13">
        <v>0</v>
      </c>
      <c r="W161" s="14">
        <f t="shared" si="24"/>
        <v>0</v>
      </c>
    </row>
    <row r="162" spans="1:23" x14ac:dyDescent="0.35">
      <c r="A162" s="5" t="s">
        <v>1125</v>
      </c>
      <c r="B162" s="5">
        <v>23.01</v>
      </c>
      <c r="C162" s="5" t="s">
        <v>1123</v>
      </c>
      <c r="D162" s="5" t="s">
        <v>1124</v>
      </c>
      <c r="E162" s="5" t="s">
        <v>470</v>
      </c>
      <c r="F162" s="3">
        <v>1</v>
      </c>
      <c r="G162" s="3">
        <v>0</v>
      </c>
      <c r="H162" s="3">
        <v>0</v>
      </c>
      <c r="I162" s="3">
        <v>1</v>
      </c>
      <c r="J162" s="8">
        <f>SUMIFS(COMPOSICIÓN!$J$2:$J$982,COMPOSICIÓN!$A$2:$A$982,A162,COMPOSICIÓN!$B$2:$B$982,"MAT")</f>
        <v>102857.44152819224</v>
      </c>
      <c r="K162" s="8">
        <f>SUMIFS(COMPOSICIÓN!$J$2:$J$982,COMPOSICIÓN!$A$2:$A$982,A162,COMPOSICIÓN!$B$2:$B$982,"MO")*I162</f>
        <v>247059.62109915857</v>
      </c>
      <c r="L162" s="8">
        <f>SUMIFS(COMPOSICIÓN!$J$2:$J$982,COMPOSICIÓN!$A$2:$A$982,A162,COMPOSICIÓN!$B$2:$B$982,"EQ")</f>
        <v>5248.7557999999999</v>
      </c>
      <c r="M162" s="8">
        <f t="shared" ref="M162:M190" si="25">J162</f>
        <v>102857.44152819224</v>
      </c>
      <c r="N162" s="8">
        <f t="shared" ref="N162:N190" si="26">IF(F162=0,0,K162/F162)</f>
        <v>247059.62109915857</v>
      </c>
      <c r="O162" s="8">
        <f t="shared" ref="O162:O190" si="27">IF(F162=0,0,L162/F162)</f>
        <v>5248.7557999999999</v>
      </c>
      <c r="P162" s="8">
        <f t="shared" ref="P162:P193" si="28">M162+N162+O162</f>
        <v>355165.81842735078</v>
      </c>
      <c r="Q162" s="7">
        <f>COUNTIF(COMPOSICIÓN!$A:$A,A162)</f>
        <v>11</v>
      </c>
      <c r="R162" s="13">
        <v>7</v>
      </c>
      <c r="S162" s="5" t="s">
        <v>1222</v>
      </c>
      <c r="T162" s="13">
        <v>102857.44160000001</v>
      </c>
      <c r="U162" s="13">
        <v>247059.61189999999</v>
      </c>
      <c r="V162" s="13">
        <v>5248.7557999999999</v>
      </c>
      <c r="W162" s="14">
        <f t="shared" ref="W162:W193" si="29">IFERROR(P162/(T162+U162+V162)-1,0)</f>
        <v>2.5698844163812851E-8</v>
      </c>
    </row>
    <row r="163" spans="1:23" x14ac:dyDescent="0.35">
      <c r="A163" s="5" t="s">
        <v>1127</v>
      </c>
      <c r="B163" s="5">
        <v>23.02</v>
      </c>
      <c r="C163" s="5" t="s">
        <v>1123</v>
      </c>
      <c r="D163" s="5" t="s">
        <v>1126</v>
      </c>
      <c r="E163" s="5" t="s">
        <v>470</v>
      </c>
      <c r="F163" s="3">
        <v>1</v>
      </c>
      <c r="G163" s="3">
        <v>0</v>
      </c>
      <c r="H163" s="3">
        <v>0</v>
      </c>
      <c r="I163" s="3">
        <v>1</v>
      </c>
      <c r="J163" s="8">
        <f>SUMIFS(COMPOSICIÓN!$J$2:$J$982,COMPOSICIÓN!$A$2:$A$982,A163,COMPOSICIÓN!$B$2:$B$982,"MAT")</f>
        <v>200000</v>
      </c>
      <c r="K163" s="8">
        <f>SUMIFS(COMPOSICIÓN!$J$2:$J$982,COMPOSICIÓN!$A$2:$A$982,A163,COMPOSICIÓN!$B$2:$B$982,"MO")*I163</f>
        <v>326801.25</v>
      </c>
      <c r="L163" s="8">
        <f>SUMIFS(COMPOSICIÓN!$J$2:$J$982,COMPOSICIÓN!$A$2:$A$982,A163,COMPOSICIÓN!$B$2:$B$982,"EQ")</f>
        <v>7902.0186000000003</v>
      </c>
      <c r="M163" s="8">
        <f t="shared" si="25"/>
        <v>200000</v>
      </c>
      <c r="N163" s="8">
        <f t="shared" si="26"/>
        <v>326801.25</v>
      </c>
      <c r="O163" s="8">
        <f t="shared" si="27"/>
        <v>7902.0186000000003</v>
      </c>
      <c r="P163" s="8">
        <f t="shared" si="28"/>
        <v>534703.26859999995</v>
      </c>
      <c r="Q163" s="7">
        <f>COUNTIF(COMPOSICIÓN!$A:$A,A163)</f>
        <v>3</v>
      </c>
      <c r="R163" s="13">
        <v>1</v>
      </c>
      <c r="S163" s="5" t="s">
        <v>1222</v>
      </c>
      <c r="T163" s="13">
        <v>200000</v>
      </c>
      <c r="U163" s="13">
        <v>326801.2415</v>
      </c>
      <c r="V163" s="13">
        <v>7902.0186000000003</v>
      </c>
      <c r="W163" s="14">
        <f t="shared" si="29"/>
        <v>1.5896667537873554E-8</v>
      </c>
    </row>
    <row r="164" spans="1:23" x14ac:dyDescent="0.35">
      <c r="A164" s="5" t="s">
        <v>1129</v>
      </c>
      <c r="B164" s="5">
        <v>23.03</v>
      </c>
      <c r="C164" s="5" t="s">
        <v>1123</v>
      </c>
      <c r="D164" s="5" t="s">
        <v>1128</v>
      </c>
      <c r="E164" s="5" t="s">
        <v>470</v>
      </c>
      <c r="F164" s="3">
        <v>1</v>
      </c>
      <c r="G164" s="3">
        <v>0</v>
      </c>
      <c r="H164" s="3">
        <v>0</v>
      </c>
      <c r="I164" s="3">
        <v>1</v>
      </c>
      <c r="J164" s="8">
        <f>SUMIFS(COMPOSICIÓN!$J$2:$J$982,COMPOSICIÓN!$A$2:$A$982,A164,COMPOSICIÓN!$B$2:$B$982,"MAT")</f>
        <v>253919.62650000001</v>
      </c>
      <c r="K164" s="8">
        <f>SUMIFS(COMPOSICIÓN!$J$2:$J$982,COMPOSICIÓN!$A$2:$A$982,A164,COMPOSICIÓN!$B$2:$B$982,"MO")*I164</f>
        <v>439307.50329999998</v>
      </c>
      <c r="L164" s="8">
        <f>SUMIFS(COMPOSICIÓN!$J$2:$J$982,COMPOSICIÓN!$A$2:$A$982,A164,COMPOSICIÓN!$B$2:$B$982,"EQ")</f>
        <v>0</v>
      </c>
      <c r="M164" s="8">
        <f t="shared" si="25"/>
        <v>253919.62650000001</v>
      </c>
      <c r="N164" s="8">
        <f t="shared" si="26"/>
        <v>439307.50329999998</v>
      </c>
      <c r="O164" s="8">
        <f t="shared" si="27"/>
        <v>0</v>
      </c>
      <c r="P164" s="8">
        <f t="shared" si="28"/>
        <v>693227.1298</v>
      </c>
      <c r="Q164" s="7">
        <f>COUNTIF(COMPOSICIÓN!$A:$A,A164)</f>
        <v>2</v>
      </c>
      <c r="R164" s="13">
        <v>1</v>
      </c>
      <c r="S164" s="5" t="s">
        <v>1221</v>
      </c>
      <c r="T164" s="13">
        <v>253919.62650000001</v>
      </c>
      <c r="U164" s="13">
        <v>439307.50329999998</v>
      </c>
      <c r="V164" s="13">
        <v>0</v>
      </c>
      <c r="W164" s="14">
        <f t="shared" si="29"/>
        <v>0</v>
      </c>
    </row>
    <row r="165" spans="1:23" x14ac:dyDescent="0.35">
      <c r="A165" s="5" t="s">
        <v>1132</v>
      </c>
      <c r="B165" s="5">
        <v>24.01</v>
      </c>
      <c r="C165" s="5" t="s">
        <v>1130</v>
      </c>
      <c r="D165" s="5" t="s">
        <v>1131</v>
      </c>
      <c r="E165" s="5" t="s">
        <v>816</v>
      </c>
      <c r="F165" s="3">
        <v>1</v>
      </c>
      <c r="G165" s="3">
        <v>0</v>
      </c>
      <c r="H165" s="3">
        <v>0</v>
      </c>
      <c r="I165" s="3">
        <v>1</v>
      </c>
      <c r="J165" s="8">
        <f>SUMIFS(COMPOSICIÓN!$J$2:$J$982,COMPOSICIÓN!$A$2:$A$982,A165,COMPOSICIÓN!$B$2:$B$982,"MAT")</f>
        <v>0</v>
      </c>
      <c r="K165" s="8">
        <f>SUMIFS(COMPOSICIÓN!$J$2:$J$982,COMPOSICIÓN!$A$2:$A$982,A165,COMPOSICIÓN!$B$2:$B$982,"MO")*I165</f>
        <v>599210.84669999999</v>
      </c>
      <c r="L165" s="8">
        <f>SUMIFS(COMPOSICIÓN!$J$2:$J$982,COMPOSICIÓN!$A$2:$A$982,A165,COMPOSICIÓN!$B$2:$B$982,"EQ")</f>
        <v>0</v>
      </c>
      <c r="M165" s="8">
        <f t="shared" si="25"/>
        <v>0</v>
      </c>
      <c r="N165" s="8">
        <f t="shared" si="26"/>
        <v>599210.84669999999</v>
      </c>
      <c r="O165" s="8">
        <f t="shared" si="27"/>
        <v>0</v>
      </c>
      <c r="P165" s="8">
        <f t="shared" si="28"/>
        <v>599210.84669999999</v>
      </c>
      <c r="Q165" s="7">
        <f>COUNTIF(COMPOSICIÓN!$A:$A,A165)</f>
        <v>1</v>
      </c>
      <c r="R165" s="13">
        <v>14</v>
      </c>
      <c r="S165" s="5" t="s">
        <v>1221</v>
      </c>
      <c r="T165" s="13">
        <v>0</v>
      </c>
      <c r="U165" s="13">
        <v>599210.84669999999</v>
      </c>
      <c r="V165" s="13">
        <v>0</v>
      </c>
      <c r="W165" s="14">
        <f t="shared" si="29"/>
        <v>0</v>
      </c>
    </row>
    <row r="166" spans="1:23" x14ac:dyDescent="0.35">
      <c r="A166" s="5" t="s">
        <v>1134</v>
      </c>
      <c r="B166" s="5">
        <v>24.02</v>
      </c>
      <c r="C166" s="5" t="s">
        <v>1130</v>
      </c>
      <c r="D166" s="5" t="s">
        <v>1133</v>
      </c>
      <c r="E166" s="5" t="s">
        <v>816</v>
      </c>
      <c r="F166" s="3">
        <v>1</v>
      </c>
      <c r="G166" s="3">
        <v>0</v>
      </c>
      <c r="H166" s="3">
        <v>0</v>
      </c>
      <c r="I166" s="3">
        <v>1</v>
      </c>
      <c r="J166" s="8">
        <f>SUMIFS(COMPOSICIÓN!$J$2:$J$982,COMPOSICIÓN!$A$2:$A$982,A166,COMPOSICIÓN!$B$2:$B$982,"MAT")</f>
        <v>0</v>
      </c>
      <c r="K166" s="8">
        <f>SUMIFS(COMPOSICIÓN!$J$2:$J$982,COMPOSICIÓN!$A$2:$A$982,A166,COMPOSICIÓN!$B$2:$B$982,"MO")*I166</f>
        <v>1547376.3492000001</v>
      </c>
      <c r="L166" s="8">
        <f>SUMIFS(COMPOSICIÓN!$J$2:$J$982,COMPOSICIÓN!$A$2:$A$982,A166,COMPOSICIÓN!$B$2:$B$982,"EQ")</f>
        <v>0</v>
      </c>
      <c r="M166" s="8">
        <f t="shared" si="25"/>
        <v>0</v>
      </c>
      <c r="N166" s="8">
        <f t="shared" si="26"/>
        <v>1547376.3492000001</v>
      </c>
      <c r="O166" s="8">
        <f t="shared" si="27"/>
        <v>0</v>
      </c>
      <c r="P166" s="8">
        <f t="shared" si="28"/>
        <v>1547376.3492000001</v>
      </c>
      <c r="Q166" s="7">
        <f>COUNTIF(COMPOSICIÓN!$A:$A,A166)</f>
        <v>1</v>
      </c>
      <c r="R166" s="13">
        <v>4</v>
      </c>
      <c r="S166" s="5" t="s">
        <v>1221</v>
      </c>
      <c r="T166" s="13">
        <v>0</v>
      </c>
      <c r="U166" s="13">
        <v>1547376.3492000001</v>
      </c>
      <c r="V166" s="13">
        <v>0</v>
      </c>
      <c r="W166" s="14">
        <f t="shared" si="29"/>
        <v>0</v>
      </c>
    </row>
    <row r="167" spans="1:23" x14ac:dyDescent="0.35">
      <c r="A167" s="5" t="s">
        <v>1136</v>
      </c>
      <c r="B167" s="5">
        <v>24.03</v>
      </c>
      <c r="C167" s="5" t="s">
        <v>1130</v>
      </c>
      <c r="D167" s="5" t="s">
        <v>1135</v>
      </c>
      <c r="E167" s="5" t="s">
        <v>816</v>
      </c>
      <c r="F167" s="3">
        <v>1</v>
      </c>
      <c r="G167" s="3">
        <v>0</v>
      </c>
      <c r="H167" s="3">
        <v>0</v>
      </c>
      <c r="I167" s="3">
        <v>1</v>
      </c>
      <c r="J167" s="8">
        <f>SUMIFS(COMPOSICIÓN!$J$2:$J$982,COMPOSICIÓN!$A$2:$A$982,A167,COMPOSICIÓN!$B$2:$B$982,"MAT")</f>
        <v>0</v>
      </c>
      <c r="K167" s="8">
        <f>SUMIFS(COMPOSICIÓN!$J$2:$J$982,COMPOSICIÓN!$A$2:$A$982,A167,COMPOSICIÓN!$B$2:$B$982,"MO")*I167</f>
        <v>150000</v>
      </c>
      <c r="L167" s="8">
        <f>SUMIFS(COMPOSICIÓN!$J$2:$J$982,COMPOSICIÓN!$A$2:$A$982,A167,COMPOSICIÓN!$B$2:$B$982,"EQ")</f>
        <v>0</v>
      </c>
      <c r="M167" s="8">
        <f t="shared" si="25"/>
        <v>0</v>
      </c>
      <c r="N167" s="8">
        <f t="shared" si="26"/>
        <v>150000</v>
      </c>
      <c r="O167" s="8">
        <f t="shared" si="27"/>
        <v>0</v>
      </c>
      <c r="P167" s="8">
        <f t="shared" si="28"/>
        <v>150000</v>
      </c>
      <c r="Q167" s="7">
        <f>COUNTIF(COMPOSICIÓN!$A:$A,A167)</f>
        <v>1</v>
      </c>
      <c r="R167" s="13">
        <v>14</v>
      </c>
      <c r="S167" s="5" t="s">
        <v>1221</v>
      </c>
      <c r="T167" s="13">
        <v>0</v>
      </c>
      <c r="U167" s="13">
        <v>150000</v>
      </c>
      <c r="V167" s="13">
        <v>0</v>
      </c>
      <c r="W167" s="14">
        <f t="shared" si="29"/>
        <v>0</v>
      </c>
    </row>
    <row r="168" spans="1:23" x14ac:dyDescent="0.35">
      <c r="A168" s="5" t="s">
        <v>1138</v>
      </c>
      <c r="B168" s="5">
        <v>24.04</v>
      </c>
      <c r="C168" s="5" t="s">
        <v>1130</v>
      </c>
      <c r="D168" s="5" t="s">
        <v>1137</v>
      </c>
      <c r="E168" s="5" t="s">
        <v>470</v>
      </c>
      <c r="F168" s="3">
        <v>1</v>
      </c>
      <c r="G168" s="3">
        <v>0</v>
      </c>
      <c r="H168" s="3">
        <v>0</v>
      </c>
      <c r="I168" s="3">
        <v>1</v>
      </c>
      <c r="J168" s="8">
        <f>SUMIFS(COMPOSICIÓN!$J$2:$J$982,COMPOSICIÓN!$A$2:$A$982,A168,COMPOSICIÓN!$B$2:$B$982,"MAT")</f>
        <v>2388097.2666000002</v>
      </c>
      <c r="K168" s="8">
        <f>SUMIFS(COMPOSICIÓN!$J$2:$J$982,COMPOSICIÓN!$A$2:$A$982,A168,COMPOSICIÓN!$B$2:$B$982,"MO")*I168</f>
        <v>1222808.1199999999</v>
      </c>
      <c r="L168" s="8">
        <f>SUMIFS(COMPOSICIÓN!$J$2:$J$982,COMPOSICIÓN!$A$2:$A$982,A168,COMPOSICIÓN!$B$2:$B$982,"EQ")</f>
        <v>54163.580199999997</v>
      </c>
      <c r="M168" s="8">
        <f t="shared" si="25"/>
        <v>2388097.2666000002</v>
      </c>
      <c r="N168" s="8">
        <f t="shared" si="26"/>
        <v>1222808.1199999999</v>
      </c>
      <c r="O168" s="8">
        <f t="shared" si="27"/>
        <v>54163.580199999997</v>
      </c>
      <c r="P168" s="8">
        <f t="shared" si="28"/>
        <v>3665068.9668000001</v>
      </c>
      <c r="Q168" s="7">
        <f>COUNTIF(COMPOSICIÓN!$A:$A,A168)</f>
        <v>7</v>
      </c>
      <c r="R168" s="13">
        <v>1</v>
      </c>
      <c r="S168" s="5" t="s">
        <v>1222</v>
      </c>
      <c r="T168" s="13">
        <v>2388097.2692999998</v>
      </c>
      <c r="U168" s="13">
        <v>1222808.0771999999</v>
      </c>
      <c r="V168" s="13">
        <v>54163.580199999997</v>
      </c>
      <c r="W168" s="14">
        <f t="shared" si="29"/>
        <v>1.0941131112218727E-8</v>
      </c>
    </row>
    <row r="169" spans="1:23" x14ac:dyDescent="0.35">
      <c r="A169" s="5" t="s">
        <v>1140</v>
      </c>
      <c r="B169" s="5">
        <v>24.05</v>
      </c>
      <c r="C169" s="5" t="s">
        <v>1130</v>
      </c>
      <c r="D169" s="5" t="s">
        <v>1139</v>
      </c>
      <c r="E169" s="5" t="s">
        <v>816</v>
      </c>
      <c r="F169" s="3">
        <v>1</v>
      </c>
      <c r="G169" s="3">
        <v>0</v>
      </c>
      <c r="H169" s="3">
        <v>0</v>
      </c>
      <c r="I169" s="3">
        <v>1</v>
      </c>
      <c r="J169" s="8">
        <f>SUMIFS(COMPOSICIÓN!$J$2:$J$982,COMPOSICIÓN!$A$2:$A$982,A169,COMPOSICIÓN!$B$2:$B$982,"MAT")</f>
        <v>50000</v>
      </c>
      <c r="K169" s="8">
        <f>SUMIFS(COMPOSICIÓN!$J$2:$J$982,COMPOSICIÓN!$A$2:$A$982,A169,COMPOSICIÓN!$B$2:$B$982,"MO")*I169</f>
        <v>495686.19</v>
      </c>
      <c r="L169" s="8">
        <f>SUMIFS(COMPOSICIÓN!$J$2:$J$982,COMPOSICIÓN!$A$2:$A$982,A169,COMPOSICIÓN!$B$2:$B$982,"EQ")</f>
        <v>8185.2924999999996</v>
      </c>
      <c r="M169" s="8">
        <f t="shared" si="25"/>
        <v>50000</v>
      </c>
      <c r="N169" s="8">
        <f t="shared" si="26"/>
        <v>495686.19</v>
      </c>
      <c r="O169" s="8">
        <f t="shared" si="27"/>
        <v>8185.2924999999996</v>
      </c>
      <c r="P169" s="8">
        <f t="shared" si="28"/>
        <v>553871.48249999993</v>
      </c>
      <c r="Q169" s="7">
        <f>COUNTIF(COMPOSICIÓN!$A:$A,A169)</f>
        <v>4</v>
      </c>
      <c r="R169" s="13">
        <v>14</v>
      </c>
      <c r="S169" s="5" t="s">
        <v>1222</v>
      </c>
      <c r="T169" s="13">
        <v>50000</v>
      </c>
      <c r="U169" s="13">
        <v>495686.16830000002</v>
      </c>
      <c r="V169" s="13">
        <v>8185.2924999999996</v>
      </c>
      <c r="W169" s="14">
        <f t="shared" si="29"/>
        <v>3.9178765121050674E-8</v>
      </c>
    </row>
    <row r="170" spans="1:23" x14ac:dyDescent="0.35">
      <c r="A170" s="5" t="s">
        <v>1142</v>
      </c>
      <c r="B170" s="5">
        <v>24.06</v>
      </c>
      <c r="C170" s="5" t="s">
        <v>1130</v>
      </c>
      <c r="D170" s="5" t="s">
        <v>1141</v>
      </c>
      <c r="E170" s="5" t="s">
        <v>816</v>
      </c>
      <c r="F170" s="3">
        <v>1</v>
      </c>
      <c r="G170" s="3">
        <v>0</v>
      </c>
      <c r="H170" s="3">
        <v>0</v>
      </c>
      <c r="I170" s="3">
        <v>1</v>
      </c>
      <c r="J170" s="8">
        <f>SUMIFS(COMPOSICIÓN!$J$2:$J$982,COMPOSICIÓN!$A$2:$A$982,A170,COMPOSICIÓN!$B$2:$B$982,"MAT")</f>
        <v>25000</v>
      </c>
      <c r="K170" s="8">
        <f>SUMIFS(COMPOSICIÓN!$J$2:$J$982,COMPOSICIÓN!$A$2:$A$982,A170,COMPOSICIÓN!$B$2:$B$982,"MO")*I170</f>
        <v>329565.984</v>
      </c>
      <c r="L170" s="8">
        <f>SUMIFS(COMPOSICIÓN!$J$2:$J$982,COMPOSICIÓN!$A$2:$A$982,A170,COMPOSICIÓN!$B$2:$B$982,"EQ")</f>
        <v>5318.4894999999997</v>
      </c>
      <c r="M170" s="8">
        <f t="shared" si="25"/>
        <v>25000</v>
      </c>
      <c r="N170" s="8">
        <f t="shared" si="26"/>
        <v>329565.984</v>
      </c>
      <c r="O170" s="8">
        <f t="shared" si="27"/>
        <v>5318.4894999999997</v>
      </c>
      <c r="P170" s="8">
        <f t="shared" si="28"/>
        <v>359884.47350000002</v>
      </c>
      <c r="Q170" s="7">
        <f>COUNTIF(COMPOSICIÓN!$A:$A,A170)</f>
        <v>3</v>
      </c>
      <c r="R170" s="13">
        <v>14</v>
      </c>
      <c r="S170" s="5" t="s">
        <v>1222</v>
      </c>
      <c r="T170" s="13">
        <v>25000</v>
      </c>
      <c r="U170" s="13">
        <v>329565.9657</v>
      </c>
      <c r="V170" s="13">
        <v>5318.4894999999997</v>
      </c>
      <c r="W170" s="14">
        <f t="shared" si="29"/>
        <v>5.0849653820961294E-8</v>
      </c>
    </row>
    <row r="171" spans="1:23" x14ac:dyDescent="0.35">
      <c r="A171" s="5" t="s">
        <v>1144</v>
      </c>
      <c r="B171" s="5">
        <v>24.07</v>
      </c>
      <c r="C171" s="5" t="s">
        <v>1130</v>
      </c>
      <c r="D171" s="5" t="s">
        <v>1143</v>
      </c>
      <c r="E171" s="5" t="s">
        <v>470</v>
      </c>
      <c r="F171" s="3">
        <v>1</v>
      </c>
      <c r="G171" s="3">
        <v>0</v>
      </c>
      <c r="H171" s="3">
        <v>0</v>
      </c>
      <c r="I171" s="3">
        <v>1</v>
      </c>
      <c r="J171" s="8">
        <f>SUMIFS(COMPOSICIÓN!$J$2:$J$982,COMPOSICIÓN!$A$2:$A$982,A171,COMPOSICIÓN!$B$2:$B$982,"MAT")</f>
        <v>0</v>
      </c>
      <c r="K171" s="8">
        <f>SUMIFS(COMPOSICIÓN!$J$2:$J$982,COMPOSICIÓN!$A$2:$A$982,A171,COMPOSICIÓN!$B$2:$B$982,"MO")*I171</f>
        <v>0</v>
      </c>
      <c r="L171" s="8">
        <f>SUMIFS(COMPOSICIÓN!$J$2:$J$982,COMPOSICIÓN!$A$2:$A$982,A171,COMPOSICIÓN!$B$2:$B$982,"EQ")</f>
        <v>0</v>
      </c>
      <c r="M171" s="8">
        <f t="shared" si="25"/>
        <v>0</v>
      </c>
      <c r="N171" s="8">
        <f t="shared" si="26"/>
        <v>0</v>
      </c>
      <c r="O171" s="8">
        <f t="shared" si="27"/>
        <v>0</v>
      </c>
      <c r="P171" s="8">
        <f t="shared" si="28"/>
        <v>0</v>
      </c>
      <c r="Q171" s="7">
        <f>COUNTIF(COMPOSICIÓN!$A:$A,A171)</f>
        <v>0</v>
      </c>
      <c r="R171" s="13">
        <v>0</v>
      </c>
      <c r="S171" s="5" t="s">
        <v>1221</v>
      </c>
      <c r="T171" s="13">
        <v>0</v>
      </c>
      <c r="U171" s="13">
        <v>0</v>
      </c>
      <c r="V171" s="13">
        <v>0</v>
      </c>
      <c r="W171" s="14">
        <f t="shared" si="29"/>
        <v>0</v>
      </c>
    </row>
    <row r="172" spans="1:23" x14ac:dyDescent="0.35">
      <c r="A172" s="5" t="s">
        <v>1145</v>
      </c>
      <c r="B172" s="5">
        <v>24.08</v>
      </c>
      <c r="C172" s="5" t="s">
        <v>1130</v>
      </c>
      <c r="D172" s="5" t="s">
        <v>782</v>
      </c>
      <c r="E172" s="5" t="s">
        <v>816</v>
      </c>
      <c r="F172" s="3">
        <v>1</v>
      </c>
      <c r="G172" s="3">
        <v>0</v>
      </c>
      <c r="H172" s="3">
        <v>0</v>
      </c>
      <c r="I172" s="3">
        <v>1</v>
      </c>
      <c r="J172" s="8">
        <f>SUMIFS(COMPOSICIÓN!$J$2:$J$982,COMPOSICIÓN!$A$2:$A$982,A172,COMPOSICIÓN!$B$2:$B$982,"MAT")</f>
        <v>0</v>
      </c>
      <c r="K172" s="8">
        <f>SUMIFS(COMPOSICIÓN!$J$2:$J$982,COMPOSICIÓN!$A$2:$A$982,A172,COMPOSICIÓN!$B$2:$B$982,"MO")*I172</f>
        <v>250000</v>
      </c>
      <c r="L172" s="8">
        <f>SUMIFS(COMPOSICIÓN!$J$2:$J$982,COMPOSICIÓN!$A$2:$A$982,A172,COMPOSICIÓN!$B$2:$B$982,"EQ")</f>
        <v>0</v>
      </c>
      <c r="M172" s="8">
        <f t="shared" si="25"/>
        <v>0</v>
      </c>
      <c r="N172" s="8">
        <f t="shared" si="26"/>
        <v>250000</v>
      </c>
      <c r="O172" s="8">
        <f t="shared" si="27"/>
        <v>0</v>
      </c>
      <c r="P172" s="8">
        <f t="shared" si="28"/>
        <v>250000</v>
      </c>
      <c r="Q172" s="7">
        <f>COUNTIF(COMPOSICIÓN!$A:$A,A172)</f>
        <v>1</v>
      </c>
      <c r="R172" s="13">
        <v>14</v>
      </c>
      <c r="S172" s="5" t="s">
        <v>1221</v>
      </c>
      <c r="T172" s="13">
        <v>0</v>
      </c>
      <c r="U172" s="13">
        <v>250000</v>
      </c>
      <c r="V172" s="13">
        <v>0</v>
      </c>
      <c r="W172" s="14">
        <f t="shared" si="29"/>
        <v>0</v>
      </c>
    </row>
    <row r="173" spans="1:23" x14ac:dyDescent="0.35">
      <c r="A173" s="5" t="s">
        <v>1147</v>
      </c>
      <c r="B173" s="5">
        <v>24.09</v>
      </c>
      <c r="C173" s="5" t="s">
        <v>1130</v>
      </c>
      <c r="D173" s="5" t="s">
        <v>1146</v>
      </c>
      <c r="E173" s="5" t="s">
        <v>816</v>
      </c>
      <c r="F173" s="3">
        <v>1</v>
      </c>
      <c r="G173" s="3">
        <v>0</v>
      </c>
      <c r="H173" s="3">
        <v>0</v>
      </c>
      <c r="I173" s="3">
        <v>1</v>
      </c>
      <c r="J173" s="8">
        <f>SUMIFS(COMPOSICIÓN!$J$2:$J$982,COMPOSICIÓN!$A$2:$A$982,A173,COMPOSICIÓN!$B$2:$B$982,"MAT")</f>
        <v>0</v>
      </c>
      <c r="K173" s="8">
        <f>SUMIFS(COMPOSICIÓN!$J$2:$J$982,COMPOSICIÓN!$A$2:$A$982,A173,COMPOSICIÓN!$B$2:$B$982,"MO")*I173</f>
        <v>0</v>
      </c>
      <c r="L173" s="8">
        <f>SUMIFS(COMPOSICIÓN!$J$2:$J$982,COMPOSICIÓN!$A$2:$A$982,A173,COMPOSICIÓN!$B$2:$B$982,"EQ")</f>
        <v>0</v>
      </c>
      <c r="M173" s="8">
        <f t="shared" si="25"/>
        <v>0</v>
      </c>
      <c r="N173" s="8">
        <f t="shared" si="26"/>
        <v>0</v>
      </c>
      <c r="O173" s="8">
        <f t="shared" si="27"/>
        <v>0</v>
      </c>
      <c r="P173" s="8">
        <f t="shared" si="28"/>
        <v>0</v>
      </c>
      <c r="Q173" s="7">
        <f>COUNTIF(COMPOSICIÓN!$A:$A,A173)</f>
        <v>0</v>
      </c>
      <c r="R173" s="13">
        <v>4</v>
      </c>
      <c r="S173" s="5" t="s">
        <v>1222</v>
      </c>
      <c r="T173" s="13">
        <v>0</v>
      </c>
      <c r="U173" s="13">
        <v>0</v>
      </c>
      <c r="V173" s="13">
        <v>0</v>
      </c>
      <c r="W173" s="14">
        <f t="shared" si="29"/>
        <v>0</v>
      </c>
    </row>
    <row r="174" spans="1:23" x14ac:dyDescent="0.35">
      <c r="A174" s="5" t="s">
        <v>1148</v>
      </c>
      <c r="B174" s="5">
        <v>24.1</v>
      </c>
      <c r="C174" s="5" t="s">
        <v>1130</v>
      </c>
      <c r="D174" s="5" t="s">
        <v>131</v>
      </c>
      <c r="E174" s="5" t="s">
        <v>816</v>
      </c>
      <c r="F174" s="3">
        <v>1</v>
      </c>
      <c r="G174" s="3">
        <v>0</v>
      </c>
      <c r="H174" s="3">
        <v>0</v>
      </c>
      <c r="I174" s="3">
        <v>1</v>
      </c>
      <c r="J174" s="8">
        <f>SUMIFS(COMPOSICIÓN!$J$2:$J$982,COMPOSICIÓN!$A$2:$A$982,A174,COMPOSICIÓN!$B$2:$B$982,"MAT")</f>
        <v>200000</v>
      </c>
      <c r="K174" s="8">
        <f>SUMIFS(COMPOSICIÓN!$J$2:$J$982,COMPOSICIÓN!$A$2:$A$982,A174,COMPOSICIÓN!$B$2:$B$982,"MO")*I174</f>
        <v>49934.239999999998</v>
      </c>
      <c r="L174" s="8">
        <f>SUMIFS(COMPOSICIÓN!$J$2:$J$982,COMPOSICIÓN!$A$2:$A$982,A174,COMPOSICIÓN!$B$2:$B$982,"EQ")</f>
        <v>0</v>
      </c>
      <c r="M174" s="8">
        <f t="shared" si="25"/>
        <v>200000</v>
      </c>
      <c r="N174" s="8">
        <f t="shared" si="26"/>
        <v>49934.239999999998</v>
      </c>
      <c r="O174" s="8">
        <f t="shared" si="27"/>
        <v>0</v>
      </c>
      <c r="P174" s="8">
        <f t="shared" si="28"/>
        <v>249934.24</v>
      </c>
      <c r="Q174" s="7">
        <f>COUNTIF(COMPOSICIÓN!$A:$A,A174)</f>
        <v>2</v>
      </c>
      <c r="R174" s="13">
        <v>14</v>
      </c>
      <c r="S174" s="5" t="s">
        <v>1221</v>
      </c>
      <c r="T174" s="13">
        <v>200000</v>
      </c>
      <c r="U174" s="13">
        <v>49934.237200000003</v>
      </c>
      <c r="V174" s="13">
        <v>0</v>
      </c>
      <c r="W174" s="14">
        <f t="shared" si="29"/>
        <v>1.1202946792465696E-8</v>
      </c>
    </row>
    <row r="175" spans="1:23" x14ac:dyDescent="0.35">
      <c r="A175" s="5" t="s">
        <v>1151</v>
      </c>
      <c r="B175" s="5">
        <v>25.01</v>
      </c>
      <c r="C175" s="5" t="s">
        <v>1149</v>
      </c>
      <c r="D175" s="5" t="s">
        <v>1150</v>
      </c>
      <c r="E175" s="5" t="s">
        <v>816</v>
      </c>
      <c r="F175" s="3">
        <v>1</v>
      </c>
      <c r="G175" s="3">
        <v>0</v>
      </c>
      <c r="H175" s="3">
        <v>0</v>
      </c>
      <c r="I175" s="3">
        <v>1</v>
      </c>
      <c r="J175" s="8">
        <f>SUMIFS(COMPOSICIÓN!$J$2:$J$982,COMPOSICIÓN!$A$2:$A$982,A175,COMPOSICIÓN!$B$2:$B$982,"MAT")</f>
        <v>0</v>
      </c>
      <c r="K175" s="8">
        <f>SUMIFS(COMPOSICIÓN!$J$2:$J$982,COMPOSICIÓN!$A$2:$A$982,A175,COMPOSICIÓN!$B$2:$B$982,"MO")*I175</f>
        <v>3798370.5819999999</v>
      </c>
      <c r="L175" s="8">
        <f>SUMIFS(COMPOSICIÓN!$J$2:$J$982,COMPOSICIÓN!$A$2:$A$982,A175,COMPOSICIÓN!$B$2:$B$982,"EQ")</f>
        <v>0</v>
      </c>
      <c r="M175" s="8">
        <f t="shared" si="25"/>
        <v>0</v>
      </c>
      <c r="N175" s="8">
        <f t="shared" si="26"/>
        <v>3798370.5819999999</v>
      </c>
      <c r="O175" s="8">
        <f t="shared" si="27"/>
        <v>0</v>
      </c>
      <c r="P175" s="8">
        <f t="shared" si="28"/>
        <v>3798370.5819999999</v>
      </c>
      <c r="Q175" s="7">
        <f>COUNTIF(COMPOSICIÓN!$A:$A,A175)</f>
        <v>1</v>
      </c>
      <c r="R175" s="13">
        <v>14</v>
      </c>
      <c r="S175" s="5" t="s">
        <v>1221</v>
      </c>
      <c r="T175" s="13">
        <v>0</v>
      </c>
      <c r="U175" s="13">
        <v>3798370.5819999999</v>
      </c>
      <c r="V175" s="13">
        <v>0</v>
      </c>
      <c r="W175" s="14">
        <f t="shared" si="29"/>
        <v>0</v>
      </c>
    </row>
    <row r="176" spans="1:23" x14ac:dyDescent="0.35">
      <c r="A176" s="5" t="s">
        <v>1153</v>
      </c>
      <c r="B176" s="5">
        <v>25.02</v>
      </c>
      <c r="C176" s="5" t="s">
        <v>1149</v>
      </c>
      <c r="D176" s="5" t="s">
        <v>1152</v>
      </c>
      <c r="E176" s="5" t="s">
        <v>816</v>
      </c>
      <c r="F176" s="3">
        <v>1</v>
      </c>
      <c r="G176" s="3">
        <v>0</v>
      </c>
      <c r="H176" s="3">
        <v>0</v>
      </c>
      <c r="I176" s="3">
        <v>1</v>
      </c>
      <c r="J176" s="8">
        <f>SUMIFS(COMPOSICIÓN!$J$2:$J$982,COMPOSICIÓN!$A$2:$A$982,A176,COMPOSICIÓN!$B$2:$B$982,"MAT")</f>
        <v>0</v>
      </c>
      <c r="K176" s="8">
        <f>SUMIFS(COMPOSICIÓN!$J$2:$J$982,COMPOSICIÓN!$A$2:$A$982,A176,COMPOSICIÓN!$B$2:$B$982,"MO")*I176</f>
        <v>500000</v>
      </c>
      <c r="L176" s="8">
        <f>SUMIFS(COMPOSICIÓN!$J$2:$J$982,COMPOSICIÓN!$A$2:$A$982,A176,COMPOSICIÓN!$B$2:$B$982,"EQ")</f>
        <v>0</v>
      </c>
      <c r="M176" s="8">
        <f t="shared" si="25"/>
        <v>0</v>
      </c>
      <c r="N176" s="8">
        <f t="shared" si="26"/>
        <v>500000</v>
      </c>
      <c r="O176" s="8">
        <f t="shared" si="27"/>
        <v>0</v>
      </c>
      <c r="P176" s="8">
        <f t="shared" si="28"/>
        <v>500000</v>
      </c>
      <c r="Q176" s="7">
        <f>COUNTIF(COMPOSICIÓN!$A:$A,A176)</f>
        <v>1</v>
      </c>
      <c r="R176" s="13">
        <v>14</v>
      </c>
      <c r="S176" s="5" t="s">
        <v>1221</v>
      </c>
      <c r="T176" s="13">
        <v>0</v>
      </c>
      <c r="U176" s="13">
        <v>500000</v>
      </c>
      <c r="V176" s="13">
        <v>0</v>
      </c>
      <c r="W176" s="14">
        <f t="shared" si="29"/>
        <v>0</v>
      </c>
    </row>
    <row r="177" spans="1:23" x14ac:dyDescent="0.35">
      <c r="A177" s="5" t="s">
        <v>1156</v>
      </c>
      <c r="B177" s="5">
        <v>26.01</v>
      </c>
      <c r="C177" s="5" t="s">
        <v>1154</v>
      </c>
      <c r="D177" s="5" t="s">
        <v>432</v>
      </c>
      <c r="E177" s="5" t="s">
        <v>1155</v>
      </c>
      <c r="F177" s="3">
        <v>1</v>
      </c>
      <c r="G177" s="3">
        <v>0</v>
      </c>
      <c r="H177" s="3">
        <v>0</v>
      </c>
      <c r="I177" s="3">
        <v>1</v>
      </c>
      <c r="J177" s="8">
        <f>SUMIFS(COMPOSICIÓN!$J$2:$J$982,COMPOSICIÓN!$A$2:$A$982,A177,COMPOSICIÓN!$B$2:$B$982,"MAT")</f>
        <v>1675.9465</v>
      </c>
      <c r="K177" s="8">
        <f>SUMIFS(COMPOSICIÓN!$J$2:$J$982,COMPOSICIÓN!$A$2:$A$982,A177,COMPOSICIÓN!$B$2:$B$982,"MO")*I177</f>
        <v>0</v>
      </c>
      <c r="L177" s="8">
        <f>SUMIFS(COMPOSICIÓN!$J$2:$J$982,COMPOSICIÓN!$A$2:$A$982,A177,COMPOSICIÓN!$B$2:$B$982,"EQ")</f>
        <v>0</v>
      </c>
      <c r="M177" s="8">
        <f t="shared" si="25"/>
        <v>1675.9465</v>
      </c>
      <c r="N177" s="8">
        <f t="shared" si="26"/>
        <v>0</v>
      </c>
      <c r="O177" s="8">
        <f t="shared" si="27"/>
        <v>0</v>
      </c>
      <c r="P177" s="8">
        <f t="shared" si="28"/>
        <v>1675.9465</v>
      </c>
      <c r="Q177" s="7">
        <f>COUNTIF(COMPOSICIÓN!$A:$A,A177)</f>
        <v>1</v>
      </c>
      <c r="R177" s="13">
        <v>71835</v>
      </c>
      <c r="S177" s="5" t="s">
        <v>1221</v>
      </c>
      <c r="T177" s="13">
        <v>1675.9465</v>
      </c>
      <c r="U177" s="13">
        <v>0</v>
      </c>
      <c r="V177" s="13">
        <v>0</v>
      </c>
      <c r="W177" s="14">
        <f t="shared" si="29"/>
        <v>0</v>
      </c>
    </row>
    <row r="178" spans="1:23" x14ac:dyDescent="0.35">
      <c r="A178" s="5" t="s">
        <v>1157</v>
      </c>
      <c r="B178" s="5">
        <v>26.02</v>
      </c>
      <c r="C178" s="5" t="s">
        <v>1154</v>
      </c>
      <c r="D178" s="5" t="s">
        <v>434</v>
      </c>
      <c r="E178" s="5" t="s">
        <v>828</v>
      </c>
      <c r="F178" s="3">
        <v>1</v>
      </c>
      <c r="G178" s="3">
        <v>0</v>
      </c>
      <c r="H178" s="3">
        <v>0</v>
      </c>
      <c r="I178" s="3">
        <v>1</v>
      </c>
      <c r="J178" s="8">
        <f>SUMIFS(COMPOSICIÓN!$J$2:$J$982,COMPOSICIÓN!$A$2:$A$982,A178,COMPOSICIÓN!$B$2:$B$982,"MAT")</f>
        <v>161741.24100000001</v>
      </c>
      <c r="K178" s="8">
        <f>SUMIFS(COMPOSICIÓN!$J$2:$J$982,COMPOSICIÓN!$A$2:$A$982,A178,COMPOSICIÓN!$B$2:$B$982,"MO")*I178</f>
        <v>0</v>
      </c>
      <c r="L178" s="8">
        <f>SUMIFS(COMPOSICIÓN!$J$2:$J$982,COMPOSICIÓN!$A$2:$A$982,A178,COMPOSICIÓN!$B$2:$B$982,"EQ")</f>
        <v>0</v>
      </c>
      <c r="M178" s="8">
        <f t="shared" si="25"/>
        <v>161741.24100000001</v>
      </c>
      <c r="N178" s="8">
        <f t="shared" si="26"/>
        <v>0</v>
      </c>
      <c r="O178" s="8">
        <f t="shared" si="27"/>
        <v>0</v>
      </c>
      <c r="P178" s="8">
        <f t="shared" si="28"/>
        <v>161741.24100000001</v>
      </c>
      <c r="Q178" s="7">
        <f>COUNTIF(COMPOSICIÓN!$A:$A,A178)</f>
        <v>1</v>
      </c>
      <c r="R178" s="13">
        <v>641</v>
      </c>
      <c r="S178" s="5" t="s">
        <v>1221</v>
      </c>
      <c r="T178" s="13">
        <v>161741.24100000001</v>
      </c>
      <c r="U178" s="13">
        <v>0</v>
      </c>
      <c r="V178" s="13">
        <v>0</v>
      </c>
      <c r="W178" s="14">
        <f t="shared" si="29"/>
        <v>0</v>
      </c>
    </row>
    <row r="179" spans="1:23" x14ac:dyDescent="0.35">
      <c r="A179" s="5" t="s">
        <v>1159</v>
      </c>
      <c r="B179" s="5">
        <v>26.03</v>
      </c>
      <c r="C179" s="5" t="s">
        <v>1154</v>
      </c>
      <c r="D179" s="5" t="s">
        <v>1158</v>
      </c>
      <c r="E179" s="5" t="s">
        <v>470</v>
      </c>
      <c r="F179" s="3">
        <v>1</v>
      </c>
      <c r="G179" s="3">
        <v>0</v>
      </c>
      <c r="H179" s="3">
        <v>0</v>
      </c>
      <c r="I179" s="3">
        <v>1</v>
      </c>
      <c r="J179" s="8">
        <f>SUMIFS(COMPOSICIÓN!$J$2:$J$982,COMPOSICIÓN!$A$2:$A$982,A179,COMPOSICIÓN!$B$2:$B$982,"MAT")</f>
        <v>0</v>
      </c>
      <c r="K179" s="8">
        <f>SUMIFS(COMPOSICIÓN!$J$2:$J$982,COMPOSICIÓN!$A$2:$A$982,A179,COMPOSICIÓN!$B$2:$B$982,"MO")*I179</f>
        <v>0</v>
      </c>
      <c r="L179" s="8">
        <f>SUMIFS(COMPOSICIÓN!$J$2:$J$982,COMPOSICIÓN!$A$2:$A$982,A179,COMPOSICIÓN!$B$2:$B$982,"EQ")</f>
        <v>0</v>
      </c>
      <c r="M179" s="8">
        <f t="shared" si="25"/>
        <v>0</v>
      </c>
      <c r="N179" s="8">
        <f t="shared" si="26"/>
        <v>0</v>
      </c>
      <c r="O179" s="8">
        <f t="shared" si="27"/>
        <v>0</v>
      </c>
      <c r="P179" s="8">
        <f t="shared" si="28"/>
        <v>0</v>
      </c>
      <c r="Q179" s="7">
        <f>COUNTIF(COMPOSICIÓN!$A:$A,A179)</f>
        <v>0</v>
      </c>
      <c r="R179" s="13">
        <v>1</v>
      </c>
      <c r="S179" s="5" t="s">
        <v>1221</v>
      </c>
      <c r="T179" s="13">
        <v>0</v>
      </c>
      <c r="U179" s="13">
        <v>0</v>
      </c>
      <c r="V179" s="13">
        <v>0</v>
      </c>
      <c r="W179" s="14">
        <f t="shared" si="29"/>
        <v>0</v>
      </c>
    </row>
    <row r="180" spans="1:23" x14ac:dyDescent="0.35">
      <c r="A180" s="5" t="s">
        <v>1161</v>
      </c>
      <c r="B180" s="5">
        <v>26.04</v>
      </c>
      <c r="C180" s="5" t="s">
        <v>1154</v>
      </c>
      <c r="D180" s="5" t="s">
        <v>1160</v>
      </c>
      <c r="E180" s="5" t="s">
        <v>284</v>
      </c>
      <c r="F180" s="3">
        <v>1</v>
      </c>
      <c r="G180" s="3">
        <v>0</v>
      </c>
      <c r="H180" s="3">
        <v>0</v>
      </c>
      <c r="I180" s="3">
        <v>1</v>
      </c>
      <c r="J180" s="8">
        <f>SUMIFS(COMPOSICIÓN!$J$2:$J$982,COMPOSICIÓN!$A$2:$A$982,A180,COMPOSICIÓN!$B$2:$B$982,"MAT")</f>
        <v>0</v>
      </c>
      <c r="K180" s="8">
        <f>SUMIFS(COMPOSICIÓN!$J$2:$J$982,COMPOSICIÓN!$A$2:$A$982,A180,COMPOSICIÓN!$B$2:$B$982,"MO")*I180</f>
        <v>0</v>
      </c>
      <c r="L180" s="8">
        <f>SUMIFS(COMPOSICIÓN!$J$2:$J$982,COMPOSICIÓN!$A$2:$A$982,A180,COMPOSICIÓN!$B$2:$B$982,"EQ")</f>
        <v>0</v>
      </c>
      <c r="M180" s="8">
        <f t="shared" si="25"/>
        <v>0</v>
      </c>
      <c r="N180" s="8">
        <f t="shared" si="26"/>
        <v>0</v>
      </c>
      <c r="O180" s="8">
        <f t="shared" si="27"/>
        <v>0</v>
      </c>
      <c r="P180" s="8">
        <f t="shared" si="28"/>
        <v>0</v>
      </c>
      <c r="Q180" s="7">
        <f>COUNTIF(COMPOSICIÓN!$A:$A,A180)</f>
        <v>0</v>
      </c>
      <c r="R180" s="13">
        <v>6</v>
      </c>
      <c r="S180" s="5" t="s">
        <v>1221</v>
      </c>
      <c r="T180" s="13">
        <v>0</v>
      </c>
      <c r="U180" s="13">
        <v>0</v>
      </c>
      <c r="V180" s="13">
        <v>0</v>
      </c>
      <c r="W180" s="14">
        <f t="shared" si="29"/>
        <v>0</v>
      </c>
    </row>
    <row r="181" spans="1:23" x14ac:dyDescent="0.35">
      <c r="A181" s="5" t="s">
        <v>1163</v>
      </c>
      <c r="B181" s="5">
        <v>26.05</v>
      </c>
      <c r="C181" s="5" t="s">
        <v>1154</v>
      </c>
      <c r="D181" s="5" t="s">
        <v>1162</v>
      </c>
      <c r="E181" s="5" t="s">
        <v>284</v>
      </c>
      <c r="F181" s="3">
        <v>1</v>
      </c>
      <c r="G181" s="3">
        <v>0</v>
      </c>
      <c r="H181" s="3">
        <v>0</v>
      </c>
      <c r="I181" s="3">
        <v>1</v>
      </c>
      <c r="J181" s="8">
        <f>SUMIFS(COMPOSICIÓN!$J$2:$J$982,COMPOSICIÓN!$A$2:$A$982,A181,COMPOSICIÓN!$B$2:$B$982,"MAT")</f>
        <v>0</v>
      </c>
      <c r="K181" s="8">
        <f>SUMIFS(COMPOSICIÓN!$J$2:$J$982,COMPOSICIÓN!$A$2:$A$982,A181,COMPOSICIÓN!$B$2:$B$982,"MO")*I181</f>
        <v>0</v>
      </c>
      <c r="L181" s="8">
        <f>SUMIFS(COMPOSICIÓN!$J$2:$J$982,COMPOSICIÓN!$A$2:$A$982,A181,COMPOSICIÓN!$B$2:$B$982,"EQ")</f>
        <v>0</v>
      </c>
      <c r="M181" s="8">
        <f t="shared" si="25"/>
        <v>0</v>
      </c>
      <c r="N181" s="8">
        <f t="shared" si="26"/>
        <v>0</v>
      </c>
      <c r="O181" s="8">
        <f t="shared" si="27"/>
        <v>0</v>
      </c>
      <c r="P181" s="8">
        <f t="shared" si="28"/>
        <v>0</v>
      </c>
      <c r="Q181" s="7">
        <f>COUNTIF(COMPOSICIÓN!$A:$A,A181)</f>
        <v>0</v>
      </c>
      <c r="R181" s="13">
        <v>2</v>
      </c>
      <c r="S181" s="5" t="s">
        <v>1221</v>
      </c>
      <c r="T181" s="13">
        <v>0</v>
      </c>
      <c r="U181" s="13">
        <v>0</v>
      </c>
      <c r="V181" s="13">
        <v>0</v>
      </c>
      <c r="W181" s="14">
        <f t="shared" si="29"/>
        <v>0</v>
      </c>
    </row>
    <row r="182" spans="1:23" x14ac:dyDescent="0.35">
      <c r="A182" s="5" t="s">
        <v>1165</v>
      </c>
      <c r="B182" s="5">
        <v>26.06</v>
      </c>
      <c r="C182" s="5" t="s">
        <v>1154</v>
      </c>
      <c r="D182" s="5" t="s">
        <v>1164</v>
      </c>
      <c r="E182" s="5" t="s">
        <v>284</v>
      </c>
      <c r="F182" s="3">
        <v>1</v>
      </c>
      <c r="G182" s="3">
        <v>0</v>
      </c>
      <c r="H182" s="3">
        <v>0</v>
      </c>
      <c r="I182" s="3">
        <v>1</v>
      </c>
      <c r="J182" s="8">
        <f>SUMIFS(COMPOSICIÓN!$J$2:$J$982,COMPOSICIÓN!$A$2:$A$982,A182,COMPOSICIÓN!$B$2:$B$982,"MAT")</f>
        <v>0</v>
      </c>
      <c r="K182" s="8">
        <f>SUMIFS(COMPOSICIÓN!$J$2:$J$982,COMPOSICIÓN!$A$2:$A$982,A182,COMPOSICIÓN!$B$2:$B$982,"MO")*I182</f>
        <v>0</v>
      </c>
      <c r="L182" s="8">
        <f>SUMIFS(COMPOSICIÓN!$J$2:$J$982,COMPOSICIÓN!$A$2:$A$982,A182,COMPOSICIÓN!$B$2:$B$982,"EQ")</f>
        <v>0</v>
      </c>
      <c r="M182" s="8">
        <f t="shared" si="25"/>
        <v>0</v>
      </c>
      <c r="N182" s="8">
        <f t="shared" si="26"/>
        <v>0</v>
      </c>
      <c r="O182" s="8">
        <f t="shared" si="27"/>
        <v>0</v>
      </c>
      <c r="P182" s="8">
        <f t="shared" si="28"/>
        <v>0</v>
      </c>
      <c r="Q182" s="7">
        <f>COUNTIF(COMPOSICIÓN!$A:$A,A182)</f>
        <v>0</v>
      </c>
      <c r="R182" s="13">
        <v>5</v>
      </c>
      <c r="S182" s="5" t="s">
        <v>1221</v>
      </c>
      <c r="T182" s="13">
        <v>0</v>
      </c>
      <c r="U182" s="13">
        <v>0</v>
      </c>
      <c r="V182" s="13">
        <v>0</v>
      </c>
      <c r="W182" s="14">
        <f t="shared" si="29"/>
        <v>0</v>
      </c>
    </row>
    <row r="183" spans="1:23" x14ac:dyDescent="0.35">
      <c r="A183" s="5" t="s">
        <v>1167</v>
      </c>
      <c r="B183" s="5">
        <v>26.07</v>
      </c>
      <c r="C183" s="5" t="s">
        <v>1154</v>
      </c>
      <c r="D183" s="5" t="s">
        <v>1166</v>
      </c>
      <c r="E183" s="5" t="s">
        <v>284</v>
      </c>
      <c r="F183" s="3">
        <v>1</v>
      </c>
      <c r="G183" s="3">
        <v>0</v>
      </c>
      <c r="H183" s="3">
        <v>0</v>
      </c>
      <c r="I183" s="3">
        <v>1</v>
      </c>
      <c r="J183" s="8">
        <f>SUMIFS(COMPOSICIÓN!$J$2:$J$982,COMPOSICIÓN!$A$2:$A$982,A183,COMPOSICIÓN!$B$2:$B$982,"MAT")</f>
        <v>0</v>
      </c>
      <c r="K183" s="8">
        <f>SUMIFS(COMPOSICIÓN!$J$2:$J$982,COMPOSICIÓN!$A$2:$A$982,A183,COMPOSICIÓN!$B$2:$B$982,"MO")*I183</f>
        <v>0</v>
      </c>
      <c r="L183" s="8">
        <f>SUMIFS(COMPOSICIÓN!$J$2:$J$982,COMPOSICIÓN!$A$2:$A$982,A183,COMPOSICIÓN!$B$2:$B$982,"EQ")</f>
        <v>0</v>
      </c>
      <c r="M183" s="8">
        <f t="shared" si="25"/>
        <v>0</v>
      </c>
      <c r="N183" s="8">
        <f t="shared" si="26"/>
        <v>0</v>
      </c>
      <c r="O183" s="8">
        <f t="shared" si="27"/>
        <v>0</v>
      </c>
      <c r="P183" s="8">
        <f t="shared" si="28"/>
        <v>0</v>
      </c>
      <c r="Q183" s="7">
        <f>COUNTIF(COMPOSICIÓN!$A:$A,A183)</f>
        <v>0</v>
      </c>
      <c r="R183" s="13">
        <v>1</v>
      </c>
      <c r="S183" s="5" t="s">
        <v>1221</v>
      </c>
      <c r="T183" s="13">
        <v>0</v>
      </c>
      <c r="U183" s="13">
        <v>0</v>
      </c>
      <c r="V183" s="13">
        <v>0</v>
      </c>
      <c r="W183" s="14">
        <f t="shared" si="29"/>
        <v>0</v>
      </c>
    </row>
    <row r="184" spans="1:23" x14ac:dyDescent="0.35">
      <c r="A184" s="5" t="s">
        <v>1170</v>
      </c>
      <c r="B184" s="5">
        <v>26.08</v>
      </c>
      <c r="C184" s="5" t="s">
        <v>1154</v>
      </c>
      <c r="D184" s="5" t="s">
        <v>1168</v>
      </c>
      <c r="E184" s="5" t="s">
        <v>1169</v>
      </c>
      <c r="F184" s="3">
        <v>1</v>
      </c>
      <c r="G184" s="3">
        <v>0</v>
      </c>
      <c r="H184" s="3">
        <v>0</v>
      </c>
      <c r="I184" s="3">
        <v>1</v>
      </c>
      <c r="J184" s="8">
        <f>SUMIFS(COMPOSICIÓN!$J$2:$J$982,COMPOSICIÓN!$A$2:$A$982,A184,COMPOSICIÓN!$B$2:$B$982,"MAT")</f>
        <v>0</v>
      </c>
      <c r="K184" s="8">
        <f>SUMIFS(COMPOSICIÓN!$J$2:$J$982,COMPOSICIÓN!$A$2:$A$982,A184,COMPOSICIÓN!$B$2:$B$982,"MO")*I184</f>
        <v>0</v>
      </c>
      <c r="L184" s="8">
        <f>SUMIFS(COMPOSICIÓN!$J$2:$J$982,COMPOSICIÓN!$A$2:$A$982,A184,COMPOSICIÓN!$B$2:$B$982,"EQ")</f>
        <v>0</v>
      </c>
      <c r="M184" s="8">
        <f t="shared" si="25"/>
        <v>0</v>
      </c>
      <c r="N184" s="8">
        <f t="shared" si="26"/>
        <v>0</v>
      </c>
      <c r="O184" s="8">
        <f t="shared" si="27"/>
        <v>0</v>
      </c>
      <c r="P184" s="8">
        <f t="shared" si="28"/>
        <v>0</v>
      </c>
      <c r="Q184" s="7">
        <f>COUNTIF(COMPOSICIÓN!$A:$A,A184)</f>
        <v>0</v>
      </c>
      <c r="R184" s="13">
        <v>0</v>
      </c>
      <c r="S184" s="5" t="s">
        <v>1221</v>
      </c>
      <c r="T184" s="13">
        <v>0</v>
      </c>
      <c r="U184" s="13">
        <v>0</v>
      </c>
      <c r="V184" s="13">
        <v>0</v>
      </c>
      <c r="W184" s="14">
        <f t="shared" si="29"/>
        <v>0</v>
      </c>
    </row>
    <row r="185" spans="1:23" x14ac:dyDescent="0.35">
      <c r="A185" s="5" t="s">
        <v>1172</v>
      </c>
      <c r="B185" s="5">
        <v>27.01</v>
      </c>
      <c r="C185" s="5" t="s">
        <v>1171</v>
      </c>
      <c r="D185" s="5" t="s">
        <v>436</v>
      </c>
      <c r="E185" s="5" t="s">
        <v>284</v>
      </c>
      <c r="F185" s="3">
        <v>1</v>
      </c>
      <c r="G185" s="3">
        <v>0</v>
      </c>
      <c r="H185" s="3">
        <v>0</v>
      </c>
      <c r="I185" s="3">
        <v>1</v>
      </c>
      <c r="J185" s="8">
        <f>SUMIFS(COMPOSICIÓN!$J$2:$J$982,COMPOSICIÓN!$A$2:$A$982,A185,COMPOSICIÓN!$B$2:$B$982,"MAT")</f>
        <v>15000</v>
      </c>
      <c r="K185" s="8">
        <f>SUMIFS(COMPOSICIÓN!$J$2:$J$982,COMPOSICIÓN!$A$2:$A$982,A185,COMPOSICIÓN!$B$2:$B$982,"MO")*I185</f>
        <v>75113.048200000005</v>
      </c>
      <c r="L185" s="8">
        <f>SUMIFS(COMPOSICIÓN!$J$2:$J$982,COMPOSICIÓN!$A$2:$A$982,A185,COMPOSICIÓN!$B$2:$B$982,"EQ")</f>
        <v>0</v>
      </c>
      <c r="M185" s="8">
        <f t="shared" si="25"/>
        <v>15000</v>
      </c>
      <c r="N185" s="8">
        <f t="shared" si="26"/>
        <v>75113.048200000005</v>
      </c>
      <c r="O185" s="8">
        <f t="shared" si="27"/>
        <v>0</v>
      </c>
      <c r="P185" s="8">
        <f t="shared" si="28"/>
        <v>90113.048200000005</v>
      </c>
      <c r="Q185" s="7">
        <f>COUNTIF(COMPOSICIÓN!$A:$A,A185)</f>
        <v>2</v>
      </c>
      <c r="R185" s="13">
        <v>18</v>
      </c>
      <c r="S185" s="5" t="s">
        <v>1221</v>
      </c>
      <c r="T185" s="13">
        <v>15000</v>
      </c>
      <c r="U185" s="13">
        <v>75113.048200000005</v>
      </c>
      <c r="V185" s="13">
        <v>0</v>
      </c>
      <c r="W185" s="14">
        <f t="shared" si="29"/>
        <v>0</v>
      </c>
    </row>
    <row r="186" spans="1:23" x14ac:dyDescent="0.35">
      <c r="A186" s="5" t="s">
        <v>1174</v>
      </c>
      <c r="B186" s="5">
        <v>27.02</v>
      </c>
      <c r="C186" s="5" t="s">
        <v>1171</v>
      </c>
      <c r="D186" s="5" t="s">
        <v>1173</v>
      </c>
      <c r="E186" s="5" t="s">
        <v>470</v>
      </c>
      <c r="F186" s="3">
        <v>1</v>
      </c>
      <c r="G186" s="3">
        <v>0</v>
      </c>
      <c r="H186" s="3">
        <v>0</v>
      </c>
      <c r="I186" s="3">
        <v>1</v>
      </c>
      <c r="J186" s="8">
        <f>SUMIFS(COMPOSICIÓN!$J$2:$J$982,COMPOSICIÓN!$A$2:$A$982,A186,COMPOSICIÓN!$B$2:$B$982,"MAT")</f>
        <v>4362662.0962049114</v>
      </c>
      <c r="K186" s="8">
        <f>SUMIFS(COMPOSICIÓN!$J$2:$J$982,COMPOSICIÓN!$A$2:$A$982,A186,COMPOSICIÓN!$B$2:$B$982,"MO")*I186</f>
        <v>1363919.7598999999</v>
      </c>
      <c r="L186" s="8">
        <f>SUMIFS(COMPOSICIÓN!$J$2:$J$982,COMPOSICIÓN!$A$2:$A$982,A186,COMPOSICIÓN!$B$2:$B$982,"EQ")</f>
        <v>0</v>
      </c>
      <c r="M186" s="8">
        <f t="shared" si="25"/>
        <v>4362662.0962049114</v>
      </c>
      <c r="N186" s="8">
        <f t="shared" si="26"/>
        <v>1363919.7598999999</v>
      </c>
      <c r="O186" s="8">
        <f t="shared" si="27"/>
        <v>0</v>
      </c>
      <c r="P186" s="8">
        <f t="shared" si="28"/>
        <v>5726581.8561049113</v>
      </c>
      <c r="Q186" s="7">
        <f>COUNTIF(COMPOSICIÓN!$A:$A,A186)</f>
        <v>5</v>
      </c>
      <c r="R186" s="13">
        <v>1</v>
      </c>
      <c r="S186" s="5" t="s">
        <v>1221</v>
      </c>
      <c r="T186" s="13">
        <v>4362662.0992000001</v>
      </c>
      <c r="U186" s="13">
        <v>1363919.7598999999</v>
      </c>
      <c r="V186" s="13">
        <v>0</v>
      </c>
      <c r="W186" s="14">
        <f t="shared" si="29"/>
        <v>-5.2301507569296746E-10</v>
      </c>
    </row>
    <row r="187" spans="1:23" x14ac:dyDescent="0.35">
      <c r="A187" s="5" t="s">
        <v>1176</v>
      </c>
      <c r="B187" s="5">
        <v>27.03</v>
      </c>
      <c r="C187" s="5" t="s">
        <v>1171</v>
      </c>
      <c r="D187" s="5" t="s">
        <v>1175</v>
      </c>
      <c r="E187" s="5" t="s">
        <v>470</v>
      </c>
      <c r="F187" s="3">
        <v>1</v>
      </c>
      <c r="G187" s="3">
        <v>0</v>
      </c>
      <c r="H187" s="3">
        <v>0</v>
      </c>
      <c r="I187" s="3">
        <v>1</v>
      </c>
      <c r="J187" s="8">
        <f>SUMIFS(COMPOSICIÓN!$J$2:$J$982,COMPOSICIÓN!$A$2:$A$982,A187,COMPOSICIÓN!$B$2:$B$982,"MAT")</f>
        <v>2952724.0898000002</v>
      </c>
      <c r="K187" s="8">
        <f>SUMIFS(COMPOSICIÓN!$J$2:$J$982,COMPOSICIÓN!$A$2:$A$982,A187,COMPOSICIÓN!$B$2:$B$982,"MO")*I187</f>
        <v>0</v>
      </c>
      <c r="L187" s="8">
        <f>SUMIFS(COMPOSICIÓN!$J$2:$J$982,COMPOSICIÓN!$A$2:$A$982,A187,COMPOSICIÓN!$B$2:$B$982,"EQ")</f>
        <v>0</v>
      </c>
      <c r="M187" s="8">
        <f t="shared" si="25"/>
        <v>2952724.0898000002</v>
      </c>
      <c r="N187" s="8">
        <f t="shared" si="26"/>
        <v>0</v>
      </c>
      <c r="O187" s="8">
        <f t="shared" si="27"/>
        <v>0</v>
      </c>
      <c r="P187" s="8">
        <f t="shared" si="28"/>
        <v>2952724.0898000002</v>
      </c>
      <c r="Q187" s="7">
        <f>COUNTIF(COMPOSICIÓN!$A:$A,A187)</f>
        <v>8</v>
      </c>
      <c r="R187" s="13">
        <v>1</v>
      </c>
      <c r="S187" s="5" t="s">
        <v>1221</v>
      </c>
      <c r="T187" s="13">
        <v>2952724.0767000001</v>
      </c>
      <c r="U187" s="13">
        <v>0</v>
      </c>
      <c r="V187" s="13">
        <v>0</v>
      </c>
      <c r="W187" s="14">
        <f t="shared" si="29"/>
        <v>4.4365811024960067E-9</v>
      </c>
    </row>
    <row r="188" spans="1:23" x14ac:dyDescent="0.35">
      <c r="A188" s="5" t="s">
        <v>1179</v>
      </c>
      <c r="B188" s="5">
        <v>28.01</v>
      </c>
      <c r="C188" s="5" t="s">
        <v>1177</v>
      </c>
      <c r="D188" s="5" t="s">
        <v>1178</v>
      </c>
      <c r="E188" s="5" t="s">
        <v>470</v>
      </c>
      <c r="F188" s="3">
        <v>1</v>
      </c>
      <c r="G188" s="3">
        <v>0</v>
      </c>
      <c r="H188" s="3">
        <v>0</v>
      </c>
      <c r="I188" s="3">
        <v>1</v>
      </c>
      <c r="J188" s="8">
        <f>SUMIFS(COMPOSICIÓN!$J$2:$J$982,COMPOSICIÓN!$A$2:$A$982,A188,COMPOSICIÓN!$B$2:$B$982,"MAT")</f>
        <v>8108346.1239</v>
      </c>
      <c r="K188" s="8">
        <f>SUMIFS(COMPOSICIÓN!$J$2:$J$982,COMPOSICIÓN!$A$2:$A$982,A188,COMPOSICIÓN!$B$2:$B$982,"MO")*I188</f>
        <v>16174656.500299999</v>
      </c>
      <c r="L188" s="8">
        <f>SUMIFS(COMPOSICIÓN!$J$2:$J$982,COMPOSICIÓN!$A$2:$A$982,A188,COMPOSICIÓN!$B$2:$B$982,"EQ")</f>
        <v>364245.03940000001</v>
      </c>
      <c r="M188" s="8">
        <f t="shared" si="25"/>
        <v>8108346.1239</v>
      </c>
      <c r="N188" s="8">
        <f t="shared" si="26"/>
        <v>16174656.500299999</v>
      </c>
      <c r="O188" s="8">
        <f t="shared" si="27"/>
        <v>364245.03940000001</v>
      </c>
      <c r="P188" s="8">
        <f t="shared" si="28"/>
        <v>24647247.663600001</v>
      </c>
      <c r="Q188" s="7">
        <f>COUNTIF(COMPOSICIÓN!$A:$A,A188)</f>
        <v>3</v>
      </c>
      <c r="R188" s="13">
        <v>1</v>
      </c>
      <c r="S188" s="5" t="s">
        <v>1221</v>
      </c>
      <c r="T188" s="13">
        <v>8108346.1239</v>
      </c>
      <c r="U188" s="13">
        <v>16174656.500299999</v>
      </c>
      <c r="V188" s="13">
        <v>364245.03940000001</v>
      </c>
      <c r="W188" s="14">
        <f t="shared" si="29"/>
        <v>0</v>
      </c>
    </row>
    <row r="189" spans="1:23" x14ac:dyDescent="0.35">
      <c r="A189" s="5" t="s">
        <v>1181</v>
      </c>
      <c r="B189" s="5">
        <v>28.02</v>
      </c>
      <c r="C189" s="5" t="s">
        <v>1177</v>
      </c>
      <c r="D189" s="5" t="s">
        <v>1180</v>
      </c>
      <c r="E189" s="5" t="s">
        <v>470</v>
      </c>
      <c r="F189" s="3">
        <v>1</v>
      </c>
      <c r="G189" s="3">
        <v>0</v>
      </c>
      <c r="H189" s="3">
        <v>0</v>
      </c>
      <c r="I189" s="3">
        <v>1</v>
      </c>
      <c r="J189" s="8">
        <f>SUMIFS(COMPOSICIÓN!$J$2:$J$982,COMPOSICIÓN!$A$2:$A$982,A189,COMPOSICIÓN!$B$2:$B$982,"MAT")</f>
        <v>5535035.5999999996</v>
      </c>
      <c r="K189" s="8">
        <f>SUMIFS(COMPOSICIÓN!$J$2:$J$982,COMPOSICIÓN!$A$2:$A$982,A189,COMPOSICIÓN!$B$2:$B$982,"MO")*I189</f>
        <v>0</v>
      </c>
      <c r="L189" s="8">
        <f>SUMIFS(COMPOSICIÓN!$J$2:$J$982,COMPOSICIÓN!$A$2:$A$982,A189,COMPOSICIÓN!$B$2:$B$982,"EQ")</f>
        <v>83025.534</v>
      </c>
      <c r="M189" s="8">
        <f t="shared" si="25"/>
        <v>5535035.5999999996</v>
      </c>
      <c r="N189" s="8">
        <f t="shared" si="26"/>
        <v>0</v>
      </c>
      <c r="O189" s="8">
        <f t="shared" si="27"/>
        <v>83025.534</v>
      </c>
      <c r="P189" s="8">
        <f t="shared" si="28"/>
        <v>5618061.1339999996</v>
      </c>
      <c r="Q189" s="7">
        <f>COUNTIF(COMPOSICIÓN!$A:$A,A189)</f>
        <v>2</v>
      </c>
      <c r="R189" s="13">
        <v>1</v>
      </c>
      <c r="S189" s="5" t="s">
        <v>1221</v>
      </c>
      <c r="T189" s="13">
        <v>5535035.5999999996</v>
      </c>
      <c r="U189" s="13">
        <v>0</v>
      </c>
      <c r="V189" s="13">
        <v>83025.534</v>
      </c>
      <c r="W189" s="14">
        <f t="shared" si="29"/>
        <v>0</v>
      </c>
    </row>
    <row r="190" spans="1:23" x14ac:dyDescent="0.35">
      <c r="A190" s="5" t="s">
        <v>1182</v>
      </c>
      <c r="B190" s="5">
        <v>28.03</v>
      </c>
      <c r="C190" s="5" t="s">
        <v>1177</v>
      </c>
      <c r="D190" s="5" t="s">
        <v>467</v>
      </c>
      <c r="E190" s="5" t="s">
        <v>284</v>
      </c>
      <c r="F190" s="3">
        <v>1</v>
      </c>
      <c r="G190" s="3">
        <v>0</v>
      </c>
      <c r="H190" s="3">
        <v>0</v>
      </c>
      <c r="I190" s="3">
        <v>1</v>
      </c>
      <c r="J190" s="8">
        <f>SUMIFS(COMPOSICIÓN!$J$2:$J$982,COMPOSICIÓN!$A$2:$A$982,A190,COMPOSICIÓN!$B$2:$B$982,"MAT")</f>
        <v>75150</v>
      </c>
      <c r="K190" s="8">
        <f>SUMIFS(COMPOSICIÓN!$J$2:$J$982,COMPOSICIÓN!$A$2:$A$982,A190,COMPOSICIÓN!$B$2:$B$982,"MO")*I190</f>
        <v>0</v>
      </c>
      <c r="L190" s="8">
        <f>SUMIFS(COMPOSICIÓN!$J$2:$J$982,COMPOSICIÓN!$A$2:$A$982,A190,COMPOSICIÓN!$B$2:$B$982,"EQ")</f>
        <v>1127.25</v>
      </c>
      <c r="M190" s="8">
        <f t="shared" si="25"/>
        <v>75150</v>
      </c>
      <c r="N190" s="8">
        <f t="shared" si="26"/>
        <v>0</v>
      </c>
      <c r="O190" s="8">
        <f t="shared" si="27"/>
        <v>1127.25</v>
      </c>
      <c r="P190" s="8">
        <f t="shared" si="28"/>
        <v>76277.25</v>
      </c>
      <c r="Q190" s="7">
        <f>COUNTIF(COMPOSICIÓN!$A:$A,A190)</f>
        <v>2</v>
      </c>
      <c r="R190" s="13">
        <v>16</v>
      </c>
      <c r="S190" s="5" t="s">
        <v>1221</v>
      </c>
      <c r="T190" s="13">
        <v>75150</v>
      </c>
      <c r="U190" s="13">
        <v>0</v>
      </c>
      <c r="V190" s="13">
        <v>1127.25</v>
      </c>
      <c r="W190" s="14">
        <f t="shared" si="2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MATERIALES</vt:lpstr>
      <vt:lpstr>MANO_DE_OBRA</vt:lpstr>
      <vt:lpstr>EQUIPOS</vt:lpstr>
      <vt:lpstr>SUBCONTRATOS_PRY</vt:lpstr>
      <vt:lpstr>PPTO_GENERADOR</vt:lpstr>
      <vt:lpstr>COMPOSICIÓN</vt:lpstr>
      <vt:lpstr>PARTIDAS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Pagliaricci</cp:lastModifiedBy>
  <dcterms:created xsi:type="dcterms:W3CDTF">2026-06-26T12:25:10Z</dcterms:created>
  <dcterms:modified xsi:type="dcterms:W3CDTF">2026-06-26T12:25:12Z</dcterms:modified>
</cp:coreProperties>
</file>