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archivos\output\"/>
    </mc:Choice>
  </mc:AlternateContent>
  <xr:revisionPtr revIDLastSave="0" documentId="13_ncr:1_{86558107-5730-43D3-BFA1-F18C33A232F4}" xr6:coauthVersionLast="47" xr6:coauthVersionMax="47" xr10:uidLastSave="{00000000-0000-0000-0000-000000000000}"/>
  <bookViews>
    <workbookView xWindow="10710" yWindow="-10380" windowWidth="14400" windowHeight="8175" tabRatio="500" firstSheet="6" activeTab="6" xr2:uid="{00000000-000D-0000-FFFF-FFFF00000000}"/>
  </bookViews>
  <sheets>
    <sheet name="0_CONFIG" sheetId="1" r:id="rId1"/>
    <sheet name="0_Indice_CAC" sheetId="2" r:id="rId2"/>
    <sheet name="0_Jornales_MO" sheetId="3" r:id="rId3"/>
    <sheet name="1_Presupuesto" sheetId="4" r:id="rId4"/>
    <sheet name="1_Composicion" sheetId="5" r:id="rId5"/>
    <sheet name="1_GGBB" sheetId="6" r:id="rId6"/>
    <sheet name="2_Movimientos" sheetId="7" r:id="rId7"/>
    <sheet name="2_Quincenas" sheetId="8" r:id="rId8"/>
    <sheet name="2_Gastos_DirInd" sheetId="9" r:id="rId9"/>
    <sheet name="2_Subcontratos" sheetId="10" r:id="rId10"/>
    <sheet name="_Listas" sheetId="11" r:id="rId11"/>
    <sheet name="Cert_OC_Cliente" sheetId="12" r:id="rId12"/>
    <sheet name="Cert_App_Output" sheetId="13" r:id="rId13"/>
    <sheet name="Cert_Calculo" sheetId="14" r:id="rId14"/>
    <sheet name="Cert_Cabecera" sheetId="15" r:id="rId15"/>
    <sheet name="Cert_Facturacion" sheetId="16" r:id="rId16"/>
    <sheet name="Cert_Control_OC" sheetId="17" r:id="rId17"/>
    <sheet name="CHANGELOG" sheetId="18" r:id="rId18"/>
  </sheets>
  <definedNames>
    <definedName name="_xlnm._FilterDatabase" localSheetId="4" hidden="1">'1_Composicion'!$A$1:$S$1865</definedName>
    <definedName name="_xlnm._FilterDatabase" localSheetId="6" hidden="1">'2_Movimientos'!$A$1:$R$127</definedName>
    <definedName name="GASTOS_CONCEPTO">_Listas!$I$2:$I$17</definedName>
    <definedName name="RUBROS_PLAN">_Listas!$A$2:$A$34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7" l="1"/>
  <c r="B3" i="17" s="1"/>
  <c r="A2" i="17"/>
  <c r="H2" i="17" s="1"/>
  <c r="H4" i="15"/>
  <c r="C4" i="15"/>
  <c r="B4" i="15"/>
  <c r="H3" i="15"/>
  <c r="C3" i="15"/>
  <c r="B3" i="15"/>
  <c r="H2" i="15"/>
  <c r="D2" i="15"/>
  <c r="C2" i="15"/>
  <c r="B2" i="15"/>
  <c r="X13" i="14"/>
  <c r="J13" i="14"/>
  <c r="E13" i="14"/>
  <c r="G13" i="14" s="1"/>
  <c r="I13" i="14" s="1"/>
  <c r="X12" i="14"/>
  <c r="V12" i="14"/>
  <c r="J12" i="14"/>
  <c r="G12" i="14"/>
  <c r="I12" i="14" s="1"/>
  <c r="E12" i="14"/>
  <c r="F12" i="14" s="1"/>
  <c r="N12" i="14" s="1"/>
  <c r="X5" i="14"/>
  <c r="J5" i="14"/>
  <c r="F5" i="14"/>
  <c r="N5" i="14" s="1"/>
  <c r="E5" i="14"/>
  <c r="D5" i="14"/>
  <c r="X4" i="14"/>
  <c r="V4" i="14"/>
  <c r="J4" i="14"/>
  <c r="F4" i="14"/>
  <c r="N4" i="14" s="1"/>
  <c r="E4" i="14"/>
  <c r="D4" i="14"/>
  <c r="X3" i="14"/>
  <c r="J3" i="14"/>
  <c r="F3" i="14"/>
  <c r="N3" i="14" s="1"/>
  <c r="E3" i="14"/>
  <c r="D3" i="14"/>
  <c r="X2" i="14"/>
  <c r="V2" i="14"/>
  <c r="J2" i="14"/>
  <c r="F2" i="14"/>
  <c r="N2" i="14" s="1"/>
  <c r="E2" i="14"/>
  <c r="D2" i="14"/>
  <c r="N33" i="13"/>
  <c r="K33" i="13"/>
  <c r="H33" i="13"/>
  <c r="N32" i="13"/>
  <c r="K32" i="13"/>
  <c r="H32" i="13"/>
  <c r="N31" i="13"/>
  <c r="K31" i="13"/>
  <c r="H31" i="13"/>
  <c r="N30" i="13"/>
  <c r="K30" i="13"/>
  <c r="H30" i="13"/>
  <c r="N29" i="13"/>
  <c r="K29" i="13"/>
  <c r="H29" i="13"/>
  <c r="N28" i="13"/>
  <c r="K28" i="13"/>
  <c r="H28" i="13"/>
  <c r="N27" i="13"/>
  <c r="K27" i="13"/>
  <c r="H27" i="13"/>
  <c r="N26" i="13"/>
  <c r="K26" i="13"/>
  <c r="H26" i="13"/>
  <c r="N25" i="13"/>
  <c r="K25" i="13"/>
  <c r="H25" i="13"/>
  <c r="N24" i="13"/>
  <c r="K24" i="13"/>
  <c r="H24" i="13"/>
  <c r="N23" i="13"/>
  <c r="K23" i="13"/>
  <c r="H23" i="13"/>
  <c r="N22" i="13"/>
  <c r="K22" i="13"/>
  <c r="H22" i="13"/>
  <c r="N21" i="13"/>
  <c r="K21" i="13"/>
  <c r="H21" i="13"/>
  <c r="N20" i="13"/>
  <c r="K20" i="13"/>
  <c r="H20" i="13"/>
  <c r="N19" i="13"/>
  <c r="K19" i="13"/>
  <c r="H19" i="13"/>
  <c r="N18" i="13"/>
  <c r="K18" i="13"/>
  <c r="H18" i="13"/>
  <c r="N17" i="13"/>
  <c r="K17" i="13"/>
  <c r="H17" i="13"/>
  <c r="N16" i="13"/>
  <c r="K16" i="13"/>
  <c r="H16" i="13"/>
  <c r="N15" i="13"/>
  <c r="K15" i="13"/>
  <c r="H15" i="13"/>
  <c r="N14" i="13"/>
  <c r="K14" i="13"/>
  <c r="H14" i="13"/>
  <c r="N13" i="13"/>
  <c r="K13" i="13"/>
  <c r="H13" i="13"/>
  <c r="N12" i="13"/>
  <c r="K12" i="13"/>
  <c r="H12" i="13"/>
  <c r="N11" i="13"/>
  <c r="K11" i="13"/>
  <c r="H11" i="13"/>
  <c r="N10" i="13"/>
  <c r="K10" i="13"/>
  <c r="H10" i="13"/>
  <c r="N9" i="13"/>
  <c r="K9" i="13"/>
  <c r="H9" i="13"/>
  <c r="N8" i="13"/>
  <c r="K8" i="13"/>
  <c r="Y15" i="4" s="1"/>
  <c r="H8" i="13"/>
  <c r="N7" i="13"/>
  <c r="K7" i="13"/>
  <c r="H7" i="13"/>
  <c r="N6" i="13"/>
  <c r="K6" i="13"/>
  <c r="H6" i="13"/>
  <c r="N5" i="13"/>
  <c r="K5" i="13"/>
  <c r="H5" i="13"/>
  <c r="N4" i="13"/>
  <c r="K4" i="13"/>
  <c r="H4" i="13"/>
  <c r="N3" i="13"/>
  <c r="K3" i="13"/>
  <c r="H3" i="13"/>
  <c r="N2" i="13"/>
  <c r="K2" i="13"/>
  <c r="H2" i="13"/>
  <c r="G3" i="12"/>
  <c r="G2" i="12"/>
  <c r="M13" i="14" s="1"/>
  <c r="F3" i="11"/>
  <c r="G3" i="11" s="1"/>
  <c r="F2" i="11"/>
  <c r="G2" i="11" s="1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S1865" i="5"/>
  <c r="S1864" i="5"/>
  <c r="S1863" i="5"/>
  <c r="S1862" i="5"/>
  <c r="S1861" i="5"/>
  <c r="S1860" i="5"/>
  <c r="S1859" i="5"/>
  <c r="S1858" i="5"/>
  <c r="S1857" i="5"/>
  <c r="S1856" i="5"/>
  <c r="S1855" i="5"/>
  <c r="S1854" i="5"/>
  <c r="S1853" i="5"/>
  <c r="S1852" i="5"/>
  <c r="S1851" i="5"/>
  <c r="S1850" i="5"/>
  <c r="S1849" i="5"/>
  <c r="S1848" i="5"/>
  <c r="S1847" i="5"/>
  <c r="S1846" i="5"/>
  <c r="S1845" i="5"/>
  <c r="S1844" i="5"/>
  <c r="S1843" i="5"/>
  <c r="S1842" i="5"/>
  <c r="S1841" i="5"/>
  <c r="S1840" i="5"/>
  <c r="S1839" i="5"/>
  <c r="S1838" i="5"/>
  <c r="S1837" i="5"/>
  <c r="S1836" i="5"/>
  <c r="S1835" i="5"/>
  <c r="S1834" i="5"/>
  <c r="S1833" i="5"/>
  <c r="S1832" i="5"/>
  <c r="S1831" i="5"/>
  <c r="S1830" i="5"/>
  <c r="S1829" i="5"/>
  <c r="S1828" i="5"/>
  <c r="S1827" i="5"/>
  <c r="S1826" i="5"/>
  <c r="S1825" i="5"/>
  <c r="S1824" i="5"/>
  <c r="S1823" i="5"/>
  <c r="S1822" i="5"/>
  <c r="S1821" i="5"/>
  <c r="S1820" i="5"/>
  <c r="S1819" i="5"/>
  <c r="S1818" i="5"/>
  <c r="S1817" i="5"/>
  <c r="S1816" i="5"/>
  <c r="S1815" i="5"/>
  <c r="S1814" i="5"/>
  <c r="S1813" i="5"/>
  <c r="S1812" i="5"/>
  <c r="S1811" i="5"/>
  <c r="S1810" i="5"/>
  <c r="S1809" i="5"/>
  <c r="S1808" i="5"/>
  <c r="S1807" i="5"/>
  <c r="S1806" i="5"/>
  <c r="S1805" i="5"/>
  <c r="S1804" i="5"/>
  <c r="S1803" i="5"/>
  <c r="S1802" i="5"/>
  <c r="S1801" i="5"/>
  <c r="S1800" i="5"/>
  <c r="S1799" i="5"/>
  <c r="S1798" i="5"/>
  <c r="S1797" i="5"/>
  <c r="S1796" i="5"/>
  <c r="S1795" i="5"/>
  <c r="S1794" i="5"/>
  <c r="S1793" i="5"/>
  <c r="S1792" i="5"/>
  <c r="S1791" i="5"/>
  <c r="S1790" i="5"/>
  <c r="S1789" i="5"/>
  <c r="S1788" i="5"/>
  <c r="S1787" i="5"/>
  <c r="S1786" i="5"/>
  <c r="S1785" i="5"/>
  <c r="S1784" i="5"/>
  <c r="S1783" i="5"/>
  <c r="S1782" i="5"/>
  <c r="S1781" i="5"/>
  <c r="S1780" i="5"/>
  <c r="S1779" i="5"/>
  <c r="S1778" i="5"/>
  <c r="S1777" i="5"/>
  <c r="S1776" i="5"/>
  <c r="S1775" i="5"/>
  <c r="S1774" i="5"/>
  <c r="S1773" i="5"/>
  <c r="S1772" i="5"/>
  <c r="S1771" i="5"/>
  <c r="S1770" i="5"/>
  <c r="S1769" i="5"/>
  <c r="S1768" i="5"/>
  <c r="S1767" i="5"/>
  <c r="S1766" i="5"/>
  <c r="S1765" i="5"/>
  <c r="S1764" i="5"/>
  <c r="S1763" i="5"/>
  <c r="S1762" i="5"/>
  <c r="S1761" i="5"/>
  <c r="S1760" i="5"/>
  <c r="S1759" i="5"/>
  <c r="S1758" i="5"/>
  <c r="S1757" i="5"/>
  <c r="S1756" i="5"/>
  <c r="S1755" i="5"/>
  <c r="S1754" i="5"/>
  <c r="S1753" i="5"/>
  <c r="S1752" i="5"/>
  <c r="S1751" i="5"/>
  <c r="S1750" i="5"/>
  <c r="S1749" i="5"/>
  <c r="S1748" i="5"/>
  <c r="S1747" i="5"/>
  <c r="S1746" i="5"/>
  <c r="S1745" i="5"/>
  <c r="S1744" i="5"/>
  <c r="S1743" i="5"/>
  <c r="S1742" i="5"/>
  <c r="S1741" i="5"/>
  <c r="S1740" i="5"/>
  <c r="S1739" i="5"/>
  <c r="S1738" i="5"/>
  <c r="S1737" i="5"/>
  <c r="S1736" i="5"/>
  <c r="S1735" i="5"/>
  <c r="S1734" i="5"/>
  <c r="S1733" i="5"/>
  <c r="S1732" i="5"/>
  <c r="S1731" i="5"/>
  <c r="S1730" i="5"/>
  <c r="S1729" i="5"/>
  <c r="S1728" i="5"/>
  <c r="S1727" i="5"/>
  <c r="S1726" i="5"/>
  <c r="S1725" i="5"/>
  <c r="S1724" i="5"/>
  <c r="S1723" i="5"/>
  <c r="S1722" i="5"/>
  <c r="S1721" i="5"/>
  <c r="S1720" i="5"/>
  <c r="S1719" i="5"/>
  <c r="S1718" i="5"/>
  <c r="S1717" i="5"/>
  <c r="S1716" i="5"/>
  <c r="S1715" i="5"/>
  <c r="S1714" i="5"/>
  <c r="S1713" i="5"/>
  <c r="S1712" i="5"/>
  <c r="S1711" i="5"/>
  <c r="S1710" i="5"/>
  <c r="S1709" i="5"/>
  <c r="S1708" i="5"/>
  <c r="S1707" i="5"/>
  <c r="S1706" i="5"/>
  <c r="S1705" i="5"/>
  <c r="S1704" i="5"/>
  <c r="S1703" i="5"/>
  <c r="S1702" i="5"/>
  <c r="S1701" i="5"/>
  <c r="S1700" i="5"/>
  <c r="S1699" i="5"/>
  <c r="S1698" i="5"/>
  <c r="S1697" i="5"/>
  <c r="S1696" i="5"/>
  <c r="S1695" i="5"/>
  <c r="S1694" i="5"/>
  <c r="S1693" i="5"/>
  <c r="S1692" i="5"/>
  <c r="S1691" i="5"/>
  <c r="S1690" i="5"/>
  <c r="S1689" i="5"/>
  <c r="S1688" i="5"/>
  <c r="S1687" i="5"/>
  <c r="S1686" i="5"/>
  <c r="S1685" i="5"/>
  <c r="S1684" i="5"/>
  <c r="S1683" i="5"/>
  <c r="S1682" i="5"/>
  <c r="S1681" i="5"/>
  <c r="S1680" i="5"/>
  <c r="S1679" i="5"/>
  <c r="S1678" i="5"/>
  <c r="S1677" i="5"/>
  <c r="S1676" i="5"/>
  <c r="S1675" i="5"/>
  <c r="S1674" i="5"/>
  <c r="S1673" i="5"/>
  <c r="S1672" i="5"/>
  <c r="S1671" i="5"/>
  <c r="S1670" i="5"/>
  <c r="S1669" i="5"/>
  <c r="S1668" i="5"/>
  <c r="S1667" i="5"/>
  <c r="S1666" i="5"/>
  <c r="S1665" i="5"/>
  <c r="S1664" i="5"/>
  <c r="S1663" i="5"/>
  <c r="S1662" i="5"/>
  <c r="S1661" i="5"/>
  <c r="S1660" i="5"/>
  <c r="S1659" i="5"/>
  <c r="S1658" i="5"/>
  <c r="S1657" i="5"/>
  <c r="S1656" i="5"/>
  <c r="S1655" i="5"/>
  <c r="S1654" i="5"/>
  <c r="S1653" i="5"/>
  <c r="S1652" i="5"/>
  <c r="S1651" i="5"/>
  <c r="S1650" i="5"/>
  <c r="S1649" i="5"/>
  <c r="S1648" i="5"/>
  <c r="S1647" i="5"/>
  <c r="S1646" i="5"/>
  <c r="S1645" i="5"/>
  <c r="S1644" i="5"/>
  <c r="S1643" i="5"/>
  <c r="S1642" i="5"/>
  <c r="S1641" i="5"/>
  <c r="S1640" i="5"/>
  <c r="S1639" i="5"/>
  <c r="S1638" i="5"/>
  <c r="S1637" i="5"/>
  <c r="S1636" i="5"/>
  <c r="S1635" i="5"/>
  <c r="S1634" i="5"/>
  <c r="S1633" i="5"/>
  <c r="S1632" i="5"/>
  <c r="S1631" i="5"/>
  <c r="S1630" i="5"/>
  <c r="S1629" i="5"/>
  <c r="S1628" i="5"/>
  <c r="S1627" i="5"/>
  <c r="S1626" i="5"/>
  <c r="S1625" i="5"/>
  <c r="S1624" i="5"/>
  <c r="S1623" i="5"/>
  <c r="S1622" i="5"/>
  <c r="S1621" i="5"/>
  <c r="S1620" i="5"/>
  <c r="S1619" i="5"/>
  <c r="S1618" i="5"/>
  <c r="S1617" i="5"/>
  <c r="S1616" i="5"/>
  <c r="S1615" i="5"/>
  <c r="S1614" i="5"/>
  <c r="S1613" i="5"/>
  <c r="S1612" i="5"/>
  <c r="S1611" i="5"/>
  <c r="S1610" i="5"/>
  <c r="S1609" i="5"/>
  <c r="S1608" i="5"/>
  <c r="S1607" i="5"/>
  <c r="S1606" i="5"/>
  <c r="S1605" i="5"/>
  <c r="S1604" i="5"/>
  <c r="S1603" i="5"/>
  <c r="S1602" i="5"/>
  <c r="S1601" i="5"/>
  <c r="S1600" i="5"/>
  <c r="S1599" i="5"/>
  <c r="S1598" i="5"/>
  <c r="S1597" i="5"/>
  <c r="S1596" i="5"/>
  <c r="S1595" i="5"/>
  <c r="S1594" i="5"/>
  <c r="S1593" i="5"/>
  <c r="S1592" i="5"/>
  <c r="S1591" i="5"/>
  <c r="S1590" i="5"/>
  <c r="S1589" i="5"/>
  <c r="S1588" i="5"/>
  <c r="S1587" i="5"/>
  <c r="S1586" i="5"/>
  <c r="S1585" i="5"/>
  <c r="S1584" i="5"/>
  <c r="S1583" i="5"/>
  <c r="S1582" i="5"/>
  <c r="S1581" i="5"/>
  <c r="S1580" i="5"/>
  <c r="S1579" i="5"/>
  <c r="S1578" i="5"/>
  <c r="S1577" i="5"/>
  <c r="S1576" i="5"/>
  <c r="S1575" i="5"/>
  <c r="S1574" i="5"/>
  <c r="S1573" i="5"/>
  <c r="S1572" i="5"/>
  <c r="S1571" i="5"/>
  <c r="S1570" i="5"/>
  <c r="S1569" i="5"/>
  <c r="S1568" i="5"/>
  <c r="S1567" i="5"/>
  <c r="S1566" i="5"/>
  <c r="S1565" i="5"/>
  <c r="S1564" i="5"/>
  <c r="S1563" i="5"/>
  <c r="S1562" i="5"/>
  <c r="S1561" i="5"/>
  <c r="S1560" i="5"/>
  <c r="S1559" i="5"/>
  <c r="S1558" i="5"/>
  <c r="S1557" i="5"/>
  <c r="S1556" i="5"/>
  <c r="S1555" i="5"/>
  <c r="S1554" i="5"/>
  <c r="S1553" i="5"/>
  <c r="S1552" i="5"/>
  <c r="S1551" i="5"/>
  <c r="S1550" i="5"/>
  <c r="S1549" i="5"/>
  <c r="S1548" i="5"/>
  <c r="S1547" i="5"/>
  <c r="S1546" i="5"/>
  <c r="S1545" i="5"/>
  <c r="S1544" i="5"/>
  <c r="S1543" i="5"/>
  <c r="S1542" i="5"/>
  <c r="S1541" i="5"/>
  <c r="S1540" i="5"/>
  <c r="S1539" i="5"/>
  <c r="S1538" i="5"/>
  <c r="S1537" i="5"/>
  <c r="S1536" i="5"/>
  <c r="S1535" i="5"/>
  <c r="S1534" i="5"/>
  <c r="S1533" i="5"/>
  <c r="S1532" i="5"/>
  <c r="S1531" i="5"/>
  <c r="S1530" i="5"/>
  <c r="S1529" i="5"/>
  <c r="S1528" i="5"/>
  <c r="S1527" i="5"/>
  <c r="S1526" i="5"/>
  <c r="S1525" i="5"/>
  <c r="S1524" i="5"/>
  <c r="S1523" i="5"/>
  <c r="S1522" i="5"/>
  <c r="S1521" i="5"/>
  <c r="S1520" i="5"/>
  <c r="S1519" i="5"/>
  <c r="S1518" i="5"/>
  <c r="S1517" i="5"/>
  <c r="S1516" i="5"/>
  <c r="S1515" i="5"/>
  <c r="S1514" i="5"/>
  <c r="S1513" i="5"/>
  <c r="S1512" i="5"/>
  <c r="S1511" i="5"/>
  <c r="S1510" i="5"/>
  <c r="S1509" i="5"/>
  <c r="S1508" i="5"/>
  <c r="S1507" i="5"/>
  <c r="S1506" i="5"/>
  <c r="S1505" i="5"/>
  <c r="S1504" i="5"/>
  <c r="S1503" i="5"/>
  <c r="S1502" i="5"/>
  <c r="S1501" i="5"/>
  <c r="S1500" i="5"/>
  <c r="S1499" i="5"/>
  <c r="S1498" i="5"/>
  <c r="S1497" i="5"/>
  <c r="S1496" i="5"/>
  <c r="S1495" i="5"/>
  <c r="S1494" i="5"/>
  <c r="S1493" i="5"/>
  <c r="S1492" i="5"/>
  <c r="S1491" i="5"/>
  <c r="S1490" i="5"/>
  <c r="S1489" i="5"/>
  <c r="S1488" i="5"/>
  <c r="S1487" i="5"/>
  <c r="S1486" i="5"/>
  <c r="S1485" i="5"/>
  <c r="S1484" i="5"/>
  <c r="S1483" i="5"/>
  <c r="S1482" i="5"/>
  <c r="S1481" i="5"/>
  <c r="S1480" i="5"/>
  <c r="S1479" i="5"/>
  <c r="S1478" i="5"/>
  <c r="S1477" i="5"/>
  <c r="S1476" i="5"/>
  <c r="S1475" i="5"/>
  <c r="S1474" i="5"/>
  <c r="S1473" i="5"/>
  <c r="S1472" i="5"/>
  <c r="S1471" i="5"/>
  <c r="S1470" i="5"/>
  <c r="S1469" i="5"/>
  <c r="S1468" i="5"/>
  <c r="S1467" i="5"/>
  <c r="S1466" i="5"/>
  <c r="S1465" i="5"/>
  <c r="S1464" i="5"/>
  <c r="S1463" i="5"/>
  <c r="S1462" i="5"/>
  <c r="S1461" i="5"/>
  <c r="S1460" i="5"/>
  <c r="S1459" i="5"/>
  <c r="S1458" i="5"/>
  <c r="S1457" i="5"/>
  <c r="S1456" i="5"/>
  <c r="S1455" i="5"/>
  <c r="S1454" i="5"/>
  <c r="S1453" i="5"/>
  <c r="S1452" i="5"/>
  <c r="S1451" i="5"/>
  <c r="S1450" i="5"/>
  <c r="S1449" i="5"/>
  <c r="S1448" i="5"/>
  <c r="S1447" i="5"/>
  <c r="S1446" i="5"/>
  <c r="S1445" i="5"/>
  <c r="S1444" i="5"/>
  <c r="S1443" i="5"/>
  <c r="S1442" i="5"/>
  <c r="S1441" i="5"/>
  <c r="S1440" i="5"/>
  <c r="S1439" i="5"/>
  <c r="S1438" i="5"/>
  <c r="S1437" i="5"/>
  <c r="S1436" i="5"/>
  <c r="S1435" i="5"/>
  <c r="S1434" i="5"/>
  <c r="S1433" i="5"/>
  <c r="S1432" i="5"/>
  <c r="S1431" i="5"/>
  <c r="S1430" i="5"/>
  <c r="S1429" i="5"/>
  <c r="S1428" i="5"/>
  <c r="S1427" i="5"/>
  <c r="S1426" i="5"/>
  <c r="S1425" i="5"/>
  <c r="S1424" i="5"/>
  <c r="S1423" i="5"/>
  <c r="S1422" i="5"/>
  <c r="S1421" i="5"/>
  <c r="S1420" i="5"/>
  <c r="S1419" i="5"/>
  <c r="S1418" i="5"/>
  <c r="S1417" i="5"/>
  <c r="S1416" i="5"/>
  <c r="S1415" i="5"/>
  <c r="S1414" i="5"/>
  <c r="S1413" i="5"/>
  <c r="S1412" i="5"/>
  <c r="S1411" i="5"/>
  <c r="S1410" i="5"/>
  <c r="S1409" i="5"/>
  <c r="S1408" i="5"/>
  <c r="S1407" i="5"/>
  <c r="S1406" i="5"/>
  <c r="S1405" i="5"/>
  <c r="S1404" i="5"/>
  <c r="S1403" i="5"/>
  <c r="S1402" i="5"/>
  <c r="S1401" i="5"/>
  <c r="S1400" i="5"/>
  <c r="S1399" i="5"/>
  <c r="S1398" i="5"/>
  <c r="S1397" i="5"/>
  <c r="S1396" i="5"/>
  <c r="S1395" i="5"/>
  <c r="S1394" i="5"/>
  <c r="S1393" i="5"/>
  <c r="S1392" i="5"/>
  <c r="S1391" i="5"/>
  <c r="S1390" i="5"/>
  <c r="S1389" i="5"/>
  <c r="S1388" i="5"/>
  <c r="S1387" i="5"/>
  <c r="S1386" i="5"/>
  <c r="S1385" i="5"/>
  <c r="S1384" i="5"/>
  <c r="S1383" i="5"/>
  <c r="S1382" i="5"/>
  <c r="S1381" i="5"/>
  <c r="S1380" i="5"/>
  <c r="S1379" i="5"/>
  <c r="S1378" i="5"/>
  <c r="S1377" i="5"/>
  <c r="S1376" i="5"/>
  <c r="S1375" i="5"/>
  <c r="S1374" i="5"/>
  <c r="S1373" i="5"/>
  <c r="S1372" i="5"/>
  <c r="S1371" i="5"/>
  <c r="S1370" i="5"/>
  <c r="S1369" i="5"/>
  <c r="S1368" i="5"/>
  <c r="S1367" i="5"/>
  <c r="S1366" i="5"/>
  <c r="S1365" i="5"/>
  <c r="S1364" i="5"/>
  <c r="S1363" i="5"/>
  <c r="S1362" i="5"/>
  <c r="S1361" i="5"/>
  <c r="S1360" i="5"/>
  <c r="S1359" i="5"/>
  <c r="S1358" i="5"/>
  <c r="S1357" i="5"/>
  <c r="S1356" i="5"/>
  <c r="S1355" i="5"/>
  <c r="S1354" i="5"/>
  <c r="S1353" i="5"/>
  <c r="S1352" i="5"/>
  <c r="S1351" i="5"/>
  <c r="S1350" i="5"/>
  <c r="S1349" i="5"/>
  <c r="S1348" i="5"/>
  <c r="S1347" i="5"/>
  <c r="S1346" i="5"/>
  <c r="S1345" i="5"/>
  <c r="S1344" i="5"/>
  <c r="S1343" i="5"/>
  <c r="S1342" i="5"/>
  <c r="S1341" i="5"/>
  <c r="S1340" i="5"/>
  <c r="S1339" i="5"/>
  <c r="S1338" i="5"/>
  <c r="S1337" i="5"/>
  <c r="S1336" i="5"/>
  <c r="S1335" i="5"/>
  <c r="S1334" i="5"/>
  <c r="S1333" i="5"/>
  <c r="S1332" i="5"/>
  <c r="S1331" i="5"/>
  <c r="S1330" i="5"/>
  <c r="S1329" i="5"/>
  <c r="S1328" i="5"/>
  <c r="S1327" i="5"/>
  <c r="S1326" i="5"/>
  <c r="S1325" i="5"/>
  <c r="S1324" i="5"/>
  <c r="S1323" i="5"/>
  <c r="S1322" i="5"/>
  <c r="S1321" i="5"/>
  <c r="S1320" i="5"/>
  <c r="S1319" i="5"/>
  <c r="S1318" i="5"/>
  <c r="S1317" i="5"/>
  <c r="S1316" i="5"/>
  <c r="S1315" i="5"/>
  <c r="S1314" i="5"/>
  <c r="S1313" i="5"/>
  <c r="S1312" i="5"/>
  <c r="S1311" i="5"/>
  <c r="S1310" i="5"/>
  <c r="S1309" i="5"/>
  <c r="S1308" i="5"/>
  <c r="S1307" i="5"/>
  <c r="S1306" i="5"/>
  <c r="S1305" i="5"/>
  <c r="S1304" i="5"/>
  <c r="S1303" i="5"/>
  <c r="S1302" i="5"/>
  <c r="S1301" i="5"/>
  <c r="S1300" i="5"/>
  <c r="S1299" i="5"/>
  <c r="S1298" i="5"/>
  <c r="S1297" i="5"/>
  <c r="S1296" i="5"/>
  <c r="S1295" i="5"/>
  <c r="S1294" i="5"/>
  <c r="S1293" i="5"/>
  <c r="S1292" i="5"/>
  <c r="S1291" i="5"/>
  <c r="S1290" i="5"/>
  <c r="S1289" i="5"/>
  <c r="S1288" i="5"/>
  <c r="S1287" i="5"/>
  <c r="S1286" i="5"/>
  <c r="S1285" i="5"/>
  <c r="S1284" i="5"/>
  <c r="S1283" i="5"/>
  <c r="S1282" i="5"/>
  <c r="S1281" i="5"/>
  <c r="S1280" i="5"/>
  <c r="S1279" i="5"/>
  <c r="S1278" i="5"/>
  <c r="S1277" i="5"/>
  <c r="S1276" i="5"/>
  <c r="S1275" i="5"/>
  <c r="S1274" i="5"/>
  <c r="S1273" i="5"/>
  <c r="S1272" i="5"/>
  <c r="S1271" i="5"/>
  <c r="S1270" i="5"/>
  <c r="S1269" i="5"/>
  <c r="S1268" i="5"/>
  <c r="S1267" i="5"/>
  <c r="S1266" i="5"/>
  <c r="S1265" i="5"/>
  <c r="S1264" i="5"/>
  <c r="S1263" i="5"/>
  <c r="S1262" i="5"/>
  <c r="S1261" i="5"/>
  <c r="S1260" i="5"/>
  <c r="S1259" i="5"/>
  <c r="S1258" i="5"/>
  <c r="S1257" i="5"/>
  <c r="S1256" i="5"/>
  <c r="S1255" i="5"/>
  <c r="S1254" i="5"/>
  <c r="S1253" i="5"/>
  <c r="S1252" i="5"/>
  <c r="S1251" i="5"/>
  <c r="S1250" i="5"/>
  <c r="S1249" i="5"/>
  <c r="S1248" i="5"/>
  <c r="S1247" i="5"/>
  <c r="S1246" i="5"/>
  <c r="S1245" i="5"/>
  <c r="S1244" i="5"/>
  <c r="S1243" i="5"/>
  <c r="S1242" i="5"/>
  <c r="S1241" i="5"/>
  <c r="S1240" i="5"/>
  <c r="S1239" i="5"/>
  <c r="S1238" i="5"/>
  <c r="S1237" i="5"/>
  <c r="S1236" i="5"/>
  <c r="S1235" i="5"/>
  <c r="S1234" i="5"/>
  <c r="S1233" i="5"/>
  <c r="S1232" i="5"/>
  <c r="S1231" i="5"/>
  <c r="S1230" i="5"/>
  <c r="S1229" i="5"/>
  <c r="S1228" i="5"/>
  <c r="S1227" i="5"/>
  <c r="S1226" i="5"/>
  <c r="S1225" i="5"/>
  <c r="S1224" i="5"/>
  <c r="S1223" i="5"/>
  <c r="S1222" i="5"/>
  <c r="S1221" i="5"/>
  <c r="S1220" i="5"/>
  <c r="S1219" i="5"/>
  <c r="S1218" i="5"/>
  <c r="S1217" i="5"/>
  <c r="S1216" i="5"/>
  <c r="S1215" i="5"/>
  <c r="S1214" i="5"/>
  <c r="S1213" i="5"/>
  <c r="S1212" i="5"/>
  <c r="S1211" i="5"/>
  <c r="S1210" i="5"/>
  <c r="S1209" i="5"/>
  <c r="S1208" i="5"/>
  <c r="S1207" i="5"/>
  <c r="S1206" i="5"/>
  <c r="S1205" i="5"/>
  <c r="S1204" i="5"/>
  <c r="S1203" i="5"/>
  <c r="S1202" i="5"/>
  <c r="S1201" i="5"/>
  <c r="S1200" i="5"/>
  <c r="S1199" i="5"/>
  <c r="S1198" i="5"/>
  <c r="S1197" i="5"/>
  <c r="S1196" i="5"/>
  <c r="S1195" i="5"/>
  <c r="S1194" i="5"/>
  <c r="S1193" i="5"/>
  <c r="S1192" i="5"/>
  <c r="S1191" i="5"/>
  <c r="S1190" i="5"/>
  <c r="S1189" i="5"/>
  <c r="S1188" i="5"/>
  <c r="S1187" i="5"/>
  <c r="S1186" i="5"/>
  <c r="S1185" i="5"/>
  <c r="S1184" i="5"/>
  <c r="S1183" i="5"/>
  <c r="S1182" i="5"/>
  <c r="S1181" i="5"/>
  <c r="S1180" i="5"/>
  <c r="S1179" i="5"/>
  <c r="S1178" i="5"/>
  <c r="S1177" i="5"/>
  <c r="S1176" i="5"/>
  <c r="S1175" i="5"/>
  <c r="S1174" i="5"/>
  <c r="S1173" i="5"/>
  <c r="S1172" i="5"/>
  <c r="S1171" i="5"/>
  <c r="S1170" i="5"/>
  <c r="S1169" i="5"/>
  <c r="S1168" i="5"/>
  <c r="S1167" i="5"/>
  <c r="S1166" i="5"/>
  <c r="S1165" i="5"/>
  <c r="S1164" i="5"/>
  <c r="S1163" i="5"/>
  <c r="S1162" i="5"/>
  <c r="S1161" i="5"/>
  <c r="S1160" i="5"/>
  <c r="S1159" i="5"/>
  <c r="S1158" i="5"/>
  <c r="S1157" i="5"/>
  <c r="S1156" i="5"/>
  <c r="S1155" i="5"/>
  <c r="S1154" i="5"/>
  <c r="S1153" i="5"/>
  <c r="S1152" i="5"/>
  <c r="S1151" i="5"/>
  <c r="S1150" i="5"/>
  <c r="S1149" i="5"/>
  <c r="S1148" i="5"/>
  <c r="S1147" i="5"/>
  <c r="S1146" i="5"/>
  <c r="S1145" i="5"/>
  <c r="S1144" i="5"/>
  <c r="S1143" i="5"/>
  <c r="S1142" i="5"/>
  <c r="S1141" i="5"/>
  <c r="S1140" i="5"/>
  <c r="S1139" i="5"/>
  <c r="S1138" i="5"/>
  <c r="S1137" i="5"/>
  <c r="S1136" i="5"/>
  <c r="S1135" i="5"/>
  <c r="S1134" i="5"/>
  <c r="S1133" i="5"/>
  <c r="S1132" i="5"/>
  <c r="S1131" i="5"/>
  <c r="S1130" i="5"/>
  <c r="S1129" i="5"/>
  <c r="S1128" i="5"/>
  <c r="S1127" i="5"/>
  <c r="S1126" i="5"/>
  <c r="S1125" i="5"/>
  <c r="S1124" i="5"/>
  <c r="S1123" i="5"/>
  <c r="S1122" i="5"/>
  <c r="S1121" i="5"/>
  <c r="S1120" i="5"/>
  <c r="S1119" i="5"/>
  <c r="S1118" i="5"/>
  <c r="S1117" i="5"/>
  <c r="S1116" i="5"/>
  <c r="S1115" i="5"/>
  <c r="S1114" i="5"/>
  <c r="S1113" i="5"/>
  <c r="S1112" i="5"/>
  <c r="S1111" i="5"/>
  <c r="S1110" i="5"/>
  <c r="S1109" i="5"/>
  <c r="S1108" i="5"/>
  <c r="S1107" i="5"/>
  <c r="S1106" i="5"/>
  <c r="S1105" i="5"/>
  <c r="S1104" i="5"/>
  <c r="S1103" i="5"/>
  <c r="S1102" i="5"/>
  <c r="S1101" i="5"/>
  <c r="S1100" i="5"/>
  <c r="S1099" i="5"/>
  <c r="S1098" i="5"/>
  <c r="S1097" i="5"/>
  <c r="S1096" i="5"/>
  <c r="S1095" i="5"/>
  <c r="S1094" i="5"/>
  <c r="S1093" i="5"/>
  <c r="S1092" i="5"/>
  <c r="S1091" i="5"/>
  <c r="S1090" i="5"/>
  <c r="S1089" i="5"/>
  <c r="S1088" i="5"/>
  <c r="S1087" i="5"/>
  <c r="S1086" i="5"/>
  <c r="S1085" i="5"/>
  <c r="S1084" i="5"/>
  <c r="S1083" i="5"/>
  <c r="S1082" i="5"/>
  <c r="S1081" i="5"/>
  <c r="S1080" i="5"/>
  <c r="S1079" i="5"/>
  <c r="S1078" i="5"/>
  <c r="S1077" i="5"/>
  <c r="S1076" i="5"/>
  <c r="S1075" i="5"/>
  <c r="S1074" i="5"/>
  <c r="S1073" i="5"/>
  <c r="S1072" i="5"/>
  <c r="S1071" i="5"/>
  <c r="S1070" i="5"/>
  <c r="S1069" i="5"/>
  <c r="S1068" i="5"/>
  <c r="S1067" i="5"/>
  <c r="S1066" i="5"/>
  <c r="S1065" i="5"/>
  <c r="S1064" i="5"/>
  <c r="S1063" i="5"/>
  <c r="S1062" i="5"/>
  <c r="S1061" i="5"/>
  <c r="S1060" i="5"/>
  <c r="S1059" i="5"/>
  <c r="S1058" i="5"/>
  <c r="S1057" i="5"/>
  <c r="S1056" i="5"/>
  <c r="S1055" i="5"/>
  <c r="S1054" i="5"/>
  <c r="S1053" i="5"/>
  <c r="S1052" i="5"/>
  <c r="S1051" i="5"/>
  <c r="S1050" i="5"/>
  <c r="S1049" i="5"/>
  <c r="S1048" i="5"/>
  <c r="S1047" i="5"/>
  <c r="S1046" i="5"/>
  <c r="S1045" i="5"/>
  <c r="S1044" i="5"/>
  <c r="S1043" i="5"/>
  <c r="S1042" i="5"/>
  <c r="S1041" i="5"/>
  <c r="S1040" i="5"/>
  <c r="S1039" i="5"/>
  <c r="S1038" i="5"/>
  <c r="S1037" i="5"/>
  <c r="S1036" i="5"/>
  <c r="S1035" i="5"/>
  <c r="S1034" i="5"/>
  <c r="S1033" i="5"/>
  <c r="S1032" i="5"/>
  <c r="S1031" i="5"/>
  <c r="S1030" i="5"/>
  <c r="S1029" i="5"/>
  <c r="S1028" i="5"/>
  <c r="S1027" i="5"/>
  <c r="S1026" i="5"/>
  <c r="S1025" i="5"/>
  <c r="S1024" i="5"/>
  <c r="S1023" i="5"/>
  <c r="S1022" i="5"/>
  <c r="S1021" i="5"/>
  <c r="S1020" i="5"/>
  <c r="S1019" i="5"/>
  <c r="S1018" i="5"/>
  <c r="S1017" i="5"/>
  <c r="S1016" i="5"/>
  <c r="S1015" i="5"/>
  <c r="S1014" i="5"/>
  <c r="S1013" i="5"/>
  <c r="S1012" i="5"/>
  <c r="S1011" i="5"/>
  <c r="S1010" i="5"/>
  <c r="S1009" i="5"/>
  <c r="S1008" i="5"/>
  <c r="S1007" i="5"/>
  <c r="S1006" i="5"/>
  <c r="S1005" i="5"/>
  <c r="S1004" i="5"/>
  <c r="S1003" i="5"/>
  <c r="S1002" i="5"/>
  <c r="S1001" i="5"/>
  <c r="S1000" i="5"/>
  <c r="S999" i="5"/>
  <c r="S998" i="5"/>
  <c r="S997" i="5"/>
  <c r="S996" i="5"/>
  <c r="S995" i="5"/>
  <c r="S994" i="5"/>
  <c r="S993" i="5"/>
  <c r="S992" i="5"/>
  <c r="S991" i="5"/>
  <c r="S990" i="5"/>
  <c r="S989" i="5"/>
  <c r="S988" i="5"/>
  <c r="S987" i="5"/>
  <c r="S986" i="5"/>
  <c r="S985" i="5"/>
  <c r="S984" i="5"/>
  <c r="S983" i="5"/>
  <c r="S982" i="5"/>
  <c r="S981" i="5"/>
  <c r="S980" i="5"/>
  <c r="S979" i="5"/>
  <c r="S978" i="5"/>
  <c r="S977" i="5"/>
  <c r="S976" i="5"/>
  <c r="S975" i="5"/>
  <c r="S974" i="5"/>
  <c r="S973" i="5"/>
  <c r="S972" i="5"/>
  <c r="S971" i="5"/>
  <c r="S970" i="5"/>
  <c r="S969" i="5"/>
  <c r="S968" i="5"/>
  <c r="S967" i="5"/>
  <c r="S966" i="5"/>
  <c r="S965" i="5"/>
  <c r="S964" i="5"/>
  <c r="S963" i="5"/>
  <c r="S962" i="5"/>
  <c r="S961" i="5"/>
  <c r="S960" i="5"/>
  <c r="S959" i="5"/>
  <c r="S958" i="5"/>
  <c r="S957" i="5"/>
  <c r="S956" i="5"/>
  <c r="S955" i="5"/>
  <c r="S954" i="5"/>
  <c r="S953" i="5"/>
  <c r="S952" i="5"/>
  <c r="S951" i="5"/>
  <c r="S950" i="5"/>
  <c r="S949" i="5"/>
  <c r="S948" i="5"/>
  <c r="S947" i="5"/>
  <c r="S946" i="5"/>
  <c r="S945" i="5"/>
  <c r="S944" i="5"/>
  <c r="S943" i="5"/>
  <c r="S942" i="5"/>
  <c r="S941" i="5"/>
  <c r="S940" i="5"/>
  <c r="S939" i="5"/>
  <c r="S938" i="5"/>
  <c r="S937" i="5"/>
  <c r="S936" i="5"/>
  <c r="S935" i="5"/>
  <c r="S934" i="5"/>
  <c r="S933" i="5"/>
  <c r="S932" i="5"/>
  <c r="S931" i="5"/>
  <c r="S930" i="5"/>
  <c r="S929" i="5"/>
  <c r="S928" i="5"/>
  <c r="S927" i="5"/>
  <c r="S926" i="5"/>
  <c r="S925" i="5"/>
  <c r="S924" i="5"/>
  <c r="S923" i="5"/>
  <c r="S922" i="5"/>
  <c r="S921" i="5"/>
  <c r="S920" i="5"/>
  <c r="S919" i="5"/>
  <c r="S918" i="5"/>
  <c r="S917" i="5"/>
  <c r="S916" i="5"/>
  <c r="S915" i="5"/>
  <c r="S914" i="5"/>
  <c r="S913" i="5"/>
  <c r="S912" i="5"/>
  <c r="S911" i="5"/>
  <c r="S910" i="5"/>
  <c r="S909" i="5"/>
  <c r="S908" i="5"/>
  <c r="S907" i="5"/>
  <c r="S906" i="5"/>
  <c r="S905" i="5"/>
  <c r="S904" i="5"/>
  <c r="S903" i="5"/>
  <c r="S902" i="5"/>
  <c r="S901" i="5"/>
  <c r="S900" i="5"/>
  <c r="S899" i="5"/>
  <c r="S898" i="5"/>
  <c r="S897" i="5"/>
  <c r="S896" i="5"/>
  <c r="S895" i="5"/>
  <c r="S894" i="5"/>
  <c r="S893" i="5"/>
  <c r="S892" i="5"/>
  <c r="S891" i="5"/>
  <c r="S890" i="5"/>
  <c r="S889" i="5"/>
  <c r="S888" i="5"/>
  <c r="S887" i="5"/>
  <c r="S886" i="5"/>
  <c r="S885" i="5"/>
  <c r="S884" i="5"/>
  <c r="S883" i="5"/>
  <c r="S882" i="5"/>
  <c r="S881" i="5"/>
  <c r="S880" i="5"/>
  <c r="S879" i="5"/>
  <c r="S878" i="5"/>
  <c r="S877" i="5"/>
  <c r="S876" i="5"/>
  <c r="S875" i="5"/>
  <c r="S874" i="5"/>
  <c r="S873" i="5"/>
  <c r="S872" i="5"/>
  <c r="S871" i="5"/>
  <c r="S870" i="5"/>
  <c r="S869" i="5"/>
  <c r="S868" i="5"/>
  <c r="S867" i="5"/>
  <c r="S866" i="5"/>
  <c r="S865" i="5"/>
  <c r="S864" i="5"/>
  <c r="S863" i="5"/>
  <c r="S862" i="5"/>
  <c r="S861" i="5"/>
  <c r="S860" i="5"/>
  <c r="S859" i="5"/>
  <c r="S858" i="5"/>
  <c r="S857" i="5"/>
  <c r="S856" i="5"/>
  <c r="S855" i="5"/>
  <c r="S854" i="5"/>
  <c r="S853" i="5"/>
  <c r="S852" i="5"/>
  <c r="S851" i="5"/>
  <c r="S850" i="5"/>
  <c r="S849" i="5"/>
  <c r="S848" i="5"/>
  <c r="S847" i="5"/>
  <c r="S846" i="5"/>
  <c r="S845" i="5"/>
  <c r="S844" i="5"/>
  <c r="S843" i="5"/>
  <c r="S842" i="5"/>
  <c r="S841" i="5"/>
  <c r="S840" i="5"/>
  <c r="S839" i="5"/>
  <c r="S838" i="5"/>
  <c r="S837" i="5"/>
  <c r="S836" i="5"/>
  <c r="S835" i="5"/>
  <c r="S834" i="5"/>
  <c r="S833" i="5"/>
  <c r="S832" i="5"/>
  <c r="S831" i="5"/>
  <c r="S830" i="5"/>
  <c r="S829" i="5"/>
  <c r="S828" i="5"/>
  <c r="S827" i="5"/>
  <c r="S826" i="5"/>
  <c r="S825" i="5"/>
  <c r="S824" i="5"/>
  <c r="S823" i="5"/>
  <c r="S822" i="5"/>
  <c r="S821" i="5"/>
  <c r="S820" i="5"/>
  <c r="S819" i="5"/>
  <c r="S818" i="5"/>
  <c r="S817" i="5"/>
  <c r="S816" i="5"/>
  <c r="S815" i="5"/>
  <c r="S814" i="5"/>
  <c r="S813" i="5"/>
  <c r="S812" i="5"/>
  <c r="S811" i="5"/>
  <c r="S810" i="5"/>
  <c r="S809" i="5"/>
  <c r="S808" i="5"/>
  <c r="S807" i="5"/>
  <c r="S806" i="5"/>
  <c r="S805" i="5"/>
  <c r="S804" i="5"/>
  <c r="S803" i="5"/>
  <c r="S802" i="5"/>
  <c r="S801" i="5"/>
  <c r="S800" i="5"/>
  <c r="S799" i="5"/>
  <c r="S798" i="5"/>
  <c r="S797" i="5"/>
  <c r="S796" i="5"/>
  <c r="S795" i="5"/>
  <c r="S794" i="5"/>
  <c r="S793" i="5"/>
  <c r="S792" i="5"/>
  <c r="S791" i="5"/>
  <c r="S790" i="5"/>
  <c r="S789" i="5"/>
  <c r="S788" i="5"/>
  <c r="S787" i="5"/>
  <c r="S786" i="5"/>
  <c r="S785" i="5"/>
  <c r="S784" i="5"/>
  <c r="S783" i="5"/>
  <c r="S782" i="5"/>
  <c r="S781" i="5"/>
  <c r="S780" i="5"/>
  <c r="S779" i="5"/>
  <c r="S778" i="5"/>
  <c r="S777" i="5"/>
  <c r="S776" i="5"/>
  <c r="S775" i="5"/>
  <c r="S774" i="5"/>
  <c r="S773" i="5"/>
  <c r="S772" i="5"/>
  <c r="S771" i="5"/>
  <c r="S770" i="5"/>
  <c r="S769" i="5"/>
  <c r="S768" i="5"/>
  <c r="S767" i="5"/>
  <c r="S766" i="5"/>
  <c r="S765" i="5"/>
  <c r="S764" i="5"/>
  <c r="S763" i="5"/>
  <c r="S762" i="5"/>
  <c r="S761" i="5"/>
  <c r="S760" i="5"/>
  <c r="S759" i="5"/>
  <c r="S758" i="5"/>
  <c r="S757" i="5"/>
  <c r="S756" i="5"/>
  <c r="S755" i="5"/>
  <c r="S754" i="5"/>
  <c r="S753" i="5"/>
  <c r="S752" i="5"/>
  <c r="S751" i="5"/>
  <c r="S750" i="5"/>
  <c r="S749" i="5"/>
  <c r="S748" i="5"/>
  <c r="S747" i="5"/>
  <c r="S746" i="5"/>
  <c r="S745" i="5"/>
  <c r="S744" i="5"/>
  <c r="S743" i="5"/>
  <c r="S742" i="5"/>
  <c r="S741" i="5"/>
  <c r="S740" i="5"/>
  <c r="S739" i="5"/>
  <c r="S738" i="5"/>
  <c r="S737" i="5"/>
  <c r="S736" i="5"/>
  <c r="S735" i="5"/>
  <c r="S734" i="5"/>
  <c r="S733" i="5"/>
  <c r="S732" i="5"/>
  <c r="S731" i="5"/>
  <c r="S730" i="5"/>
  <c r="S729" i="5"/>
  <c r="S728" i="5"/>
  <c r="S727" i="5"/>
  <c r="S726" i="5"/>
  <c r="S725" i="5"/>
  <c r="S724" i="5"/>
  <c r="S723" i="5"/>
  <c r="S722" i="5"/>
  <c r="S721" i="5"/>
  <c r="S720" i="5"/>
  <c r="S719" i="5"/>
  <c r="S718" i="5"/>
  <c r="S717" i="5"/>
  <c r="S716" i="5"/>
  <c r="S715" i="5"/>
  <c r="S714" i="5"/>
  <c r="S713" i="5"/>
  <c r="S712" i="5"/>
  <c r="S711" i="5"/>
  <c r="S710" i="5"/>
  <c r="S709" i="5"/>
  <c r="S708" i="5"/>
  <c r="S707" i="5"/>
  <c r="S706" i="5"/>
  <c r="S705" i="5"/>
  <c r="S704" i="5"/>
  <c r="S703" i="5"/>
  <c r="S702" i="5"/>
  <c r="S701" i="5"/>
  <c r="S700" i="5"/>
  <c r="S699" i="5"/>
  <c r="S698" i="5"/>
  <c r="S697" i="5"/>
  <c r="S696" i="5"/>
  <c r="S695" i="5"/>
  <c r="S694" i="5"/>
  <c r="S693" i="5"/>
  <c r="S692" i="5"/>
  <c r="S691" i="5"/>
  <c r="S690" i="5"/>
  <c r="S689" i="5"/>
  <c r="S688" i="5"/>
  <c r="S687" i="5"/>
  <c r="S686" i="5"/>
  <c r="S685" i="5"/>
  <c r="S684" i="5"/>
  <c r="S683" i="5"/>
  <c r="S682" i="5"/>
  <c r="S681" i="5"/>
  <c r="S680" i="5"/>
  <c r="S679" i="5"/>
  <c r="S678" i="5"/>
  <c r="S677" i="5"/>
  <c r="S676" i="5"/>
  <c r="S675" i="5"/>
  <c r="S674" i="5"/>
  <c r="S673" i="5"/>
  <c r="S672" i="5"/>
  <c r="S671" i="5"/>
  <c r="S670" i="5"/>
  <c r="S669" i="5"/>
  <c r="S668" i="5"/>
  <c r="S667" i="5"/>
  <c r="S666" i="5"/>
  <c r="S665" i="5"/>
  <c r="S664" i="5"/>
  <c r="S663" i="5"/>
  <c r="S662" i="5"/>
  <c r="S661" i="5"/>
  <c r="S660" i="5"/>
  <c r="S659" i="5"/>
  <c r="S658" i="5"/>
  <c r="S657" i="5"/>
  <c r="S656" i="5"/>
  <c r="S655" i="5"/>
  <c r="S654" i="5"/>
  <c r="S653" i="5"/>
  <c r="S652" i="5"/>
  <c r="S651" i="5"/>
  <c r="S650" i="5"/>
  <c r="S649" i="5"/>
  <c r="S648" i="5"/>
  <c r="S647" i="5"/>
  <c r="S646" i="5"/>
  <c r="S645" i="5"/>
  <c r="S644" i="5"/>
  <c r="S643" i="5"/>
  <c r="S642" i="5"/>
  <c r="S641" i="5"/>
  <c r="S640" i="5"/>
  <c r="S639" i="5"/>
  <c r="S638" i="5"/>
  <c r="S637" i="5"/>
  <c r="S636" i="5"/>
  <c r="S635" i="5"/>
  <c r="S634" i="5"/>
  <c r="S633" i="5"/>
  <c r="S632" i="5"/>
  <c r="S631" i="5"/>
  <c r="S630" i="5"/>
  <c r="S629" i="5"/>
  <c r="S628" i="5"/>
  <c r="S627" i="5"/>
  <c r="S626" i="5"/>
  <c r="S625" i="5"/>
  <c r="S624" i="5"/>
  <c r="S623" i="5"/>
  <c r="S622" i="5"/>
  <c r="S621" i="5"/>
  <c r="S620" i="5"/>
  <c r="S619" i="5"/>
  <c r="S618" i="5"/>
  <c r="S617" i="5"/>
  <c r="S616" i="5"/>
  <c r="S615" i="5"/>
  <c r="S614" i="5"/>
  <c r="S613" i="5"/>
  <c r="S612" i="5"/>
  <c r="S611" i="5"/>
  <c r="S610" i="5"/>
  <c r="S609" i="5"/>
  <c r="S608" i="5"/>
  <c r="S607" i="5"/>
  <c r="S606" i="5"/>
  <c r="S605" i="5"/>
  <c r="S604" i="5"/>
  <c r="S603" i="5"/>
  <c r="S602" i="5"/>
  <c r="S601" i="5"/>
  <c r="S600" i="5"/>
  <c r="S599" i="5"/>
  <c r="S598" i="5"/>
  <c r="S597" i="5"/>
  <c r="S596" i="5"/>
  <c r="S595" i="5"/>
  <c r="S594" i="5"/>
  <c r="S593" i="5"/>
  <c r="S592" i="5"/>
  <c r="S591" i="5"/>
  <c r="S590" i="5"/>
  <c r="S589" i="5"/>
  <c r="S588" i="5"/>
  <c r="S587" i="5"/>
  <c r="S586" i="5"/>
  <c r="S585" i="5"/>
  <c r="S584" i="5"/>
  <c r="S583" i="5"/>
  <c r="S582" i="5"/>
  <c r="S581" i="5"/>
  <c r="S580" i="5"/>
  <c r="S579" i="5"/>
  <c r="S578" i="5"/>
  <c r="S577" i="5"/>
  <c r="S576" i="5"/>
  <c r="S575" i="5"/>
  <c r="S574" i="5"/>
  <c r="S573" i="5"/>
  <c r="S572" i="5"/>
  <c r="S571" i="5"/>
  <c r="S570" i="5"/>
  <c r="S569" i="5"/>
  <c r="S568" i="5"/>
  <c r="S567" i="5"/>
  <c r="S566" i="5"/>
  <c r="S565" i="5"/>
  <c r="S564" i="5"/>
  <c r="S563" i="5"/>
  <c r="S562" i="5"/>
  <c r="S561" i="5"/>
  <c r="S560" i="5"/>
  <c r="S559" i="5"/>
  <c r="S558" i="5"/>
  <c r="S557" i="5"/>
  <c r="S556" i="5"/>
  <c r="S555" i="5"/>
  <c r="S554" i="5"/>
  <c r="S553" i="5"/>
  <c r="S552" i="5"/>
  <c r="S551" i="5"/>
  <c r="S550" i="5"/>
  <c r="S549" i="5"/>
  <c r="S548" i="5"/>
  <c r="S547" i="5"/>
  <c r="S546" i="5"/>
  <c r="S545" i="5"/>
  <c r="S544" i="5"/>
  <c r="S543" i="5"/>
  <c r="S542" i="5"/>
  <c r="S541" i="5"/>
  <c r="S540" i="5"/>
  <c r="S539" i="5"/>
  <c r="S538" i="5"/>
  <c r="S537" i="5"/>
  <c r="S536" i="5"/>
  <c r="S535" i="5"/>
  <c r="S534" i="5"/>
  <c r="S533" i="5"/>
  <c r="S532" i="5"/>
  <c r="S531" i="5"/>
  <c r="S530" i="5"/>
  <c r="S529" i="5"/>
  <c r="S528" i="5"/>
  <c r="S527" i="5"/>
  <c r="S526" i="5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Y211" i="4"/>
  <c r="V211" i="4"/>
  <c r="N211" i="4"/>
  <c r="Y210" i="4"/>
  <c r="V210" i="4"/>
  <c r="N210" i="4"/>
  <c r="Y208" i="4"/>
  <c r="V208" i="4"/>
  <c r="P208" i="4"/>
  <c r="N208" i="4"/>
  <c r="Q208" i="4" s="1"/>
  <c r="Y207" i="4"/>
  <c r="V207" i="4"/>
  <c r="T207" i="4"/>
  <c r="N207" i="4"/>
  <c r="P207" i="4" s="1"/>
  <c r="Y206" i="4"/>
  <c r="V206" i="4"/>
  <c r="N206" i="4"/>
  <c r="P206" i="4" s="1"/>
  <c r="Y205" i="4"/>
  <c r="V205" i="4"/>
  <c r="O205" i="4"/>
  <c r="N205" i="4"/>
  <c r="R205" i="4" s="1"/>
  <c r="Y204" i="4"/>
  <c r="V204" i="4"/>
  <c r="N204" i="4"/>
  <c r="U204" i="4" s="1"/>
  <c r="Y203" i="4"/>
  <c r="V203" i="4"/>
  <c r="N203" i="4"/>
  <c r="U203" i="4" s="1"/>
  <c r="Y202" i="4"/>
  <c r="V202" i="4"/>
  <c r="N202" i="4"/>
  <c r="U202" i="4" s="1"/>
  <c r="Y200" i="4"/>
  <c r="V200" i="4"/>
  <c r="N200" i="4"/>
  <c r="Y199" i="4"/>
  <c r="V199" i="4"/>
  <c r="N199" i="4"/>
  <c r="O199" i="4" s="1"/>
  <c r="Y198" i="4"/>
  <c r="V198" i="4"/>
  <c r="N198" i="4"/>
  <c r="O198" i="4" s="1"/>
  <c r="Y196" i="4"/>
  <c r="V196" i="4"/>
  <c r="N196" i="4"/>
  <c r="P196" i="4" s="1"/>
  <c r="Y195" i="4"/>
  <c r="V195" i="4"/>
  <c r="N195" i="4"/>
  <c r="Y193" i="4"/>
  <c r="V193" i="4"/>
  <c r="N193" i="4"/>
  <c r="T193" i="4" s="1"/>
  <c r="Y191" i="4"/>
  <c r="V191" i="4"/>
  <c r="Q191" i="4"/>
  <c r="N191" i="4"/>
  <c r="Y190" i="4"/>
  <c r="V190" i="4"/>
  <c r="U190" i="4"/>
  <c r="T190" i="4"/>
  <c r="R190" i="4"/>
  <c r="N190" i="4"/>
  <c r="P190" i="4" s="1"/>
  <c r="Y188" i="4"/>
  <c r="V188" i="4"/>
  <c r="N188" i="4"/>
  <c r="Y187" i="4"/>
  <c r="V187" i="4"/>
  <c r="U187" i="4"/>
  <c r="T187" i="4"/>
  <c r="R187" i="4"/>
  <c r="P187" i="4"/>
  <c r="O187" i="4"/>
  <c r="N187" i="4"/>
  <c r="Q187" i="4" s="1"/>
  <c r="Y186" i="4"/>
  <c r="V186" i="4"/>
  <c r="N186" i="4"/>
  <c r="Y185" i="4"/>
  <c r="V185" i="4"/>
  <c r="U185" i="4"/>
  <c r="N185" i="4"/>
  <c r="T185" i="4" s="1"/>
  <c r="Y184" i="4"/>
  <c r="V184" i="4"/>
  <c r="U184" i="4"/>
  <c r="T184" i="4"/>
  <c r="N184" i="4"/>
  <c r="R184" i="4" s="1"/>
  <c r="Y183" i="4"/>
  <c r="V183" i="4"/>
  <c r="N183" i="4"/>
  <c r="Y182" i="4"/>
  <c r="V182" i="4"/>
  <c r="N182" i="4"/>
  <c r="U182" i="4" s="1"/>
  <c r="Y181" i="4"/>
  <c r="V181" i="4"/>
  <c r="N181" i="4"/>
  <c r="O181" i="4" s="1"/>
  <c r="Y180" i="4"/>
  <c r="V180" i="4"/>
  <c r="U180" i="4"/>
  <c r="T180" i="4"/>
  <c r="N180" i="4"/>
  <c r="R180" i="4" s="1"/>
  <c r="Y179" i="4"/>
  <c r="V179" i="4"/>
  <c r="N179" i="4"/>
  <c r="Q179" i="4" s="1"/>
  <c r="Y178" i="4"/>
  <c r="V178" i="4"/>
  <c r="U178" i="4"/>
  <c r="T178" i="4"/>
  <c r="R178" i="4"/>
  <c r="Q178" i="4"/>
  <c r="P178" i="4"/>
  <c r="O178" i="4"/>
  <c r="N178" i="4"/>
  <c r="Y177" i="4"/>
  <c r="V177" i="4"/>
  <c r="N177" i="4"/>
  <c r="Y176" i="4"/>
  <c r="V176" i="4"/>
  <c r="N176" i="4"/>
  <c r="P176" i="4" s="1"/>
  <c r="Y175" i="4"/>
  <c r="V175" i="4"/>
  <c r="N175" i="4"/>
  <c r="O175" i="4" s="1"/>
  <c r="Y174" i="4"/>
  <c r="V174" i="4"/>
  <c r="N174" i="4"/>
  <c r="Q174" i="4" s="1"/>
  <c r="Y173" i="4"/>
  <c r="V173" i="4"/>
  <c r="N173" i="4"/>
  <c r="P173" i="4" s="1"/>
  <c r="Y172" i="4"/>
  <c r="V172" i="4"/>
  <c r="U172" i="4"/>
  <c r="T172" i="4"/>
  <c r="R172" i="4"/>
  <c r="Q172" i="4"/>
  <c r="P172" i="4"/>
  <c r="O172" i="4"/>
  <c r="N172" i="4"/>
  <c r="Y171" i="4"/>
  <c r="V171" i="4"/>
  <c r="N171" i="4"/>
  <c r="U171" i="4" s="1"/>
  <c r="Y170" i="4"/>
  <c r="V170" i="4"/>
  <c r="N170" i="4"/>
  <c r="Y168" i="4"/>
  <c r="V168" i="4"/>
  <c r="U168" i="4"/>
  <c r="T168" i="4"/>
  <c r="R168" i="4"/>
  <c r="Q168" i="4"/>
  <c r="P168" i="4"/>
  <c r="N168" i="4"/>
  <c r="O168" i="4" s="1"/>
  <c r="Y167" i="4"/>
  <c r="V167" i="4"/>
  <c r="N167" i="4"/>
  <c r="O167" i="4" s="1"/>
  <c r="Y166" i="4"/>
  <c r="V166" i="4"/>
  <c r="T166" i="4"/>
  <c r="R166" i="4"/>
  <c r="Q166" i="4"/>
  <c r="P166" i="4"/>
  <c r="N166" i="4"/>
  <c r="O166" i="4" s="1"/>
  <c r="Y165" i="4"/>
  <c r="V165" i="4"/>
  <c r="N165" i="4"/>
  <c r="O165" i="4" s="1"/>
  <c r="Y164" i="4"/>
  <c r="V164" i="4"/>
  <c r="O164" i="4"/>
  <c r="N164" i="4"/>
  <c r="Y163" i="4"/>
  <c r="V163" i="4"/>
  <c r="N163" i="4"/>
  <c r="O163" i="4" s="1"/>
  <c r="Y162" i="4"/>
  <c r="V162" i="4"/>
  <c r="U162" i="4"/>
  <c r="T162" i="4"/>
  <c r="R162" i="4"/>
  <c r="N162" i="4"/>
  <c r="O162" i="4" s="1"/>
  <c r="Y161" i="4"/>
  <c r="V161" i="4"/>
  <c r="N161" i="4"/>
  <c r="U161" i="4" s="1"/>
  <c r="Y160" i="4"/>
  <c r="V160" i="4"/>
  <c r="O160" i="4"/>
  <c r="N160" i="4"/>
  <c r="Q160" i="4" s="1"/>
  <c r="Y159" i="4"/>
  <c r="V159" i="4"/>
  <c r="N159" i="4"/>
  <c r="U159" i="4" s="1"/>
  <c r="Y158" i="4"/>
  <c r="V158" i="4"/>
  <c r="N158" i="4"/>
  <c r="T158" i="4" s="1"/>
  <c r="Y157" i="4"/>
  <c r="V157" i="4"/>
  <c r="N157" i="4"/>
  <c r="U157" i="4" s="1"/>
  <c r="Y156" i="4"/>
  <c r="V156" i="4"/>
  <c r="N156" i="4"/>
  <c r="Y155" i="4"/>
  <c r="V155" i="4"/>
  <c r="U155" i="4"/>
  <c r="T155" i="4"/>
  <c r="N155" i="4"/>
  <c r="R155" i="4" s="1"/>
  <c r="Y154" i="4"/>
  <c r="V154" i="4"/>
  <c r="N154" i="4"/>
  <c r="P154" i="4" s="1"/>
  <c r="Y153" i="4"/>
  <c r="V153" i="4"/>
  <c r="U153" i="4"/>
  <c r="T153" i="4"/>
  <c r="R153" i="4"/>
  <c r="Q153" i="4"/>
  <c r="O153" i="4"/>
  <c r="N153" i="4"/>
  <c r="P153" i="4" s="1"/>
  <c r="Y152" i="4"/>
  <c r="V152" i="4"/>
  <c r="N152" i="4"/>
  <c r="Y151" i="4"/>
  <c r="V151" i="4"/>
  <c r="Q151" i="4"/>
  <c r="P151" i="4"/>
  <c r="O151" i="4"/>
  <c r="N151" i="4"/>
  <c r="Y150" i="4"/>
  <c r="V150" i="4"/>
  <c r="N150" i="4"/>
  <c r="P150" i="4" s="1"/>
  <c r="Y149" i="4"/>
  <c r="V149" i="4"/>
  <c r="R149" i="4"/>
  <c r="N149" i="4"/>
  <c r="U149" i="4" s="1"/>
  <c r="Y148" i="4"/>
  <c r="V148" i="4"/>
  <c r="O148" i="4"/>
  <c r="N148" i="4"/>
  <c r="U148" i="4" s="1"/>
  <c r="Y147" i="4"/>
  <c r="V147" i="4"/>
  <c r="U147" i="4"/>
  <c r="T147" i="4"/>
  <c r="R147" i="4"/>
  <c r="P147" i="4"/>
  <c r="O147" i="4"/>
  <c r="N147" i="4"/>
  <c r="Q147" i="4" s="1"/>
  <c r="Y146" i="4"/>
  <c r="V146" i="4"/>
  <c r="N146" i="4"/>
  <c r="R146" i="4" s="1"/>
  <c r="Y145" i="4"/>
  <c r="V145" i="4"/>
  <c r="U145" i="4"/>
  <c r="N145" i="4"/>
  <c r="T145" i="4" s="1"/>
  <c r="Y144" i="4"/>
  <c r="V144" i="4"/>
  <c r="N144" i="4"/>
  <c r="Q144" i="4" s="1"/>
  <c r="Y143" i="4"/>
  <c r="V143" i="4"/>
  <c r="N143" i="4"/>
  <c r="Y142" i="4"/>
  <c r="V142" i="4"/>
  <c r="N142" i="4"/>
  <c r="T142" i="4" s="1"/>
  <c r="Y140" i="4"/>
  <c r="V140" i="4"/>
  <c r="N140" i="4"/>
  <c r="O140" i="4" s="1"/>
  <c r="Y139" i="4"/>
  <c r="V139" i="4"/>
  <c r="N139" i="4"/>
  <c r="Y138" i="4"/>
  <c r="V138" i="4"/>
  <c r="U138" i="4"/>
  <c r="T138" i="4"/>
  <c r="R138" i="4"/>
  <c r="Q138" i="4"/>
  <c r="P138" i="4"/>
  <c r="N138" i="4"/>
  <c r="O138" i="4" s="1"/>
  <c r="Y137" i="4"/>
  <c r="V137" i="4"/>
  <c r="N137" i="4"/>
  <c r="R137" i="4" s="1"/>
  <c r="Y134" i="4"/>
  <c r="V134" i="4"/>
  <c r="T134" i="4"/>
  <c r="R134" i="4"/>
  <c r="Q134" i="4"/>
  <c r="O134" i="4"/>
  <c r="N134" i="4"/>
  <c r="Y133" i="4"/>
  <c r="V133" i="4"/>
  <c r="N133" i="4"/>
  <c r="Q133" i="4" s="1"/>
  <c r="Y132" i="4"/>
  <c r="V132" i="4"/>
  <c r="N132" i="4"/>
  <c r="R132" i="4" s="1"/>
  <c r="Y131" i="4"/>
  <c r="V131" i="4"/>
  <c r="U131" i="4"/>
  <c r="T131" i="4"/>
  <c r="R131" i="4"/>
  <c r="P131" i="4"/>
  <c r="O131" i="4"/>
  <c r="N131" i="4"/>
  <c r="Q131" i="4" s="1"/>
  <c r="Y130" i="4"/>
  <c r="V130" i="4"/>
  <c r="N130" i="4"/>
  <c r="U130" i="4" s="1"/>
  <c r="Y129" i="4"/>
  <c r="V129" i="4"/>
  <c r="U129" i="4"/>
  <c r="N129" i="4"/>
  <c r="T129" i="4" s="1"/>
  <c r="Y128" i="4"/>
  <c r="V128" i="4"/>
  <c r="N128" i="4"/>
  <c r="U128" i="4" s="1"/>
  <c r="Y127" i="4"/>
  <c r="V127" i="4"/>
  <c r="N127" i="4"/>
  <c r="Y126" i="4"/>
  <c r="V126" i="4"/>
  <c r="O126" i="4"/>
  <c r="N126" i="4"/>
  <c r="Y125" i="4"/>
  <c r="V125" i="4"/>
  <c r="N125" i="4"/>
  <c r="O125" i="4" s="1"/>
  <c r="Y124" i="4"/>
  <c r="V124" i="4"/>
  <c r="U124" i="4"/>
  <c r="T124" i="4"/>
  <c r="N124" i="4"/>
  <c r="R124" i="4" s="1"/>
  <c r="Y123" i="4"/>
  <c r="V123" i="4"/>
  <c r="N123" i="4"/>
  <c r="P123" i="4" s="1"/>
  <c r="Y121" i="4"/>
  <c r="V121" i="4"/>
  <c r="U121" i="4"/>
  <c r="T121" i="4"/>
  <c r="R121" i="4"/>
  <c r="Q121" i="4"/>
  <c r="P121" i="4"/>
  <c r="O121" i="4"/>
  <c r="N121" i="4"/>
  <c r="Y120" i="4"/>
  <c r="V120" i="4"/>
  <c r="N120" i="4"/>
  <c r="Q120" i="4" s="1"/>
  <c r="Y119" i="4"/>
  <c r="V119" i="4"/>
  <c r="U119" i="4"/>
  <c r="T119" i="4"/>
  <c r="R119" i="4"/>
  <c r="Q119" i="4"/>
  <c r="P119" i="4"/>
  <c r="O119" i="4"/>
  <c r="N119" i="4"/>
  <c r="Y118" i="4"/>
  <c r="V118" i="4"/>
  <c r="O118" i="4"/>
  <c r="N118" i="4"/>
  <c r="P118" i="4" s="1"/>
  <c r="Y117" i="4"/>
  <c r="V117" i="4"/>
  <c r="N117" i="4"/>
  <c r="Y116" i="4"/>
  <c r="V116" i="4"/>
  <c r="N116" i="4"/>
  <c r="U116" i="4" s="1"/>
  <c r="Y115" i="4"/>
  <c r="V115" i="4"/>
  <c r="N115" i="4"/>
  <c r="R115" i="4" s="1"/>
  <c r="Y114" i="4"/>
  <c r="V114" i="4"/>
  <c r="N114" i="4"/>
  <c r="U114" i="4" s="1"/>
  <c r="Y112" i="4"/>
  <c r="V112" i="4"/>
  <c r="N112" i="4"/>
  <c r="Y111" i="4"/>
  <c r="V111" i="4"/>
  <c r="U111" i="4"/>
  <c r="N111" i="4"/>
  <c r="T111" i="4" s="1"/>
  <c r="Y110" i="4"/>
  <c r="V110" i="4"/>
  <c r="N110" i="4"/>
  <c r="Y108" i="4"/>
  <c r="V108" i="4"/>
  <c r="N108" i="4"/>
  <c r="Q108" i="4" s="1"/>
  <c r="Y107" i="4"/>
  <c r="V107" i="4"/>
  <c r="Q107" i="4"/>
  <c r="N107" i="4"/>
  <c r="Y106" i="4"/>
  <c r="V106" i="4"/>
  <c r="U106" i="4"/>
  <c r="N106" i="4"/>
  <c r="Q106" i="4" s="1"/>
  <c r="Y105" i="4"/>
  <c r="V105" i="4"/>
  <c r="P105" i="4"/>
  <c r="N105" i="4"/>
  <c r="R105" i="4" s="1"/>
  <c r="Y103" i="4"/>
  <c r="V103" i="4"/>
  <c r="U103" i="4"/>
  <c r="R103" i="4"/>
  <c r="Q103" i="4"/>
  <c r="N103" i="4"/>
  <c r="T103" i="4" s="1"/>
  <c r="Y102" i="4"/>
  <c r="V102" i="4"/>
  <c r="N102" i="4"/>
  <c r="U102" i="4" s="1"/>
  <c r="Y101" i="4"/>
  <c r="V101" i="4"/>
  <c r="N101" i="4"/>
  <c r="Q101" i="4" s="1"/>
  <c r="Y100" i="4"/>
  <c r="V100" i="4"/>
  <c r="N100" i="4"/>
  <c r="Y99" i="4"/>
  <c r="V99" i="4"/>
  <c r="N99" i="4"/>
  <c r="Y98" i="4"/>
  <c r="V98" i="4"/>
  <c r="U98" i="4"/>
  <c r="T98" i="4"/>
  <c r="R98" i="4"/>
  <c r="Q98" i="4"/>
  <c r="N98" i="4"/>
  <c r="P98" i="4" s="1"/>
  <c r="Y97" i="4"/>
  <c r="V97" i="4"/>
  <c r="N97" i="4"/>
  <c r="Y95" i="4"/>
  <c r="V95" i="4"/>
  <c r="U95" i="4"/>
  <c r="N95" i="4"/>
  <c r="R95" i="4" s="1"/>
  <c r="Y94" i="4"/>
  <c r="V94" i="4"/>
  <c r="P94" i="4"/>
  <c r="N94" i="4"/>
  <c r="O94" i="4" s="1"/>
  <c r="Y93" i="4"/>
  <c r="V93" i="4"/>
  <c r="O93" i="4"/>
  <c r="N93" i="4"/>
  <c r="P93" i="4" s="1"/>
  <c r="Y91" i="4"/>
  <c r="V91" i="4"/>
  <c r="N91" i="4"/>
  <c r="P91" i="4" s="1"/>
  <c r="Y90" i="4"/>
  <c r="V90" i="4"/>
  <c r="U90" i="4"/>
  <c r="N90" i="4"/>
  <c r="O90" i="4" s="1"/>
  <c r="Y89" i="4"/>
  <c r="V89" i="4"/>
  <c r="N89" i="4"/>
  <c r="Q89" i="4" s="1"/>
  <c r="Y87" i="4"/>
  <c r="V87" i="4"/>
  <c r="R87" i="4"/>
  <c r="N87" i="4"/>
  <c r="Q87" i="4" s="1"/>
  <c r="Y86" i="4"/>
  <c r="V86" i="4"/>
  <c r="N86" i="4"/>
  <c r="Q86" i="4" s="1"/>
  <c r="Y85" i="4"/>
  <c r="V85" i="4"/>
  <c r="R85" i="4"/>
  <c r="P85" i="4"/>
  <c r="O85" i="4"/>
  <c r="N85" i="4"/>
  <c r="Y84" i="4"/>
  <c r="V84" i="4"/>
  <c r="O84" i="4"/>
  <c r="N84" i="4"/>
  <c r="T84" i="4" s="1"/>
  <c r="Y83" i="4"/>
  <c r="V83" i="4"/>
  <c r="N83" i="4"/>
  <c r="T83" i="4" s="1"/>
  <c r="Y82" i="4"/>
  <c r="V82" i="4"/>
  <c r="N82" i="4"/>
  <c r="U82" i="4" s="1"/>
  <c r="Y81" i="4"/>
  <c r="V81" i="4"/>
  <c r="U81" i="4"/>
  <c r="T81" i="4"/>
  <c r="N81" i="4"/>
  <c r="R81" i="4" s="1"/>
  <c r="Y80" i="4"/>
  <c r="V80" i="4"/>
  <c r="N80" i="4"/>
  <c r="Y78" i="4"/>
  <c r="V78" i="4"/>
  <c r="N78" i="4"/>
  <c r="Q78" i="4" s="1"/>
  <c r="Y77" i="4"/>
  <c r="V77" i="4"/>
  <c r="U77" i="4"/>
  <c r="T77" i="4"/>
  <c r="N77" i="4"/>
  <c r="R77" i="4" s="1"/>
  <c r="Y76" i="4"/>
  <c r="V76" i="4"/>
  <c r="N76" i="4"/>
  <c r="O76" i="4" s="1"/>
  <c r="Y75" i="4"/>
  <c r="V75" i="4"/>
  <c r="U75" i="4"/>
  <c r="R75" i="4"/>
  <c r="N75" i="4"/>
  <c r="O75" i="4" s="1"/>
  <c r="Y74" i="4"/>
  <c r="V74" i="4"/>
  <c r="N74" i="4"/>
  <c r="R74" i="4" s="1"/>
  <c r="Y73" i="4"/>
  <c r="V73" i="4"/>
  <c r="N73" i="4"/>
  <c r="T73" i="4" s="1"/>
  <c r="Y72" i="4"/>
  <c r="V72" i="4"/>
  <c r="N72" i="4"/>
  <c r="P72" i="4" s="1"/>
  <c r="Y71" i="4"/>
  <c r="V71" i="4"/>
  <c r="U71" i="4"/>
  <c r="T71" i="4"/>
  <c r="Q71" i="4"/>
  <c r="P71" i="4"/>
  <c r="N71" i="4"/>
  <c r="O71" i="4" s="1"/>
  <c r="Y69" i="4"/>
  <c r="V69" i="4"/>
  <c r="N69" i="4"/>
  <c r="Q69" i="4" s="1"/>
  <c r="Y67" i="4"/>
  <c r="V67" i="4"/>
  <c r="N67" i="4"/>
  <c r="Q67" i="4" s="1"/>
  <c r="Y66" i="4"/>
  <c r="V66" i="4"/>
  <c r="N66" i="4"/>
  <c r="U66" i="4" s="1"/>
  <c r="Y65" i="4"/>
  <c r="V65" i="4"/>
  <c r="N65" i="4"/>
  <c r="Y64" i="4"/>
  <c r="V64" i="4"/>
  <c r="N64" i="4"/>
  <c r="O64" i="4" s="1"/>
  <c r="Y63" i="4"/>
  <c r="V63" i="4"/>
  <c r="N63" i="4"/>
  <c r="Y62" i="4"/>
  <c r="V62" i="4"/>
  <c r="U62" i="4"/>
  <c r="T62" i="4"/>
  <c r="R62" i="4"/>
  <c r="P62" i="4"/>
  <c r="N62" i="4"/>
  <c r="Q62" i="4" s="1"/>
  <c r="Y60" i="4"/>
  <c r="V60" i="4"/>
  <c r="N60" i="4"/>
  <c r="O60" i="4" s="1"/>
  <c r="Y59" i="4"/>
  <c r="V59" i="4"/>
  <c r="U59" i="4"/>
  <c r="T59" i="4"/>
  <c r="N59" i="4"/>
  <c r="P59" i="4" s="1"/>
  <c r="Y58" i="4"/>
  <c r="V58" i="4"/>
  <c r="N58" i="4"/>
  <c r="U58" i="4" s="1"/>
  <c r="Y57" i="4"/>
  <c r="V57" i="4"/>
  <c r="N57" i="4"/>
  <c r="R57" i="4" s="1"/>
  <c r="Y56" i="4"/>
  <c r="V56" i="4"/>
  <c r="U56" i="4"/>
  <c r="T56" i="4"/>
  <c r="R56" i="4"/>
  <c r="Q56" i="4"/>
  <c r="P56" i="4"/>
  <c r="N56" i="4"/>
  <c r="O56" i="4" s="1"/>
  <c r="Y55" i="4"/>
  <c r="V55" i="4"/>
  <c r="N55" i="4"/>
  <c r="U55" i="4" s="1"/>
  <c r="Y53" i="4"/>
  <c r="V53" i="4"/>
  <c r="T53" i="4"/>
  <c r="R53" i="4"/>
  <c r="Q53" i="4"/>
  <c r="P53" i="4"/>
  <c r="N53" i="4"/>
  <c r="O53" i="4" s="1"/>
  <c r="Y52" i="4"/>
  <c r="V52" i="4"/>
  <c r="N52" i="4"/>
  <c r="Y50" i="4"/>
  <c r="V50" i="4"/>
  <c r="I31" i="13" s="1"/>
  <c r="N50" i="4"/>
  <c r="Y49" i="4"/>
  <c r="V49" i="4"/>
  <c r="N49" i="4"/>
  <c r="O49" i="4" s="1"/>
  <c r="Y48" i="4"/>
  <c r="V48" i="4"/>
  <c r="N48" i="4"/>
  <c r="Q48" i="4" s="1"/>
  <c r="Y47" i="4"/>
  <c r="V47" i="4"/>
  <c r="N47" i="4"/>
  <c r="Y46" i="4"/>
  <c r="V46" i="4"/>
  <c r="P46" i="4"/>
  <c r="O46" i="4"/>
  <c r="N46" i="4"/>
  <c r="Y45" i="4"/>
  <c r="V45" i="4"/>
  <c r="N45" i="4"/>
  <c r="O45" i="4" s="1"/>
  <c r="Y44" i="4"/>
  <c r="V44" i="4"/>
  <c r="N44" i="4"/>
  <c r="Y43" i="4"/>
  <c r="V43" i="4"/>
  <c r="U43" i="4"/>
  <c r="T43" i="4"/>
  <c r="R43" i="4"/>
  <c r="Q43" i="4"/>
  <c r="N43" i="4"/>
  <c r="P43" i="4" s="1"/>
  <c r="Y41" i="4"/>
  <c r="V41" i="4"/>
  <c r="N41" i="4"/>
  <c r="Y40" i="4"/>
  <c r="V40" i="4"/>
  <c r="I27" i="13" s="1"/>
  <c r="U40" i="4"/>
  <c r="N40" i="4"/>
  <c r="P40" i="4" s="1"/>
  <c r="Y39" i="4"/>
  <c r="V39" i="4"/>
  <c r="U39" i="4"/>
  <c r="N39" i="4"/>
  <c r="T39" i="4" s="1"/>
  <c r="Y38" i="4"/>
  <c r="V38" i="4"/>
  <c r="N38" i="4"/>
  <c r="R38" i="4" s="1"/>
  <c r="Y37" i="4"/>
  <c r="V37" i="4"/>
  <c r="N37" i="4"/>
  <c r="Y36" i="4"/>
  <c r="V36" i="4"/>
  <c r="N36" i="4"/>
  <c r="U36" i="4" s="1"/>
  <c r="Y35" i="4"/>
  <c r="V35" i="4"/>
  <c r="N35" i="4"/>
  <c r="Y34" i="4"/>
  <c r="V34" i="4"/>
  <c r="N34" i="4"/>
  <c r="Y33" i="4"/>
  <c r="V33" i="4"/>
  <c r="N33" i="4"/>
  <c r="Q33" i="4" s="1"/>
  <c r="Y32" i="4"/>
  <c r="V32" i="4"/>
  <c r="U32" i="4"/>
  <c r="T32" i="4"/>
  <c r="R32" i="4"/>
  <c r="P32" i="4"/>
  <c r="N32" i="4"/>
  <c r="Q32" i="4" s="1"/>
  <c r="Y31" i="4"/>
  <c r="V31" i="4"/>
  <c r="N31" i="4"/>
  <c r="O31" i="4" s="1"/>
  <c r="Y30" i="4"/>
  <c r="V30" i="4"/>
  <c r="N30" i="4"/>
  <c r="O30" i="4" s="1"/>
  <c r="Y29" i="4"/>
  <c r="V29" i="4"/>
  <c r="N29" i="4"/>
  <c r="O29" i="4" s="1"/>
  <c r="Y28" i="4"/>
  <c r="V28" i="4"/>
  <c r="I25" i="13" s="1"/>
  <c r="N28" i="4"/>
  <c r="Y27" i="4"/>
  <c r="V27" i="4"/>
  <c r="N27" i="4"/>
  <c r="U27" i="4" s="1"/>
  <c r="Y26" i="4"/>
  <c r="V26" i="4"/>
  <c r="U26" i="4"/>
  <c r="T26" i="4"/>
  <c r="R26" i="4"/>
  <c r="P26" i="4"/>
  <c r="N26" i="4"/>
  <c r="Q26" i="4" s="1"/>
  <c r="Y25" i="4"/>
  <c r="V25" i="4"/>
  <c r="N25" i="4"/>
  <c r="U25" i="4" s="1"/>
  <c r="Y24" i="4"/>
  <c r="V24" i="4"/>
  <c r="N24" i="4"/>
  <c r="Y23" i="4"/>
  <c r="V23" i="4"/>
  <c r="U23" i="4"/>
  <c r="T23" i="4"/>
  <c r="R23" i="4"/>
  <c r="Q23" i="4"/>
  <c r="P23" i="4"/>
  <c r="O23" i="4"/>
  <c r="N23" i="4"/>
  <c r="Y22" i="4"/>
  <c r="V22" i="4"/>
  <c r="I19" i="13" s="1"/>
  <c r="N22" i="4"/>
  <c r="Y21" i="4"/>
  <c r="V21" i="4"/>
  <c r="I9" i="13" s="1"/>
  <c r="U21" i="4"/>
  <c r="T21" i="4"/>
  <c r="R21" i="4"/>
  <c r="Q21" i="4"/>
  <c r="N21" i="4"/>
  <c r="P21" i="4" s="1"/>
  <c r="Y20" i="4"/>
  <c r="V20" i="4"/>
  <c r="N20" i="4"/>
  <c r="O20" i="4" s="1"/>
  <c r="Y18" i="4"/>
  <c r="V18" i="4"/>
  <c r="R18" i="4"/>
  <c r="Q18" i="4"/>
  <c r="N18" i="4"/>
  <c r="Y17" i="4"/>
  <c r="V17" i="4"/>
  <c r="I17" i="13" s="1"/>
  <c r="N17" i="4"/>
  <c r="U17" i="4" s="1"/>
  <c r="Y16" i="4"/>
  <c r="V16" i="4"/>
  <c r="U16" i="4"/>
  <c r="N16" i="4"/>
  <c r="Q16" i="4" s="1"/>
  <c r="V15" i="4"/>
  <c r="N15" i="4"/>
  <c r="U15" i="4" s="1"/>
  <c r="Y13" i="4"/>
  <c r="V13" i="4"/>
  <c r="I7" i="13" s="1"/>
  <c r="N13" i="4"/>
  <c r="Y12" i="4"/>
  <c r="V12" i="4"/>
  <c r="V212" i="4" s="1"/>
  <c r="U12" i="4"/>
  <c r="T12" i="4"/>
  <c r="R12" i="4"/>
  <c r="P12" i="4"/>
  <c r="N12" i="4"/>
  <c r="Q12" i="4" s="1"/>
  <c r="Y11" i="4"/>
  <c r="V11" i="4"/>
  <c r="N11" i="4"/>
  <c r="O11" i="4" s="1"/>
  <c r="Y10" i="4"/>
  <c r="V10" i="4"/>
  <c r="Q10" i="4"/>
  <c r="P10" i="4"/>
  <c r="O10" i="4"/>
  <c r="N10" i="4"/>
  <c r="R10" i="4" s="1"/>
  <c r="Y9" i="4"/>
  <c r="V9" i="4"/>
  <c r="N9" i="4"/>
  <c r="Q9" i="4" s="1"/>
  <c r="Y8" i="4"/>
  <c r="V8" i="4"/>
  <c r="I3" i="13" s="1"/>
  <c r="N8" i="4"/>
  <c r="Y7" i="4"/>
  <c r="V7" i="4"/>
  <c r="N7" i="4"/>
  <c r="U7" i="4" s="1"/>
  <c r="Y6" i="4"/>
  <c r="V6" i="4"/>
  <c r="N6" i="4"/>
  <c r="T6" i="4" s="1"/>
  <c r="Y5" i="4"/>
  <c r="V5" i="4"/>
  <c r="N5" i="4"/>
  <c r="U5" i="4" s="1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B11" i="1" s="1"/>
  <c r="B45" i="1"/>
  <c r="B47" i="1" s="1"/>
  <c r="B18" i="1" a="1"/>
  <c r="B18" i="1"/>
  <c r="B16" i="1" a="1"/>
  <c r="B16" i="1" s="1"/>
  <c r="B13" i="1"/>
  <c r="B10" i="1"/>
  <c r="R127" i="7"/>
  <c r="Q127" i="7"/>
  <c r="R126" i="7"/>
  <c r="Q126" i="7"/>
  <c r="R125" i="7"/>
  <c r="Q125" i="7"/>
  <c r="R124" i="7"/>
  <c r="Q124" i="7"/>
  <c r="R123" i="7"/>
  <c r="Q123" i="7"/>
  <c r="R122" i="7"/>
  <c r="Q122" i="7"/>
  <c r="R121" i="7"/>
  <c r="Q121" i="7"/>
  <c r="R120" i="7"/>
  <c r="Q120" i="7"/>
  <c r="R119" i="7"/>
  <c r="Q119" i="7"/>
  <c r="R118" i="7"/>
  <c r="Q118" i="7"/>
  <c r="R117" i="7"/>
  <c r="Q117" i="7"/>
  <c r="R116" i="7"/>
  <c r="Q116" i="7"/>
  <c r="R115" i="7"/>
  <c r="Q115" i="7"/>
  <c r="R114" i="7"/>
  <c r="Q114" i="7"/>
  <c r="R113" i="7"/>
  <c r="Q113" i="7"/>
  <c r="R112" i="7"/>
  <c r="Q112" i="7"/>
  <c r="R111" i="7"/>
  <c r="Q111" i="7"/>
  <c r="R110" i="7"/>
  <c r="Q110" i="7"/>
  <c r="R109" i="7"/>
  <c r="Q109" i="7"/>
  <c r="R108" i="7"/>
  <c r="Q108" i="7"/>
  <c r="R107" i="7"/>
  <c r="Q107" i="7"/>
  <c r="R106" i="7"/>
  <c r="Q106" i="7"/>
  <c r="R105" i="7"/>
  <c r="Q105" i="7"/>
  <c r="R104" i="7"/>
  <c r="Q104" i="7"/>
  <c r="R103" i="7"/>
  <c r="Q103" i="7"/>
  <c r="R102" i="7"/>
  <c r="Q102" i="7"/>
  <c r="R101" i="7"/>
  <c r="Q101" i="7"/>
  <c r="R100" i="7"/>
  <c r="Q100" i="7"/>
  <c r="R99" i="7"/>
  <c r="Q99" i="7"/>
  <c r="R98" i="7"/>
  <c r="Q98" i="7"/>
  <c r="R97" i="7"/>
  <c r="Q97" i="7"/>
  <c r="R96" i="7"/>
  <c r="Q96" i="7"/>
  <c r="R95" i="7"/>
  <c r="Q95" i="7"/>
  <c r="R94" i="7"/>
  <c r="Q94" i="7"/>
  <c r="R93" i="7"/>
  <c r="Q93" i="7"/>
  <c r="R92" i="7"/>
  <c r="Q92" i="7"/>
  <c r="R91" i="7"/>
  <c r="Q91" i="7"/>
  <c r="R90" i="7"/>
  <c r="Q90" i="7"/>
  <c r="R89" i="7"/>
  <c r="Q89" i="7"/>
  <c r="R88" i="7"/>
  <c r="Q88" i="7"/>
  <c r="R87" i="7"/>
  <c r="Q87" i="7"/>
  <c r="R86" i="7"/>
  <c r="Q86" i="7"/>
  <c r="R85" i="7"/>
  <c r="Q85" i="7"/>
  <c r="R84" i="7"/>
  <c r="Q84" i="7"/>
  <c r="R83" i="7"/>
  <c r="Q83" i="7"/>
  <c r="R82" i="7"/>
  <c r="Q82" i="7"/>
  <c r="R81" i="7"/>
  <c r="Q81" i="7"/>
  <c r="R80" i="7"/>
  <c r="Q80" i="7"/>
  <c r="R79" i="7"/>
  <c r="Q79" i="7"/>
  <c r="R78" i="7"/>
  <c r="Q78" i="7"/>
  <c r="R77" i="7"/>
  <c r="Q77" i="7"/>
  <c r="R76" i="7"/>
  <c r="Q76" i="7"/>
  <c r="R75" i="7"/>
  <c r="Q75" i="7"/>
  <c r="R74" i="7"/>
  <c r="Q74" i="7"/>
  <c r="R73" i="7"/>
  <c r="Q73" i="7"/>
  <c r="R72" i="7"/>
  <c r="Q72" i="7"/>
  <c r="R71" i="7"/>
  <c r="Q71" i="7"/>
  <c r="R70" i="7"/>
  <c r="Q70" i="7"/>
  <c r="R69" i="7"/>
  <c r="Q69" i="7"/>
  <c r="R68" i="7"/>
  <c r="Q68" i="7"/>
  <c r="R67" i="7"/>
  <c r="Q67" i="7"/>
  <c r="R66" i="7"/>
  <c r="Q66" i="7"/>
  <c r="R65" i="7"/>
  <c r="Q65" i="7"/>
  <c r="R64" i="7"/>
  <c r="Q64" i="7"/>
  <c r="R63" i="7"/>
  <c r="Q63" i="7"/>
  <c r="R62" i="7"/>
  <c r="Q62" i="7"/>
  <c r="R61" i="7"/>
  <c r="Q61" i="7"/>
  <c r="R60" i="7"/>
  <c r="Q60" i="7"/>
  <c r="R59" i="7"/>
  <c r="Q59" i="7"/>
  <c r="R58" i="7"/>
  <c r="Q58" i="7"/>
  <c r="R57" i="7"/>
  <c r="Q57" i="7"/>
  <c r="R56" i="7"/>
  <c r="Q56" i="7"/>
  <c r="R55" i="7"/>
  <c r="Q55" i="7"/>
  <c r="R54" i="7"/>
  <c r="Q54" i="7"/>
  <c r="R53" i="7"/>
  <c r="Q53" i="7"/>
  <c r="R52" i="7"/>
  <c r="Q52" i="7"/>
  <c r="R51" i="7"/>
  <c r="Q51" i="7"/>
  <c r="R50" i="7"/>
  <c r="Q50" i="7"/>
  <c r="R49" i="7"/>
  <c r="Q49" i="7"/>
  <c r="R48" i="7"/>
  <c r="Q48" i="7"/>
  <c r="R47" i="7"/>
  <c r="Q47" i="7"/>
  <c r="R46" i="7"/>
  <c r="Q46" i="7"/>
  <c r="R45" i="7"/>
  <c r="Q45" i="7"/>
  <c r="R44" i="7"/>
  <c r="Q44" i="7"/>
  <c r="R43" i="7"/>
  <c r="Q43" i="7"/>
  <c r="R42" i="7"/>
  <c r="Q42" i="7"/>
  <c r="R41" i="7"/>
  <c r="Q41" i="7"/>
  <c r="R40" i="7"/>
  <c r="Q40" i="7"/>
  <c r="R39" i="7"/>
  <c r="Q39" i="7"/>
  <c r="R38" i="7"/>
  <c r="Q38" i="7"/>
  <c r="R37" i="7"/>
  <c r="Q37" i="7"/>
  <c r="R36" i="7"/>
  <c r="Q36" i="7"/>
  <c r="R35" i="7"/>
  <c r="Q35" i="7"/>
  <c r="R34" i="7"/>
  <c r="Q34" i="7"/>
  <c r="R33" i="7"/>
  <c r="Q33" i="7"/>
  <c r="R32" i="7"/>
  <c r="Q32" i="7"/>
  <c r="R31" i="7"/>
  <c r="Q31" i="7"/>
  <c r="R30" i="7"/>
  <c r="Q30" i="7"/>
  <c r="R29" i="7"/>
  <c r="Q29" i="7"/>
  <c r="R28" i="7"/>
  <c r="Q28" i="7"/>
  <c r="R27" i="7"/>
  <c r="Q27" i="7"/>
  <c r="R26" i="7"/>
  <c r="Q26" i="7"/>
  <c r="R25" i="7"/>
  <c r="Q25" i="7"/>
  <c r="R24" i="7"/>
  <c r="Q24" i="7"/>
  <c r="R23" i="7"/>
  <c r="Q23" i="7"/>
  <c r="R22" i="7"/>
  <c r="Q22" i="7"/>
  <c r="R21" i="7"/>
  <c r="Q21" i="7"/>
  <c r="R20" i="7"/>
  <c r="Q20" i="7"/>
  <c r="R19" i="7"/>
  <c r="Q19" i="7"/>
  <c r="R18" i="7"/>
  <c r="Q18" i="7"/>
  <c r="R17" i="7"/>
  <c r="Q17" i="7"/>
  <c r="R16" i="7"/>
  <c r="Q16" i="7"/>
  <c r="R15" i="7"/>
  <c r="Q15" i="7"/>
  <c r="R14" i="7"/>
  <c r="Q14" i="7"/>
  <c r="R13" i="7"/>
  <c r="Q13" i="7"/>
  <c r="R12" i="7"/>
  <c r="Q12" i="7"/>
  <c r="R11" i="7"/>
  <c r="Q11" i="7"/>
  <c r="R10" i="7"/>
  <c r="Q10" i="7"/>
  <c r="R9" i="7"/>
  <c r="Q9" i="7"/>
  <c r="R8" i="7"/>
  <c r="Q8" i="7"/>
  <c r="R7" i="7"/>
  <c r="Q7" i="7"/>
  <c r="R6" i="7"/>
  <c r="Q6" i="7"/>
  <c r="R5" i="7"/>
  <c r="Q5" i="7"/>
  <c r="R4" i="7"/>
  <c r="Q4" i="7"/>
  <c r="R3" i="7"/>
  <c r="Q3" i="7"/>
  <c r="R2" i="7"/>
  <c r="Q2" i="7"/>
  <c r="Q41" i="4" l="1"/>
  <c r="R41" i="4"/>
  <c r="U41" i="4"/>
  <c r="T41" i="4"/>
  <c r="P41" i="4"/>
  <c r="P108" i="4"/>
  <c r="U87" i="4"/>
  <c r="Q93" i="4"/>
  <c r="O101" i="4"/>
  <c r="P146" i="4"/>
  <c r="Q148" i="4"/>
  <c r="U166" i="4"/>
  <c r="Q30" i="4"/>
  <c r="P101" i="4"/>
  <c r="Q146" i="4"/>
  <c r="T148" i="4"/>
  <c r="U188" i="4"/>
  <c r="T188" i="4"/>
  <c r="R188" i="4"/>
  <c r="R30" i="4"/>
  <c r="Q45" i="4"/>
  <c r="R73" i="4"/>
  <c r="O81" i="4"/>
  <c r="R101" i="4"/>
  <c r="Q105" i="4"/>
  <c r="T160" i="4"/>
  <c r="T164" i="4"/>
  <c r="R164" i="4"/>
  <c r="Q164" i="4"/>
  <c r="U164" i="4"/>
  <c r="O188" i="4"/>
  <c r="T205" i="4"/>
  <c r="Q210" i="4"/>
  <c r="U210" i="4"/>
  <c r="T210" i="4"/>
  <c r="R210" i="4"/>
  <c r="P210" i="4"/>
  <c r="T10" i="4"/>
  <c r="O41" i="4"/>
  <c r="U10" i="4"/>
  <c r="P45" i="4"/>
  <c r="T30" i="4"/>
  <c r="P81" i="4"/>
  <c r="T101" i="4"/>
  <c r="U160" i="4"/>
  <c r="P188" i="4"/>
  <c r="U205" i="4"/>
  <c r="O210" i="4"/>
  <c r="U53" i="4"/>
  <c r="O146" i="4"/>
  <c r="U146" i="4"/>
  <c r="P148" i="4"/>
  <c r="P30" i="4"/>
  <c r="Q8" i="4"/>
  <c r="U8" i="4"/>
  <c r="R8" i="4"/>
  <c r="O21" i="4"/>
  <c r="U30" i="4"/>
  <c r="Q34" i="4"/>
  <c r="U34" i="4"/>
  <c r="T34" i="4"/>
  <c r="R34" i="4"/>
  <c r="P34" i="4"/>
  <c r="O43" i="4"/>
  <c r="O50" i="4"/>
  <c r="U50" i="4"/>
  <c r="T50" i="4"/>
  <c r="R50" i="4"/>
  <c r="Q50" i="4"/>
  <c r="Q59" i="4"/>
  <c r="Q81" i="4"/>
  <c r="Q85" i="4"/>
  <c r="U85" i="4"/>
  <c r="T85" i="4"/>
  <c r="U101" i="4"/>
  <c r="P164" i="4"/>
  <c r="Q188" i="4"/>
  <c r="T87" i="4"/>
  <c r="Q73" i="4"/>
  <c r="U73" i="4"/>
  <c r="T8" i="4"/>
  <c r="O34" i="4"/>
  <c r="T46" i="4"/>
  <c r="R46" i="4"/>
  <c r="U46" i="4"/>
  <c r="Q46" i="4"/>
  <c r="R59" i="4"/>
  <c r="U126" i="4"/>
  <c r="Q126" i="4"/>
  <c r="P126" i="4"/>
  <c r="T126" i="4"/>
  <c r="R126" i="4"/>
  <c r="U100" i="4"/>
  <c r="P100" i="4"/>
  <c r="T100" i="4"/>
  <c r="O100" i="4"/>
  <c r="R100" i="4"/>
  <c r="Q100" i="4"/>
  <c r="Q176" i="4"/>
  <c r="O95" i="4"/>
  <c r="R176" i="4"/>
  <c r="O196" i="4"/>
  <c r="I24" i="13"/>
  <c r="P117" i="4"/>
  <c r="T117" i="4"/>
  <c r="Q117" i="4"/>
  <c r="U117" i="4"/>
  <c r="O108" i="4"/>
  <c r="T108" i="4"/>
  <c r="U108" i="4"/>
  <c r="R108" i="4"/>
  <c r="Q28" i="4"/>
  <c r="U28" i="4"/>
  <c r="T28" i="4"/>
  <c r="P95" i="4"/>
  <c r="Q111" i="4"/>
  <c r="O116" i="4"/>
  <c r="R139" i="4"/>
  <c r="Q139" i="4"/>
  <c r="U139" i="4"/>
  <c r="T139" i="4"/>
  <c r="T176" i="4"/>
  <c r="Q196" i="4"/>
  <c r="U196" i="4"/>
  <c r="R40" i="4"/>
  <c r="P75" i="4"/>
  <c r="O78" i="4"/>
  <c r="Q95" i="4"/>
  <c r="R111" i="4"/>
  <c r="O139" i="4"/>
  <c r="U176" i="4"/>
  <c r="P179" i="4"/>
  <c r="R196" i="4"/>
  <c r="P137" i="4"/>
  <c r="T137" i="4"/>
  <c r="U137" i="4"/>
  <c r="U80" i="4"/>
  <c r="P80" i="4"/>
  <c r="O80" i="4"/>
  <c r="T80" i="4"/>
  <c r="R80" i="4"/>
  <c r="Q80" i="4"/>
  <c r="P186" i="4"/>
  <c r="T186" i="4"/>
  <c r="R186" i="4"/>
  <c r="U64" i="4"/>
  <c r="Q64" i="4"/>
  <c r="P64" i="4"/>
  <c r="T64" i="4"/>
  <c r="R64" i="4"/>
  <c r="O111" i="4"/>
  <c r="P111" i="4"/>
  <c r="R28" i="4"/>
  <c r="Q40" i="4"/>
  <c r="O18" i="4"/>
  <c r="U18" i="4"/>
  <c r="T18" i="4"/>
  <c r="P18" i="4"/>
  <c r="T40" i="4"/>
  <c r="Q75" i="4"/>
  <c r="T95" i="4"/>
  <c r="P139" i="4"/>
  <c r="R151" i="4"/>
  <c r="U151" i="4"/>
  <c r="T151" i="4"/>
  <c r="T196" i="4"/>
  <c r="O44" i="4"/>
  <c r="Q44" i="4"/>
  <c r="U44" i="4"/>
  <c r="T44" i="4"/>
  <c r="R44" i="4"/>
  <c r="P44" i="4"/>
  <c r="U6" i="4"/>
  <c r="T75" i="4"/>
  <c r="U93" i="4"/>
  <c r="T93" i="4"/>
  <c r="R93" i="4"/>
  <c r="O117" i="4"/>
  <c r="O128" i="4"/>
  <c r="Q137" i="4"/>
  <c r="M3" i="14"/>
  <c r="B15" i="17"/>
  <c r="D13" i="14"/>
  <c r="B2" i="17"/>
  <c r="O144" i="4"/>
  <c r="P203" i="4"/>
  <c r="R5" i="4"/>
  <c r="O16" i="4"/>
  <c r="O55" i="4"/>
  <c r="U57" i="4"/>
  <c r="O77" i="4"/>
  <c r="P90" i="4"/>
  <c r="T102" i="4"/>
  <c r="O106" i="4"/>
  <c r="O124" i="4"/>
  <c r="T133" i="4"/>
  <c r="P144" i="4"/>
  <c r="O155" i="4"/>
  <c r="P158" i="4"/>
  <c r="T174" i="4"/>
  <c r="O180" i="4"/>
  <c r="Q193" i="4"/>
  <c r="R203" i="4"/>
  <c r="T5" i="4"/>
  <c r="O12" i="4"/>
  <c r="P16" i="4"/>
  <c r="O26" i="4"/>
  <c r="O32" i="4"/>
  <c r="P55" i="4"/>
  <c r="O62" i="4"/>
  <c r="P77" i="4"/>
  <c r="Q90" i="4"/>
  <c r="P106" i="4"/>
  <c r="P124" i="4"/>
  <c r="U133" i="4"/>
  <c r="R144" i="4"/>
  <c r="Q149" i="4"/>
  <c r="P155" i="4"/>
  <c r="R158" i="4"/>
  <c r="U174" i="4"/>
  <c r="P180" i="4"/>
  <c r="R193" i="4"/>
  <c r="T203" i="4"/>
  <c r="R207" i="4"/>
  <c r="F13" i="14"/>
  <c r="N13" i="14" s="1"/>
  <c r="C2" i="17"/>
  <c r="R133" i="4"/>
  <c r="R16" i="4"/>
  <c r="Q77" i="4"/>
  <c r="R90" i="4"/>
  <c r="T144" i="4"/>
  <c r="Q155" i="4"/>
  <c r="U158" i="4"/>
  <c r="Q180" i="4"/>
  <c r="D2" i="17"/>
  <c r="O174" i="4"/>
  <c r="O193" i="4"/>
  <c r="O203" i="4"/>
  <c r="Q5" i="4"/>
  <c r="T57" i="4"/>
  <c r="R102" i="4"/>
  <c r="O158" i="4"/>
  <c r="R174" i="4"/>
  <c r="P193" i="4"/>
  <c r="R55" i="4"/>
  <c r="R106" i="4"/>
  <c r="Q124" i="4"/>
  <c r="U193" i="4"/>
  <c r="E2" i="17"/>
  <c r="T16" i="4"/>
  <c r="T55" i="4"/>
  <c r="U83" i="4"/>
  <c r="O86" i="4"/>
  <c r="T90" i="4"/>
  <c r="O98" i="4"/>
  <c r="T106" i="4"/>
  <c r="U144" i="4"/>
  <c r="T149" i="4"/>
  <c r="Q184" i="4"/>
  <c r="Q190" i="4"/>
  <c r="U207" i="4"/>
  <c r="G2" i="17"/>
  <c r="B10" i="17"/>
  <c r="C10" i="17" s="1"/>
  <c r="J3" i="17"/>
  <c r="Q177" i="4"/>
  <c r="T177" i="4"/>
  <c r="U177" i="4"/>
  <c r="U13" i="4"/>
  <c r="T13" i="4"/>
  <c r="R13" i="4"/>
  <c r="Q13" i="4"/>
  <c r="P13" i="4"/>
  <c r="O13" i="4"/>
  <c r="P24" i="4"/>
  <c r="U24" i="4"/>
  <c r="T24" i="4"/>
  <c r="O24" i="4"/>
  <c r="R24" i="4"/>
  <c r="Q24" i="4"/>
  <c r="U35" i="4"/>
  <c r="T35" i="4"/>
  <c r="P35" i="4"/>
  <c r="R35" i="4"/>
  <c r="Q35" i="4"/>
  <c r="O38" i="4"/>
  <c r="O74" i="4"/>
  <c r="P171" i="4"/>
  <c r="L31" i="13"/>
  <c r="J31" i="13"/>
  <c r="T65" i="4"/>
  <c r="O65" i="4"/>
  <c r="U65" i="4"/>
  <c r="R65" i="4"/>
  <c r="Q65" i="4"/>
  <c r="P65" i="4"/>
  <c r="O69" i="4"/>
  <c r="O72" i="4"/>
  <c r="P74" i="4"/>
  <c r="Q76" i="4"/>
  <c r="Q91" i="4"/>
  <c r="Q125" i="4"/>
  <c r="U125" i="4"/>
  <c r="T125" i="4"/>
  <c r="R125" i="4"/>
  <c r="P125" i="4"/>
  <c r="Q130" i="4"/>
  <c r="Q132" i="4"/>
  <c r="O142" i="4"/>
  <c r="Q171" i="4"/>
  <c r="O173" i="4"/>
  <c r="R177" i="4"/>
  <c r="P182" i="4"/>
  <c r="U198" i="4"/>
  <c r="T198" i="4"/>
  <c r="R198" i="4"/>
  <c r="Q198" i="4"/>
  <c r="P198" i="4"/>
  <c r="O202" i="4"/>
  <c r="O204" i="4"/>
  <c r="Q206" i="4"/>
  <c r="T163" i="4"/>
  <c r="U163" i="4"/>
  <c r="L25" i="13"/>
  <c r="J25" i="13"/>
  <c r="Q182" i="4"/>
  <c r="P202" i="4"/>
  <c r="Q63" i="4"/>
  <c r="U63" i="4"/>
  <c r="T63" i="4"/>
  <c r="R63" i="4"/>
  <c r="Q72" i="4"/>
  <c r="P116" i="4"/>
  <c r="P128" i="4"/>
  <c r="Q204" i="4"/>
  <c r="L5" i="8"/>
  <c r="K5" i="8"/>
  <c r="M5" i="8"/>
  <c r="P7" i="4"/>
  <c r="P15" i="4"/>
  <c r="P25" i="4"/>
  <c r="P63" i="4"/>
  <c r="O91" i="4"/>
  <c r="O171" i="4"/>
  <c r="P130" i="4"/>
  <c r="P132" i="4"/>
  <c r="U156" i="4"/>
  <c r="T156" i="4"/>
  <c r="R156" i="4"/>
  <c r="Q156" i="4"/>
  <c r="P156" i="4"/>
  <c r="O156" i="4"/>
  <c r="T175" i="4"/>
  <c r="U175" i="4"/>
  <c r="L9" i="13"/>
  <c r="J9" i="13"/>
  <c r="R171" i="4"/>
  <c r="R206" i="4"/>
  <c r="R22" i="4"/>
  <c r="U22" i="4"/>
  <c r="P22" i="4"/>
  <c r="T22" i="4"/>
  <c r="Q22" i="4"/>
  <c r="I23" i="13"/>
  <c r="I11" i="13"/>
  <c r="T38" i="4"/>
  <c r="O154" i="4"/>
  <c r="Q163" i="4"/>
  <c r="T171" i="4"/>
  <c r="Q175" i="4"/>
  <c r="Q202" i="4"/>
  <c r="O7" i="4"/>
  <c r="P9" i="4"/>
  <c r="P11" i="4"/>
  <c r="R20" i="4"/>
  <c r="U20" i="4"/>
  <c r="T20" i="4"/>
  <c r="O22" i="4"/>
  <c r="O25" i="4"/>
  <c r="T29" i="4"/>
  <c r="U29" i="4"/>
  <c r="U110" i="4"/>
  <c r="Q110" i="4"/>
  <c r="T110" i="4"/>
  <c r="R110" i="4"/>
  <c r="Q116" i="4"/>
  <c r="Q118" i="4"/>
  <c r="O120" i="4"/>
  <c r="O123" i="4"/>
  <c r="Q128" i="4"/>
  <c r="R142" i="4"/>
  <c r="U152" i="4"/>
  <c r="T152" i="4"/>
  <c r="R152" i="4"/>
  <c r="O157" i="4"/>
  <c r="O159" i="4"/>
  <c r="P161" i="4"/>
  <c r="R163" i="4"/>
  <c r="R173" i="4"/>
  <c r="R175" i="4"/>
  <c r="T182" i="4"/>
  <c r="U195" i="4"/>
  <c r="T195" i="4"/>
  <c r="R195" i="4"/>
  <c r="Q195" i="4"/>
  <c r="R202" i="4"/>
  <c r="R116" i="4"/>
  <c r="R118" i="4"/>
  <c r="R128" i="4"/>
  <c r="O152" i="4"/>
  <c r="P159" i="4"/>
  <c r="O195" i="4"/>
  <c r="T202" i="4"/>
  <c r="T204" i="4"/>
  <c r="M7" i="8"/>
  <c r="L7" i="8"/>
  <c r="M12" i="8"/>
  <c r="K7" i="8"/>
  <c r="L12" i="8"/>
  <c r="K12" i="8"/>
  <c r="Q7" i="4"/>
  <c r="R9" i="4"/>
  <c r="Q15" i="4"/>
  <c r="P17" i="4"/>
  <c r="P20" i="4"/>
  <c r="Q25" i="4"/>
  <c r="O27" i="4"/>
  <c r="P29" i="4"/>
  <c r="R31" i="4"/>
  <c r="P36" i="4"/>
  <c r="P58" i="4"/>
  <c r="Q60" i="4"/>
  <c r="P66" i="4"/>
  <c r="U69" i="4"/>
  <c r="U72" i="4"/>
  <c r="P82" i="4"/>
  <c r="U84" i="4"/>
  <c r="U86" i="4"/>
  <c r="R107" i="4"/>
  <c r="U107" i="4"/>
  <c r="T107" i="4"/>
  <c r="P110" i="4"/>
  <c r="O114" i="4"/>
  <c r="T116" i="4"/>
  <c r="T118" i="4"/>
  <c r="T128" i="4"/>
  <c r="O150" i="4"/>
  <c r="P152" i="4"/>
  <c r="Q157" i="4"/>
  <c r="Q159" i="4"/>
  <c r="R161" i="4"/>
  <c r="U173" i="4"/>
  <c r="R191" i="4"/>
  <c r="U191" i="4"/>
  <c r="T191" i="4"/>
  <c r="P195" i="4"/>
  <c r="P199" i="4"/>
  <c r="O89" i="4"/>
  <c r="U89" i="4"/>
  <c r="O130" i="4"/>
  <c r="O132" i="4"/>
  <c r="O182" i="4"/>
  <c r="O9" i="4"/>
  <c r="P86" i="4"/>
  <c r="U120" i="4"/>
  <c r="T120" i="4"/>
  <c r="U132" i="4"/>
  <c r="Q142" i="4"/>
  <c r="O161" i="4"/>
  <c r="R204" i="4"/>
  <c r="O17" i="4"/>
  <c r="P31" i="4"/>
  <c r="O36" i="4"/>
  <c r="O58" i="4"/>
  <c r="P60" i="4"/>
  <c r="T69" i="4"/>
  <c r="T72" i="4"/>
  <c r="O82" i="4"/>
  <c r="R84" i="4"/>
  <c r="L13" i="8"/>
  <c r="K13" i="8"/>
  <c r="M10" i="8"/>
  <c r="L10" i="8"/>
  <c r="M15" i="8"/>
  <c r="K10" i="8"/>
  <c r="L15" i="8"/>
  <c r="K15" i="8"/>
  <c r="M9" i="8"/>
  <c r="L9" i="8"/>
  <c r="M14" i="8"/>
  <c r="K9" i="8"/>
  <c r="L14" i="8"/>
  <c r="K14" i="8"/>
  <c r="M16" i="8"/>
  <c r="M8" i="8"/>
  <c r="L16" i="8"/>
  <c r="L8" i="8"/>
  <c r="K16" i="8"/>
  <c r="M13" i="8"/>
  <c r="K8" i="8"/>
  <c r="O5" i="4"/>
  <c r="R7" i="4"/>
  <c r="R15" i="4"/>
  <c r="Q17" i="4"/>
  <c r="Q20" i="4"/>
  <c r="R25" i="4"/>
  <c r="P27" i="4"/>
  <c r="Q29" i="4"/>
  <c r="Q36" i="4"/>
  <c r="P49" i="4"/>
  <c r="U49" i="4"/>
  <c r="T49" i="4"/>
  <c r="R49" i="4"/>
  <c r="Q49" i="4"/>
  <c r="Q58" i="4"/>
  <c r="R60" i="4"/>
  <c r="Q66" i="4"/>
  <c r="Q82" i="4"/>
  <c r="T105" i="4"/>
  <c r="U105" i="4"/>
  <c r="O107" i="4"/>
  <c r="P114" i="4"/>
  <c r="U118" i="4"/>
  <c r="R120" i="4"/>
  <c r="Q152" i="4"/>
  <c r="R157" i="4"/>
  <c r="R159" i="4"/>
  <c r="T161" i="4"/>
  <c r="U183" i="4"/>
  <c r="T183" i="4"/>
  <c r="R183" i="4"/>
  <c r="O183" i="4"/>
  <c r="Q183" i="4"/>
  <c r="P183" i="4"/>
  <c r="O186" i="4"/>
  <c r="O191" i="4"/>
  <c r="Q199" i="4"/>
  <c r="O177" i="4"/>
  <c r="O206" i="4"/>
  <c r="U165" i="4"/>
  <c r="Q165" i="4"/>
  <c r="T165" i="4"/>
  <c r="R165" i="4"/>
  <c r="O35" i="4"/>
  <c r="P38" i="4"/>
  <c r="P69" i="4"/>
  <c r="U112" i="4"/>
  <c r="T112" i="4"/>
  <c r="R112" i="4"/>
  <c r="O112" i="4"/>
  <c r="Q112" i="4"/>
  <c r="P112" i="4"/>
  <c r="P163" i="4"/>
  <c r="O15" i="4"/>
  <c r="O66" i="4"/>
  <c r="T86" i="4"/>
  <c r="U99" i="4"/>
  <c r="O99" i="4"/>
  <c r="T99" i="4"/>
  <c r="R99" i="4"/>
  <c r="Q99" i="4"/>
  <c r="P99" i="4"/>
  <c r="O110" i="4"/>
  <c r="P120" i="4"/>
  <c r="U142" i="4"/>
  <c r="U150" i="4"/>
  <c r="T150" i="4"/>
  <c r="P157" i="4"/>
  <c r="Q161" i="4"/>
  <c r="T173" i="4"/>
  <c r="I5" i="10"/>
  <c r="J7" i="10"/>
  <c r="H5" i="10"/>
  <c r="I7" i="10"/>
  <c r="H7" i="10"/>
  <c r="J4" i="10"/>
  <c r="I4" i="10"/>
  <c r="J6" i="10"/>
  <c r="H4" i="10"/>
  <c r="I6" i="10"/>
  <c r="H6" i="10"/>
  <c r="J5" i="10"/>
  <c r="M6" i="8"/>
  <c r="L6" i="8"/>
  <c r="M11" i="8"/>
  <c r="K6" i="8"/>
  <c r="L11" i="8"/>
  <c r="K11" i="8"/>
  <c r="N11" i="8" s="1"/>
  <c r="O11" i="8" s="1"/>
  <c r="P5" i="4"/>
  <c r="T7" i="4"/>
  <c r="T15" i="4"/>
  <c r="R17" i="4"/>
  <c r="T25" i="4"/>
  <c r="Q27" i="4"/>
  <c r="R29" i="4"/>
  <c r="R36" i="4"/>
  <c r="R58" i="4"/>
  <c r="R66" i="4"/>
  <c r="R82" i="4"/>
  <c r="O105" i="4"/>
  <c r="P107" i="4"/>
  <c r="Q114" i="4"/>
  <c r="U143" i="4"/>
  <c r="T143" i="4"/>
  <c r="R143" i="4"/>
  <c r="Q143" i="4"/>
  <c r="O143" i="4"/>
  <c r="P143" i="4"/>
  <c r="Q150" i="4"/>
  <c r="T157" i="4"/>
  <c r="T159" i="4"/>
  <c r="Q186" i="4"/>
  <c r="P191" i="4"/>
  <c r="R199" i="4"/>
  <c r="R76" i="4"/>
  <c r="T76" i="4"/>
  <c r="U76" i="4"/>
  <c r="O127" i="4"/>
  <c r="U127" i="4"/>
  <c r="T127" i="4"/>
  <c r="R127" i="4"/>
  <c r="Q127" i="4"/>
  <c r="P127" i="4"/>
  <c r="R167" i="4"/>
  <c r="U167" i="4"/>
  <c r="P167" i="4"/>
  <c r="T167" i="4"/>
  <c r="Q167" i="4"/>
  <c r="U74" i="4"/>
  <c r="T74" i="4"/>
  <c r="L27" i="13"/>
  <c r="J27" i="13"/>
  <c r="P48" i="4"/>
  <c r="U9" i="4"/>
  <c r="T9" i="4"/>
  <c r="U11" i="4"/>
  <c r="T11" i="4"/>
  <c r="R11" i="4"/>
  <c r="Q11" i="4"/>
  <c r="O33" i="4"/>
  <c r="R33" i="4"/>
  <c r="U33" i="4"/>
  <c r="T33" i="4"/>
  <c r="Q38" i="4"/>
  <c r="R48" i="4"/>
  <c r="P165" i="4"/>
  <c r="P175" i="4"/>
  <c r="P204" i="4"/>
  <c r="Q173" i="4"/>
  <c r="U38" i="4"/>
  <c r="U48" i="4"/>
  <c r="O63" i="4"/>
  <c r="R69" i="4"/>
  <c r="R72" i="4"/>
  <c r="Q84" i="4"/>
  <c r="R86" i="4"/>
  <c r="B17" i="1" a="1"/>
  <c r="B17" i="1" s="1"/>
  <c r="B19" i="1" s="1"/>
  <c r="T17" i="4"/>
  <c r="R27" i="4"/>
  <c r="T36" i="4"/>
  <c r="T58" i="4"/>
  <c r="T66" i="4"/>
  <c r="T82" i="4"/>
  <c r="U97" i="4"/>
  <c r="T97" i="4"/>
  <c r="R97" i="4"/>
  <c r="Q97" i="4"/>
  <c r="P97" i="4"/>
  <c r="R114" i="4"/>
  <c r="R150" i="4"/>
  <c r="T199" i="4"/>
  <c r="P76" i="4"/>
  <c r="P89" i="4"/>
  <c r="P177" i="4"/>
  <c r="Q74" i="4"/>
  <c r="R89" i="4"/>
  <c r="T132" i="4"/>
  <c r="P142" i="4"/>
  <c r="T89" i="4"/>
  <c r="T123" i="4"/>
  <c r="U123" i="4"/>
  <c r="R123" i="4"/>
  <c r="Q123" i="4"/>
  <c r="M17" i="8"/>
  <c r="L17" i="8"/>
  <c r="K17" i="8"/>
  <c r="T27" i="4"/>
  <c r="U47" i="4"/>
  <c r="Q47" i="4"/>
  <c r="T47" i="4"/>
  <c r="R47" i="4"/>
  <c r="O97" i="4"/>
  <c r="O102" i="4"/>
  <c r="T114" i="4"/>
  <c r="U199" i="4"/>
  <c r="U211" i="4"/>
  <c r="T211" i="4"/>
  <c r="Q211" i="4"/>
  <c r="P211" i="4"/>
  <c r="R211" i="4"/>
  <c r="O47" i="4"/>
  <c r="P102" i="4"/>
  <c r="T146" i="4"/>
  <c r="R148" i="4"/>
  <c r="P170" i="4"/>
  <c r="U170" i="4"/>
  <c r="T170" i="4"/>
  <c r="O170" i="4"/>
  <c r="R170" i="4"/>
  <c r="Q170" i="4"/>
  <c r="U181" i="4"/>
  <c r="T181" i="4"/>
  <c r="P181" i="4"/>
  <c r="R181" i="4"/>
  <c r="Q181" i="4"/>
  <c r="O184" i="4"/>
  <c r="U186" i="4"/>
  <c r="T208" i="4"/>
  <c r="U208" i="4"/>
  <c r="R208" i="4"/>
  <c r="O211" i="4"/>
  <c r="U91" i="4"/>
  <c r="T91" i="4"/>
  <c r="R91" i="4"/>
  <c r="U206" i="4"/>
  <c r="T206" i="4"/>
  <c r="L3" i="13"/>
  <c r="J3" i="13"/>
  <c r="O48" i="4"/>
  <c r="L7" i="13"/>
  <c r="J7" i="13"/>
  <c r="R130" i="4"/>
  <c r="U154" i="4"/>
  <c r="T154" i="4"/>
  <c r="R154" i="4"/>
  <c r="Q154" i="4"/>
  <c r="Q31" i="4"/>
  <c r="T31" i="4"/>
  <c r="U31" i="4"/>
  <c r="P33" i="4"/>
  <c r="T48" i="4"/>
  <c r="U52" i="4"/>
  <c r="O52" i="4"/>
  <c r="T52" i="4"/>
  <c r="R52" i="4"/>
  <c r="Q52" i="4"/>
  <c r="P52" i="4"/>
  <c r="T60" i="4"/>
  <c r="U60" i="4"/>
  <c r="P84" i="4"/>
  <c r="T130" i="4"/>
  <c r="R182" i="4"/>
  <c r="M18" i="8"/>
  <c r="L18" i="8"/>
  <c r="K18" i="8"/>
  <c r="M19" i="8"/>
  <c r="L19" i="8"/>
  <c r="K19" i="8"/>
  <c r="U37" i="4"/>
  <c r="T37" i="4"/>
  <c r="R37" i="4"/>
  <c r="O37" i="4"/>
  <c r="Q37" i="4"/>
  <c r="P37" i="4"/>
  <c r="O40" i="4"/>
  <c r="R45" i="4"/>
  <c r="U45" i="4"/>
  <c r="T45" i="4"/>
  <c r="P47" i="4"/>
  <c r="P50" i="4"/>
  <c r="U94" i="4"/>
  <c r="T94" i="4"/>
  <c r="R94" i="4"/>
  <c r="Q94" i="4"/>
  <c r="Q102" i="4"/>
  <c r="P134" i="4"/>
  <c r="U134" i="4"/>
  <c r="U140" i="4"/>
  <c r="T140" i="4"/>
  <c r="R140" i="4"/>
  <c r="P140" i="4"/>
  <c r="Q140" i="4"/>
  <c r="P184" i="4"/>
  <c r="O208" i="4"/>
  <c r="I15" i="13"/>
  <c r="I33" i="13"/>
  <c r="P78" i="4"/>
  <c r="U78" i="4"/>
  <c r="R78" i="4"/>
  <c r="T78" i="4"/>
  <c r="O179" i="4"/>
  <c r="R179" i="4"/>
  <c r="U179" i="4"/>
  <c r="T179" i="4"/>
  <c r="U200" i="4"/>
  <c r="T200" i="4"/>
  <c r="R200" i="4"/>
  <c r="Q200" i="4"/>
  <c r="P200" i="4"/>
  <c r="O200" i="4"/>
  <c r="G2" i="15"/>
  <c r="I14" i="13"/>
  <c r="I30" i="13"/>
  <c r="I4" i="13"/>
  <c r="I20" i="13"/>
  <c r="K12" i="14"/>
  <c r="L12" i="14" s="1"/>
  <c r="I10" i="13"/>
  <c r="I26" i="13"/>
  <c r="I5" i="13"/>
  <c r="I21" i="13"/>
  <c r="O3" i="14"/>
  <c r="E15" i="17"/>
  <c r="D15" i="17"/>
  <c r="C15" i="17"/>
  <c r="A15" i="17"/>
  <c r="I16" i="13"/>
  <c r="I32" i="13"/>
  <c r="M4" i="8"/>
  <c r="L4" i="8"/>
  <c r="K4" i="8"/>
  <c r="O6" i="4"/>
  <c r="L17" i="13"/>
  <c r="J17" i="13"/>
  <c r="O39" i="4"/>
  <c r="O67" i="4"/>
  <c r="O83" i="4"/>
  <c r="O115" i="4"/>
  <c r="O129" i="4"/>
  <c r="O145" i="4"/>
  <c r="O185" i="4"/>
  <c r="I6" i="13"/>
  <c r="I22" i="13"/>
  <c r="P6" i="4"/>
  <c r="P39" i="4"/>
  <c r="P67" i="4"/>
  <c r="P83" i="4"/>
  <c r="P115" i="4"/>
  <c r="P129" i="4"/>
  <c r="P145" i="4"/>
  <c r="P185" i="4"/>
  <c r="O4" i="14"/>
  <c r="O13" i="14"/>
  <c r="Q6" i="4"/>
  <c r="O8" i="4"/>
  <c r="Q39" i="4"/>
  <c r="R67" i="4"/>
  <c r="O73" i="4"/>
  <c r="Q83" i="4"/>
  <c r="O87" i="4"/>
  <c r="Q115" i="4"/>
  <c r="O133" i="4"/>
  <c r="Q145" i="4"/>
  <c r="Q185" i="4"/>
  <c r="I12" i="13"/>
  <c r="I28" i="13"/>
  <c r="K13" i="14"/>
  <c r="L13" i="14" s="1"/>
  <c r="O28" i="4"/>
  <c r="O57" i="4"/>
  <c r="Q129" i="4"/>
  <c r="R6" i="4"/>
  <c r="P8" i="4"/>
  <c r="L19" i="13"/>
  <c r="J19" i="13"/>
  <c r="P28" i="4"/>
  <c r="R39" i="4"/>
  <c r="Q55" i="4"/>
  <c r="P57" i="4"/>
  <c r="O59" i="4"/>
  <c r="T67" i="4"/>
  <c r="R71" i="4"/>
  <c r="P73" i="4"/>
  <c r="R83" i="4"/>
  <c r="P87" i="4"/>
  <c r="O103" i="4"/>
  <c r="T115" i="4"/>
  <c r="R117" i="4"/>
  <c r="R129" i="4"/>
  <c r="P133" i="4"/>
  <c r="O137" i="4"/>
  <c r="R145" i="4"/>
  <c r="O149" i="4"/>
  <c r="Q158" i="4"/>
  <c r="P160" i="4"/>
  <c r="P162" i="4"/>
  <c r="P174" i="4"/>
  <c r="O176" i="4"/>
  <c r="R185" i="4"/>
  <c r="O190" i="4"/>
  <c r="Q203" i="4"/>
  <c r="P205" i="4"/>
  <c r="O207" i="4"/>
  <c r="Q57" i="4"/>
  <c r="U67" i="4"/>
  <c r="P103" i="4"/>
  <c r="U115" i="4"/>
  <c r="P149" i="4"/>
  <c r="R160" i="4"/>
  <c r="Q162" i="4"/>
  <c r="Q205" i="4"/>
  <c r="Q207" i="4"/>
  <c r="I2" i="13"/>
  <c r="I18" i="13"/>
  <c r="A10" i="17"/>
  <c r="E10" i="17"/>
  <c r="D10" i="17"/>
  <c r="I13" i="13"/>
  <c r="I29" i="13"/>
  <c r="O2" i="14"/>
  <c r="E3" i="17"/>
  <c r="I8" i="13"/>
  <c r="J24" i="13"/>
  <c r="L24" i="13"/>
  <c r="C3" i="17"/>
  <c r="M2" i="14"/>
  <c r="D3" i="17"/>
  <c r="F2" i="15"/>
  <c r="B17" i="17"/>
  <c r="M4" i="14"/>
  <c r="F3" i="17"/>
  <c r="B14" i="17"/>
  <c r="M5" i="14"/>
  <c r="O5" i="14" s="1"/>
  <c r="G3" i="17"/>
  <c r="B11" i="17"/>
  <c r="M12" i="14"/>
  <c r="O12" i="14" s="1"/>
  <c r="H3" i="17"/>
  <c r="H4" i="17" s="1"/>
  <c r="B8" i="17"/>
  <c r="I3" i="17"/>
  <c r="B18" i="17"/>
  <c r="B12" i="17"/>
  <c r="B9" i="17"/>
  <c r="D4" i="17"/>
  <c r="L2" i="17"/>
  <c r="B19" i="17"/>
  <c r="D12" i="14"/>
  <c r="B16" i="17"/>
  <c r="B13" i="17"/>
  <c r="L3" i="17" l="1"/>
  <c r="U212" i="4"/>
  <c r="E4" i="17"/>
  <c r="N10" i="8"/>
  <c r="O10" i="8" s="1"/>
  <c r="N8" i="8"/>
  <c r="O8" i="8" s="1"/>
  <c r="N12" i="8"/>
  <c r="O12" i="8" s="1"/>
  <c r="N18" i="8"/>
  <c r="O18" i="8" s="1"/>
  <c r="P13" i="14"/>
  <c r="Q13" i="14" s="1"/>
  <c r="L28" i="13"/>
  <c r="J28" i="13"/>
  <c r="N4" i="8"/>
  <c r="O4" i="8" s="1"/>
  <c r="P12" i="14"/>
  <c r="Q12" i="14" s="1"/>
  <c r="J8" i="13"/>
  <c r="L8" i="13"/>
  <c r="N15" i="8"/>
  <c r="O15" i="8" s="1"/>
  <c r="L20" i="13"/>
  <c r="J20" i="13"/>
  <c r="N19" i="8"/>
  <c r="O19" i="8" s="1"/>
  <c r="L4" i="13"/>
  <c r="J4" i="13"/>
  <c r="M6" i="10"/>
  <c r="L6" i="10"/>
  <c r="K6" i="10"/>
  <c r="L30" i="13"/>
  <c r="J30" i="13"/>
  <c r="L14" i="13"/>
  <c r="J14" i="13"/>
  <c r="M4" i="10"/>
  <c r="L4" i="10"/>
  <c r="N4" i="10" s="1"/>
  <c r="K4" i="10"/>
  <c r="L22" i="13"/>
  <c r="J22" i="13"/>
  <c r="L33" i="13"/>
  <c r="J33" i="13"/>
  <c r="N16" i="8"/>
  <c r="O16" i="8" s="1"/>
  <c r="N7" i="8"/>
  <c r="O7" i="8" s="1"/>
  <c r="E11" i="17"/>
  <c r="D11" i="17"/>
  <c r="C11" i="17"/>
  <c r="A11" i="17"/>
  <c r="L13" i="13"/>
  <c r="J13" i="13"/>
  <c r="L15" i="13"/>
  <c r="J15" i="13"/>
  <c r="N13" i="8"/>
  <c r="O13" i="8" s="1"/>
  <c r="N5" i="8"/>
  <c r="O5" i="8" s="1"/>
  <c r="L6" i="13"/>
  <c r="J6" i="13"/>
  <c r="D16" i="17"/>
  <c r="C16" i="17"/>
  <c r="A16" i="17"/>
  <c r="E16" i="17"/>
  <c r="E19" i="17"/>
  <c r="D19" i="17"/>
  <c r="C19" i="17"/>
  <c r="A19" i="17"/>
  <c r="E17" i="17"/>
  <c r="D17" i="17"/>
  <c r="C17" i="17"/>
  <c r="A17" i="17"/>
  <c r="J16" i="13"/>
  <c r="L16" i="13"/>
  <c r="L4" i="17"/>
  <c r="K7" i="10"/>
  <c r="M7" i="10"/>
  <c r="L7" i="10"/>
  <c r="N7" i="10" s="1"/>
  <c r="J32" i="13"/>
  <c r="L32" i="13"/>
  <c r="C13" i="17"/>
  <c r="A13" i="17"/>
  <c r="E13" i="17"/>
  <c r="D13" i="17"/>
  <c r="E14" i="17"/>
  <c r="D14" i="17"/>
  <c r="C14" i="17"/>
  <c r="A14" i="17"/>
  <c r="K3" i="17"/>
  <c r="G4" i="17"/>
  <c r="N17" i="8"/>
  <c r="O17" i="8" s="1"/>
  <c r="L18" i="13"/>
  <c r="J18" i="13"/>
  <c r="M5" i="10"/>
  <c r="L5" i="10"/>
  <c r="N5" i="10" s="1"/>
  <c r="K5" i="10"/>
  <c r="N14" i="8"/>
  <c r="O14" i="8" s="1"/>
  <c r="L11" i="13"/>
  <c r="J11" i="13"/>
  <c r="L5" i="13"/>
  <c r="J5" i="13"/>
  <c r="L23" i="13"/>
  <c r="J23" i="13"/>
  <c r="L29" i="13"/>
  <c r="J29" i="13"/>
  <c r="E9" i="17"/>
  <c r="D9" i="17"/>
  <c r="C9" i="17"/>
  <c r="A9" i="17"/>
  <c r="L26" i="13"/>
  <c r="J26" i="13"/>
  <c r="N9" i="8"/>
  <c r="O9" i="8" s="1"/>
  <c r="L2" i="13"/>
  <c r="J2" i="13"/>
  <c r="L10" i="13"/>
  <c r="J10" i="13"/>
  <c r="N6" i="8"/>
  <c r="O6" i="8" s="1"/>
  <c r="L21" i="13"/>
  <c r="J21" i="13"/>
  <c r="E12" i="17"/>
  <c r="D12" i="17"/>
  <c r="C12" i="17"/>
  <c r="A12" i="17"/>
  <c r="E18" i="17"/>
  <c r="D18" i="17"/>
  <c r="C18" i="17"/>
  <c r="A18" i="17"/>
  <c r="M3" i="17"/>
  <c r="L12" i="13"/>
  <c r="J12" i="13"/>
  <c r="E8" i="17"/>
  <c r="D8" i="17"/>
  <c r="C8" i="17"/>
  <c r="A8" i="17"/>
  <c r="S12" i="14" l="1"/>
  <c r="T12" i="14" s="1"/>
  <c r="I2" i="17" s="1"/>
  <c r="I4" i="17" s="1"/>
  <c r="S13" i="14"/>
  <c r="T13" i="14" s="1"/>
  <c r="V13" i="14" s="1"/>
  <c r="G5" i="14"/>
  <c r="I5" i="14" s="1"/>
  <c r="G4" i="14"/>
  <c r="I4" i="14" s="1"/>
  <c r="D4" i="15"/>
  <c r="G3" i="14"/>
  <c r="I3" i="14" s="1"/>
  <c r="G2" i="14"/>
  <c r="I2" i="14" s="1"/>
  <c r="J2" i="17" s="1"/>
  <c r="D3" i="15"/>
  <c r="N6" i="10"/>
  <c r="J4" i="17" l="1"/>
  <c r="F3" i="15"/>
  <c r="G3" i="15" s="1"/>
  <c r="K2" i="14"/>
  <c r="L2" i="14" s="1"/>
  <c r="K3" i="14"/>
  <c r="L3" i="14" s="1"/>
  <c r="F4" i="15"/>
  <c r="G4" i="15" s="1"/>
  <c r="K4" i="14"/>
  <c r="L4" i="14" s="1"/>
  <c r="K5" i="14"/>
  <c r="L5" i="14" s="1"/>
  <c r="P5" i="14" l="1"/>
  <c r="Q5" i="14" s="1"/>
  <c r="P4" i="14"/>
  <c r="Q4" i="14" s="1"/>
  <c r="P2" i="14"/>
  <c r="Q2" i="14" s="1"/>
  <c r="P3" i="14"/>
  <c r="Q3" i="14" s="1"/>
  <c r="S3" i="14" l="1"/>
  <c r="T3" i="14" s="1"/>
  <c r="V3" i="14" s="1"/>
  <c r="S2" i="14"/>
  <c r="T2" i="14" s="1"/>
  <c r="S4" i="14"/>
  <c r="T4" i="14" s="1"/>
  <c r="S5" i="14"/>
  <c r="T5" i="14" s="1"/>
  <c r="V5" i="14" s="1"/>
  <c r="F2" i="17" l="1"/>
  <c r="F4" i="17" s="1"/>
  <c r="K2" i="17" l="1"/>
  <c r="K4" i="17" s="1"/>
  <c r="M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Arquinering</author>
  </authors>
  <commentList>
    <comment ref="B3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NOTA: meses marcados en amarillo tienen valores estimados (previsión). Actualizar con INDEC al publicarse.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Arquinering</author>
  </authors>
  <commentList>
    <comment ref="A3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Celdas amarillas = tarifas futuras pendientes de actualizar con paritarias UOCRA.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migracion</author>
  </authors>
  <commentList>
    <comment ref="A117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Falta nº de cuenta Tezamat para: Eléctrico MO, Herrería MO. Completar cuando Tezamat lo provea.</t>
        </r>
      </text>
    </comment>
  </commentList>
</comments>
</file>

<file path=xl/sharedStrings.xml><?xml version="1.0" encoding="utf-8"?>
<sst xmlns="http://schemas.openxmlformats.org/spreadsheetml/2006/main" count="18372" uniqueCount="4699">
  <si>
    <t>Cuenta</t>
  </si>
  <si>
    <t>Desc Cuenta</t>
  </si>
  <si>
    <t>Fecha Asiento</t>
  </si>
  <si>
    <t>Nº Asiento</t>
  </si>
  <si>
    <t>Observaciones</t>
  </si>
  <si>
    <t>Cliente/Proveedor</t>
  </si>
  <si>
    <t>Cód Comprobante</t>
  </si>
  <si>
    <t>Nº Comprobante</t>
  </si>
  <si>
    <t>Debe</t>
  </si>
  <si>
    <t>Haber</t>
  </si>
  <si>
    <t>Unidad</t>
  </si>
  <si>
    <t>Desc Unidad</t>
  </si>
  <si>
    <t>Centro de Costo</t>
  </si>
  <si>
    <t>Desc Centro Costo</t>
  </si>
  <si>
    <t>Saldo Inicial</t>
  </si>
  <si>
    <t>Observaciones original</t>
  </si>
  <si>
    <t>mov_id</t>
  </si>
  <si>
    <t>mov_tipo</t>
  </si>
  <si>
    <t>Preliminares</t>
  </si>
  <si>
    <t>PRELIMINARES - Comercial cmp S</t>
  </si>
  <si>
    <t>Comercial cmp S.A</t>
  </si>
  <si>
    <t>FCA3</t>
  </si>
  <si>
    <t>DESA</t>
  </si>
  <si>
    <t>Desarrollos</t>
  </si>
  <si>
    <t xml:space="preserve">CHIVILCOY      </t>
  </si>
  <si>
    <t>CHIVILCOY 2171</t>
  </si>
  <si>
    <t>Varios Ferreteria</t>
  </si>
  <si>
    <t xml:space="preserve">Varios Ferreteria             </t>
  </si>
  <si>
    <t>OPXX</t>
  </si>
  <si>
    <t>PRELIMINARES - CUTULI HNOS S.A</t>
  </si>
  <si>
    <t>CUTULI HNOS S.A.</t>
  </si>
  <si>
    <t>H. Seguridad e Higiene</t>
  </si>
  <si>
    <t>Honorarios Seguridad e Higiene</t>
  </si>
  <si>
    <t>Petrini David Osvaldo</t>
  </si>
  <si>
    <t>Cerco de obra - Pinturerias Pr</t>
  </si>
  <si>
    <t>Pinturerias Prestigio S.A</t>
  </si>
  <si>
    <t>Albañilería MT</t>
  </si>
  <si>
    <t>ALBAÑILERIA MT - CUTULI HNOS S</t>
  </si>
  <si>
    <t>Gastos Generales</t>
  </si>
  <si>
    <t xml:space="preserve">Baño portatil - ECOBAT SRL    </t>
  </si>
  <si>
    <t>ECOBAT SRL</t>
  </si>
  <si>
    <t>PRELIMINARES - Pinturerias Pre</t>
  </si>
  <si>
    <t>CH-SC-001 | BASE | Claudio Balaclav - Gestor Elec</t>
  </si>
  <si>
    <t>Claudio Balaclav - Gestor Elec</t>
  </si>
  <si>
    <t xml:space="preserve">PRELIMINARES - FABELEC        </t>
  </si>
  <si>
    <t>FABELEC</t>
  </si>
  <si>
    <t>Constancia Inspeccion Cartel -</t>
  </si>
  <si>
    <t>DESSINS CARTELERIA S.R.L</t>
  </si>
  <si>
    <t>Gastos en personal</t>
  </si>
  <si>
    <t xml:space="preserve">Gastos en personal            </t>
  </si>
  <si>
    <t>CH-SC-002 | BASE | Alejandro Ardiles - Agrimensor</t>
  </si>
  <si>
    <t>Alejandro Ardiles - Agrimensor</t>
  </si>
  <si>
    <t>PRELIMINARES - Casa Castelao S</t>
  </si>
  <si>
    <t>Casa Castelao S.A.</t>
  </si>
  <si>
    <t>Hormigón MT</t>
  </si>
  <si>
    <t>CH-SC-003 | BASE | HORMIGON MT - FEIS DEL OESTE C</t>
  </si>
  <si>
    <t>FEIS DEL OESTE CONSTRUCTORA SA</t>
  </si>
  <si>
    <t>HORMIGON MT - FEIS DEL OESTE C</t>
  </si>
  <si>
    <t>Sanitaria MT</t>
  </si>
  <si>
    <t>SANITARIA MT - Sanitriun S.R.L</t>
  </si>
  <si>
    <t>Sanitriun S.R.L</t>
  </si>
  <si>
    <t>Cartel obra - DESSINS CARTELER</t>
  </si>
  <si>
    <t>Mov. Variables</t>
  </si>
  <si>
    <t>Fletes - ROBLES EDUARDO NICOLA</t>
  </si>
  <si>
    <t>ROBLES EDUARDO NICOLAS</t>
  </si>
  <si>
    <t>PRELIMINARES - DESSINS CARTELE</t>
  </si>
  <si>
    <t xml:space="preserve">Nafta Super - YPF S.A.        </t>
  </si>
  <si>
    <t>YPF S.A.</t>
  </si>
  <si>
    <t xml:space="preserve">ICL - YPF S.A.                </t>
  </si>
  <si>
    <t>Seguridad e Higiene</t>
  </si>
  <si>
    <t>Matafuegos - LSH Servicios SRL</t>
  </si>
  <si>
    <t>LSH Servicios SRL</t>
  </si>
  <si>
    <t xml:space="preserve">Estacionamiento               </t>
  </si>
  <si>
    <t>Albañilería MO</t>
  </si>
  <si>
    <t xml:space="preserve">1Q 03-2026 - Obra Chivilcoy   </t>
  </si>
  <si>
    <t xml:space="preserve">1Q 03-2026 - Lescano S. Oscar </t>
  </si>
  <si>
    <t xml:space="preserve">Viaticos                      </t>
  </si>
  <si>
    <t>NCA3</t>
  </si>
  <si>
    <t>Obra civil Reforma</t>
  </si>
  <si>
    <t>Obras - Fideicomiso Arquinerin</t>
  </si>
  <si>
    <t>Fideicomiso Arquinering Parque</t>
  </si>
  <si>
    <t>FAWS</t>
  </si>
  <si>
    <t xml:space="preserve">Baño quimico - ECOBAT SRL     </t>
  </si>
  <si>
    <t xml:space="preserve">IDC - YPF S.A.                </t>
  </si>
  <si>
    <t xml:space="preserve">Infinia Diesel - YPF S.A.     </t>
  </si>
  <si>
    <t xml:space="preserve">Nafta Infinia - YPF S.A.      </t>
  </si>
  <si>
    <t xml:space="preserve">2Q 03-2026 - CHIVILCOY        </t>
  </si>
  <si>
    <t>Aguas</t>
  </si>
  <si>
    <t xml:space="preserve">Aguas - EMBOTELLADORA BONSAL  </t>
  </si>
  <si>
    <t>EMBOTELLADORA BONSAL</t>
  </si>
  <si>
    <t>Saveiro - RUGGERI LEANDRO RAUL</t>
  </si>
  <si>
    <t>RUGGERI LEANDRO RAUL</t>
  </si>
  <si>
    <t xml:space="preserve">FC3 </t>
  </si>
  <si>
    <t>H. Gestoria</t>
  </si>
  <si>
    <t xml:space="preserve">Farmacia                      </t>
  </si>
  <si>
    <t xml:space="preserve">Preliminares                  </t>
  </si>
  <si>
    <t>HORMIGON MT - Comercial cmp S.</t>
  </si>
  <si>
    <t xml:space="preserve">Kit de ollas y utensilios     </t>
  </si>
  <si>
    <t>CH-SC-004 | BASE | Celsi Vial - Certif. #1</t>
  </si>
  <si>
    <t xml:space="preserve">Celsi Vial - Certif. #1       </t>
  </si>
  <si>
    <t xml:space="preserve">1Q 04-2026                    </t>
  </si>
  <si>
    <t xml:space="preserve">1Q 04-26-Lezcano Oscar-SERENO </t>
  </si>
  <si>
    <t xml:space="preserve">Volquetes                     </t>
  </si>
  <si>
    <t>Varios Ferreteria - Sabatini D</t>
  </si>
  <si>
    <t>Sabatini Daniel Gerardo y Diamantini Luciano</t>
  </si>
  <si>
    <t>HORMIGON MT - CUTULI HNOS S.A.</t>
  </si>
  <si>
    <t>Homigón MO</t>
  </si>
  <si>
    <t>CH-SC-003 | BASE | Micropilotes - FEIS DEL OESTE</t>
  </si>
  <si>
    <t xml:space="preserve">Micropilotes - FEIS DEL OESTE </t>
  </si>
  <si>
    <t xml:space="preserve">GASTOS GENERALES - ECOBAT SRL </t>
  </si>
  <si>
    <t>CH-SC-003 | BASE | FEIS Construcciones - Certif.</t>
  </si>
  <si>
    <t xml:space="preserve">FEIS Construcciones - Certif. </t>
  </si>
  <si>
    <t>Gastos en Personales - Sabatin</t>
  </si>
  <si>
    <t xml:space="preserve">EPP - Abrafer S.R.L.          </t>
  </si>
  <si>
    <t>Abrafer S.R.L.</t>
  </si>
  <si>
    <t xml:space="preserve">2Q 04-2026 - CHIV             </t>
  </si>
  <si>
    <t xml:space="preserve">Oro Gris - Hormigon Chivilcoy </t>
  </si>
  <si>
    <t>CH-SC-003 | BASE | HORMIGON MO - FEIS DEL OESTE C</t>
  </si>
  <si>
    <t>HORMIGON MO - FEIS DEL OESTE C</t>
  </si>
  <si>
    <t xml:space="preserve">1Q 05-2026 - CHIVILCOY        </t>
  </si>
  <si>
    <t xml:space="preserve">Cutuli Hnos                   </t>
  </si>
  <si>
    <t>CH-SC-003 | CAC | CAC desagregado de fila 83</t>
  </si>
  <si>
    <t>(CAC desagregado de fila 83)</t>
  </si>
  <si>
    <t>CH-SC-003 | CAC | CAC desagregado de fila 107</t>
  </si>
  <si>
    <t>(CAC desagregado de fila 107)</t>
  </si>
  <si>
    <t>Herrería MO</t>
  </si>
  <si>
    <t>QUINCENA 2026-01 2Q</t>
  </si>
  <si>
    <t>(generado de 2_Quincenas 2026-01 2Q)</t>
  </si>
  <si>
    <t>QUINCENA 2026-02 1Q</t>
  </si>
  <si>
    <t>(generado de 2_Quincenas 2026-02 1Q)</t>
  </si>
  <si>
    <t>QUINCENA 2026-03 1Q</t>
  </si>
  <si>
    <t>(generado de 2_Quincenas 2026-03 1Q)</t>
  </si>
  <si>
    <t>Eléctrico MO</t>
  </si>
  <si>
    <t>QUINCENA 2026-03 2Q</t>
  </si>
  <si>
    <t>(generado de 2_Quincenas 2026-03 2Q)</t>
  </si>
  <si>
    <t>QUINCENA 2026-04 1Q</t>
  </si>
  <si>
    <t>(generado de 2_Quincenas 2026-04 1Q)</t>
  </si>
  <si>
    <t>▌ CONFIGURACIÓN DE OBRA — CH 2171</t>
  </si>
  <si>
    <t>Nombre de obra</t>
  </si>
  <si>
    <t>Chivilcoy 2171</t>
  </si>
  <si>
    <t>Estado</t>
  </si>
  <si>
    <t>En ejecución</t>
  </si>
  <si>
    <t>Fecha inicio</t>
  </si>
  <si>
    <t>Duración estimada (meses)</t>
  </si>
  <si>
    <t>— ÍNDICE CAC —</t>
  </si>
  <si>
    <t>Mes base CAC</t>
  </si>
  <si>
    <t>Valor CAC base (INDEC)</t>
  </si>
  <si>
    <t>Mes corriente</t>
  </si>
  <si>
    <t>Ratio CAC corriente</t>
  </si>
  <si>
    <t>— COEFICIENTE K —</t>
  </si>
  <si>
    <t>K (Gastos Generales y Beneficio)</t>
  </si>
  <si>
    <t>CRÍTICO: no modificar manualmente</t>
  </si>
  <si>
    <t>— PRESUPUESTO —</t>
  </si>
  <si>
    <t>Apertura fiscal</t>
  </si>
  <si>
    <t>B65 / N35 / GDN</t>
  </si>
  <si>
    <t>Costo controlable (sin EQ)</t>
  </si>
  <si>
    <t>Costo total (con EQ)</t>
  </si>
  <si>
    <t>Precio de venta total</t>
  </si>
  <si>
    <t>Sanity check (debe ser 0)</t>
  </si>
  <si>
    <t>EQ no tiene rubro asignado → excluido de costo controlable</t>
  </si>
  <si>
    <t>— RECONCILIACIÓN MENSUAL —</t>
  </si>
  <si>
    <t>Total egresos (2_Movimientos)</t>
  </si>
  <si>
    <t>Total Tezamat (pegar mensual)</t>
  </si>
  <si>
    <t>Diferencia (debe ser 0)</t>
  </si>
  <si>
    <t>Tolerancia conciliación ($)</t>
  </si>
  <si>
    <t>— PENDIENTES (celdas amarillas) —</t>
  </si>
  <si>
    <t>0_Indice_CAC col B</t>
  </si>
  <si>
    <t>CAC meses futuros sin publicar</t>
  </si>
  <si>
    <t>0_Jornales_MO</t>
  </si>
  <si>
    <t>Tarifas UOCRA meses futuros</t>
  </si>
  <si>
    <t>0_CONFIG!B46</t>
  </si>
  <si>
    <t>Input mensual total Tezamat</t>
  </si>
  <si>
    <t>1_Presupuesto cols A,B,C,D</t>
  </si>
  <si>
    <t>Asignación de rubros por ítem (4 cols input manual)</t>
  </si>
  <si>
    <t>INDICE CAC</t>
  </si>
  <si>
    <t>IMPORTACIÓN MAESTRA (pendiente): este índice se actualiza por proceso Python desde archivo maestro externo (p.ej. archivos/fuente/CAC_maestro.xlsx). NO usar vínculos externos vivos. Una sola actualización en el maestro -&gt; import a cada Resumen.</t>
  </si>
  <si>
    <t>En rojo se pinta el mes cerrado anterior</t>
  </si>
  <si>
    <t>Mes</t>
  </si>
  <si>
    <t>Valor INDEC</t>
  </si>
  <si>
    <t>Previsión</t>
  </si>
  <si>
    <t>Ratio deflactación</t>
  </si>
  <si>
    <t>TABLA DE TARIFAS UOCRA POR CATEGORÍA</t>
  </si>
  <si>
    <t>IMPORTACIÓN MAESTRA (pendiente): tarifas UOCRA se actualizan por proceso Python desde archivo maestro externo (p.ej. archivos/fuente/Jornales_maestro.xlsx). NO usar vínculos externos vivos.</t>
  </si>
  <si>
    <t>ESPECIALIZADO</t>
  </si>
  <si>
    <t>OFICIAL</t>
  </si>
  <si>
    <t>MEDIO OFICIAL</t>
  </si>
  <si>
    <t>AYUDANTE</t>
  </si>
  <si>
    <t>ESP/hora</t>
  </si>
  <si>
    <t>OF/hora</t>
  </si>
  <si>
    <t>1/2OF/hora</t>
  </si>
  <si>
    <t>AYU/hora</t>
  </si>
  <si>
    <t>PRESUPUESTO AL COSTO Y PRECIO DE VENTA — CH 2171</t>
  </si>
  <si>
    <t>Rubro MT</t>
  </si>
  <si>
    <t>Rubro MT/Prov</t>
  </si>
  <si>
    <t>Rubro MO/OTR</t>
  </si>
  <si>
    <t>Rubro MO/ALB</t>
  </si>
  <si>
    <t>Cod. Ítem</t>
  </si>
  <si>
    <t>Descripción</t>
  </si>
  <si>
    <t>U</t>
  </si>
  <si>
    <t>Cant</t>
  </si>
  <si>
    <t>MT</t>
  </si>
  <si>
    <t>MO/OTR</t>
  </si>
  <si>
    <t>MO/ALB</t>
  </si>
  <si>
    <t>EQ</t>
  </si>
  <si>
    <t>Costo Unit.</t>
  </si>
  <si>
    <t>P.Unit</t>
  </si>
  <si>
    <t>Margen</t>
  </si>
  <si>
    <t>Costo total</t>
  </si>
  <si>
    <t>PV subtotal</t>
  </si>
  <si>
    <t>Etapa</t>
  </si>
  <si>
    <t>Presupuesto</t>
  </si>
  <si>
    <t>% Acum Tot</t>
  </si>
  <si>
    <t>-</t>
  </si>
  <si>
    <t>TAREAS PRELIMINARES</t>
  </si>
  <si>
    <t>Tareas Preliminares</t>
  </si>
  <si>
    <t>PTO 01</t>
  </si>
  <si>
    <t>OK</t>
  </si>
  <si>
    <t>Limpieza y preparación del terreno - No cotiza</t>
  </si>
  <si>
    <t>gl</t>
  </si>
  <si>
    <t>Topógrafo - Visita de obra replanteo</t>
  </si>
  <si>
    <t>un</t>
  </si>
  <si>
    <t>Cartel de Obra - No cotiza</t>
  </si>
  <si>
    <t>Cerco de obra perimetral - En chapa C25 + Concertina + Porton corredizo</t>
  </si>
  <si>
    <t>ml</t>
  </si>
  <si>
    <t>Obrador, pañol y ducha</t>
  </si>
  <si>
    <t>Alquiler de baños quimicos y duchas portatiles</t>
  </si>
  <si>
    <t>mes</t>
  </si>
  <si>
    <t>Conexión pilar y luz de obra + Tablero de obra</t>
  </si>
  <si>
    <t>Conexión agua de obra, tanque + bomba</t>
  </si>
  <si>
    <t>Tramite luz de obra, certificado luz de obra (2) y medición PAT</t>
  </si>
  <si>
    <t>MOVIMIENTO DE TIERRA, COMPACTACION Y RELLENO</t>
  </si>
  <si>
    <t>Movimiento de Tierra</t>
  </si>
  <si>
    <t>Movimiento de Suelos</t>
  </si>
  <si>
    <t>Retiro de suelo vegetal e: 50 cm, aporte y compactación de tosca e: 40 cm (dos capas de 20 cm)</t>
  </si>
  <si>
    <t>m2</t>
  </si>
  <si>
    <t>Excavación para cámara transformadora</t>
  </si>
  <si>
    <t>m3</t>
  </si>
  <si>
    <t>Excavación manual para tensores y vigas de fundación</t>
  </si>
  <si>
    <t>Demolición y retiro de fundaciones existentes - No cotiza</t>
  </si>
  <si>
    <t>ESTRUCTURA RESISTENTE</t>
  </si>
  <si>
    <t>Estructura Resistente</t>
  </si>
  <si>
    <t>Hormigón de limpieza - e: 10 cm</t>
  </si>
  <si>
    <t>Micropilotes Ø 20 cm</t>
  </si>
  <si>
    <t>Platea - H30 (110 kg/m3 de hierro)</t>
  </si>
  <si>
    <t>Zapata corrida tabique - H30 (180 kg/m3 de hierro)</t>
  </si>
  <si>
    <t>Bases aisladas - H30 (110 kg/m3 de hierro)</t>
  </si>
  <si>
    <t>Cabezales - H30 (130 kg/m3 de hierro)</t>
  </si>
  <si>
    <t>Viga de  fundación - H30 (180 kg/m3 de hierro)</t>
  </si>
  <si>
    <t>Tabique submuración - H30 (90 kg/m3 de hierro)</t>
  </si>
  <si>
    <t>Puntales de compresión/codales - H30 (120 kg/m3)</t>
  </si>
  <si>
    <t>Columna - H30 (240 kg/m3 de hierro)</t>
  </si>
  <si>
    <t>Tabiques - H30 (120 kg/m3 de hierro)</t>
  </si>
  <si>
    <t>Viga H° Visto - H30 (120 kg/m3 de hierro)</t>
  </si>
  <si>
    <t>Viga apeo s/PB - H30 (180 kg/m3 de hierro)</t>
  </si>
  <si>
    <t>Viga - H30 (120 kg/m3 de hierro)</t>
  </si>
  <si>
    <t>Losa - H30 (95 kg/m3 de hierro)</t>
  </si>
  <si>
    <t>Losa H° Visto - H30 (95 kg/m3 de hierro)</t>
  </si>
  <si>
    <t>Escalera - H30 (105 kg/m3)</t>
  </si>
  <si>
    <t>Viga alero - H30 (120 kg/m3 de hierro)</t>
  </si>
  <si>
    <t>Sistema de apuntalamiento y reapuntalamiento</t>
  </si>
  <si>
    <t>Ensayos de Hormigon por etapas de hormigonado</t>
  </si>
  <si>
    <t>u</t>
  </si>
  <si>
    <t>Permiso de estacionamiento de bomba de hormigón a contramano</t>
  </si>
  <si>
    <t>Picado de medianeras para columnas y vigas - Cotizado solo para PB, 1P, NO contempla picado en CT</t>
  </si>
  <si>
    <t>AYUDA DE GREMIOS</t>
  </si>
  <si>
    <t>Ayuda de Gremios</t>
  </si>
  <si>
    <t>Sereno</t>
  </si>
  <si>
    <t>Tecnico de seguridad &amp; higiene permanente en Obra</t>
  </si>
  <si>
    <t>Higiene y seguridad Res 51</t>
  </si>
  <si>
    <t>Protecciones y defensas</t>
  </si>
  <si>
    <t>Ayuda de gremios</t>
  </si>
  <si>
    <t>Limpieza periódica</t>
  </si>
  <si>
    <t>Fletes</t>
  </si>
  <si>
    <t>Volquetes</t>
  </si>
  <si>
    <t>JEFATURA DE OBRA</t>
  </si>
  <si>
    <t>Jefatura de Obra</t>
  </si>
  <si>
    <t>Supervisión de Obra MO</t>
  </si>
  <si>
    <t>Proyecto Ejecutivo y Supervisión profesional de Obra</t>
  </si>
  <si>
    <t>Movilidad y viaticos</t>
  </si>
  <si>
    <t>MAMPOSTERÍA</t>
  </si>
  <si>
    <t>Mampostería</t>
  </si>
  <si>
    <t>PTO 02</t>
  </si>
  <si>
    <t>Muro tipo 1 (interiores, divisorio de locales) e: 10 cm - Ladrillo hueco 08 x 18 x 33</t>
  </si>
  <si>
    <t>Muro tipo 2 y 3 (medianera, caja de escaleras y ascensor) e: 15 cm - Ladrillo hueco portante 12 x 19 x 33</t>
  </si>
  <si>
    <t>Muro tipo 4 (divisorio de unidades y fachadas) e: 15 cm -  Ladrillo hueco 12 x 18 x 33</t>
  </si>
  <si>
    <t>Enchape medianeras existentes - Contemplamos picado zonas sueltas y enchape con ladrillo comun para PB y 1°</t>
  </si>
  <si>
    <t>IN</t>
  </si>
  <si>
    <t>Muro de tabique seco ignifugo</t>
  </si>
  <si>
    <t>Vigas de encadenado - En muros de PB, incl. excavación y armado</t>
  </si>
  <si>
    <t>AISLACIONES</t>
  </si>
  <si>
    <t>Aislaciones</t>
  </si>
  <si>
    <t>Aislación hidrófuga horizontal (baños) - Inc. membrana geotextil y 35% en concepto de babetas</t>
  </si>
  <si>
    <t>Cajón hidrófugo - Muros de PB</t>
  </si>
  <si>
    <t>Azotado hidrófugo - Sobre contrapiso en vereda y PB</t>
  </si>
  <si>
    <t>Aislación térmica en terrazas, eps e:2,00 cm</t>
  </si>
  <si>
    <t>Barrera de vapor</t>
  </si>
  <si>
    <t>Membrana asfaltica geotextil 4mm - Balcones y azotea - Inc. 20% en concepto de babetas</t>
  </si>
  <si>
    <t>CUBIERTAS</t>
  </si>
  <si>
    <t>Cubiertas</t>
  </si>
  <si>
    <t>Babeta de chapa galvanizada en medianeras</t>
  </si>
  <si>
    <t>REVOQUES</t>
  </si>
  <si>
    <t>Revoques</t>
  </si>
  <si>
    <t>Revoque Grueso Impermeable Exterior</t>
  </si>
  <si>
    <t>Revoque Grueso Impermeable Exterior a mas de 3m - Medianero y fachadas</t>
  </si>
  <si>
    <t>Buña en revoque - Estimados ml en medianeras</t>
  </si>
  <si>
    <t>Revoque Grueso Interior + fino</t>
  </si>
  <si>
    <t>Durlock MT</t>
  </si>
  <si>
    <t>Durlock MO</t>
  </si>
  <si>
    <t>Yeso interior</t>
  </si>
  <si>
    <t>Arista en yeso</t>
  </si>
  <si>
    <t>Provisión y colocación de guardacanto yesero</t>
  </si>
  <si>
    <t>Revoque Grueso Impermeable Interior b/ revestimiento</t>
  </si>
  <si>
    <t>CONTRAPISOS Y CARPETAS</t>
  </si>
  <si>
    <t>Contrapisos y Carpetas</t>
  </si>
  <si>
    <t>Contrapiso de cascotes s/ss e: 15 cm</t>
  </si>
  <si>
    <t>Contrapiso armado de H° pobre s/terreno natural e: 20 cm - Incluye film de polietileno</t>
  </si>
  <si>
    <t>Contrapiso de cascotes en azoteas c/pendiente e: 15 cm</t>
  </si>
  <si>
    <t>Contrapiso - Carpeta monolitico e: 6 cm</t>
  </si>
  <si>
    <t>Carpeta en PB, balcones, baños y azoteas e: 3,00 cm</t>
  </si>
  <si>
    <t>Carpeta sobre membrana, e: 3,00 cm</t>
  </si>
  <si>
    <t>R</t>
  </si>
  <si>
    <t>Banquinas para cocinas - N/A</t>
  </si>
  <si>
    <t>Banquinas para bombas, TT, etc. h: 15 cm</t>
  </si>
  <si>
    <t>ESCALERAS</t>
  </si>
  <si>
    <t>Escaleras</t>
  </si>
  <si>
    <t>Provisión y ejecución de alisado de cemento en pedadas y alzadas</t>
  </si>
  <si>
    <t>Provisión y colocación de nariz metálica en escalones</t>
  </si>
  <si>
    <t>Zócalo de concreto en escalera - No incluye el ojo</t>
  </si>
  <si>
    <t>VENTILACIONES - PROVISION COTIZADA EN ITEM 26</t>
  </si>
  <si>
    <t>Ventilaciones</t>
  </si>
  <si>
    <t>Colocación de ventilación de conducto de humos. Inc. toma de aire en PB</t>
  </si>
  <si>
    <t>Colocación y montaje de conducto de ventilación en baños</t>
  </si>
  <si>
    <t>Colocación sombreretes en chapa prepintada C25 - Provisión en item 26</t>
  </si>
  <si>
    <t>PISOS - PROVISION A CARGO DEL COMITENTE</t>
  </si>
  <si>
    <t>Pisos</t>
  </si>
  <si>
    <t>Revestimiento MT</t>
  </si>
  <si>
    <t>Revestimiento MO</t>
  </si>
  <si>
    <t>Colocación de baldosas en palieres  - Provisión a cargo del comitente</t>
  </si>
  <si>
    <t>Colocación de porcelanato en UF - Provisión a cargo del comitente</t>
  </si>
  <si>
    <t>Colocación de porcelanato en baños - Provisión a cargo del comitente</t>
  </si>
  <si>
    <t>Colocación de porcelanato en exterior - Provisión a cargo del comitente</t>
  </si>
  <si>
    <t>Provisión y colocación de sustrato - No cotiza</t>
  </si>
  <si>
    <t>Provisión y ejecución de alisado de cemento rodillado</t>
  </si>
  <si>
    <t>Colocación de baldoson de vereda - Provisión a cargo del comitente</t>
  </si>
  <si>
    <t>ZOCALOS Y SOLIAS - PROVISION A CARGO DEL COMITENTE</t>
  </si>
  <si>
    <t>Zócalos y Solías</t>
  </si>
  <si>
    <t>Provisión y colocación de zocalos de Madera (MDF) h: 5 cm</t>
  </si>
  <si>
    <t>Colocación de zócalo de porcelanato en balcones UF - Provisión a cargo del comitente</t>
  </si>
  <si>
    <t>Colocación de zócalo de porcelanato en espacios comunes - Provisión a cargo del comitente</t>
  </si>
  <si>
    <t>Colocación de solia - Provisión a cargo del comitente</t>
  </si>
  <si>
    <t>REVESTIMIENTOS - PROVISION A CARGO DEL COMITENTE</t>
  </si>
  <si>
    <t>Revestimiento</t>
  </si>
  <si>
    <t>Revestimiento en baños - Provisión a cargo del comitente</t>
  </si>
  <si>
    <t>Revestimiento en cocinas - Provisión a cargo del comitente</t>
  </si>
  <si>
    <t>Provisión y colocación de perfileria de aluminio tipo ATRIM L anod. Natural - Provisión a cargo del comitente</t>
  </si>
  <si>
    <t>CIELORRASOS</t>
  </si>
  <si>
    <t>Cielorrasos</t>
  </si>
  <si>
    <t>Cielorraso suspendido junta tomada placa STD</t>
  </si>
  <si>
    <t>Cielorraso suspendido junta tomada placa RH</t>
  </si>
  <si>
    <t>Cajon en junta tomada placa STD</t>
  </si>
  <si>
    <t>Buña perimetral / Cantoneras</t>
  </si>
  <si>
    <t>Aplicado de yeso interior</t>
  </si>
  <si>
    <t>Buña en yeso</t>
  </si>
  <si>
    <t>H° Visto - Maquillaje para recibir pintura</t>
  </si>
  <si>
    <t>PINTURA</t>
  </si>
  <si>
    <t>Pintura</t>
  </si>
  <si>
    <t>Pintura MT</t>
  </si>
  <si>
    <t>Pintura MO</t>
  </si>
  <si>
    <t>Látex interior para paredes Bco. mate (enduido parcial) - Interiores UF</t>
  </si>
  <si>
    <t>Látex interior para paredes Bco. mate (s/enduido) - Espacios comunes y caja escalera</t>
  </si>
  <si>
    <t>Latex interior para paredes Bco. mate (enduido completo) - Cocinas/Estar</t>
  </si>
  <si>
    <t>Látex interior para cielorraso Bco. mate (enduido completo) - Baños y cocina</t>
  </si>
  <si>
    <t>Látex interior para cielorraso Bco. mate (enduido parcial) - Interiores UF</t>
  </si>
  <si>
    <t>Látex interior para cielorrasos Bco. mate (s/enduido) - En subsuelos, espacios comunes, escalera y balcones</t>
  </si>
  <si>
    <t>Revestimiento plástico a llana tipo Quimtex - Fachada frente/contrafrente y balcones</t>
  </si>
  <si>
    <t>Revestimiento plástico a llana tipo Quimtex en altura - Aire luz y balcones</t>
  </si>
  <si>
    <t>Preparación de superficie con base coat para recibir revestimiento - Vigas y cielorrasos balcones</t>
  </si>
  <si>
    <t>Revestimiento plástico a rodillo tipo Quimtex en altura - Medianeras</t>
  </si>
  <si>
    <t>Esmalte sintético en puertas placa, chapa y de ascensor</t>
  </si>
  <si>
    <t>Convertidor y esmalte sintético en barandas y herrerías - Escalera, balcones, barandas, portón, medidores, etc.</t>
  </si>
  <si>
    <t>MARMOLES Y GRANITOS - PROVISION Y COLOCACION A CARGO DEL COMITENTE</t>
  </si>
  <si>
    <t>Mármoles y Granitos</t>
  </si>
  <si>
    <t>CARPINTERIA - PROVISION A CARGO DEL COMITENTE</t>
  </si>
  <si>
    <t>Carpintería</t>
  </si>
  <si>
    <t>Amure de puertas placa  Provisión a cargo del comitente</t>
  </si>
  <si>
    <t>Amure de puertas de chapa e ingresos depto - Provisión a cargo del comitente</t>
  </si>
  <si>
    <t>Amure de premarcos - Provisión a cargo del comitente</t>
  </si>
  <si>
    <t>Amure Puertas de Ascensor - Provisión a cargo del comitente</t>
  </si>
  <si>
    <t>INSTALACION ELECTRICA</t>
  </si>
  <si>
    <t>Instalación Eléctrica</t>
  </si>
  <si>
    <t>Eléctrico MT</t>
  </si>
  <si>
    <t>Tendido y cableado boca Iluminación en losa</t>
  </si>
  <si>
    <t>Tendido y cableado boca Iluminación en pared</t>
  </si>
  <si>
    <t>Tendido y cableado boca caja mignon para Led</t>
  </si>
  <si>
    <t>Tendido y cableado boca extractor de baño</t>
  </si>
  <si>
    <t>Tendido y cableado boca tomacorriente</t>
  </si>
  <si>
    <t>Tendido y cableado boca tomacorriente especial (AA.CC)</t>
  </si>
  <si>
    <t>Tendido y cableado boca tomacorriente especial (Anafe/Horno)</t>
  </si>
  <si>
    <t>Boca MBT Timbre</t>
  </si>
  <si>
    <t>Boca de TV - Cañería c/cable testigo</t>
  </si>
  <si>
    <t>Boca de PE - Cañería c/cable testigo</t>
  </si>
  <si>
    <t>Tablero Servicios Generales - TSG</t>
  </si>
  <si>
    <t>Tablero Bombas impulsión - TS BA</t>
  </si>
  <si>
    <t>Tablero Seccional Ascensor - TS ASC</t>
  </si>
  <si>
    <t>Tablero de Bomba presurizadora - TS BOMB</t>
  </si>
  <si>
    <t>Tablero de UF - Monofasico</t>
  </si>
  <si>
    <t>Tablero de UF - Trifasico</t>
  </si>
  <si>
    <t>Montante eléctrica</t>
  </si>
  <si>
    <t>Montante TV + Tablero TV - Cañería c/cable testigo</t>
  </si>
  <si>
    <t>Montante PE + Tablero PE- Cañería c/cable testigo</t>
  </si>
  <si>
    <t>Colocación de teclas simples y/o combinadas - Provisión a cargo del comitente</t>
  </si>
  <si>
    <t>Colocación de pulsadores, circulación + timbres - Provisión a cargo del comitente</t>
  </si>
  <si>
    <t>Colocación de tomacorriente simple y doble 10/20 A - Provisión a cargo del comitente</t>
  </si>
  <si>
    <t>Colocación artefactos en espacios comunes y balcones - Provisión a cargo del comitente. NO incluye provisión, ni colocación de artefactos en interior de UF</t>
  </si>
  <si>
    <t>Colocación de luz de emergencia - Provisión a cargo del comitente</t>
  </si>
  <si>
    <t>Provisión y armado de medidores. Provisión y tendido de alim. por bandeja desde CT hasta medidores</t>
  </si>
  <si>
    <t>Puesta a tierra, jabalinas y cableados</t>
  </si>
  <si>
    <t>Certificado DCI para servicios generales</t>
  </si>
  <si>
    <t>INSTALACION SANITARIA, GRIFERIA Y SANITARIOS</t>
  </si>
  <si>
    <t>Instalación Sanitaria</t>
  </si>
  <si>
    <t>Sanitaria MO</t>
  </si>
  <si>
    <t>Tendido caño cloacal en planta baja</t>
  </si>
  <si>
    <t>Por armar CDV en UF</t>
  </si>
  <si>
    <t>Montantes, remate y ventilación a los 4 vientos</t>
  </si>
  <si>
    <t>Tendido caño pluvial en planta baja</t>
  </si>
  <si>
    <t>Tendido caño pluvial en balcones de UF y azoteas</t>
  </si>
  <si>
    <t>Tendido caño de agua en PB hasta TB. Armado de colector, cuadro de bombas y conexionado de TB - Provisión de tanques y bombas a cargo del comitente</t>
  </si>
  <si>
    <t>Conexión y armado de colector de TR. Montantes, subida y bajadas de AF - Provisión de tanques a cargo del comitente</t>
  </si>
  <si>
    <t>Armado de colector de TAR. Bajadas y retorno de ACS - Provisión a cargo del comitente</t>
  </si>
  <si>
    <t>Colocación de bomba presurizadora, armado de colector y montantes presurizadas de AF y AC (ultimos pisos 6° y 7°) - Provisión a cargo del comitente</t>
  </si>
  <si>
    <t>Distribución agua fria y caliente en planta tipo</t>
  </si>
  <si>
    <t>Tendido e instalación de cs de agua de lluvia recuperada, con instalación de bomba presurizadora y conexión de tanque de recuperación de agua de lluvia - N/A</t>
  </si>
  <si>
    <t>Colocación de artefactos y griferías - Provisión de artefactos y griferías a cargo del comitente</t>
  </si>
  <si>
    <t>Colocación y armado de colectores solares - Provisión de colectores a cargo del comitente</t>
  </si>
  <si>
    <t>Armado y conexionado de desagües AA.CC</t>
  </si>
  <si>
    <t>Tendido cañeria de incendio - Gabinetes, mangueras, lanzas y valvulas cotizadas en Item 31</t>
  </si>
  <si>
    <t>Provisión y tendido de cañerías de gas a SG</t>
  </si>
  <si>
    <t>Colocación de artefactos - Provisión a cargo del comitente</t>
  </si>
  <si>
    <t>Tramites de prefactibilidad, inspección parcial y final.</t>
  </si>
  <si>
    <t>Tramites de habilitación municipal</t>
  </si>
  <si>
    <t>AIRE ACONDICIONADO - PROVISION A CARGO DEL COMITENTE</t>
  </si>
  <si>
    <t>Aire Acondicionado</t>
  </si>
  <si>
    <t>Termomecánica MT</t>
  </si>
  <si>
    <t>Termomecánica MO</t>
  </si>
  <si>
    <t>Preinstalación AA.CC. Materiales y M.O</t>
  </si>
  <si>
    <t>Montaje, colocación y puesta en marcha de equipos - No cotiza</t>
  </si>
  <si>
    <t>ASCENSOR  - PROVISION A CARGO DEL COMITENTE</t>
  </si>
  <si>
    <t>Ascensor</t>
  </si>
  <si>
    <t>Ascensores - Provisión y colocación a cargo del comitente</t>
  </si>
  <si>
    <t>EQUIPAMIENTO - PROVISION A CARGO DEL COMITENTE</t>
  </si>
  <si>
    <t>Equipamiento</t>
  </si>
  <si>
    <t>Artefactos de cocina, instalacion anafes y hornos electricos - Provisión a cargo del comitente</t>
  </si>
  <si>
    <t>Instalacion de extractores de baños - No cotiza</t>
  </si>
  <si>
    <t>TRABAJOS COMPLEMENTARIOS</t>
  </si>
  <si>
    <t>Trabajos Complementarios</t>
  </si>
  <si>
    <t>Provisión y amure de tapas para pleno electricos en palieres, bastidor hierro angulo + chapa C22, medidas aprox. 40 x 100 cm</t>
  </si>
  <si>
    <t>Colocación de señaletica - Provisión a cargo del comitente</t>
  </si>
  <si>
    <t>Ajuste final de puertas placas, colocación de herrajes y cerraduras - Provisión de herrajes y cerraduras a cargo del comitente</t>
  </si>
  <si>
    <t>Limpieza final de Obra</t>
  </si>
  <si>
    <t>SUB TOTAL OBRA</t>
  </si>
  <si>
    <t>Partida</t>
  </si>
  <si>
    <t>Tipo</t>
  </si>
  <si>
    <t>Subtipo</t>
  </si>
  <si>
    <t>Cod_Insumo</t>
  </si>
  <si>
    <t>Unidad de medida</t>
  </si>
  <si>
    <t>%Desp</t>
  </si>
  <si>
    <t>Precio</t>
  </si>
  <si>
    <t>Costo</t>
  </si>
  <si>
    <t>Clave</t>
  </si>
  <si>
    <t>Count</t>
  </si>
  <si>
    <t>Clave2</t>
  </si>
  <si>
    <t>Rend. Part.</t>
  </si>
  <si>
    <t>Cant MO/ALB Unit</t>
  </si>
  <si>
    <t>Cant. Ej. Part.</t>
  </si>
  <si>
    <t>Cant MO/ALB Total</t>
  </si>
  <si>
    <t>Cod_Item_Ppto</t>
  </si>
  <si>
    <t>Rubro</t>
  </si>
  <si>
    <t>APU-101</t>
  </si>
  <si>
    <t>MO</t>
  </si>
  <si>
    <t>ALB</t>
  </si>
  <si>
    <t>MO-EESPE</t>
  </si>
  <si>
    <t>j</t>
  </si>
  <si>
    <t>APU-101|MO</t>
  </si>
  <si>
    <t>APU-101|MO|1</t>
  </si>
  <si>
    <t>MO-EAYUD</t>
  </si>
  <si>
    <t>APU-101|MO|2</t>
  </si>
  <si>
    <t>BAN-106</t>
  </si>
  <si>
    <t>BAN-106|MO</t>
  </si>
  <si>
    <t>BAN-106|MO|1</t>
  </si>
  <si>
    <t>BAN-106|MO|2</t>
  </si>
  <si>
    <t>ALB-110</t>
  </si>
  <si>
    <t>ALB-110|MO</t>
  </si>
  <si>
    <t>ALB-110|MO|1</t>
  </si>
  <si>
    <t>ALB-110|MO|2</t>
  </si>
  <si>
    <t>MO-EMEDI</t>
  </si>
  <si>
    <t>ALB-110|MO|3</t>
  </si>
  <si>
    <t>AIS-113</t>
  </si>
  <si>
    <t>MAT</t>
  </si>
  <si>
    <t>OTR</t>
  </si>
  <si>
    <t>PIN-008</t>
  </si>
  <si>
    <t>Pintura Asfaltica Asfasol x18ts</t>
  </si>
  <si>
    <t>AIS-113|MAT</t>
  </si>
  <si>
    <t>AIS-113|MAT|1</t>
  </si>
  <si>
    <t>OTR-027</t>
  </si>
  <si>
    <t>Rodillo de lana pelo largo N°22 - El Galgo</t>
  </si>
  <si>
    <t>AIS-113|MAT|2</t>
  </si>
  <si>
    <t>OTR-028</t>
  </si>
  <si>
    <t>Pincel N° 20 - El Galgo</t>
  </si>
  <si>
    <t>AIS-113|MAT|3</t>
  </si>
  <si>
    <t>OTR-022</t>
  </si>
  <si>
    <t>Aguarras Hydrarras Hydra x 18lts</t>
  </si>
  <si>
    <t>AIS-113|MAT|4</t>
  </si>
  <si>
    <t>OTR-025</t>
  </si>
  <si>
    <t>Trapo</t>
  </si>
  <si>
    <t>AIS-113|MAT|5</t>
  </si>
  <si>
    <t>EQ-SOLD00</t>
  </si>
  <si>
    <t>Soldador Soplete A Gas Techista Membrana 10 Kg Boca 50mm</t>
  </si>
  <si>
    <t>AIS-113|EQ</t>
  </si>
  <si>
    <t>AIS-113|EQ|1</t>
  </si>
  <si>
    <t>AIS-113|MO</t>
  </si>
  <si>
    <t>AIS-113|MO|1</t>
  </si>
  <si>
    <t>AIS-113|MO|2</t>
  </si>
  <si>
    <t>AIS-114</t>
  </si>
  <si>
    <t>AIS-114|MAT</t>
  </si>
  <si>
    <t>AIS-114|MAT|1</t>
  </si>
  <si>
    <t>AIS-002</t>
  </si>
  <si>
    <t>Membrana Geotextil Ormiflex 4mm - (35kg) x10m</t>
  </si>
  <si>
    <t>AIS-114|MAT|2</t>
  </si>
  <si>
    <t>AIS-114|EQ</t>
  </si>
  <si>
    <t>AIS-114|EQ|1</t>
  </si>
  <si>
    <t>AIS-114|MO</t>
  </si>
  <si>
    <t>AIS-114|MO|1</t>
  </si>
  <si>
    <t>AIS-114|MO|2</t>
  </si>
  <si>
    <t>REV-115</t>
  </si>
  <si>
    <t>AGR-001</t>
  </si>
  <si>
    <t>ARENA LAVADA</t>
  </si>
  <si>
    <t>REV-115|MAT</t>
  </si>
  <si>
    <t>REV-115|MAT|1</t>
  </si>
  <si>
    <t>AGR-005</t>
  </si>
  <si>
    <t>Cal Comun x 25kg</t>
  </si>
  <si>
    <t>REV-115|MAT|2</t>
  </si>
  <si>
    <t>AGR-004</t>
  </si>
  <si>
    <t>Cemento Portland x 50kg</t>
  </si>
  <si>
    <t>REV-115|MAT|3</t>
  </si>
  <si>
    <t>REV-115|MO</t>
  </si>
  <si>
    <t>REV-115|MO|1</t>
  </si>
  <si>
    <t>REV-115|MO|2</t>
  </si>
  <si>
    <t>REV-115|MO|3</t>
  </si>
  <si>
    <t>REV-116</t>
  </si>
  <si>
    <t>DUR-007</t>
  </si>
  <si>
    <t>Perfil Perimetral x 3.05</t>
  </si>
  <si>
    <t>REV-116|MAT</t>
  </si>
  <si>
    <t>REV-116|MAT|1</t>
  </si>
  <si>
    <t>OTR-015</t>
  </si>
  <si>
    <t>Larguero x 3.66</t>
  </si>
  <si>
    <t>REV-116|MAT|2</t>
  </si>
  <si>
    <t>OTR-016</t>
  </si>
  <si>
    <t>Travesaño x 1.22</t>
  </si>
  <si>
    <t>REV-116|MAT|3</t>
  </si>
  <si>
    <t>OTR-017</t>
  </si>
  <si>
    <t>Travesaño x 0.60</t>
  </si>
  <si>
    <t>REV-116|MAT|4</t>
  </si>
  <si>
    <t>OTR-010</t>
  </si>
  <si>
    <t>Fijacion completa del 8</t>
  </si>
  <si>
    <t>REV-116|MAT|5</t>
  </si>
  <si>
    <t>ACE-014</t>
  </si>
  <si>
    <t>Alambre galvanizado N°14 x kg</t>
  </si>
  <si>
    <t>kg</t>
  </si>
  <si>
    <t>REV-116|MAT|6</t>
  </si>
  <si>
    <t>OTR-019</t>
  </si>
  <si>
    <t>Placa Decovinyl Liso 120x60</t>
  </si>
  <si>
    <t>REV-116|MAT|7</t>
  </si>
  <si>
    <t>EQ-ESCALE</t>
  </si>
  <si>
    <t>ESCALERA GLOSS ALUMINIO ARTICULADA 4 X 4 ESCALONES HASTA 150KG</t>
  </si>
  <si>
    <t>REV-116|EQ</t>
  </si>
  <si>
    <t>REV-116|EQ|1</t>
  </si>
  <si>
    <t>EQ-PTO024</t>
  </si>
  <si>
    <t>EQUIPO DE CONSTRUCCION EN SECO</t>
  </si>
  <si>
    <t>REV-116|EQ|2</t>
  </si>
  <si>
    <t>REV-116|MO</t>
  </si>
  <si>
    <t>REV-116|MO|1</t>
  </si>
  <si>
    <t>REV-116|MO|2</t>
  </si>
  <si>
    <t>YES-117</t>
  </si>
  <si>
    <t>OTR-014</t>
  </si>
  <si>
    <t>Buña Z x 2.60m</t>
  </si>
  <si>
    <t>YES-117|MAT</t>
  </si>
  <si>
    <t>YES-117|MAT|1</t>
  </si>
  <si>
    <t>OTR-008</t>
  </si>
  <si>
    <t>Tornillo T2 - Aguja</t>
  </si>
  <si>
    <t>YES-117|MAT|2</t>
  </si>
  <si>
    <t>CER-060</t>
  </si>
  <si>
    <t>CER-060|EQ</t>
  </si>
  <si>
    <t>CER-060|EQ|1</t>
  </si>
  <si>
    <t>CER-060|EQ|2</t>
  </si>
  <si>
    <t>YES-117|MO</t>
  </si>
  <si>
    <t>YES-117|MO|1</t>
  </si>
  <si>
    <t>YES-118</t>
  </si>
  <si>
    <t>MAT-CONS</t>
  </si>
  <si>
    <t>CONSUMIBLES (varios)</t>
  </si>
  <si>
    <t>YES-118|MAT</t>
  </si>
  <si>
    <t>YES-118|MAT|1</t>
  </si>
  <si>
    <t>ACE-001</t>
  </si>
  <si>
    <t>Barra de Acero Aleteado - 6mm x 12m</t>
  </si>
  <si>
    <t>YES-118|MAT|2</t>
  </si>
  <si>
    <t>YES-118|MAT|3</t>
  </si>
  <si>
    <t>YES-BLOQUE10</t>
  </si>
  <si>
    <t>Bloque hormigón 10×19×39</t>
  </si>
  <si>
    <t>YES-118|MAT|4</t>
  </si>
  <si>
    <t>YES-118|MAT|5</t>
  </si>
  <si>
    <t>EQ-EQALBA</t>
  </si>
  <si>
    <t>EQUIPO DE ALBAÑILERIA, carpetas, ladrillo</t>
  </si>
  <si>
    <t>YES-118|EQ</t>
  </si>
  <si>
    <t>YES-118|EQ|1</t>
  </si>
  <si>
    <t>EQ-ANDAM0</t>
  </si>
  <si>
    <t>ANDAMIO TUBULAR DE UNO A TRES CUERPOS</t>
  </si>
  <si>
    <t>YES-118|EQ|2</t>
  </si>
  <si>
    <t>EQ-TROMPO</t>
  </si>
  <si>
    <t>Hormigonera De 150 Litros 1hp Con Rueda Maciza</t>
  </si>
  <si>
    <t>YES-118|EQ|3</t>
  </si>
  <si>
    <t>YES-118|MO</t>
  </si>
  <si>
    <t>YES-118|MO|1</t>
  </si>
  <si>
    <t>YES-118|MO|2</t>
  </si>
  <si>
    <t>PIN-119</t>
  </si>
  <si>
    <t>PIN-119|MAT</t>
  </si>
  <si>
    <t>PIN-119|MAT|1</t>
  </si>
  <si>
    <t>PIN-119|MAT|2</t>
  </si>
  <si>
    <t>PIN-119|MAT|3</t>
  </si>
  <si>
    <t>YES-BLOQUE19</t>
  </si>
  <si>
    <t>Bloque hormigón 19×19×39</t>
  </si>
  <si>
    <t>PIN-119|MAT|4</t>
  </si>
  <si>
    <t>PIN-119|MAT|5</t>
  </si>
  <si>
    <t>PIN-119|EQ</t>
  </si>
  <si>
    <t>PIN-119|EQ|1</t>
  </si>
  <si>
    <t>PIN-119|EQ|2</t>
  </si>
  <si>
    <t>PIN-119|EQ|3</t>
  </si>
  <si>
    <t>PIN-119|MO</t>
  </si>
  <si>
    <t>PIN-119|MO|1</t>
  </si>
  <si>
    <t>PIN-119|MO|2</t>
  </si>
  <si>
    <t>ELE-120</t>
  </si>
  <si>
    <t>ELE-120|MAT</t>
  </si>
  <si>
    <t>ELE-120|MAT|1</t>
  </si>
  <si>
    <t>EQ-EQUIP0</t>
  </si>
  <si>
    <t>EQUIPO PARA INSTALACION ELECTRICA</t>
  </si>
  <si>
    <t>ELE-120|EQ</t>
  </si>
  <si>
    <t>ELE-120|EQ|1</t>
  </si>
  <si>
    <t>ELE-120|EQ|2</t>
  </si>
  <si>
    <t>ELE-120|EQ|3</t>
  </si>
  <si>
    <t>ELE-120|MO</t>
  </si>
  <si>
    <t>ELE-120|MO|1</t>
  </si>
  <si>
    <t>ELE-120|MO|2</t>
  </si>
  <si>
    <t>ELE-121</t>
  </si>
  <si>
    <t>ELE-004</t>
  </si>
  <si>
    <t>Caño rigido 3/4"</t>
  </si>
  <si>
    <t>ELE-121|MAT</t>
  </si>
  <si>
    <t>ELE-121|MAT|1</t>
  </si>
  <si>
    <t>ACE-017</t>
  </si>
  <si>
    <t>Conector hierro 3/4"</t>
  </si>
  <si>
    <t>ELE-121|MAT|2</t>
  </si>
  <si>
    <t>ELE-005</t>
  </si>
  <si>
    <t>Cupla PVC 3/4"</t>
  </si>
  <si>
    <t>ELE-121|MAT|3</t>
  </si>
  <si>
    <t>ELE-009</t>
  </si>
  <si>
    <t>Cable unipolar 1 x 2,50 VA</t>
  </si>
  <si>
    <t>m</t>
  </si>
  <si>
    <t>ELE-121|MAT|4</t>
  </si>
  <si>
    <t>ELE-121|MAT|5</t>
  </si>
  <si>
    <t>ELE-014</t>
  </si>
  <si>
    <t>Caja rectangular chica</t>
  </si>
  <si>
    <t>ELE-121|MAT|6</t>
  </si>
  <si>
    <t>ELE-121|MAT|7</t>
  </si>
  <si>
    <t>ELE-121|EQ</t>
  </si>
  <si>
    <t>ELE-121|EQ|1</t>
  </si>
  <si>
    <t>ELE-121|EQ|2</t>
  </si>
  <si>
    <t>ELE-121|EQ|3</t>
  </si>
  <si>
    <t>ELE-121|MO</t>
  </si>
  <si>
    <t>ELE-121|MO|1</t>
  </si>
  <si>
    <t>ELE-121|MO|2</t>
  </si>
  <si>
    <t>BAN-122</t>
  </si>
  <si>
    <t>OTR-038</t>
  </si>
  <si>
    <t>SMARTTRAY TRX3M BJA PERF 200-22</t>
  </si>
  <si>
    <t>BAN-122|MAT</t>
  </si>
  <si>
    <t>BAN-122|MAT|1</t>
  </si>
  <si>
    <t>OTR-039</t>
  </si>
  <si>
    <t>SMARTTRAY TAPA CIEGA P/BJA 200-22</t>
  </si>
  <si>
    <t>BAN-122|MAT|2</t>
  </si>
  <si>
    <t>BAN-MAT003</t>
  </si>
  <si>
    <t>SMARTTRAY CUPLA UNION JBCC-M6-100</t>
  </si>
  <si>
    <t>BAN-122|MAT|3</t>
  </si>
  <si>
    <t>BAN-MAT004</t>
  </si>
  <si>
    <t>GRAMPA FIJACION CABLE</t>
  </si>
  <si>
    <t>BAN-122|MAT|4</t>
  </si>
  <si>
    <t>OTR-040</t>
  </si>
  <si>
    <t>ACOMETIDA PARA TABLERO</t>
  </si>
  <si>
    <t>BAN-122|MAT|5</t>
  </si>
  <si>
    <t>OTR-041</t>
  </si>
  <si>
    <t>EMBUDO</t>
  </si>
  <si>
    <t>BAN-122|MAT|6</t>
  </si>
  <si>
    <t>BAN-MAT007</t>
  </si>
  <si>
    <t>GRAMPA FIJACION 200-22</t>
  </si>
  <si>
    <t>BAN-122|MAT|7</t>
  </si>
  <si>
    <t>OTR-044</t>
  </si>
  <si>
    <t>VARILLA ROSCADA 1/4</t>
  </si>
  <si>
    <t>BAN-122|MAT|8</t>
  </si>
  <si>
    <t>OTR-045</t>
  </si>
  <si>
    <t>TUERCA Y ARANDELA 1/4</t>
  </si>
  <si>
    <t>BAN-122|MAT|9</t>
  </si>
  <si>
    <t>BAN-122|MO</t>
  </si>
  <si>
    <t>BAN-122|MO|1</t>
  </si>
  <si>
    <t>BAN-122|MO|2</t>
  </si>
  <si>
    <t>HHA-123</t>
  </si>
  <si>
    <t>HHA-123|MAT</t>
  </si>
  <si>
    <t>HHA-123|MAT|1</t>
  </si>
  <si>
    <t>HHA-123|MO</t>
  </si>
  <si>
    <t>HHA-123|MO|1</t>
  </si>
  <si>
    <t>HHA-123|MO|2</t>
  </si>
  <si>
    <t>HHA-124</t>
  </si>
  <si>
    <t>HHA-124|MAT</t>
  </si>
  <si>
    <t>HHA-124|MAT|1</t>
  </si>
  <si>
    <t>HHA-124|MAT|2</t>
  </si>
  <si>
    <t>HHA-124|MO</t>
  </si>
  <si>
    <t>HHA-124|MO|1</t>
  </si>
  <si>
    <t>HHA-124|MO|2</t>
  </si>
  <si>
    <t>CER-134</t>
  </si>
  <si>
    <t>CER-134|MAT</t>
  </si>
  <si>
    <t>CER-134|MAT|1</t>
  </si>
  <si>
    <t>CER-134|MAT|2</t>
  </si>
  <si>
    <t>CER-134|MAT|3</t>
  </si>
  <si>
    <t>CER-134|EQ</t>
  </si>
  <si>
    <t>CER-134|EQ|1</t>
  </si>
  <si>
    <t>CER-134|EQ|2</t>
  </si>
  <si>
    <t>CER-134|EQ|3</t>
  </si>
  <si>
    <t>CER-134|MO</t>
  </si>
  <si>
    <t>CER-134|MO|1</t>
  </si>
  <si>
    <t>CER-134|MO|2</t>
  </si>
  <si>
    <t>CER-135</t>
  </si>
  <si>
    <t>CER-135|MAT</t>
  </si>
  <si>
    <t>CER-135|MAT|1</t>
  </si>
  <si>
    <t>OTR-CALMILAG</t>
  </si>
  <si>
    <t>Cal Milagro x 25kg (Cal Hidráulica)</t>
  </si>
  <si>
    <t>bol</t>
  </si>
  <si>
    <t>CER-135|MAT|2</t>
  </si>
  <si>
    <t>CER-135|MAT|3</t>
  </si>
  <si>
    <t>CER-135|EQ</t>
  </si>
  <si>
    <t>CER-135|EQ|1</t>
  </si>
  <si>
    <t>CER-135|EQ|2</t>
  </si>
  <si>
    <t>CER-135|EQ|3</t>
  </si>
  <si>
    <t>CER-135|MO</t>
  </si>
  <si>
    <t>CER-135|MO|1</t>
  </si>
  <si>
    <t>CER-135|MO|2</t>
  </si>
  <si>
    <t>CER-136</t>
  </si>
  <si>
    <t>CER-136|MAT</t>
  </si>
  <si>
    <t>CER-136|MAT|1</t>
  </si>
  <si>
    <t>CER-136|MAT|2</t>
  </si>
  <si>
    <t>CER-136|MAT|3</t>
  </si>
  <si>
    <t>CER-136|EQ</t>
  </si>
  <si>
    <t>CER-136|EQ|1</t>
  </si>
  <si>
    <t>CER-136|EQ|2</t>
  </si>
  <si>
    <t>CER-136|MO</t>
  </si>
  <si>
    <t>CER-136|MO|1</t>
  </si>
  <si>
    <t>CER-136|MO|2</t>
  </si>
  <si>
    <t>CER-137</t>
  </si>
  <si>
    <t>REV-001</t>
  </si>
  <si>
    <t>Yeso Tuyango x 30kg</t>
  </si>
  <si>
    <t>CER-137|MAT</t>
  </si>
  <si>
    <t>CER-137|MAT|1</t>
  </si>
  <si>
    <t>OTR-021</t>
  </si>
  <si>
    <t>Fijador al agua x 20 lts</t>
  </si>
  <si>
    <t>CER-137|MAT|2</t>
  </si>
  <si>
    <t>CER-137|MAT|3</t>
  </si>
  <si>
    <t>OTR-024</t>
  </si>
  <si>
    <t>Cinta de Papel 36 mm x 40m</t>
  </si>
  <si>
    <t>CER-137|MAT|4</t>
  </si>
  <si>
    <t>OTR-023</t>
  </si>
  <si>
    <t>Lija 180 al agua x 10u</t>
  </si>
  <si>
    <t>CER-137|MAT|5</t>
  </si>
  <si>
    <t>CER-137|MAT|6</t>
  </si>
  <si>
    <t>CER-137|MAT|7</t>
  </si>
  <si>
    <t>OTR-029</t>
  </si>
  <si>
    <t>Rollo de cartón corrugado 0,90 x 25 mts</t>
  </si>
  <si>
    <t>CER-137|MAT|8</t>
  </si>
  <si>
    <t>PIN-007</t>
  </si>
  <si>
    <t>Enduido Interior x 20lts</t>
  </si>
  <si>
    <t>CER-137|MAT|9</t>
  </si>
  <si>
    <t>PIN-001</t>
  </si>
  <si>
    <t>Latex Loxon Interior Sherwin Williams Mate Bco x 20lts</t>
  </si>
  <si>
    <t>CER-137|MAT|10</t>
  </si>
  <si>
    <t>EQ-EQUIPI</t>
  </si>
  <si>
    <t>EQUIPO PARA PINTAR</t>
  </si>
  <si>
    <t>CER-137|EQ</t>
  </si>
  <si>
    <t>CER-137|EQ|1</t>
  </si>
  <si>
    <t>CER-137|MO</t>
  </si>
  <si>
    <t>CER-137|MO|1</t>
  </si>
  <si>
    <t>CER-137|MO|2</t>
  </si>
  <si>
    <t>PIN-146</t>
  </si>
  <si>
    <t>PIN-146|MAT</t>
  </si>
  <si>
    <t>PIN-146|MAT|1</t>
  </si>
  <si>
    <t>PIN-146|MAT|2</t>
  </si>
  <si>
    <t>PIN-146|MAT|3</t>
  </si>
  <si>
    <t>PIN-146|MAT|4</t>
  </si>
  <si>
    <t>PIN-146|MAT|5</t>
  </si>
  <si>
    <t>PIN-146|MAT|6</t>
  </si>
  <si>
    <t>PIN-146|MAT|7</t>
  </si>
  <si>
    <t>PIN-146|MAT|8</t>
  </si>
  <si>
    <t>PIN-146|EQ</t>
  </si>
  <si>
    <t>PIN-146|EQ|1</t>
  </si>
  <si>
    <t>PIN-146|MO</t>
  </si>
  <si>
    <t>PIN-146|MO|1</t>
  </si>
  <si>
    <t>ELE-CANO78</t>
  </si>
  <si>
    <t>Caño rígido 7/8" x 3m</t>
  </si>
  <si>
    <t>ELE-120|MAT|2</t>
  </si>
  <si>
    <t>ACE-018</t>
  </si>
  <si>
    <t>Conector hierro 7/8"</t>
  </si>
  <si>
    <t>ELE-120|MAT|3</t>
  </si>
  <si>
    <t>ELE-006</t>
  </si>
  <si>
    <t>Cupla PVC 7/8"</t>
  </si>
  <si>
    <t>ELE-120|MAT|4</t>
  </si>
  <si>
    <t>ELE-120|MAT|5</t>
  </si>
  <si>
    <t>ELE-012</t>
  </si>
  <si>
    <t>Caja octogonal chica</t>
  </si>
  <si>
    <t>ELE-120|MAT|6</t>
  </si>
  <si>
    <t>ELE-008</t>
  </si>
  <si>
    <t>Cable unipolar 1 x 1,50</t>
  </si>
  <si>
    <t>ELE-120|MAT|7</t>
  </si>
  <si>
    <t>ELE-120|MAT|8</t>
  </si>
  <si>
    <t>ELE-120|MAT|9</t>
  </si>
  <si>
    <t>PRE-032</t>
  </si>
  <si>
    <t>AGR-008</t>
  </si>
  <si>
    <t>Aporte de Tosca</t>
  </si>
  <si>
    <t>PRE-032|MAT</t>
  </si>
  <si>
    <t>PRE-032|MAT|1</t>
  </si>
  <si>
    <t>PRE-032|MO</t>
  </si>
  <si>
    <t>PRE-032|MO|1</t>
  </si>
  <si>
    <t>PRE-032|MO|2</t>
  </si>
  <si>
    <t>ALB-033</t>
  </si>
  <si>
    <t>ALB-033|MAT</t>
  </si>
  <si>
    <t>ALB-033|MAT|1</t>
  </si>
  <si>
    <t>ALB-033|MAT|2</t>
  </si>
  <si>
    <t>ALB-033|MAT|3</t>
  </si>
  <si>
    <t>CER-005</t>
  </si>
  <si>
    <t>Ladrillo Comun 12.5 x 5.5 x 25</t>
  </si>
  <si>
    <t>ALB-033|MAT|4</t>
  </si>
  <si>
    <t>ALB-033|MAT|5</t>
  </si>
  <si>
    <t>ALB-033|MAT|6</t>
  </si>
  <si>
    <t>ALB-033|EQ</t>
  </si>
  <si>
    <t>ALB-033|EQ|1</t>
  </si>
  <si>
    <t>ALB-033|EQ|2</t>
  </si>
  <si>
    <t>ALB-033|EQ|3</t>
  </si>
  <si>
    <t>ALB-033|MO</t>
  </si>
  <si>
    <t>ALB-033|MO|1</t>
  </si>
  <si>
    <t>ALB-033|MO|2</t>
  </si>
  <si>
    <t>ALB-034</t>
  </si>
  <si>
    <t>CER-002</t>
  </si>
  <si>
    <t>LADRILLO CERAMICO 8 x 18 x 33 cm</t>
  </si>
  <si>
    <t>ALB-034|MAT</t>
  </si>
  <si>
    <t>ALB-034|MAT|1</t>
  </si>
  <si>
    <t>ALB-034|MAT|2</t>
  </si>
  <si>
    <t>ALB-034|MAT|3</t>
  </si>
  <si>
    <t>ALB-034|MAT|4</t>
  </si>
  <si>
    <t>ALB-034|MAT|5</t>
  </si>
  <si>
    <t>ALB-034|MAT|6</t>
  </si>
  <si>
    <t>ALB-034|EQ</t>
  </si>
  <si>
    <t>ALB-034|EQ|1</t>
  </si>
  <si>
    <t>ALB-034|EQ|2</t>
  </si>
  <si>
    <t>ALB-034|EQ|3</t>
  </si>
  <si>
    <t>ALB-034|MO</t>
  </si>
  <si>
    <t>ALB-034|MO|1</t>
  </si>
  <si>
    <t>ALB-034|MO|2</t>
  </si>
  <si>
    <t>ALB-035</t>
  </si>
  <si>
    <t>ALB-035|MAT</t>
  </si>
  <si>
    <t>ALB-035|MAT|1</t>
  </si>
  <si>
    <t>CER-003</t>
  </si>
  <si>
    <t>LADRILLO CERAMICO 12 x 18 x 33 cm</t>
  </si>
  <si>
    <t>ALB-035|MAT|2</t>
  </si>
  <si>
    <t>ALB-035|MAT|3</t>
  </si>
  <si>
    <t>ALB-035|MAT|4</t>
  </si>
  <si>
    <t>ALB-035|MAT|5</t>
  </si>
  <si>
    <t>ALB-035|EQ</t>
  </si>
  <si>
    <t>ALB-035|EQ|1</t>
  </si>
  <si>
    <t>ALB-035|EQ|2</t>
  </si>
  <si>
    <t>ALB-035|EQ|3</t>
  </si>
  <si>
    <t>ALB-035|MO</t>
  </si>
  <si>
    <t>ALB-035|MO|1</t>
  </si>
  <si>
    <t>ALB-035|MO|2</t>
  </si>
  <si>
    <t>ALB-036</t>
  </si>
  <si>
    <t>CER-004</t>
  </si>
  <si>
    <t>LADRILLO CERAMICO 18 x 18 x 33 cm</t>
  </si>
  <si>
    <t>ALB-036|MAT</t>
  </si>
  <si>
    <t>ALB-036|MAT|1</t>
  </si>
  <si>
    <t>ALB-036|MAT|2</t>
  </si>
  <si>
    <t>ALB-036|MAT|3</t>
  </si>
  <si>
    <t>ALB-036|MAT|4</t>
  </si>
  <si>
    <t>ALB-036|MAT|5</t>
  </si>
  <si>
    <t>ALB-036|MAT|6</t>
  </si>
  <si>
    <t>ALB-036|EQ</t>
  </si>
  <si>
    <t>ALB-036|EQ|1</t>
  </si>
  <si>
    <t>ALB-036|EQ|2</t>
  </si>
  <si>
    <t>ALB-036|EQ|3</t>
  </si>
  <si>
    <t>ALB-036|MO</t>
  </si>
  <si>
    <t>ALB-036|MO|1</t>
  </si>
  <si>
    <t>ALB-036|MO|2</t>
  </si>
  <si>
    <t>ALB-037</t>
  </si>
  <si>
    <t>ALB-037|MAT</t>
  </si>
  <si>
    <t>ALB-037|MAT|1</t>
  </si>
  <si>
    <t>ALB-037|MAT|2</t>
  </si>
  <si>
    <t>ALB-037|MAT|3</t>
  </si>
  <si>
    <t>CER-001</t>
  </si>
  <si>
    <t>Ladrillo a la vista 1 cara</t>
  </si>
  <si>
    <t>ALB-037|MAT|4</t>
  </si>
  <si>
    <t>ALB-037|MAT|5</t>
  </si>
  <si>
    <t>AIS-001</t>
  </si>
  <si>
    <t>Aditivo Hidrofugo en pasta - Ceresita x 1kg</t>
  </si>
  <si>
    <t>ALB-037|MAT|6</t>
  </si>
  <si>
    <t>ALB-037|MAT|7</t>
  </si>
  <si>
    <t>ALB-037|MAT|8</t>
  </si>
  <si>
    <t>ALB-037|MAT|9</t>
  </si>
  <si>
    <t>ALB-037|MAT|10</t>
  </si>
  <si>
    <t>ALB-037|MAT|11</t>
  </si>
  <si>
    <t>ALB-037|EQ</t>
  </si>
  <si>
    <t>ALB-037|EQ|1</t>
  </si>
  <si>
    <t>ALB-037|EQ|2</t>
  </si>
  <si>
    <t>ALB-037|EQ|3</t>
  </si>
  <si>
    <t>ALB-037|MO</t>
  </si>
  <si>
    <t>ALB-037|MO|1</t>
  </si>
  <si>
    <t>ALB-037|MO|2</t>
  </si>
  <si>
    <t>ALB-038</t>
  </si>
  <si>
    <t>CER-006</t>
  </si>
  <si>
    <t>Ladrillo hueco ceramico 12x19x33 - Portante</t>
  </si>
  <si>
    <t>ALB-038|MAT</t>
  </si>
  <si>
    <t>ALB-038|MAT|1</t>
  </si>
  <si>
    <t>ALB-038|MAT|2</t>
  </si>
  <si>
    <t>ALB-038|MAT|3</t>
  </si>
  <si>
    <t>ALB-038|MAT|4</t>
  </si>
  <si>
    <t>ALB-038|MAT|5</t>
  </si>
  <si>
    <t>ALB-038|MAT|6</t>
  </si>
  <si>
    <t>ALB-038|EQ</t>
  </si>
  <si>
    <t>ALB-038|EQ|1</t>
  </si>
  <si>
    <t>ALB-038|EQ|2</t>
  </si>
  <si>
    <t>ALB-038|EQ|3</t>
  </si>
  <si>
    <t>ALB-038|MO</t>
  </si>
  <si>
    <t>ALB-038|MO|1</t>
  </si>
  <si>
    <t>ALB-038|MO|2</t>
  </si>
  <si>
    <t>ALB-039</t>
  </si>
  <si>
    <t>ALB-039|MAT</t>
  </si>
  <si>
    <t>ALB-039|MAT|1</t>
  </si>
  <si>
    <t>ALB-039|MAT|2</t>
  </si>
  <si>
    <t>ALB-039|EQ</t>
  </si>
  <si>
    <t>ALB-039|EQ|1</t>
  </si>
  <si>
    <t>ALB-039|EQ|2</t>
  </si>
  <si>
    <t>ALB-039|MO</t>
  </si>
  <si>
    <t>ALB-039|MO|1</t>
  </si>
  <si>
    <t>ALB-039|MO|2</t>
  </si>
  <si>
    <t>ALB-040</t>
  </si>
  <si>
    <t>ALB-040|MAT</t>
  </si>
  <si>
    <t>ALB-040|MAT|1</t>
  </si>
  <si>
    <t>ALB-040|MAT|2</t>
  </si>
  <si>
    <t>ALB-040|EQ</t>
  </si>
  <si>
    <t>ALB-040|EQ|1</t>
  </si>
  <si>
    <t>ALB-040|EQ|2</t>
  </si>
  <si>
    <t>ALB-040|MO</t>
  </si>
  <si>
    <t>ALB-040|MO|1</t>
  </si>
  <si>
    <t>ALB-040|MO|2</t>
  </si>
  <si>
    <t>ALB-041</t>
  </si>
  <si>
    <t>ALB-041|MAT</t>
  </si>
  <si>
    <t>ALB-041|MAT|1</t>
  </si>
  <si>
    <t>ALB-041|MAT|2</t>
  </si>
  <si>
    <t>ALB-041|MAT|3</t>
  </si>
  <si>
    <t>ALB-041|EQ</t>
  </si>
  <si>
    <t>ALB-041|EQ|1</t>
  </si>
  <si>
    <t>ALB-041|EQ|2</t>
  </si>
  <si>
    <t>ALB-041|MO</t>
  </si>
  <si>
    <t>ALB-041|MO|1</t>
  </si>
  <si>
    <t>ALB-041|MO|2</t>
  </si>
  <si>
    <t>IMP-042</t>
  </si>
  <si>
    <t>IMP-042|MAT</t>
  </si>
  <si>
    <t>IMP-042|MAT|1</t>
  </si>
  <si>
    <t>IMP-042|MAT|2</t>
  </si>
  <si>
    <t>IMP-042|MAT|3</t>
  </si>
  <si>
    <t>IMP-042|EQ</t>
  </si>
  <si>
    <t>IMP-042|EQ|1</t>
  </si>
  <si>
    <t>IMP-042|EQ|2</t>
  </si>
  <si>
    <t>IMP-042|EQ|3</t>
  </si>
  <si>
    <t>IMP-042|MO</t>
  </si>
  <si>
    <t>IMP-042|MO|1</t>
  </si>
  <si>
    <t>IMP-042|MO|2</t>
  </si>
  <si>
    <t>REV-043</t>
  </si>
  <si>
    <t>REV-043|MAT</t>
  </si>
  <si>
    <t>REV-043|MAT|1</t>
  </si>
  <si>
    <t>REV-043|MAT|2</t>
  </si>
  <si>
    <t>REV-043|MAT|3</t>
  </si>
  <si>
    <t>REV-043|EQ</t>
  </si>
  <si>
    <t>REV-043|EQ|1</t>
  </si>
  <si>
    <t>REV-043|EQ|2</t>
  </si>
  <si>
    <t>REV-043|EQ|3</t>
  </si>
  <si>
    <t>REV-043|MO</t>
  </si>
  <si>
    <t>REV-043|MO|1</t>
  </si>
  <si>
    <t>REV-043|MO|2</t>
  </si>
  <si>
    <t>REV-044</t>
  </si>
  <si>
    <t>REV-044|MAT</t>
  </si>
  <si>
    <t>REV-044|MAT|1</t>
  </si>
  <si>
    <t>REV-044|MAT|2</t>
  </si>
  <si>
    <t>REV-044|MAT|3</t>
  </si>
  <si>
    <t>REV-044|MAT|4</t>
  </si>
  <si>
    <t>REV-044|EQ</t>
  </si>
  <si>
    <t>REV-044|EQ|1</t>
  </si>
  <si>
    <t>REV-044|EQ|2</t>
  </si>
  <si>
    <t>REV-044|EQ|3</t>
  </si>
  <si>
    <t>REV-044|MO</t>
  </si>
  <si>
    <t>REV-044|MO|1</t>
  </si>
  <si>
    <t>REV-044|MO|2</t>
  </si>
  <si>
    <t>REV-045</t>
  </si>
  <si>
    <t>REV-045|MAT</t>
  </si>
  <si>
    <t>REV-045|MAT|1</t>
  </si>
  <si>
    <t>REV-045|MAT|2</t>
  </si>
  <si>
    <t>REV-045|MAT|3</t>
  </si>
  <si>
    <t>REV-045|MAT|4</t>
  </si>
  <si>
    <t>EQ-BALANC</t>
  </si>
  <si>
    <t>Balancin</t>
  </si>
  <si>
    <t>REV-045|EQ</t>
  </si>
  <si>
    <t>REV-045|EQ|1</t>
  </si>
  <si>
    <t>REV-045|EQ|2</t>
  </si>
  <si>
    <t>REV-045|EQ|3</t>
  </si>
  <si>
    <t>REV-045|EQ|4</t>
  </si>
  <si>
    <t>REV-045|MO</t>
  </si>
  <si>
    <t>REV-045|MO|1</t>
  </si>
  <si>
    <t>REV-045|MO|2</t>
  </si>
  <si>
    <t>REV-046</t>
  </si>
  <si>
    <t>REV-046|MAT</t>
  </si>
  <si>
    <t>REV-046|MAT|1</t>
  </si>
  <si>
    <t>REV-046|MAT|2</t>
  </si>
  <si>
    <t>AGR-003</t>
  </si>
  <si>
    <t>Cascote</t>
  </si>
  <si>
    <t>REV-046|MAT|3</t>
  </si>
  <si>
    <t>REV-046|MAT|4</t>
  </si>
  <si>
    <t>REV-046|EQ</t>
  </si>
  <si>
    <t>REV-046|EQ|1</t>
  </si>
  <si>
    <t>REV-046|EQ|2</t>
  </si>
  <si>
    <t>REV-046|MO</t>
  </si>
  <si>
    <t>REV-046|MO|1</t>
  </si>
  <si>
    <t>REV-046|MO|2</t>
  </si>
  <si>
    <t>REV-047</t>
  </si>
  <si>
    <t>REV-047|MAT</t>
  </si>
  <si>
    <t>REV-047|MAT|1</t>
  </si>
  <si>
    <t>REV-047|MAT|2</t>
  </si>
  <si>
    <t>REV-047|EQ</t>
  </si>
  <si>
    <t>REV-047|EQ|1</t>
  </si>
  <si>
    <t>REV-047|EQ|2</t>
  </si>
  <si>
    <t>REV-047|MO</t>
  </si>
  <si>
    <t>REV-047|MO|1</t>
  </si>
  <si>
    <t>REV-047|MO|2</t>
  </si>
  <si>
    <t>REV-048</t>
  </si>
  <si>
    <t>REV-048|MAT</t>
  </si>
  <si>
    <t>REV-048|MAT|1</t>
  </si>
  <si>
    <t>REV-048|MAT|2</t>
  </si>
  <si>
    <t>REV-048|MAT|3</t>
  </si>
  <si>
    <t>ADT-001</t>
  </si>
  <si>
    <t>Sika Poro Plus x 10 kg</t>
  </si>
  <si>
    <t>bal</t>
  </si>
  <si>
    <t>REV-048|MAT|4</t>
  </si>
  <si>
    <t>REV-048|EQ</t>
  </si>
  <si>
    <t>REV-048|EQ|1</t>
  </si>
  <si>
    <t>REV-048|EQ|2</t>
  </si>
  <si>
    <t>REV-048|MO</t>
  </si>
  <si>
    <t>REV-048|MO|1</t>
  </si>
  <si>
    <t>REV-048|MO|2</t>
  </si>
  <si>
    <t>REV-049</t>
  </si>
  <si>
    <t>REV-049|MAT</t>
  </si>
  <si>
    <t>REV-049|MAT|1</t>
  </si>
  <si>
    <t>REV-049|MAT|2</t>
  </si>
  <si>
    <t>REV-049|MAT|3</t>
  </si>
  <si>
    <t>REV-049|EQ</t>
  </si>
  <si>
    <t>REV-049|EQ|1</t>
  </si>
  <si>
    <t>REV-049|EQ|2</t>
  </si>
  <si>
    <t>REV-049|MO</t>
  </si>
  <si>
    <t>REV-049|MO|1</t>
  </si>
  <si>
    <t>REV-049|MO|2</t>
  </si>
  <si>
    <t>CON-050</t>
  </si>
  <si>
    <t>CON-050|MAT</t>
  </si>
  <si>
    <t>CON-050|MAT|1</t>
  </si>
  <si>
    <t>CON-050|MAT|2</t>
  </si>
  <si>
    <t>CON-050|EQ</t>
  </si>
  <si>
    <t>CON-050|EQ|1</t>
  </si>
  <si>
    <t>CON-050|EQ|2</t>
  </si>
  <si>
    <t>CON-050|MO</t>
  </si>
  <si>
    <t>CON-050|MO|1</t>
  </si>
  <si>
    <t>CON-050|MO|2</t>
  </si>
  <si>
    <t>CON-051</t>
  </si>
  <si>
    <t>CON-051|MAT</t>
  </si>
  <si>
    <t>CON-051|MAT|1</t>
  </si>
  <si>
    <t>CON-051|MAT|2</t>
  </si>
  <si>
    <t>CON-051|MAT|3</t>
  </si>
  <si>
    <t>CON-051|MAT|4</t>
  </si>
  <si>
    <t>CON-051|MAT|5</t>
  </si>
  <si>
    <t>CON-051|MAT|6</t>
  </si>
  <si>
    <t>CON-051|MAT|7</t>
  </si>
  <si>
    <t>CON-051|MAT|8</t>
  </si>
  <si>
    <t>CON-051|EQ</t>
  </si>
  <si>
    <t>CON-051|EQ|1</t>
  </si>
  <si>
    <t>CON-051|MO</t>
  </si>
  <si>
    <t>CON-051|MO|1</t>
  </si>
  <si>
    <t>CON-051|MO|2</t>
  </si>
  <si>
    <t>CON-052</t>
  </si>
  <si>
    <t>CON-052|MAT</t>
  </si>
  <si>
    <t>CON-052|MAT|1</t>
  </si>
  <si>
    <t>CON-052|MAT|2</t>
  </si>
  <si>
    <t>CON-052|MAT|3</t>
  </si>
  <si>
    <t>CON-052|MAT|4</t>
  </si>
  <si>
    <t>CON-052|MAT|5</t>
  </si>
  <si>
    <t>CON-052|MAT|6</t>
  </si>
  <si>
    <t>CON-052|MAT|7</t>
  </si>
  <si>
    <t>CON-052|MAT|8</t>
  </si>
  <si>
    <t>CON-052|EQ</t>
  </si>
  <si>
    <t>CON-052|EQ|1</t>
  </si>
  <si>
    <t>CON-052|EQ|2</t>
  </si>
  <si>
    <t>CON-052|MO</t>
  </si>
  <si>
    <t>CON-052|MO|1</t>
  </si>
  <si>
    <t>CON-052|MO|2</t>
  </si>
  <si>
    <t>CON-053</t>
  </si>
  <si>
    <t>CON-053|MAT</t>
  </si>
  <si>
    <t>CON-053|MAT|1</t>
  </si>
  <si>
    <t>PIN-003</t>
  </si>
  <si>
    <t>Latex Loxon Exterior Sherwin Williams Mate Bco x 20lts</t>
  </si>
  <si>
    <t>b</t>
  </si>
  <si>
    <t>CON-053|MAT|2</t>
  </si>
  <si>
    <t>CON-053|MAT|3</t>
  </si>
  <si>
    <t>CON-053|MAT|4</t>
  </si>
  <si>
    <t>CON-053|MAT|5</t>
  </si>
  <si>
    <t>EQ-PTO026</t>
  </si>
  <si>
    <t>Escalera madera pintor 8 escalones</t>
  </si>
  <si>
    <t>CON-053|EQ</t>
  </si>
  <si>
    <t>CON-053|EQ|1</t>
  </si>
  <si>
    <t>CON-053|EQ|2</t>
  </si>
  <si>
    <t>CON-053|MO</t>
  </si>
  <si>
    <t>CON-053|MO|1</t>
  </si>
  <si>
    <t>CON-053B</t>
  </si>
  <si>
    <t>CON-053B|MAT</t>
  </si>
  <si>
    <t>CON-053B|MAT|1</t>
  </si>
  <si>
    <t>CON-053B|MAT|2</t>
  </si>
  <si>
    <t>CON-053B|MAT|3</t>
  </si>
  <si>
    <t>CON-053B|MAT|4</t>
  </si>
  <si>
    <t>CON-053B|MAT|5</t>
  </si>
  <si>
    <t>CON-053B|MAT|6</t>
  </si>
  <si>
    <t>CON-053B|MAT|7</t>
  </si>
  <si>
    <t>CON-053B|MAT|8</t>
  </si>
  <si>
    <t>EQ-SILLET</t>
  </si>
  <si>
    <t>Kit Complementario Silleta Descensor Conector Soga X 50 Mts</t>
  </si>
  <si>
    <t>CON-053B|EQ</t>
  </si>
  <si>
    <t>CON-053B|EQ|1</t>
  </si>
  <si>
    <t>CON-053B|EQ|2</t>
  </si>
  <si>
    <t>CON-053B|EQ|3</t>
  </si>
  <si>
    <t>CON-053B|EQ|4</t>
  </si>
  <si>
    <t>CON-053B|MO</t>
  </si>
  <si>
    <t>CON-053B|MO|1</t>
  </si>
  <si>
    <t>CON-054</t>
  </si>
  <si>
    <t>PIN-006</t>
  </si>
  <si>
    <t>Esmalte sintetico satinado Satinol Blanco x 4lts</t>
  </si>
  <si>
    <t>CON-054|MAT</t>
  </si>
  <si>
    <t>CON-054|MAT|1</t>
  </si>
  <si>
    <t>CON-054|MAT|2</t>
  </si>
  <si>
    <t>CON-054|MAT|3</t>
  </si>
  <si>
    <t>CON-054|MAT|4</t>
  </si>
  <si>
    <t>CON-054|MAT|5</t>
  </si>
  <si>
    <t>CON-054|MAT|6</t>
  </si>
  <si>
    <t>CON-054|EQ</t>
  </si>
  <si>
    <t>CON-054|EQ|1</t>
  </si>
  <si>
    <t>CON-054|EQ|2</t>
  </si>
  <si>
    <t>CON-054|MO</t>
  </si>
  <si>
    <t>CON-054|MO|1</t>
  </si>
  <si>
    <t>PIR-055</t>
  </si>
  <si>
    <t>REV-009</t>
  </si>
  <si>
    <t>Quimtex Romano Fino x 27 kg</t>
  </si>
  <si>
    <t>PIR-055|MAT</t>
  </si>
  <si>
    <t>PIR-055|MAT|1</t>
  </si>
  <si>
    <t>REV-010</t>
  </si>
  <si>
    <t>Quimtex base cuarzo 18 lts</t>
  </si>
  <si>
    <t>PIR-055|MAT|2</t>
  </si>
  <si>
    <t>PIR-LLANA</t>
  </si>
  <si>
    <t>Llana Plastica 12 x 25 cm</t>
  </si>
  <si>
    <t>PIR-055|MAT|3</t>
  </si>
  <si>
    <t>PIR-055|MAT|4</t>
  </si>
  <si>
    <t>PIR-055|MAT|5</t>
  </si>
  <si>
    <t>PIR-055|MAT|6</t>
  </si>
  <si>
    <t>PIR-055|EQ</t>
  </si>
  <si>
    <t>PIR-055|EQ|1</t>
  </si>
  <si>
    <t>PIR-055|EQ|2</t>
  </si>
  <si>
    <t>PIR-055|EQ|3</t>
  </si>
  <si>
    <t>PIR-055|EQ|4</t>
  </si>
  <si>
    <t>PIR-055|MO</t>
  </si>
  <si>
    <t>PIR-055|MO|1</t>
  </si>
  <si>
    <t>PIR-055|MO|2</t>
  </si>
  <si>
    <t>PIR-055|MO|3</t>
  </si>
  <si>
    <t>PIR-056</t>
  </si>
  <si>
    <t>ADH-001</t>
  </si>
  <si>
    <t>Adhesivo Klaukol Porcellanato Fluido x 30Kg</t>
  </si>
  <si>
    <t>PIR-056|MAT</t>
  </si>
  <si>
    <t>PIR-056|MAT|1</t>
  </si>
  <si>
    <t>OTR-046</t>
  </si>
  <si>
    <t>Disco Diamantado Aliafor Turbo Fino TRF</t>
  </si>
  <si>
    <t>PIR-056|MAT|2</t>
  </si>
  <si>
    <t>OTR-ARCOCUNA</t>
  </si>
  <si>
    <t>Arco y cuña niveladores porcelanatos x 150un</t>
  </si>
  <si>
    <t>PIR-056|MAT|3</t>
  </si>
  <si>
    <t>PIR-056|MAT|4</t>
  </si>
  <si>
    <t>EQ-EQCERA</t>
  </si>
  <si>
    <t>EQUIPO PARA COLOCACION DE CERAMICA</t>
  </si>
  <si>
    <t>PIR-056|EQ</t>
  </si>
  <si>
    <t>PIR-056|EQ|1</t>
  </si>
  <si>
    <t>PIR-056|MO</t>
  </si>
  <si>
    <t>PIR-056|MO|1</t>
  </si>
  <si>
    <t>PIR-056|MO|2</t>
  </si>
  <si>
    <t>PIR-057</t>
  </si>
  <si>
    <t>PIR-057|MAT</t>
  </si>
  <si>
    <t>PIR-057|MAT|1</t>
  </si>
  <si>
    <t>PIR-057|MAT|2</t>
  </si>
  <si>
    <t>PIR-057|MAT|3</t>
  </si>
  <si>
    <t>PIR-057|MAT|4</t>
  </si>
  <si>
    <t>PIR-057|EQ</t>
  </si>
  <si>
    <t>PIR-057|EQ|1</t>
  </si>
  <si>
    <t>PIR-057|MO</t>
  </si>
  <si>
    <t>PIR-057|MO|1</t>
  </si>
  <si>
    <t>PIR-057|MO|2</t>
  </si>
  <si>
    <t>CER-058</t>
  </si>
  <si>
    <t>CER-058|MAT</t>
  </si>
  <si>
    <t>CER-058|MAT|1</t>
  </si>
  <si>
    <t>CER-058|MAT|2</t>
  </si>
  <si>
    <t>ADH-003</t>
  </si>
  <si>
    <t>Pastina Klaukol x 1kg - Alta performance</t>
  </si>
  <si>
    <t>CER-058|MAT|3</t>
  </si>
  <si>
    <t>CER-058|MAT|4</t>
  </si>
  <si>
    <t>CER-058|EQ</t>
  </si>
  <si>
    <t>CER-058|EQ|1</t>
  </si>
  <si>
    <t>CER-058|MO</t>
  </si>
  <si>
    <t>CER-058|MO|1</t>
  </si>
  <si>
    <t>CER-058|MO|2</t>
  </si>
  <si>
    <t>CER-059</t>
  </si>
  <si>
    <t>CER-059|MAT</t>
  </si>
  <si>
    <t>CER-059|MAT|1</t>
  </si>
  <si>
    <t>CER-059|MAT|2</t>
  </si>
  <si>
    <t>PIN-002</t>
  </si>
  <si>
    <t>Latex Loxon Interior Sherwin Williams Satinado Bco x 20lts</t>
  </si>
  <si>
    <t>CER-059|MAT|3</t>
  </si>
  <si>
    <t>CER-059|MAT|4</t>
  </si>
  <si>
    <t>CER-059|MAT|5</t>
  </si>
  <si>
    <t>CER-059|MAT|6</t>
  </si>
  <si>
    <t>CER-059|MAT|7</t>
  </si>
  <si>
    <t>CER-059|MAT|8</t>
  </si>
  <si>
    <t>CER-059|MAT|9</t>
  </si>
  <si>
    <t>CER-059|MAT|10</t>
  </si>
  <si>
    <t>CER-059|EQ</t>
  </si>
  <si>
    <t>CER-059|EQ|1</t>
  </si>
  <si>
    <t>CER-059|EQ|2</t>
  </si>
  <si>
    <t>CER-059|MO</t>
  </si>
  <si>
    <t>CER-059|MO|1</t>
  </si>
  <si>
    <t>CER-059|MO|2</t>
  </si>
  <si>
    <t>DUR-003</t>
  </si>
  <si>
    <t>Solera 35mm x 2.60m</t>
  </si>
  <si>
    <t>CER-060|MAT</t>
  </si>
  <si>
    <t>CER-060|MAT|1</t>
  </si>
  <si>
    <t>DUR-004</t>
  </si>
  <si>
    <t>Montante 34mm x 2.60m</t>
  </si>
  <si>
    <t>CER-060|MAT|2</t>
  </si>
  <si>
    <t>OTR-007</t>
  </si>
  <si>
    <t>Tornillo T1 - Aguja</t>
  </si>
  <si>
    <t>CER-060|MAT|3</t>
  </si>
  <si>
    <t>CER-060|MAT|4</t>
  </si>
  <si>
    <t>CER-060|MAT|5</t>
  </si>
  <si>
    <t>OTR-011</t>
  </si>
  <si>
    <t>Cinta Entramada - 90m</t>
  </si>
  <si>
    <t>CER-060|MAT|6</t>
  </si>
  <si>
    <t>DUR-005</t>
  </si>
  <si>
    <t>Masilla x 32kg</t>
  </si>
  <si>
    <t>CER-060|MAT|7</t>
  </si>
  <si>
    <t>REV-006</t>
  </si>
  <si>
    <t>Placa Roca de Yeso 1220 x 2440 - 12.5mm - STD</t>
  </si>
  <si>
    <t>CER-060|MAT|8</t>
  </si>
  <si>
    <t>PTO-1403</t>
  </si>
  <si>
    <t>PTO-1403|EQ</t>
  </si>
  <si>
    <t>PTO-1403|EQ|1</t>
  </si>
  <si>
    <t>CER-060|MO</t>
  </si>
  <si>
    <t>CER-060|MO|1</t>
  </si>
  <si>
    <t>CER-060|MO|2</t>
  </si>
  <si>
    <t>CER-061</t>
  </si>
  <si>
    <t>DUR-001</t>
  </si>
  <si>
    <t>Solera 70mm x 2.60m</t>
  </si>
  <si>
    <t>CER-061|MAT</t>
  </si>
  <si>
    <t>CER-061|MAT|1</t>
  </si>
  <si>
    <t>DUR-002</t>
  </si>
  <si>
    <t>Montante 69mm x 2.60m</t>
  </si>
  <si>
    <t>CER-061|MAT|2</t>
  </si>
  <si>
    <t>CER-061|MAT|3</t>
  </si>
  <si>
    <t>CER-061|MAT|4</t>
  </si>
  <si>
    <t>CER-061|MAT|5</t>
  </si>
  <si>
    <t>CER-061|MAT|6</t>
  </si>
  <si>
    <t>CER-061|MAT|7</t>
  </si>
  <si>
    <t>REV-007</t>
  </si>
  <si>
    <t>Placa Roca de Yeso 1220 x 2440 - 12.5mm - RH</t>
  </si>
  <si>
    <t>CER-061|MAT|8</t>
  </si>
  <si>
    <t>CER-061|EQ</t>
  </si>
  <si>
    <t>CER-061|EQ|1</t>
  </si>
  <si>
    <t>CER-061|MO</t>
  </si>
  <si>
    <t>CER-061|MO|1</t>
  </si>
  <si>
    <t>CER-061|MO|2</t>
  </si>
  <si>
    <t>CER-062</t>
  </si>
  <si>
    <t>CER-062|MAT</t>
  </si>
  <si>
    <t>CER-062|MAT|1</t>
  </si>
  <si>
    <t>CER-062|MAT|2</t>
  </si>
  <si>
    <t>CER-062|MAT|3</t>
  </si>
  <si>
    <t>CER-062|MAT|4</t>
  </si>
  <si>
    <t>CER-062|MAT|5</t>
  </si>
  <si>
    <t>CER-062|MAT|6</t>
  </si>
  <si>
    <t>CER-062|MAT|7</t>
  </si>
  <si>
    <t>REV-008</t>
  </si>
  <si>
    <t>Placa Roca de Yeso 1220 x 2440 - 12.5mm - RF</t>
  </si>
  <si>
    <t>CER-062|MAT|8</t>
  </si>
  <si>
    <t>CER-062|EQ</t>
  </si>
  <si>
    <t>CER-062|EQ|1</t>
  </si>
  <si>
    <t>CER-062|EQ|2</t>
  </si>
  <si>
    <t>CER-062|MO</t>
  </si>
  <si>
    <t>CER-062|MO|1</t>
  </si>
  <si>
    <t>CER-062|MO|2</t>
  </si>
  <si>
    <t>CER-063</t>
  </si>
  <si>
    <t>CER-063|MAT</t>
  </si>
  <si>
    <t>CER-063|MAT|1</t>
  </si>
  <si>
    <t>CER-063|MAT|2</t>
  </si>
  <si>
    <t>CER-063|MAT|3</t>
  </si>
  <si>
    <t>CER-063|MAT|4</t>
  </si>
  <si>
    <t>CER-063|MAT|5</t>
  </si>
  <si>
    <t>CER-063|EQ</t>
  </si>
  <si>
    <t>CER-063|EQ|1</t>
  </si>
  <si>
    <t>CER-063|MO</t>
  </si>
  <si>
    <t>CER-063|MO|1</t>
  </si>
  <si>
    <t>CER-063|MO|2</t>
  </si>
  <si>
    <t>CER-063B</t>
  </si>
  <si>
    <t>CER-063B|MAT</t>
  </si>
  <si>
    <t>CER-063B|MAT|1</t>
  </si>
  <si>
    <t>CER-063B|MAT|2</t>
  </si>
  <si>
    <t>CER-063B|MAT|3</t>
  </si>
  <si>
    <t>CER-063B|MAT|4</t>
  </si>
  <si>
    <t>CER-063B|MAT|5</t>
  </si>
  <si>
    <t>CER-063B|EQ</t>
  </si>
  <si>
    <t>CER-063B|EQ|1</t>
  </si>
  <si>
    <t>CER-063B|EQ|2</t>
  </si>
  <si>
    <t>CER-063B|MO</t>
  </si>
  <si>
    <t>CER-063B|MO|1</t>
  </si>
  <si>
    <t>CER-063B|MO|2</t>
  </si>
  <si>
    <t>CER-064</t>
  </si>
  <si>
    <t>CER-064|MAT</t>
  </si>
  <si>
    <t>CER-064|MAT|1</t>
  </si>
  <si>
    <t>CER-064|MAT|2</t>
  </si>
  <si>
    <t>CER-064|MAT|3</t>
  </si>
  <si>
    <t>CER-064|MAT|4</t>
  </si>
  <si>
    <t>CER-064|MAT|5</t>
  </si>
  <si>
    <t>CER-064|MAT|6</t>
  </si>
  <si>
    <t>CER-064|MAT|7</t>
  </si>
  <si>
    <t>DUR-006</t>
  </si>
  <si>
    <t>Lana De Vidrio 40mm X 21,6m2 Alta Densidad</t>
  </si>
  <si>
    <t>CER-064|MAT|8</t>
  </si>
  <si>
    <t>CER-064|MAT|9</t>
  </si>
  <si>
    <t>CER-064|EQ</t>
  </si>
  <si>
    <t>CER-064|EQ|1</t>
  </si>
  <si>
    <t>CER-064|EQ|2</t>
  </si>
  <si>
    <t>CER-064|MO</t>
  </si>
  <si>
    <t>CER-064|MO|1</t>
  </si>
  <si>
    <t>CER-064|MO|2</t>
  </si>
  <si>
    <t>DRY-065</t>
  </si>
  <si>
    <t>DRY-065|MAT</t>
  </si>
  <si>
    <t>DRY-065|MAT|1</t>
  </si>
  <si>
    <t>DRY-065|MAT|2</t>
  </si>
  <si>
    <t>DRY-065|MAT|3</t>
  </si>
  <si>
    <t>DRY-065|MAT|4</t>
  </si>
  <si>
    <t>OTR-009</t>
  </si>
  <si>
    <t>Tornillo T3 - Aguja</t>
  </si>
  <si>
    <t>DRY-065|MAT|5</t>
  </si>
  <si>
    <t>DRY-065|MAT|6</t>
  </si>
  <si>
    <t>DRY-065|MAT|7</t>
  </si>
  <si>
    <t>DRY-065|MAT|8</t>
  </si>
  <si>
    <t>DRY-065|MAT|9</t>
  </si>
  <si>
    <t>DRY-065|MAT|10</t>
  </si>
  <si>
    <t>DRY-065|EQ</t>
  </si>
  <si>
    <t>DRY-065|EQ|1</t>
  </si>
  <si>
    <t>DRY-065|EQ|2</t>
  </si>
  <si>
    <t>DRY-065|MO</t>
  </si>
  <si>
    <t>DRY-065|MO|1</t>
  </si>
  <si>
    <t>DRY-065|MO|2</t>
  </si>
  <si>
    <t>DRY-066</t>
  </si>
  <si>
    <t>DRY-066|MAT</t>
  </si>
  <si>
    <t>DRY-066|MAT|1</t>
  </si>
  <si>
    <t>DRY-066|MAT|2</t>
  </si>
  <si>
    <t>DRY-066|MAT|3</t>
  </si>
  <si>
    <t>DRY-066|MAT|4</t>
  </si>
  <si>
    <t>DRY-066|MAT|5</t>
  </si>
  <si>
    <t>DRY-066|MAT|6</t>
  </si>
  <si>
    <t>DRY-066|MAT|7</t>
  </si>
  <si>
    <t>DRY-066|MAT|8</t>
  </si>
  <si>
    <t>DRY-066|EQ</t>
  </si>
  <si>
    <t>DRY-066|EQ|1</t>
  </si>
  <si>
    <t>DRY-066|EQ|2</t>
  </si>
  <si>
    <t>DRY-066|MO</t>
  </si>
  <si>
    <t>DRY-066|MO|1</t>
  </si>
  <si>
    <t>DRY-066|MO|2</t>
  </si>
  <si>
    <t>DRY-067</t>
  </si>
  <si>
    <t>DRY-067|MAT</t>
  </si>
  <si>
    <t>DRY-067|MAT|1</t>
  </si>
  <si>
    <t>DRY-067|MAT|2</t>
  </si>
  <si>
    <t>DRY-067|MAT|3</t>
  </si>
  <si>
    <t>DRY-067|MAT|4</t>
  </si>
  <si>
    <t>DRY-067|MAT|5</t>
  </si>
  <si>
    <t>DRY-067|MAT|6</t>
  </si>
  <si>
    <t>DRY-067|MAT|7</t>
  </si>
  <si>
    <t>DRY-067|MAT|8</t>
  </si>
  <si>
    <t>DRY-067|MAT|9</t>
  </si>
  <si>
    <t>DRY-067|EQ</t>
  </si>
  <si>
    <t>DRY-067|EQ|1</t>
  </si>
  <si>
    <t>DRY-067|EQ|2</t>
  </si>
  <si>
    <t>DRY-067|MO</t>
  </si>
  <si>
    <t>DRY-067|MO|1</t>
  </si>
  <si>
    <t>DRY-067|MO|2</t>
  </si>
  <si>
    <t>DRY-068</t>
  </si>
  <si>
    <t>DRY-KLIMABLOCK</t>
  </si>
  <si>
    <t>Ladrillo Ceramico Kilablock 27 x 18 x 33</t>
  </si>
  <si>
    <t>DRY-068|MAT</t>
  </si>
  <si>
    <t>DRY-068|MAT|1</t>
  </si>
  <si>
    <t>DRY-068|MAT|2</t>
  </si>
  <si>
    <t>DRY-068|MAT|3</t>
  </si>
  <si>
    <t>DRY-068|MAT|4</t>
  </si>
  <si>
    <t>DRY-068|MAT|5</t>
  </si>
  <si>
    <t>DRY-068|EQ</t>
  </si>
  <si>
    <t>DRY-068|EQ|1</t>
  </si>
  <si>
    <t>DRY-068|EQ|2</t>
  </si>
  <si>
    <t>DRY-068|EQ|3</t>
  </si>
  <si>
    <t>DRY-068|MO</t>
  </si>
  <si>
    <t>DRY-068|MO|1</t>
  </si>
  <si>
    <t>DRY-068|MO|2</t>
  </si>
  <si>
    <t>IMP-070</t>
  </si>
  <si>
    <t>IMP-070|MAT</t>
  </si>
  <si>
    <t>IMP-070|MAT|1</t>
  </si>
  <si>
    <t>IMP-070|MAT|2</t>
  </si>
  <si>
    <t>IMP-070|MAT|3</t>
  </si>
  <si>
    <t>IMP-070|MAT|4</t>
  </si>
  <si>
    <t>IMP-070|MAT|5</t>
  </si>
  <si>
    <t>IMP-070|MAT|6</t>
  </si>
  <si>
    <t>OTR-047</t>
  </si>
  <si>
    <t>Guante vaqueta medio paseo</t>
  </si>
  <si>
    <t>IMP-070|MAT|7</t>
  </si>
  <si>
    <t>IMP-070|EQ</t>
  </si>
  <si>
    <t>IMP-070|EQ|1</t>
  </si>
  <si>
    <t>IMP-070|MO</t>
  </si>
  <si>
    <t>IMP-070|MO|1</t>
  </si>
  <si>
    <t>IMP-070|MO|2</t>
  </si>
  <si>
    <t>CUB-071</t>
  </si>
  <si>
    <t>ELE-001</t>
  </si>
  <si>
    <t>Recuplast Tradicional Blanco x 20 lts</t>
  </si>
  <si>
    <t>CUB-071|MAT</t>
  </si>
  <si>
    <t>CUB-071|MAT|1</t>
  </si>
  <si>
    <t>ADT-002</t>
  </si>
  <si>
    <t>Venda SikaTEX 75 - Rollo</t>
  </si>
  <si>
    <t>CUB-071|MAT|2</t>
  </si>
  <si>
    <t>CUB-071|MAT|3</t>
  </si>
  <si>
    <t>CUB-071|EQ</t>
  </si>
  <si>
    <t>CUB-071|EQ|1</t>
  </si>
  <si>
    <t>CUB-071|EQ|2</t>
  </si>
  <si>
    <t>CUB-071|MO</t>
  </si>
  <si>
    <t>CUB-071|MO|1</t>
  </si>
  <si>
    <t>CUB-071|MO|2</t>
  </si>
  <si>
    <t>AIS-072</t>
  </si>
  <si>
    <t>OTR-REVCE01</t>
  </si>
  <si>
    <t>Revoque Cementicio Exterior 3en1</t>
  </si>
  <si>
    <t>AIS-072|MAT</t>
  </si>
  <si>
    <t>AIS-072|MAT|1</t>
  </si>
  <si>
    <t>REV-013</t>
  </si>
  <si>
    <t>Conjunto rotor estator Yeso ASE</t>
  </si>
  <si>
    <t>AIS-072|MAT|2</t>
  </si>
  <si>
    <t>AIS-072|EQ</t>
  </si>
  <si>
    <t>AIS-072|EQ|1</t>
  </si>
  <si>
    <t>AIS-072|EQ|2</t>
  </si>
  <si>
    <t>EQ-REVOC</t>
  </si>
  <si>
    <t>Máquina revocadora Yeso/Revoque 3-en-1</t>
  </si>
  <si>
    <t>AIS-072|EQ|3</t>
  </si>
  <si>
    <t>AIS-072|MO</t>
  </si>
  <si>
    <t>AIS-072|MO|1</t>
  </si>
  <si>
    <t>AIS-072|MO|2</t>
  </si>
  <si>
    <t>AIS-072|MO|3</t>
  </si>
  <si>
    <t>AIS-073</t>
  </si>
  <si>
    <t>AIS-073|MAT</t>
  </si>
  <si>
    <t>AIS-073|MAT|1</t>
  </si>
  <si>
    <t>OTR-012</t>
  </si>
  <si>
    <t>Cinta de Papel - 75m</t>
  </si>
  <si>
    <t>AIS-073|MAT|2</t>
  </si>
  <si>
    <t>AIS-073|MAT|3</t>
  </si>
  <si>
    <t>AIS-073|MAT|4</t>
  </si>
  <si>
    <t>AIS-073|MAT|5</t>
  </si>
  <si>
    <t>AIS-073|MAT|6</t>
  </si>
  <si>
    <t>AIS-073|MAT|7</t>
  </si>
  <si>
    <t>AIS-073|EQ</t>
  </si>
  <si>
    <t>AIS-073|EQ|1</t>
  </si>
  <si>
    <t>AIS-073|EQ|2</t>
  </si>
  <si>
    <t>AIS-073|MO</t>
  </si>
  <si>
    <t>AIS-073|MO|1</t>
  </si>
  <si>
    <t>AIS-075</t>
  </si>
  <si>
    <t>AIS-075|MAT</t>
  </si>
  <si>
    <t>AIS-075|MAT|1</t>
  </si>
  <si>
    <t>OTR-LADRI183</t>
  </si>
  <si>
    <t>Ladrillo hueco cerámico 18×19×33 - Portante</t>
  </si>
  <si>
    <t>AIS-075|MAT|2</t>
  </si>
  <si>
    <t>AIS-075|MAT|3</t>
  </si>
  <si>
    <t>AIS-075|MAT|4</t>
  </si>
  <si>
    <t>AIS-075|MAT|5</t>
  </si>
  <si>
    <t>AIS-075|MAT|6</t>
  </si>
  <si>
    <t>AIS-075|EQ</t>
  </si>
  <si>
    <t>AIS-075|EQ|1</t>
  </si>
  <si>
    <t>AIS-075|EQ|2</t>
  </si>
  <si>
    <t>AIS-075|EQ|3</t>
  </si>
  <si>
    <t>AIS-075|MO</t>
  </si>
  <si>
    <t>AIS-075|MO|1</t>
  </si>
  <si>
    <t>AIS-075|MO|2</t>
  </si>
  <si>
    <t>PIN-080</t>
  </si>
  <si>
    <t>ACE-010</t>
  </si>
  <si>
    <t>Alambre de fardo</t>
  </si>
  <si>
    <t>PIN-080|MAT</t>
  </si>
  <si>
    <t>PIN-080|MAT|1</t>
  </si>
  <si>
    <t>ACE-016</t>
  </si>
  <si>
    <t>ACERO ESTRUCTURAL POR KILO</t>
  </si>
  <si>
    <t>PIN-080|MAT|2</t>
  </si>
  <si>
    <t>PIN-080|MO</t>
  </si>
  <si>
    <t>PIN-080|MO|1</t>
  </si>
  <si>
    <t>PIN-080|MO|2</t>
  </si>
  <si>
    <t>PIN-080|MO|3</t>
  </si>
  <si>
    <t>PIN-081</t>
  </si>
  <si>
    <t>PIN-081|MAT</t>
  </si>
  <si>
    <t>PIN-081|MAT|1</t>
  </si>
  <si>
    <t>PIN-081|MAT|2</t>
  </si>
  <si>
    <t>PIN-081|MO</t>
  </si>
  <si>
    <t>PIN-081|MO|1</t>
  </si>
  <si>
    <t>PIN-081|MO|2</t>
  </si>
  <si>
    <t>PIN-081|MO|3</t>
  </si>
  <si>
    <t>PIN-082</t>
  </si>
  <si>
    <t>PIN-082|MAT</t>
  </si>
  <si>
    <t>PIN-082|MAT|1</t>
  </si>
  <si>
    <t>PIN-082|MAT|2</t>
  </si>
  <si>
    <t>PIN-082|MO</t>
  </si>
  <si>
    <t>PIN-082|MO|1</t>
  </si>
  <si>
    <t>PIN-082|MO|2</t>
  </si>
  <si>
    <t>PIN-082|MO|3</t>
  </si>
  <si>
    <t>PIN-083</t>
  </si>
  <si>
    <t>PIN-083|MAT</t>
  </si>
  <si>
    <t>PIN-083|MAT|1</t>
  </si>
  <si>
    <t>PIN-083|MAT|2</t>
  </si>
  <si>
    <t>PIN-083|MO</t>
  </si>
  <si>
    <t>PIN-083|MO|1</t>
  </si>
  <si>
    <t>PIN-083|MO|2</t>
  </si>
  <si>
    <t>PIN-083|MO|3</t>
  </si>
  <si>
    <t>PIN-084</t>
  </si>
  <si>
    <t>PIN-084|MAT</t>
  </si>
  <si>
    <t>PIN-084|MAT|1</t>
  </si>
  <si>
    <t>PIN-084|MAT|2</t>
  </si>
  <si>
    <t>PIN-084|MO</t>
  </si>
  <si>
    <t>PIN-084|MO|1</t>
  </si>
  <si>
    <t>PIN-084|MO|2</t>
  </si>
  <si>
    <t>APU-005</t>
  </si>
  <si>
    <t>APU-005|MAT</t>
  </si>
  <si>
    <t>APU-005|MAT|1</t>
  </si>
  <si>
    <t>APU-005|MAT|2</t>
  </si>
  <si>
    <t>APU-005|MO</t>
  </si>
  <si>
    <t>APU-005|MO|1</t>
  </si>
  <si>
    <t>APU-005|MO|2</t>
  </si>
  <si>
    <t>APU-005|MO|3</t>
  </si>
  <si>
    <t>PIN-086</t>
  </si>
  <si>
    <t>PIN-086|MAT</t>
  </si>
  <si>
    <t>PIN-086|MAT|1</t>
  </si>
  <si>
    <t>PIN-086|MAT|2</t>
  </si>
  <si>
    <t>PIN-086|MO</t>
  </si>
  <si>
    <t>PIN-086|MO|1</t>
  </si>
  <si>
    <t>PIN-086|MO|2</t>
  </si>
  <si>
    <t>PIN-086|MO|3</t>
  </si>
  <si>
    <t>ENC-087</t>
  </si>
  <si>
    <t>ACE-015</t>
  </si>
  <si>
    <t>CLAVOS DE 21/2" X 12</t>
  </si>
  <si>
    <t>ENC-087|MAT</t>
  </si>
  <si>
    <t>ENC-087|MAT|1</t>
  </si>
  <si>
    <t>ENC-087|MAT|2</t>
  </si>
  <si>
    <t>ENC-087|MO</t>
  </si>
  <si>
    <t>ENC-087|MO|1</t>
  </si>
  <si>
    <t>ENC-087|MO|2</t>
  </si>
  <si>
    <t>ENC-088</t>
  </si>
  <si>
    <t>OTR-033</t>
  </si>
  <si>
    <t>tirante 3x3 para puntal 3.66</t>
  </si>
  <si>
    <t>ENC-088|MAT</t>
  </si>
  <si>
    <t>ENC-088|MAT|1</t>
  </si>
  <si>
    <t>OTR-034</t>
  </si>
  <si>
    <t>tirante 3x6 3.66</t>
  </si>
  <si>
    <t>ENC-088|MAT|2</t>
  </si>
  <si>
    <t>OTR-031</t>
  </si>
  <si>
    <t>FENOLICO 18MM. COMUN 1.22 x 2.40</t>
  </si>
  <si>
    <t>ENC-088|MAT|3</t>
  </si>
  <si>
    <t>ENC-088|MAT|4</t>
  </si>
  <si>
    <t>ENC-088|MAT|5</t>
  </si>
  <si>
    <t>ENC-088|MO</t>
  </si>
  <si>
    <t>ENC-088|MO|1</t>
  </si>
  <si>
    <t>ENC-088|MO|2</t>
  </si>
  <si>
    <t>ENC-088|MO|3</t>
  </si>
  <si>
    <t>ENC-089</t>
  </si>
  <si>
    <t>ENC-089|MAT</t>
  </si>
  <si>
    <t>ENC-089|MAT|1</t>
  </si>
  <si>
    <t>ENC-089|MAT|2</t>
  </si>
  <si>
    <t>ENC-089|MAT|3</t>
  </si>
  <si>
    <t>ENC-089|MAT|4</t>
  </si>
  <si>
    <t>ENC-089|MAT|5</t>
  </si>
  <si>
    <t>ENC-089|MO</t>
  </si>
  <si>
    <t>ENC-089|MO|1</t>
  </si>
  <si>
    <t>ENC-089|MO|2</t>
  </si>
  <si>
    <t>ENC-089|MO|3</t>
  </si>
  <si>
    <t>ENC-090</t>
  </si>
  <si>
    <t>ENC-090|MAT</t>
  </si>
  <si>
    <t>ENC-090|MAT|1</t>
  </si>
  <si>
    <t>OTR-032</t>
  </si>
  <si>
    <t>FENOLICO 18MM. LAMINADO MELAMINICO</t>
  </si>
  <si>
    <t>ENC-090|MAT|2</t>
  </si>
  <si>
    <t>ENC-090|MAT|3</t>
  </si>
  <si>
    <t>ENC-090|MAT|4</t>
  </si>
  <si>
    <t>ENC-090|MAT|5</t>
  </si>
  <si>
    <t>ENC-090|MO</t>
  </si>
  <si>
    <t>ENC-090|MO|1</t>
  </si>
  <si>
    <t>ENC-090|MO|2</t>
  </si>
  <si>
    <t>ENC-090|MO|3</t>
  </si>
  <si>
    <t>ENC-091</t>
  </si>
  <si>
    <t>ENC-091|MAT</t>
  </si>
  <si>
    <t>ENC-091|MAT|1</t>
  </si>
  <si>
    <t>ENC-091|MAT|2</t>
  </si>
  <si>
    <t>ENC-091|MAT|3</t>
  </si>
  <si>
    <t>ENC-091|MAT|4</t>
  </si>
  <si>
    <t>ENC-091|MAT|5</t>
  </si>
  <si>
    <t>ENC-091|MO</t>
  </si>
  <si>
    <t>ENC-091|MO|1</t>
  </si>
  <si>
    <t>ENC-091|MO|2</t>
  </si>
  <si>
    <t>ENC-091|MO|3</t>
  </si>
  <si>
    <t>PTO-0102</t>
  </si>
  <si>
    <t>SUB-PTO001</t>
  </si>
  <si>
    <t>M.Obra topografo</t>
  </si>
  <si>
    <t>PTO-0102|MO</t>
  </si>
  <si>
    <t>PTO-0102|MO|1</t>
  </si>
  <si>
    <t>PTO-0102|MO|2</t>
  </si>
  <si>
    <t>PTO-0102|MAT</t>
  </si>
  <si>
    <t>PTO-0102|MAT|1</t>
  </si>
  <si>
    <t>EQ-PTO001</t>
  </si>
  <si>
    <t>Herramientas — Topógrafo - Visita de obra replanteo</t>
  </si>
  <si>
    <t>PTO-0102|EQ</t>
  </si>
  <si>
    <t>PTO-0102|EQ|1</t>
  </si>
  <si>
    <t>PTO-0104</t>
  </si>
  <si>
    <t>OTR-PTO002</t>
  </si>
  <si>
    <t>Chapa acanalada C25</t>
  </si>
  <si>
    <t>PTO-0104|MAT</t>
  </si>
  <si>
    <t>PTO-0104|MAT|1</t>
  </si>
  <si>
    <t>OTR-PTO003</t>
  </si>
  <si>
    <t>Perfiles UPN 100</t>
  </si>
  <si>
    <t>PTO-0104|MAT|2</t>
  </si>
  <si>
    <t>OTR-PTO004</t>
  </si>
  <si>
    <t>Bastidor para porton corredizo - Perfil 40 x 40 x 2</t>
  </si>
  <si>
    <t>PTO-0104|MAT|3</t>
  </si>
  <si>
    <t>OTR-PTO005</t>
  </si>
  <si>
    <t>Riel Roma 174 e: 2,1 mm. 53 x 60 x 6000</t>
  </si>
  <si>
    <t>PTO-0104|MAT|4</t>
  </si>
  <si>
    <t>OTR-PTO006</t>
  </si>
  <si>
    <t>Carro acero 174 4 ruedas puertas portones Ø45mm</t>
  </si>
  <si>
    <t>PTO-0104|MAT|5</t>
  </si>
  <si>
    <t>OTR-PTO007</t>
  </si>
  <si>
    <t>Autoperforantes punta mecha 14 x 2</t>
  </si>
  <si>
    <t>PTO-0104|MAT|6</t>
  </si>
  <si>
    <t>OTR-PTO008</t>
  </si>
  <si>
    <t>Rollo Concertina</t>
  </si>
  <si>
    <t>PTO-0104|MAT|7</t>
  </si>
  <si>
    <t>OTR-PTO9000</t>
  </si>
  <si>
    <t>Puntales 3 x 3 x 3,7</t>
  </si>
  <si>
    <t>PTO-0104|MAT|8</t>
  </si>
  <si>
    <t>PTO-0104|MAT|9</t>
  </si>
  <si>
    <t>MO-EOFIC</t>
  </si>
  <si>
    <t>PTO-0104|MO</t>
  </si>
  <si>
    <t>PTO-0104|MO|1</t>
  </si>
  <si>
    <t>PTO-0104|MO|2</t>
  </si>
  <si>
    <t>PTO-0104|MO|3</t>
  </si>
  <si>
    <t>EQ-PTO002</t>
  </si>
  <si>
    <t xml:space="preserve">Herramientas — Cerco de obra perimetral - En chapa C25 </t>
  </si>
  <si>
    <t>PTO-0104|EQ</t>
  </si>
  <si>
    <t>PTO-0104|EQ|1</t>
  </si>
  <si>
    <t>PTO-0105</t>
  </si>
  <si>
    <t>OTR-PTO009</t>
  </si>
  <si>
    <t>Chapa acanalada C25 - Reutilizado (estimado 3 usos)</t>
  </si>
  <si>
    <t>PTO-0105|MAT</t>
  </si>
  <si>
    <t>PTO-0105|MAT|1</t>
  </si>
  <si>
    <t>OTR-PTO010</t>
  </si>
  <si>
    <t>Fenolico 1,22 x 2,44 - Reutilizado (estimado 3 usos)</t>
  </si>
  <si>
    <t>PTO-0105|MAT|2</t>
  </si>
  <si>
    <t>OTR-PTO011</t>
  </si>
  <si>
    <t>Puntales 1 x 4 x 3,7 - Reutilizado (estimado 3 usos)</t>
  </si>
  <si>
    <t>PTO-0105|MAT|3</t>
  </si>
  <si>
    <t>OTR-PTO012</t>
  </si>
  <si>
    <t>Puntales 3 x 3 x 3,7 - Reutilizado (estimado 3 usos)</t>
  </si>
  <si>
    <t>PTO-0105|MAT|4</t>
  </si>
  <si>
    <t>OTR-PTO013</t>
  </si>
  <si>
    <t>Flechas 3 x 6 x 3,7 - Reutilizado (estimado 3 usos)</t>
  </si>
  <si>
    <t>PTO-0105|MAT|5</t>
  </si>
  <si>
    <t>OTR-PTO014</t>
  </si>
  <si>
    <t>Escalera</t>
  </si>
  <si>
    <t>PTO-0105|MAT|6</t>
  </si>
  <si>
    <t>SUB-PTO002</t>
  </si>
  <si>
    <t>Flete madera</t>
  </si>
  <si>
    <t>PTO-0105|MO</t>
  </si>
  <si>
    <t>PTO-0105|MO|1</t>
  </si>
  <si>
    <t>COR</t>
  </si>
  <si>
    <t>OTR-PTO015</t>
  </si>
  <si>
    <t>Materiales varios</t>
  </si>
  <si>
    <t>PTO-0105|MAT|7</t>
  </si>
  <si>
    <t>PTO-0105|MO|2</t>
  </si>
  <si>
    <t>PTO-0105|MO|3</t>
  </si>
  <si>
    <t>PTO-0105|MO|4</t>
  </si>
  <si>
    <t>OTR-PTO016</t>
  </si>
  <si>
    <t>Rollo de cable TPR 3 x 2,5</t>
  </si>
  <si>
    <t>PTO-0105|MAT|8</t>
  </si>
  <si>
    <t>OTR-PTO017</t>
  </si>
  <si>
    <t>Zocalo E27</t>
  </si>
  <si>
    <t>PTO-0105|MAT|9</t>
  </si>
  <si>
    <t>OTR-PTO018</t>
  </si>
  <si>
    <t>Lampara Led 12 w</t>
  </si>
  <si>
    <t>PTO-0105|MAT|10</t>
  </si>
  <si>
    <t>OTR-PTO019</t>
  </si>
  <si>
    <t>Mat. Elect. (tomas, enchufes, etc.)</t>
  </si>
  <si>
    <t>PTO-0105|MAT|11</t>
  </si>
  <si>
    <t>PTO-0105|MO|5</t>
  </si>
  <si>
    <t>OTR-PTO020</t>
  </si>
  <si>
    <t>Materiales Sanit</t>
  </si>
  <si>
    <t>PTO-0105|MAT|12</t>
  </si>
  <si>
    <t>OTR-PTO021</t>
  </si>
  <si>
    <t>Inodoro</t>
  </si>
  <si>
    <t>PTO-0105|MAT|13</t>
  </si>
  <si>
    <t>OTR-PTO022</t>
  </si>
  <si>
    <t>Mochila plastico</t>
  </si>
  <si>
    <t>PTO-0105|MAT|14</t>
  </si>
  <si>
    <t>OTR-PTO023</t>
  </si>
  <si>
    <t>Bacha</t>
  </si>
  <si>
    <t>PTO-0105|MAT|15</t>
  </si>
  <si>
    <t>OTR-PTO024</t>
  </si>
  <si>
    <t>Termo electrico 40 lts</t>
  </si>
  <si>
    <t>PTO-0105|MAT|16</t>
  </si>
  <si>
    <t>EQ-PTO003</t>
  </si>
  <si>
    <t>Herramientas — Obrador, pañol y ducha</t>
  </si>
  <si>
    <t>PTO-0105|EQ</t>
  </si>
  <si>
    <t>PTO-0105|EQ|1</t>
  </si>
  <si>
    <t>PTO-0106</t>
  </si>
  <si>
    <t>SUB-PTO003</t>
  </si>
  <si>
    <t>Alquiler de baños quimico</t>
  </si>
  <si>
    <t>PTO-0106|MO</t>
  </si>
  <si>
    <t>PTO-0106|MO|1</t>
  </si>
  <si>
    <t>SUB-PTO004</t>
  </si>
  <si>
    <t>Limpieza adicional</t>
  </si>
  <si>
    <t>PTO-0106|MO|2</t>
  </si>
  <si>
    <t>SUB-PTO005</t>
  </si>
  <si>
    <t>Alquiler de modulo de ducha</t>
  </si>
  <si>
    <t>PTO-0106|MO|3</t>
  </si>
  <si>
    <t>SUB-PTO006</t>
  </si>
  <si>
    <t>Fletes de entrega y retiro</t>
  </si>
  <si>
    <t>PTO-0106|MO|4</t>
  </si>
  <si>
    <t>PTO-0107</t>
  </si>
  <si>
    <t>OTR-PTO025</t>
  </si>
  <si>
    <t>Pilar de obra, albañileria</t>
  </si>
  <si>
    <t>PTO-0107|MAT</t>
  </si>
  <si>
    <t>PTO-0107|MAT|1</t>
  </si>
  <si>
    <t>PTO-0107|MO</t>
  </si>
  <si>
    <t>PTO-0107|MO|1</t>
  </si>
  <si>
    <t>PTO-0107|MO|2</t>
  </si>
  <si>
    <t>OTR-PTO026</t>
  </si>
  <si>
    <t>Kit medidor pilar Edenor Conextube</t>
  </si>
  <si>
    <t>PTO-0107|MAT|2</t>
  </si>
  <si>
    <t>OTR-PTO027</t>
  </si>
  <si>
    <t>Kit jabalina + caja + toma cable</t>
  </si>
  <si>
    <t>PTO-0107|MAT|3</t>
  </si>
  <si>
    <t>OTR-PTO028</t>
  </si>
  <si>
    <t>Cable subterraneo 5 x 10 mm2</t>
  </si>
  <si>
    <t>PTO-0107|MAT|4</t>
  </si>
  <si>
    <t>OTR-PTO029</t>
  </si>
  <si>
    <t>Tablero de obra</t>
  </si>
  <si>
    <t>PTO-0107|MAT|5</t>
  </si>
  <si>
    <t>PTO-0107|MO|3</t>
  </si>
  <si>
    <t>EQ-PTO004</t>
  </si>
  <si>
    <t>Herramientas — Conexión pilar y luz de obra + Tablero d</t>
  </si>
  <si>
    <t>PTO-0107|EQ</t>
  </si>
  <si>
    <t>PTO-0107|EQ|1</t>
  </si>
  <si>
    <t>PTO-0108</t>
  </si>
  <si>
    <t>OTR-PTO030</t>
  </si>
  <si>
    <t>Tanque de Bombeo 500 lts (reutilizado)</t>
  </si>
  <si>
    <t>PTO-0108|MAT</t>
  </si>
  <si>
    <t>PTO-0108|MAT|1</t>
  </si>
  <si>
    <t>OTR-PTO031</t>
  </si>
  <si>
    <t>Bomba pres (reutilizada)</t>
  </si>
  <si>
    <t>PTO-0108|MAT|2</t>
  </si>
  <si>
    <t>OTR-PTO032</t>
  </si>
  <si>
    <t>Flotante mecanico 1" + boya</t>
  </si>
  <si>
    <t>PTO-0108|MAT|3</t>
  </si>
  <si>
    <t>OTR-PTO033</t>
  </si>
  <si>
    <t>Flotante automatico</t>
  </si>
  <si>
    <t>PTO-0108|MAT|4</t>
  </si>
  <si>
    <t>OTR-PTO034</t>
  </si>
  <si>
    <t>Caño 3/4"</t>
  </si>
  <si>
    <t>PTO-0108|MAT|5</t>
  </si>
  <si>
    <t>OTR-PTO035</t>
  </si>
  <si>
    <t>Val. esf doble media union 1"</t>
  </si>
  <si>
    <t>PTO-0108|MAT|6</t>
  </si>
  <si>
    <t>OTR-PTO036</t>
  </si>
  <si>
    <t>Canilla de pvc</t>
  </si>
  <si>
    <t>PTO-0108|MAT|7</t>
  </si>
  <si>
    <t>OTR-PTO037</t>
  </si>
  <si>
    <t>Desperdicio</t>
  </si>
  <si>
    <t>PTO-0108|MAT|8</t>
  </si>
  <si>
    <t>PTO-0108|MO</t>
  </si>
  <si>
    <t>PTO-0108|MO|1</t>
  </si>
  <si>
    <t>PTO-0108|MO|2</t>
  </si>
  <si>
    <t>EQ-PTO005</t>
  </si>
  <si>
    <t>Herramientas — Conexión agua de obra, tanque + bomba</t>
  </si>
  <si>
    <t>PTO-0108|EQ</t>
  </si>
  <si>
    <t>PTO-0108|EQ|1</t>
  </si>
  <si>
    <t>PTO-0109</t>
  </si>
  <si>
    <t>SUB-PTO007</t>
  </si>
  <si>
    <t>Gestion suministro luz de obra</t>
  </si>
  <si>
    <t>PTO-0109|MO</t>
  </si>
  <si>
    <t>PTO-0109|MO|1</t>
  </si>
  <si>
    <t>SUB-PTO008</t>
  </si>
  <si>
    <t>Luz de Obra</t>
  </si>
  <si>
    <t>PTO-0109|MO|2</t>
  </si>
  <si>
    <t>SUB-PTO009</t>
  </si>
  <si>
    <t>Medicion PAT luz de obra</t>
  </si>
  <si>
    <t>PTO-0109|MO|3</t>
  </si>
  <si>
    <t>PTO-0201</t>
  </si>
  <si>
    <t>SUB-PTO010</t>
  </si>
  <si>
    <t>Desmonte y aporte de tosca</t>
  </si>
  <si>
    <t>PTO-0201|MO</t>
  </si>
  <si>
    <t>PTO-0201|MO|1</t>
  </si>
  <si>
    <t>PTO-0201|MO|2</t>
  </si>
  <si>
    <t>PTO-0202</t>
  </si>
  <si>
    <t>SUB-PTO011</t>
  </si>
  <si>
    <t>Maquina 6 tn</t>
  </si>
  <si>
    <t>PTO-0202|MO</t>
  </si>
  <si>
    <t>PTO-0202|MO|1</t>
  </si>
  <si>
    <t>SUB-PTO012</t>
  </si>
  <si>
    <t>Viajes camión</t>
  </si>
  <si>
    <t>PTO-0202|MO|2</t>
  </si>
  <si>
    <t>SUB-PTO013</t>
  </si>
  <si>
    <t>Traslado de maquina</t>
  </si>
  <si>
    <t>PTO-0202|MO|3</t>
  </si>
  <si>
    <t>PTO-0202|MO|4</t>
  </si>
  <si>
    <t>EQ-PTO006</t>
  </si>
  <si>
    <t>Herramientas — Excavación para cámara transformadora</t>
  </si>
  <si>
    <t>PTO-0202|EQ</t>
  </si>
  <si>
    <t>PTO-0202|EQ|1</t>
  </si>
  <si>
    <t>PTO-0203</t>
  </si>
  <si>
    <t>PTO-0203|MO</t>
  </si>
  <si>
    <t>PTO-0203|MO|1</t>
  </si>
  <si>
    <t>PTO-0301</t>
  </si>
  <si>
    <t>OTR-PTO039</t>
  </si>
  <si>
    <t>H13</t>
  </si>
  <si>
    <t>PTO-0301|MAT</t>
  </si>
  <si>
    <t>PTO-0301|MAT|1</t>
  </si>
  <si>
    <t>OTR-037</t>
  </si>
  <si>
    <t>Bombeo</t>
  </si>
  <si>
    <t>PTO-0301|MAT|2</t>
  </si>
  <si>
    <t>OTR-PTO041</t>
  </si>
  <si>
    <t>Bomba</t>
  </si>
  <si>
    <t>PTO-0301|MAT|3</t>
  </si>
  <si>
    <t>PTO-0301|MO</t>
  </si>
  <si>
    <t>PTO-0301|MO|1</t>
  </si>
  <si>
    <t>PTO-0301|MO|2</t>
  </si>
  <si>
    <t>PTO-0301|MO|3</t>
  </si>
  <si>
    <t>EQ-PTO007</t>
  </si>
  <si>
    <t>Herramientas — Hormigón de limpieza - e: 10 cm</t>
  </si>
  <si>
    <t>PTO-0301|EQ</t>
  </si>
  <si>
    <t>PTO-0301|EQ|1</t>
  </si>
  <si>
    <t>PTO-0302</t>
  </si>
  <si>
    <t>SUB-PTO015</t>
  </si>
  <si>
    <t>Perforación</t>
  </si>
  <si>
    <t>PTO-0302|MO</t>
  </si>
  <si>
    <t>PTO-0302|MO|1</t>
  </si>
  <si>
    <t>SUB-PTO016</t>
  </si>
  <si>
    <t>Movilización</t>
  </si>
  <si>
    <t>PTO-0302|MO|2</t>
  </si>
  <si>
    <t>OTR-PTO042</t>
  </si>
  <si>
    <t>Cemento</t>
  </si>
  <si>
    <t>PTO-0302|MAT</t>
  </si>
  <si>
    <t>PTO-0302|MAT|1</t>
  </si>
  <si>
    <t>OTR-PTO043</t>
  </si>
  <si>
    <t>Hierro</t>
  </si>
  <si>
    <t>PTO-0302|MAT|2</t>
  </si>
  <si>
    <t>OTR-PTO044</t>
  </si>
  <si>
    <t>Volquetes p/barro</t>
  </si>
  <si>
    <t>PTO-0302|MAT|3</t>
  </si>
  <si>
    <t>PTO-0302|MAT|4</t>
  </si>
  <si>
    <t>PTO-0302|MO|3</t>
  </si>
  <si>
    <t>PTO-0302|MO|4</t>
  </si>
  <si>
    <t>PTO-0302|MO|5</t>
  </si>
  <si>
    <t>EQ-PTO008</t>
  </si>
  <si>
    <t xml:space="preserve">Herramientas — Micropilotes Ø 20 cm </t>
  </si>
  <si>
    <t>PTO-0302|EQ</t>
  </si>
  <si>
    <t>PTO-0302|EQ|1</t>
  </si>
  <si>
    <t>PTO-0303</t>
  </si>
  <si>
    <t>SUB-PTO017</t>
  </si>
  <si>
    <t>MO H°A° — Platea - H30 (110 kg/m3 de hierro)</t>
  </si>
  <si>
    <t>PTO-0303|MO</t>
  </si>
  <si>
    <t>PTO-0303|MO|1</t>
  </si>
  <si>
    <t>HAO-HIERRO</t>
  </si>
  <si>
    <t>HIERRO DE CONSTRUCCION H°A° (cuantia c/desp.)</t>
  </si>
  <si>
    <t>PTO-0303|MAT</t>
  </si>
  <si>
    <t>PTO-0303|MAT|1</t>
  </si>
  <si>
    <t>EQ-PTO009</t>
  </si>
  <si>
    <t>Herramientas — Platea - H30 (110 kg/m3 de hierro)</t>
  </si>
  <si>
    <t>PTO-0303|EQ</t>
  </si>
  <si>
    <t>PTO-0303|EQ|1</t>
  </si>
  <si>
    <t>PTO-0304</t>
  </si>
  <si>
    <t>SUB-PTO018</t>
  </si>
  <si>
    <t>MO H°A° — Zapata corrida tabique - H30 (180 kg/m3 de hi</t>
  </si>
  <si>
    <t>PTO-0304|MO</t>
  </si>
  <si>
    <t>PTO-0304|MO|1</t>
  </si>
  <si>
    <t>PTO-0304|MAT</t>
  </si>
  <si>
    <t>PTO-0304|MAT|1</t>
  </si>
  <si>
    <t>EQ-PTO010</t>
  </si>
  <si>
    <t xml:space="preserve">Herramientas — Zapata corrida tabique - H30 (180 kg/m3 </t>
  </si>
  <si>
    <t>PTO-0304|EQ</t>
  </si>
  <si>
    <t>PTO-0304|EQ|1</t>
  </si>
  <si>
    <t>PTO-0305</t>
  </si>
  <si>
    <t>SUB-PTO019</t>
  </si>
  <si>
    <t>MO H°A° — Bases aisladas - H30 (110 kg/m3 de hierro)</t>
  </si>
  <si>
    <t>PTO-0305|MO</t>
  </si>
  <si>
    <t>PTO-0305|MO|1</t>
  </si>
  <si>
    <t>OTR-PTO047</t>
  </si>
  <si>
    <t>H°A° — Bases aisladas - H30 (110 kg/m3 de hierro)</t>
  </si>
  <si>
    <t>PTO-0305|MAT</t>
  </si>
  <si>
    <t>PTO-0305|MAT|1</t>
  </si>
  <si>
    <t>EQ-PTO011</t>
  </si>
  <si>
    <t>Herramientas — Bases aisladas - H30 (110 kg/m3 de hierr</t>
  </si>
  <si>
    <t>PTO-0305|EQ</t>
  </si>
  <si>
    <t>PTO-0305|EQ|1</t>
  </si>
  <si>
    <t>PTO-0306</t>
  </si>
  <si>
    <t>SUB-PTO020</t>
  </si>
  <si>
    <t>MO H°A° — Cabezales - H30 (130 kg/m3 de hierro)</t>
  </si>
  <si>
    <t>PTO-0306|MO</t>
  </si>
  <si>
    <t>PTO-0306|MO|1</t>
  </si>
  <si>
    <t>PTO-0306|MAT</t>
  </si>
  <si>
    <t>PTO-0306|MAT|1</t>
  </si>
  <si>
    <t>EQ-PTO012</t>
  </si>
  <si>
    <t>Herramientas — Cabezales - H30 (130 kg/m3 de hierro)</t>
  </si>
  <si>
    <t>PTO-0306|EQ</t>
  </si>
  <si>
    <t>PTO-0306|EQ|1</t>
  </si>
  <si>
    <t>PTO-0307</t>
  </si>
  <si>
    <t>SUB-PTO021</t>
  </si>
  <si>
    <t>MO H°A° — Viga de  fundación - H30 (180 kg/m3 de hierro</t>
  </si>
  <si>
    <t>PTO-0307|MO</t>
  </si>
  <si>
    <t>PTO-0307|MO|1</t>
  </si>
  <si>
    <t>PTO-0307|MAT</t>
  </si>
  <si>
    <t>PTO-0307|MAT|1</t>
  </si>
  <si>
    <t>EQ-PTO013</t>
  </si>
  <si>
    <t>Herramientas — Viga de  fundación - H30 (180 kg/m3 de h</t>
  </si>
  <si>
    <t>PTO-0307|EQ</t>
  </si>
  <si>
    <t>PTO-0307|EQ|1</t>
  </si>
  <si>
    <t>PTO-0308</t>
  </si>
  <si>
    <t>SUB-PTO022</t>
  </si>
  <si>
    <t>MO H°A° — Tabique submuración - H30 (90 kg/m3 de hierro</t>
  </si>
  <si>
    <t>PTO-0308|MO</t>
  </si>
  <si>
    <t>PTO-0308|MO|1</t>
  </si>
  <si>
    <t>PTO-0308|MAT</t>
  </si>
  <si>
    <t>PTO-0308|MAT|1</t>
  </si>
  <si>
    <t>EQ-PTO014</t>
  </si>
  <si>
    <t>Herramientas — Tabique submuración - H30 (90 kg/m3 de h</t>
  </si>
  <si>
    <t>PTO-0308|EQ</t>
  </si>
  <si>
    <t>PTO-0308|EQ|1</t>
  </si>
  <si>
    <t>PTO-0309</t>
  </si>
  <si>
    <t>SUB-PTO023</t>
  </si>
  <si>
    <t>MO H°A° — Puntales de compresión/codales - H30 (120 kg/</t>
  </si>
  <si>
    <t>PTO-0309|MO</t>
  </si>
  <si>
    <t>PTO-0309|MO|1</t>
  </si>
  <si>
    <t>OTR-PTO051</t>
  </si>
  <si>
    <t>H°A° — Puntales de compresión/codales - H30 (120 kg/</t>
  </si>
  <si>
    <t>PTO-0309|MAT</t>
  </si>
  <si>
    <t>PTO-0309|MAT|1</t>
  </si>
  <si>
    <t>EQ-PTO015</t>
  </si>
  <si>
    <t>Herramientas — Puntales de compresión/codales - H30 (12</t>
  </si>
  <si>
    <t>PTO-0309|EQ</t>
  </si>
  <si>
    <t>PTO-0309|EQ|1</t>
  </si>
  <si>
    <t>PTO-0031</t>
  </si>
  <si>
    <t>SUB-PTO024</t>
  </si>
  <si>
    <t>MO H°A° — Columna - H30 (240 kg/m3 de hierro)</t>
  </si>
  <si>
    <t>PTO-0031|MO</t>
  </si>
  <si>
    <t>PTO-0031|MO|1</t>
  </si>
  <si>
    <t>PTO-0031|MAT</t>
  </si>
  <si>
    <t>PTO-0031|MAT|1</t>
  </si>
  <si>
    <t>EQ-PTO016</t>
  </si>
  <si>
    <t>Herramientas — Columna - H30 (240 kg/m3 de hierro)</t>
  </si>
  <si>
    <t>PTO-0031|EQ</t>
  </si>
  <si>
    <t>PTO-0031|EQ|1</t>
  </si>
  <si>
    <t>PTO-0311</t>
  </si>
  <si>
    <t>SUB-PTO025</t>
  </si>
  <si>
    <t>MO H°A° — Tabiques - H30 (120 kg/m3 de hierro)</t>
  </si>
  <si>
    <t>PTO-0311|MO</t>
  </si>
  <si>
    <t>PTO-0311|MO|1</t>
  </si>
  <si>
    <t>PTO-0311|MAT</t>
  </si>
  <si>
    <t>PTO-0311|MAT|1</t>
  </si>
  <si>
    <t>EQ-PTO017</t>
  </si>
  <si>
    <t>Herramientas — Tabiques - H30 (120 kg/m3 de hierro)</t>
  </si>
  <si>
    <t>PTO-0311|EQ</t>
  </si>
  <si>
    <t>PTO-0311|EQ|1</t>
  </si>
  <si>
    <t>PTO-0312</t>
  </si>
  <si>
    <t>SUB-PTO026</t>
  </si>
  <si>
    <t>MO H°A° — Viga H° Visto - H30 (120 kg/m3 de hierro)</t>
  </si>
  <si>
    <t>PTO-0312|MO</t>
  </si>
  <si>
    <t>PTO-0312|MO|1</t>
  </si>
  <si>
    <t>PTO-0312|MAT</t>
  </si>
  <si>
    <t>PTO-0312|MAT|1</t>
  </si>
  <si>
    <t>EQ-PTO018</t>
  </si>
  <si>
    <t>Herramientas — Viga H° Visto - H30 (120 kg/m3 de hierro</t>
  </si>
  <si>
    <t>PTO-0312|EQ</t>
  </si>
  <si>
    <t>PTO-0312|EQ|1</t>
  </si>
  <si>
    <t>PTO-0313</t>
  </si>
  <si>
    <t>SUB-PTO027</t>
  </si>
  <si>
    <t>MO H°A° — Viga apeo s/PB - H30 (180 kg/m3 de hierro)</t>
  </si>
  <si>
    <t>PTO-0313|MO</t>
  </si>
  <si>
    <t>PTO-0313|MO|1</t>
  </si>
  <si>
    <t>PTO-0313|MAT</t>
  </si>
  <si>
    <t>PTO-0313|MAT|1</t>
  </si>
  <si>
    <t>EQ-PTO019</t>
  </si>
  <si>
    <t>Herramientas — Viga apeo s/PB - H30 (180 kg/m3 de hierr</t>
  </si>
  <si>
    <t>PTO-0313|EQ</t>
  </si>
  <si>
    <t>PTO-0313|EQ|1</t>
  </si>
  <si>
    <t>PTO-0314</t>
  </si>
  <si>
    <t>SUB-PTO028</t>
  </si>
  <si>
    <t>MO H°A° — Viga - H30 (120 kg/m3 de hierro)</t>
  </si>
  <si>
    <t>PTO-0314|MO</t>
  </si>
  <si>
    <t>PTO-0314|MO|1</t>
  </si>
  <si>
    <t>PTO-0314|MAT</t>
  </si>
  <si>
    <t>PTO-0314|MAT|1</t>
  </si>
  <si>
    <t>EQ-PTO020</t>
  </si>
  <si>
    <t>Herramientas — Viga - H30 (120 kg/m3 de hierro)</t>
  </si>
  <si>
    <t>PTO-0314|EQ</t>
  </si>
  <si>
    <t>PTO-0314|EQ|1</t>
  </si>
  <si>
    <t>PTO-0315</t>
  </si>
  <si>
    <t>SUB-PTO029</t>
  </si>
  <si>
    <t>MO H°A° — Losa - H30 (95 kg/m3 de hierro)</t>
  </si>
  <si>
    <t>PTO-0315|MO</t>
  </si>
  <si>
    <t>PTO-0315|MO|1</t>
  </si>
  <si>
    <t>PTO-0315|MAT</t>
  </si>
  <si>
    <t>PTO-0315|MAT|1</t>
  </si>
  <si>
    <t>EQ-PTO021</t>
  </si>
  <si>
    <t>Herramientas — Losa - H30 (95 kg/m3 de hierro)</t>
  </si>
  <si>
    <t>PTO-0315|EQ</t>
  </si>
  <si>
    <t>PTO-0315|EQ|1</t>
  </si>
  <si>
    <t>PTO-0316</t>
  </si>
  <si>
    <t>SUB-PTO030</t>
  </si>
  <si>
    <t>MO H°A° — Losa H° Visto - H30 (95 kg/m3 de hierro)</t>
  </si>
  <si>
    <t>PTO-0316|MO</t>
  </si>
  <si>
    <t>PTO-0316|MO|1</t>
  </si>
  <si>
    <t>PTO-0316|MAT</t>
  </si>
  <si>
    <t>PTO-0316|MAT|1</t>
  </si>
  <si>
    <t>EQ-PTO022</t>
  </si>
  <si>
    <t>Herramientas — Losa H° Visto - H30 (95 kg/m3 de hierro)</t>
  </si>
  <si>
    <t>PTO-0316|EQ</t>
  </si>
  <si>
    <t>PTO-0316|EQ|1</t>
  </si>
  <si>
    <t>PTO-0317</t>
  </si>
  <si>
    <t>SUB-PTO031</t>
  </si>
  <si>
    <t>MO H°A° — Escalera - H30 (105 kg/m3)</t>
  </si>
  <si>
    <t>PTO-0317|MO</t>
  </si>
  <si>
    <t>PTO-0317|MO|1</t>
  </si>
  <si>
    <t>PTO-0317|MAT</t>
  </si>
  <si>
    <t>PTO-0317|MAT|1</t>
  </si>
  <si>
    <t>EQ-PTO023</t>
  </si>
  <si>
    <t>Herramientas — Escalera - H30 (105 kg/m3)</t>
  </si>
  <si>
    <t>PTO-0317|EQ</t>
  </si>
  <si>
    <t>PTO-0317|EQ|1</t>
  </si>
  <si>
    <t>PTO-0318</t>
  </si>
  <si>
    <t>SUB-PTO032</t>
  </si>
  <si>
    <t>MO H°A° — Viga alero - H30 (120 kg/m3 de hierro)</t>
  </si>
  <si>
    <t>PTO-0318|MO</t>
  </si>
  <si>
    <t>PTO-0318|MO|1</t>
  </si>
  <si>
    <t>PTO-0318|MAT</t>
  </si>
  <si>
    <t>PTO-0318|MAT|1</t>
  </si>
  <si>
    <t>EQ-PTO9000</t>
  </si>
  <si>
    <t>Herramientas — Viga alero - H30 (120 kg/m3 de hierro)</t>
  </si>
  <si>
    <t>PTO-0318|EQ</t>
  </si>
  <si>
    <t>PTO-0318|EQ|1</t>
  </si>
  <si>
    <t>PTO-0319</t>
  </si>
  <si>
    <t>EQ-PTO025</t>
  </si>
  <si>
    <t>EQ — Sistema de apuntalamiento y reapuntalamiento</t>
  </si>
  <si>
    <t>PTO-0319|EQ</t>
  </si>
  <si>
    <t>PTO-0319|EQ|1</t>
  </si>
  <si>
    <t>PTO-0032</t>
  </si>
  <si>
    <t>SUB-PTO033</t>
  </si>
  <si>
    <t>MO H°A° — Ensayos de Hormigon por etapas de hormigonado</t>
  </si>
  <si>
    <t>PTO-0032|MO</t>
  </si>
  <si>
    <t>PTO-0032|MO|1</t>
  </si>
  <si>
    <t>PTO-0321</t>
  </si>
  <si>
    <t>OTR-PTO059</t>
  </si>
  <si>
    <t>PTO-0321|MAT</t>
  </si>
  <si>
    <t>PTO-0321|MAT|1</t>
  </si>
  <si>
    <t>PTO-0322</t>
  </si>
  <si>
    <t>PTO-0322|MAT</t>
  </si>
  <si>
    <t>PTO-0322|MAT|1</t>
  </si>
  <si>
    <t>OTR-PTO061</t>
  </si>
  <si>
    <t>PTO-0322|MAT|2</t>
  </si>
  <si>
    <t>PTO-0322|MO</t>
  </si>
  <si>
    <t>PTO-0322|MO|1</t>
  </si>
  <si>
    <t>PTO-0322|MO|2</t>
  </si>
  <si>
    <t>EQ-PTO9001</t>
  </si>
  <si>
    <t>Herramientas — Picado de medianeras para columnas y vig</t>
  </si>
  <si>
    <t>PTO-0322|EQ</t>
  </si>
  <si>
    <t>PTO-0322|EQ|1</t>
  </si>
  <si>
    <t>PTO-0401</t>
  </si>
  <si>
    <t>PTO-0401|MAT</t>
  </si>
  <si>
    <t>PTO-0401|MAT|1</t>
  </si>
  <si>
    <t>PTO-0401|MAT|2</t>
  </si>
  <si>
    <t>PTO-0401|MAT|3</t>
  </si>
  <si>
    <t>PTO-0401|MAT|4</t>
  </si>
  <si>
    <t>PTO-0401|MAT|5</t>
  </si>
  <si>
    <t>PTO-0401|MAT|6</t>
  </si>
  <si>
    <t>PTO-0401|MO</t>
  </si>
  <si>
    <t>PTO-0401|MO|1</t>
  </si>
  <si>
    <t>PTO-0401|MO|2</t>
  </si>
  <si>
    <t>PTO-0401|EQ</t>
  </si>
  <si>
    <t>PTO-0401|EQ|1</t>
  </si>
  <si>
    <t>PTO-0401|EQ|2</t>
  </si>
  <si>
    <t>PTO-0401|EQ|3</t>
  </si>
  <si>
    <t>PTO-0402</t>
  </si>
  <si>
    <t>PTO-0402|MAT</t>
  </si>
  <si>
    <t>PTO-0402|MAT|1</t>
  </si>
  <si>
    <t>PTO-0402|MAT|2</t>
  </si>
  <si>
    <t>PTO-0402|MAT|3</t>
  </si>
  <si>
    <t>PTO-0402|MAT|4</t>
  </si>
  <si>
    <t>PTO-0402|MAT|5</t>
  </si>
  <si>
    <t>PTO-0402|MAT|6</t>
  </si>
  <si>
    <t>PTO-0402|MO</t>
  </si>
  <si>
    <t>PTO-0402|MO|1</t>
  </si>
  <si>
    <t>PTO-0402|MO|2</t>
  </si>
  <si>
    <t>PTO-0402|EQ</t>
  </si>
  <si>
    <t>PTO-0402|EQ|1</t>
  </si>
  <si>
    <t>PTO-0402|EQ|2</t>
  </si>
  <si>
    <t>PTO-0402|EQ|3</t>
  </si>
  <si>
    <t>PTO-0403</t>
  </si>
  <si>
    <t>PTO-0403|MAT</t>
  </si>
  <si>
    <t>PTO-0403|MAT|1</t>
  </si>
  <si>
    <t>PTO-0403|MAT|2</t>
  </si>
  <si>
    <t>PTO-0403|MAT|3</t>
  </si>
  <si>
    <t>PTO-0403|MAT|4</t>
  </si>
  <si>
    <t>PTO-0403|MAT|5</t>
  </si>
  <si>
    <t>PTO-0403|MAT|6</t>
  </si>
  <si>
    <t>PTO-0403|MO</t>
  </si>
  <si>
    <t>PTO-0403|MO|1</t>
  </si>
  <si>
    <t>PTO-0403|MO|2</t>
  </si>
  <si>
    <t>PTO-0403|EQ</t>
  </si>
  <si>
    <t>PTO-0403|EQ|1</t>
  </si>
  <si>
    <t>PTO-0403|EQ|2</t>
  </si>
  <si>
    <t>PTO-0403|EQ|3</t>
  </si>
  <si>
    <t>PTO-0404</t>
  </si>
  <si>
    <t>PTO-0404|MAT</t>
  </si>
  <si>
    <t>PTO-0404|MAT|1</t>
  </si>
  <si>
    <t>PTO-0404|MAT|2</t>
  </si>
  <si>
    <t>PTO-0404|MAT|3</t>
  </si>
  <si>
    <t>PTO-0404|MAT|4</t>
  </si>
  <si>
    <t>PTO-0404|MAT|5</t>
  </si>
  <si>
    <t>PTO-0404|MAT|6</t>
  </si>
  <si>
    <t>PTO-0404|MO</t>
  </si>
  <si>
    <t>PTO-0404|MO|1</t>
  </si>
  <si>
    <t>PTO-0404|MO|2</t>
  </si>
  <si>
    <t>PTO-0404|EQ</t>
  </si>
  <si>
    <t>PTO-0404|EQ|1</t>
  </si>
  <si>
    <t>PTO-0404|EQ|2</t>
  </si>
  <si>
    <t>PTO-0404|EQ|3</t>
  </si>
  <si>
    <t>PTO-0405</t>
  </si>
  <si>
    <t>PTO-0405|MAT</t>
  </si>
  <si>
    <t>PTO-0405|MAT|1</t>
  </si>
  <si>
    <t>PTO-0405|MAT|2</t>
  </si>
  <si>
    <t>PTO-0405|MAT|3</t>
  </si>
  <si>
    <t>PTO-0405|MAT|4</t>
  </si>
  <si>
    <t>PTO-0405|MAT|5</t>
  </si>
  <si>
    <t>PTO-0405|MAT|6</t>
  </si>
  <si>
    <t>PTO-0405|MAT|7</t>
  </si>
  <si>
    <t>PTO-0405|MAT|8</t>
  </si>
  <si>
    <t>PTO-0405|MAT|9</t>
  </si>
  <si>
    <t>PTO-0405|MAT|10</t>
  </si>
  <si>
    <t>PTO-0405|EQ</t>
  </si>
  <si>
    <t>PTO-0405|EQ|1</t>
  </si>
  <si>
    <t>PTO-0405|EQ|2</t>
  </si>
  <si>
    <t>PTO-0406</t>
  </si>
  <si>
    <t>PTO-0406|MO</t>
  </si>
  <si>
    <t>PTO-0406|MO|1</t>
  </si>
  <si>
    <t>OTR-PTO070</t>
  </si>
  <si>
    <t>Volquete</t>
  </si>
  <si>
    <t>PTO-0406|MAT</t>
  </si>
  <si>
    <t>PTO-0406|MAT|1</t>
  </si>
  <si>
    <t>OTR-PTO064</t>
  </si>
  <si>
    <t>H°</t>
  </si>
  <si>
    <t>PTO-0406|MAT|2</t>
  </si>
  <si>
    <t>PTO-0406|MAT|3</t>
  </si>
  <si>
    <t>PTO-0406|MAT|4</t>
  </si>
  <si>
    <t>PTO-0406|MO|2</t>
  </si>
  <si>
    <t>PTO-0406|MO|3</t>
  </si>
  <si>
    <t>OTR-PTO071</t>
  </si>
  <si>
    <t>Ladrillo del 8</t>
  </si>
  <si>
    <t>PTO-0406|MAT|5</t>
  </si>
  <si>
    <t>OTR-PTO072</t>
  </si>
  <si>
    <t>Revoque grueso bajo revest.</t>
  </si>
  <si>
    <t>PTO-0406|MAT|6</t>
  </si>
  <si>
    <t>OTR-PTO073</t>
  </si>
  <si>
    <t>Sellador / Silicona (2 bañeras)</t>
  </si>
  <si>
    <t>PTO-0406|MAT|7</t>
  </si>
  <si>
    <t>OTR-PTO068</t>
  </si>
  <si>
    <t>Sika Monotop 107 Seal</t>
  </si>
  <si>
    <t>PTO-0406|MAT|8</t>
  </si>
  <si>
    <t>EQ-PTO027</t>
  </si>
  <si>
    <t>Herramientas — Vigas de encadenado - En muros de PB, in</t>
  </si>
  <si>
    <t>PTO-0406|EQ</t>
  </si>
  <si>
    <t>PTO-0406|EQ|1</t>
  </si>
  <si>
    <t>PTO-0501</t>
  </si>
  <si>
    <t>PTO-0501|MAT</t>
  </si>
  <si>
    <t>PTO-0501|MAT|1</t>
  </si>
  <si>
    <t>PTO-0501|MAT|2</t>
  </si>
  <si>
    <t>PTO-0501|MAT|3</t>
  </si>
  <si>
    <t>SUB-PTO073</t>
  </si>
  <si>
    <t>Colocación de membrana</t>
  </si>
  <si>
    <t>PTO-0501|MO</t>
  </si>
  <si>
    <t>PTO-0501|MO|1</t>
  </si>
  <si>
    <t>SUB-PTO074</t>
  </si>
  <si>
    <t>Costo adicional en concepto de babetas (MO/OTR genérico)</t>
  </si>
  <si>
    <t>PTO-0501|MO|2</t>
  </si>
  <si>
    <t>PTO-0501|MAT|4</t>
  </si>
  <si>
    <t>PTO-0501|MAT|5</t>
  </si>
  <si>
    <t>PTO-0501|EQ</t>
  </si>
  <si>
    <t>PTO-0501|EQ|1</t>
  </si>
  <si>
    <t>PTO-0502</t>
  </si>
  <si>
    <t>PTO-0502|MAT</t>
  </si>
  <si>
    <t>PTO-0502|MAT|1</t>
  </si>
  <si>
    <t>PTO-0502|MAT|2</t>
  </si>
  <si>
    <t>PTO-0502|MAT|3</t>
  </si>
  <si>
    <t>PTO-0502|MO</t>
  </si>
  <si>
    <t>PTO-0502|MO|1</t>
  </si>
  <si>
    <t>PTO-0502|MO|2</t>
  </si>
  <si>
    <t>PTO-0502|EQ</t>
  </si>
  <si>
    <t>PTO-0502|EQ|1</t>
  </si>
  <si>
    <t>PTO-0502|EQ|2</t>
  </si>
  <si>
    <t>PTO-0502|EQ|3</t>
  </si>
  <si>
    <t>PTO-0503</t>
  </si>
  <si>
    <t>PTO-0503|MAT</t>
  </si>
  <si>
    <t>PTO-0503|MAT|1</t>
  </si>
  <si>
    <t>PTO-0503|MAT|2</t>
  </si>
  <si>
    <t>PTO-0503|MAT|3</t>
  </si>
  <si>
    <t>PTO-0503|MO</t>
  </si>
  <si>
    <t>PTO-0503|MO|1</t>
  </si>
  <si>
    <t>PTO-0503|MO|2</t>
  </si>
  <si>
    <t>PTO-0503|EQ</t>
  </si>
  <si>
    <t>PTO-0503|EQ|1</t>
  </si>
  <si>
    <t>PTO-0503|EQ|2</t>
  </si>
  <si>
    <t>PTO-0503|EQ|3</t>
  </si>
  <si>
    <t>PTO-0504</t>
  </si>
  <si>
    <t>OTR-PTO069</t>
  </si>
  <si>
    <t xml:space="preserve">Aislación térmica en terrazas, eps e:2,00 cm </t>
  </si>
  <si>
    <t>PTO-0504|MAT</t>
  </si>
  <si>
    <t>PTO-0504|MAT|1</t>
  </si>
  <si>
    <t>PTO-0505</t>
  </si>
  <si>
    <t>PTO-0505|MAT</t>
  </si>
  <si>
    <t>PTO-0505|MAT|1</t>
  </si>
  <si>
    <t>PTO-0505|MAT|2</t>
  </si>
  <si>
    <t>PTO-0505|MAT|3</t>
  </si>
  <si>
    <t>PTO-0505|MAT|4</t>
  </si>
  <si>
    <t>PTO-0505|MAT|5</t>
  </si>
  <si>
    <t>PTO-0505|MO</t>
  </si>
  <si>
    <t>PTO-0505|MO|1</t>
  </si>
  <si>
    <t>PTO-0505|MO|2</t>
  </si>
  <si>
    <t>PTO-0505|EQ</t>
  </si>
  <si>
    <t>PTO-0505|EQ|1</t>
  </si>
  <si>
    <t>PTO-0506</t>
  </si>
  <si>
    <t>PTO-0506|MAT</t>
  </si>
  <si>
    <t>PTO-0506|MAT|1</t>
  </si>
  <si>
    <t>PTO-0506|MAT|2</t>
  </si>
  <si>
    <t>PTO-0506|MAT|3</t>
  </si>
  <si>
    <t>PTO-0506|MO</t>
  </si>
  <si>
    <t>PTO-0506|MO|1</t>
  </si>
  <si>
    <t>PTO-0506|MO|2</t>
  </si>
  <si>
    <t>PTO-0506|MAT|4</t>
  </si>
  <si>
    <t>PTO-0506|MAT|5</t>
  </si>
  <si>
    <t>PTO-0506|EQ</t>
  </si>
  <si>
    <t>PTO-0506|EQ|1</t>
  </si>
  <si>
    <t>PTO-0601</t>
  </si>
  <si>
    <t>OTR-PTO9002</t>
  </si>
  <si>
    <t>Babeta amure gris C25 Des. 200mm x 2.44m</t>
  </si>
  <si>
    <t>PTO-0601|MAT</t>
  </si>
  <si>
    <t>PTO-0601|MAT|1</t>
  </si>
  <si>
    <t>OTR-PTO9003</t>
  </si>
  <si>
    <t>Sikaflex®-1A  Sellador Poliuretano Color Gris 300ml</t>
  </si>
  <si>
    <t>PTO-0601|MAT|2</t>
  </si>
  <si>
    <t>PTO-0601|MAT|3</t>
  </si>
  <si>
    <t>PTO-0601|MO</t>
  </si>
  <si>
    <t>PTO-0601|MO|1</t>
  </si>
  <si>
    <t>PTO-0601|MO|2</t>
  </si>
  <si>
    <t>EQ-PTO028</t>
  </si>
  <si>
    <t>Herramientas — Babeta de chapa galvanizada en medianera</t>
  </si>
  <si>
    <t>PTO-0601|EQ</t>
  </si>
  <si>
    <t>PTO-0601|EQ|1</t>
  </si>
  <si>
    <t>PTO-0701</t>
  </si>
  <si>
    <t>PTO-0701|MAT</t>
  </si>
  <si>
    <t>PTO-0701|MAT|1</t>
  </si>
  <si>
    <t>PTO-0701|MAT|2</t>
  </si>
  <si>
    <t>PTO-0701|MAT|3</t>
  </si>
  <si>
    <t>PTO-0701|MAT|4</t>
  </si>
  <si>
    <t>PTO-0701|MO</t>
  </si>
  <si>
    <t>PTO-0701|MO|1</t>
  </si>
  <si>
    <t>PTO-0701|MO|2</t>
  </si>
  <si>
    <t>PTO-0701|EQ</t>
  </si>
  <si>
    <t>PTO-0701|EQ|1</t>
  </si>
  <si>
    <t>PTO-0701|EQ|2</t>
  </si>
  <si>
    <t>PTO-0701|EQ|3</t>
  </si>
  <si>
    <t>PTO-0702</t>
  </si>
  <si>
    <t>PTO-0702|MAT</t>
  </si>
  <si>
    <t>PTO-0702|MAT|1</t>
  </si>
  <si>
    <t>PTO-0702|MAT|2</t>
  </si>
  <si>
    <t>PTO-0702|MAT|3</t>
  </si>
  <si>
    <t>PTO-0702|MAT|4</t>
  </si>
  <si>
    <t>PTO-0702|MO</t>
  </si>
  <si>
    <t>PTO-0702|MO|1</t>
  </si>
  <si>
    <t>PTO-0702|MO|2</t>
  </si>
  <si>
    <t>PTO-0702|EQ</t>
  </si>
  <si>
    <t>PTO-0702|EQ|1</t>
  </si>
  <si>
    <t>PTO-0702|EQ|2</t>
  </si>
  <si>
    <t>PTO-0702|EQ|3</t>
  </si>
  <si>
    <t>PTO-0702|EQ|4</t>
  </si>
  <si>
    <t>PTO-0703</t>
  </si>
  <si>
    <t>SUB-PTO034</t>
  </si>
  <si>
    <t>Buña en revoque</t>
  </si>
  <si>
    <t>PTO-0703|MO</t>
  </si>
  <si>
    <t>PTO-0703|MO|1</t>
  </si>
  <si>
    <t>PTO-0704</t>
  </si>
  <si>
    <t>PTO-0704|MAT</t>
  </si>
  <si>
    <t>PTO-0704|MAT|1</t>
  </si>
  <si>
    <t>PTO-0704|MAT|2</t>
  </si>
  <si>
    <t>PTO-0704|MAT|3</t>
  </si>
  <si>
    <t>PTO-0704|MO</t>
  </si>
  <si>
    <t>PTO-0704|MO|1</t>
  </si>
  <si>
    <t>PTO-0704|MO|2</t>
  </si>
  <si>
    <t>PTO-0704|EQ</t>
  </si>
  <si>
    <t>PTO-0704|EQ|1</t>
  </si>
  <si>
    <t>PTO-0704|EQ|2</t>
  </si>
  <si>
    <t>PTO-0704|EQ|3</t>
  </si>
  <si>
    <t>PTO-0705</t>
  </si>
  <si>
    <t>OTR-PTO078</t>
  </si>
  <si>
    <t>Yeso Knauf MP 40/75 Proyectable x 25 kg - (17 kg/m2)</t>
  </si>
  <si>
    <t>PTO-0705|MAT</t>
  </si>
  <si>
    <t>PTO-0705|MAT|1</t>
  </si>
  <si>
    <t>OTR-PTO079</t>
  </si>
  <si>
    <t>PA-MAX PUENTE DE ADHERENCIA 20LT (150 m2/tac) - Contemplo el 20% de los m2</t>
  </si>
  <si>
    <t>PTO-0705|MAT|2</t>
  </si>
  <si>
    <t>OTR-PTO080</t>
  </si>
  <si>
    <t>Malla de fibra 5 x 5 90 gr, rollo 1 x 50 mts - Contemplo el 20% de los m2</t>
  </si>
  <si>
    <t>PTO-0705|MAT|3</t>
  </si>
  <si>
    <t>SUB-PTO035</t>
  </si>
  <si>
    <t>Yeso</t>
  </si>
  <si>
    <t>PTO-0705|MO</t>
  </si>
  <si>
    <t>PTO-0705|MO|1</t>
  </si>
  <si>
    <t>EQ-PTO029</t>
  </si>
  <si>
    <t>Herramientas — Yeso interior</t>
  </si>
  <si>
    <t>PTO-0705|EQ</t>
  </si>
  <si>
    <t>PTO-0705|EQ|1</t>
  </si>
  <si>
    <t>PTO-0706</t>
  </si>
  <si>
    <t>SUB-PTO036</t>
  </si>
  <si>
    <t>Arista / Buña</t>
  </si>
  <si>
    <t>PTO-0706|MO</t>
  </si>
  <si>
    <t>PTO-0706|MO|1</t>
  </si>
  <si>
    <t>EQ-PTO030</t>
  </si>
  <si>
    <t xml:space="preserve">Herramientas — Arista en yeso </t>
  </si>
  <si>
    <t>PTO-0706|EQ</t>
  </si>
  <si>
    <t>PTO-0706|EQ|1</t>
  </si>
  <si>
    <t>PTO-0707</t>
  </si>
  <si>
    <t>OTR-PTO081</t>
  </si>
  <si>
    <t>Guardacanto yesero 2,00 mts</t>
  </si>
  <si>
    <t>PTO-0707|MAT</t>
  </si>
  <si>
    <t>PTO-0707|MAT|1</t>
  </si>
  <si>
    <t>SUB-PTO037</t>
  </si>
  <si>
    <t>PTO-0707|MO</t>
  </si>
  <si>
    <t>PTO-0707|MO|1</t>
  </si>
  <si>
    <t>EQ-PTO031</t>
  </si>
  <si>
    <t>Herramientas — Provisión y colocación de guardacanto ye</t>
  </si>
  <si>
    <t>PTO-0707|EQ</t>
  </si>
  <si>
    <t>PTO-0707|EQ|1</t>
  </si>
  <si>
    <t>PTO-0708</t>
  </si>
  <si>
    <t>PTO-0708|MAT</t>
  </si>
  <si>
    <t>PTO-0708|MAT|1</t>
  </si>
  <si>
    <t>PTO-0708|MAT|2</t>
  </si>
  <si>
    <t>PTO-0708|MAT|3</t>
  </si>
  <si>
    <t>PTO-0708|MAT|4</t>
  </si>
  <si>
    <t>PTO-0708|MO</t>
  </si>
  <si>
    <t>PTO-0708|MO|1</t>
  </si>
  <si>
    <t>PTO-0708|MO|2</t>
  </si>
  <si>
    <t>PTO-0708|EQ</t>
  </si>
  <si>
    <t>PTO-0708|EQ|1</t>
  </si>
  <si>
    <t>PTO-0708|EQ|2</t>
  </si>
  <si>
    <t>PTO-0708|EQ|3</t>
  </si>
  <si>
    <t>PTO-0801</t>
  </si>
  <si>
    <t>PTO-0801|MAT</t>
  </si>
  <si>
    <t>PTO-0801|MAT|1</t>
  </si>
  <si>
    <t>PTO-0801|MAT|2</t>
  </si>
  <si>
    <t>PTO-0801|MAT|3</t>
  </si>
  <si>
    <t>PTO-0801|MAT|4</t>
  </si>
  <si>
    <t>PTO-0801|MO</t>
  </si>
  <si>
    <t>PTO-0801|MO|1</t>
  </si>
  <si>
    <t>PTO-0801|MO|2</t>
  </si>
  <si>
    <t>PTO-0801|EQ</t>
  </si>
  <si>
    <t>PTO-0801|EQ|1</t>
  </si>
  <si>
    <t>PTO-0801|EQ|2</t>
  </si>
  <si>
    <t>PTO-0802</t>
  </si>
  <si>
    <t>OTR-PTO084</t>
  </si>
  <si>
    <t>H13 6.20</t>
  </si>
  <si>
    <t>PTO-0802|MAT</t>
  </si>
  <si>
    <t>PTO-0802|MAT|1</t>
  </si>
  <si>
    <t>OTR-PTO085</t>
  </si>
  <si>
    <t>Acarreo</t>
  </si>
  <si>
    <t>PTO-0802|MAT|2</t>
  </si>
  <si>
    <t>PTO-0802|MAT|3</t>
  </si>
  <si>
    <t>OTR-PTO9004</t>
  </si>
  <si>
    <t>Malla N° 4 Liv 15 x 15 3 x 2 mt</t>
  </si>
  <si>
    <t>PTO-0802|MAT|4</t>
  </si>
  <si>
    <t>OTR-PTO082</t>
  </si>
  <si>
    <t>Rollo Polietileno negro 2x50 mt x 200mic</t>
  </si>
  <si>
    <t>PTO-0802|MAT|5</t>
  </si>
  <si>
    <t>PTO-0802|MAT|6</t>
  </si>
  <si>
    <t>PTO-0802|MO</t>
  </si>
  <si>
    <t>PTO-0802|MO|1</t>
  </si>
  <si>
    <t>PTO-0802|MO|2</t>
  </si>
  <si>
    <t>PTO-0802|MO|3</t>
  </si>
  <si>
    <t>EQ-PTO032</t>
  </si>
  <si>
    <t xml:space="preserve">Herramientas — Contrapiso armado de H° pobre s/terreno </t>
  </si>
  <si>
    <t>PTO-0802|EQ</t>
  </si>
  <si>
    <t>PTO-0802|EQ|1</t>
  </si>
  <si>
    <t>PTO-0803</t>
  </si>
  <si>
    <t>PTO-0803|MAT</t>
  </si>
  <si>
    <t>PTO-0803|MAT|1</t>
  </si>
  <si>
    <t>PTO-0803|MAT|2</t>
  </si>
  <si>
    <t>PTO-0803|MAT|3</t>
  </si>
  <si>
    <t>PTO-0803|MAT|4</t>
  </si>
  <si>
    <t>PTO-0803|MO</t>
  </si>
  <si>
    <t>PTO-0803|MO|1</t>
  </si>
  <si>
    <t>PTO-0803|MO|2</t>
  </si>
  <si>
    <t>PTO-0803|EQ</t>
  </si>
  <si>
    <t>PTO-0803|EQ|1</t>
  </si>
  <si>
    <t>PTO-0803|EQ|2</t>
  </si>
  <si>
    <t>PTO-0804</t>
  </si>
  <si>
    <t>PTO-0804|MAT</t>
  </si>
  <si>
    <t>PTO-0804|MAT|1</t>
  </si>
  <si>
    <t>PTO-0804|MAT|2</t>
  </si>
  <si>
    <t>PTO-0804|MAT|3</t>
  </si>
  <si>
    <t>PTO-0804|MAT|4</t>
  </si>
  <si>
    <t>PTO-0804|MO</t>
  </si>
  <si>
    <t>PTO-0804|MO|1</t>
  </si>
  <si>
    <t>PTO-0804|MO|2</t>
  </si>
  <si>
    <t>PTO-0804|EQ</t>
  </si>
  <si>
    <t>PTO-0804|EQ|1</t>
  </si>
  <si>
    <t>PTO-0804|EQ|2</t>
  </si>
  <si>
    <t>PTO-0805</t>
  </si>
  <si>
    <t>PTO-0805|MAT</t>
  </si>
  <si>
    <t>PTO-0805|MAT|1</t>
  </si>
  <si>
    <t>PTO-0805|MAT|2</t>
  </si>
  <si>
    <t>PTO-0805|MO</t>
  </si>
  <si>
    <t>PTO-0805|MO|1</t>
  </si>
  <si>
    <t>PTO-0805|MO|2</t>
  </si>
  <si>
    <t>PTO-0805|EQ</t>
  </si>
  <si>
    <t>PTO-0805|EQ|1</t>
  </si>
  <si>
    <t>PTO-0805|EQ|2</t>
  </si>
  <si>
    <t>PTO-0806</t>
  </si>
  <si>
    <t>PTO-0806|MAT</t>
  </si>
  <si>
    <t>PTO-0806|MAT|1</t>
  </si>
  <si>
    <t>PTO-0806|MAT|2</t>
  </si>
  <si>
    <t>PTO-0806|MO</t>
  </si>
  <si>
    <t>PTO-0806|MO|1</t>
  </si>
  <si>
    <t>PTO-0806|MO|2</t>
  </si>
  <si>
    <t>PTO-0806|EQ</t>
  </si>
  <si>
    <t>PTO-0806|EQ|1</t>
  </si>
  <si>
    <t>PTO-0806|EQ|2</t>
  </si>
  <si>
    <t>PTO-0808</t>
  </si>
  <si>
    <t>PTO-0808|MAT</t>
  </si>
  <si>
    <t>PTO-0808|MAT|1</t>
  </si>
  <si>
    <t>PTO-0808|MAT|2</t>
  </si>
  <si>
    <t>PTO-0808|MO</t>
  </si>
  <si>
    <t>PTO-0808|MO|1</t>
  </si>
  <si>
    <t>PTO-0808|MO|2</t>
  </si>
  <si>
    <t>EQ-PTO033</t>
  </si>
  <si>
    <t>Herramientas — Banquinas para bombas, TT, etc. h: 15 cm</t>
  </si>
  <si>
    <t>PTO-0808|EQ</t>
  </si>
  <si>
    <t>PTO-0808|EQ|1</t>
  </si>
  <si>
    <t>PTO-0901</t>
  </si>
  <si>
    <t>PTO-0901|MAT</t>
  </si>
  <si>
    <t>PTO-0901|MAT|1</t>
  </si>
  <si>
    <t>PTO-0901|MAT|2</t>
  </si>
  <si>
    <t>PTO-0901|MAT|3</t>
  </si>
  <si>
    <t>PTO-0901|MO</t>
  </si>
  <si>
    <t>PTO-0901|MO|1</t>
  </si>
  <si>
    <t>PTO-0901|MO|2</t>
  </si>
  <si>
    <t>EQ-PTO034</t>
  </si>
  <si>
    <t>Herramientas — Provisión y ejecución de alisado de ceme</t>
  </si>
  <si>
    <t>PTO-0901|EQ</t>
  </si>
  <si>
    <t>PTO-0901|EQ|1</t>
  </si>
  <si>
    <t>PTO-0902</t>
  </si>
  <si>
    <t>OTR-PTO094</t>
  </si>
  <si>
    <t>PERFIL ANGULO ALAS IGUALES ESTRUCTURAL ACERO 6M X 5/8" X 1/8</t>
  </si>
  <si>
    <t>PTO-0902|MAT</t>
  </si>
  <si>
    <t>PTO-0902|MAT|1</t>
  </si>
  <si>
    <t>PTO-0902|MAT|2</t>
  </si>
  <si>
    <t>PTO-0902|MO</t>
  </si>
  <si>
    <t>PTO-0902|MO|1</t>
  </si>
  <si>
    <t>PTO-0902|MO|2</t>
  </si>
  <si>
    <t>EQ-PTO035</t>
  </si>
  <si>
    <t>Herramientas — Provisión y colocación de nariz metálica</t>
  </si>
  <si>
    <t>PTO-0902|EQ</t>
  </si>
  <si>
    <t>PTO-0902|EQ|1</t>
  </si>
  <si>
    <t>PTO-0903</t>
  </si>
  <si>
    <t>PTO-0903|MAT</t>
  </si>
  <si>
    <t>PTO-0903|MAT|1</t>
  </si>
  <si>
    <t>PTO-0903|MAT|2</t>
  </si>
  <si>
    <t>PTO-0903|MAT|3</t>
  </si>
  <si>
    <t>PTO-0903|MO</t>
  </si>
  <si>
    <t>PTO-0903|MO|1</t>
  </si>
  <si>
    <t>PTO-0903|MO|2</t>
  </si>
  <si>
    <t>SUB-PTO094</t>
  </si>
  <si>
    <t>MO — Zócalo de concreto en escalera</t>
  </si>
  <si>
    <t>PTO-0903|MO|3</t>
  </si>
  <si>
    <t>PTO-0903|EQ</t>
  </si>
  <si>
    <t>PTO-0903|EQ|1</t>
  </si>
  <si>
    <t>PTO-0903|EQ|2</t>
  </si>
  <si>
    <t>PTO-0903|EQ|3</t>
  </si>
  <si>
    <t>PTO-1001</t>
  </si>
  <si>
    <t>PTO-1001|MAT</t>
  </si>
  <si>
    <t>PTO-1001|MAT|1</t>
  </si>
  <si>
    <t>PTO-1001|MO</t>
  </si>
  <si>
    <t>PTO-1001|MO|1</t>
  </si>
  <si>
    <t>PTO-1001|MO|2</t>
  </si>
  <si>
    <t>EQ-PTO036</t>
  </si>
  <si>
    <t>Herramientas — Colocación de ventilación de conducto de</t>
  </si>
  <si>
    <t>PTO-1001|EQ</t>
  </si>
  <si>
    <t>PTO-1001|EQ|1</t>
  </si>
  <si>
    <t>PTO-1002</t>
  </si>
  <si>
    <t>PTO-1002|MAT</t>
  </si>
  <si>
    <t>PTO-1002|MAT|1</t>
  </si>
  <si>
    <t>PTO-1002|MO</t>
  </si>
  <si>
    <t>PTO-1002|MO|1</t>
  </si>
  <si>
    <t>PTO-1002|MO|2</t>
  </si>
  <si>
    <t>EQ-PTO037</t>
  </si>
  <si>
    <t>Herramientas — Colocación y montaje de conducto de vent</t>
  </si>
  <si>
    <t>PTO-1002|EQ</t>
  </si>
  <si>
    <t>PTO-1002|EQ|1</t>
  </si>
  <si>
    <t>PTO-1003</t>
  </si>
  <si>
    <t>PTO-1003|MO</t>
  </si>
  <si>
    <t>PTO-1003|MO|1</t>
  </si>
  <si>
    <t>PTO-1003|MO|2</t>
  </si>
  <si>
    <t>PTO-1003|MAT</t>
  </si>
  <si>
    <t>PTO-1003|MAT|1</t>
  </si>
  <si>
    <t>OTR-PTO086</t>
  </si>
  <si>
    <t>Fijación completa</t>
  </si>
  <si>
    <t>PTO-1003|MAT|2</t>
  </si>
  <si>
    <t>OTR-PTO087</t>
  </si>
  <si>
    <t>Consumbiles (Mechas, etc.)</t>
  </si>
  <si>
    <t>PTO-1003|MAT|3</t>
  </si>
  <si>
    <t>EQ-PTO038</t>
  </si>
  <si>
    <t>Herramientas — Colocación sombreretes en chapa prepinta</t>
  </si>
  <si>
    <t>PTO-1003|EQ</t>
  </si>
  <si>
    <t>PTO-1003|EQ|1</t>
  </si>
  <si>
    <t>PTO-1101</t>
  </si>
  <si>
    <t>PTO-1101|MAT</t>
  </si>
  <si>
    <t>PTO-1101|MAT|1</t>
  </si>
  <si>
    <t>PTO-1101|MAT|2</t>
  </si>
  <si>
    <t>PTO-1101|MAT|3</t>
  </si>
  <si>
    <t>PTO-1101|MAT|4</t>
  </si>
  <si>
    <t>PTO-1101|MO</t>
  </si>
  <si>
    <t>PTO-1101|MO|1</t>
  </si>
  <si>
    <t>PTO-1101|MO|2</t>
  </si>
  <si>
    <t>PTO-1101|EQ</t>
  </si>
  <si>
    <t>PTO-1101|EQ|1</t>
  </si>
  <si>
    <t>PTO-1102</t>
  </si>
  <si>
    <t>PTO-1102|MAT</t>
  </si>
  <si>
    <t>PTO-1102|MAT|1</t>
  </si>
  <si>
    <t>PTO-1102|MAT|2</t>
  </si>
  <si>
    <t>PTO-1102|MAT|3</t>
  </si>
  <si>
    <t>PTO-1102|MAT|4</t>
  </si>
  <si>
    <t>PTO-1102|MO</t>
  </si>
  <si>
    <t>PTO-1102|MO|1</t>
  </si>
  <si>
    <t>PTO-1102|MO|2</t>
  </si>
  <si>
    <t>PTO-1102|EQ</t>
  </si>
  <si>
    <t>PTO-1102|EQ|1</t>
  </si>
  <si>
    <t>PTO-1103</t>
  </si>
  <si>
    <t>PTO-1103|MAT</t>
  </si>
  <si>
    <t>PTO-1103|MAT|1</t>
  </si>
  <si>
    <t>PTO-1103|MAT|2</t>
  </si>
  <si>
    <t>PTO-1103|MAT|3</t>
  </si>
  <si>
    <t>PTO-1103|MAT|4</t>
  </si>
  <si>
    <t>PTO-1103|MO</t>
  </si>
  <si>
    <t>PTO-1103|MO|1</t>
  </si>
  <si>
    <t>PTO-1103|MO|2</t>
  </si>
  <si>
    <t>PTO-1103|EQ</t>
  </si>
  <si>
    <t>PTO-1103|EQ|1</t>
  </si>
  <si>
    <t>PTO-1104</t>
  </si>
  <si>
    <t>PTO-1104|MAT</t>
  </si>
  <si>
    <t>PTO-1104|MAT|1</t>
  </si>
  <si>
    <t>PTO-1104|MAT|2</t>
  </si>
  <si>
    <t>PTO-1104|MAT|3</t>
  </si>
  <si>
    <t>PTO-1104|MAT|4</t>
  </si>
  <si>
    <t>PTO-1104|MO</t>
  </si>
  <si>
    <t>PTO-1104|MO|1</t>
  </si>
  <si>
    <t>PTO-1104|MO|2</t>
  </si>
  <si>
    <t>PTO-1104|EQ</t>
  </si>
  <si>
    <t>PTO-1104|EQ|1</t>
  </si>
  <si>
    <t>PTO-1106</t>
  </si>
  <si>
    <t>PTO-1106|MAT</t>
  </si>
  <si>
    <t>PTO-1106|MAT|1</t>
  </si>
  <si>
    <t>PTO-1106|MAT|2</t>
  </si>
  <si>
    <t>PTO-1106|MO</t>
  </si>
  <si>
    <t>PTO-1106|MO|1</t>
  </si>
  <si>
    <t>PTO-1106|MO|2</t>
  </si>
  <si>
    <t>PTO-1106|EQ</t>
  </si>
  <si>
    <t>PTO-1106|EQ|1</t>
  </si>
  <si>
    <t>PTO-1106|EQ|2</t>
  </si>
  <si>
    <t>PTO-1107</t>
  </si>
  <si>
    <t>PTO-1107|MAT</t>
  </si>
  <si>
    <t>PTO-1107|MAT|1</t>
  </si>
  <si>
    <t>PTO-1107|MAT|2</t>
  </si>
  <si>
    <t>PTO-1107|MAT|3</t>
  </si>
  <si>
    <t>PTO-1107|MAT|4</t>
  </si>
  <si>
    <t>PTO-1107|MO</t>
  </si>
  <si>
    <t>PTO-1107|MO|1</t>
  </si>
  <si>
    <t>PTO-1107|MO|2</t>
  </si>
  <si>
    <t>PTO-1107|EQ</t>
  </si>
  <si>
    <t>PTO-1107|EQ|1</t>
  </si>
  <si>
    <t>PTO-1201</t>
  </si>
  <si>
    <t>OTR-PTO088</t>
  </si>
  <si>
    <t>Zócalo Contramarco Curvo Atenneas 7.5cm x 15mm MDF Prepintado Blanco 2.75m</t>
  </si>
  <si>
    <t>PTO-1201|MAT</t>
  </si>
  <si>
    <t>PTO-1201|MAT|1</t>
  </si>
  <si>
    <t>PTO-1201|MAT|2</t>
  </si>
  <si>
    <t>PTO-1201|MO</t>
  </si>
  <si>
    <t>PTO-1201|MO|1</t>
  </si>
  <si>
    <t>PTO-1201|MO|2</t>
  </si>
  <si>
    <t>EQ-PTO039</t>
  </si>
  <si>
    <t>Herramientas — Provisión y colocación de zocalos de Mad</t>
  </si>
  <si>
    <t>PTO-1201|EQ</t>
  </si>
  <si>
    <t>PTO-1201|EQ|1</t>
  </si>
  <si>
    <t>PTO-1202</t>
  </si>
  <si>
    <t>PTO-1202|MAT</t>
  </si>
  <si>
    <t>PTO-1202|MAT|1</t>
  </si>
  <si>
    <t>PTO-1202|MAT|2</t>
  </si>
  <si>
    <t>PTO-1202|MAT|3</t>
  </si>
  <si>
    <t>PTO-1202|MAT|4</t>
  </si>
  <si>
    <t>PTO-1202|MO</t>
  </si>
  <si>
    <t>PTO-1202|MO|1</t>
  </si>
  <si>
    <t>PTO-1202|MO|2</t>
  </si>
  <si>
    <t>PTO-1202|EQ</t>
  </si>
  <si>
    <t>PTO-1202|EQ|1</t>
  </si>
  <si>
    <t>PTO-1203</t>
  </si>
  <si>
    <t>PTO-1203|MAT</t>
  </si>
  <si>
    <t>PTO-1203|MAT|1</t>
  </si>
  <si>
    <t>PTO-1203|MAT|2</t>
  </si>
  <si>
    <t>PTO-1203|MAT|3</t>
  </si>
  <si>
    <t>PTO-1203|MAT|4</t>
  </si>
  <si>
    <t>PTO-1203|MO</t>
  </si>
  <si>
    <t>PTO-1203|MO|1</t>
  </si>
  <si>
    <t>PTO-1203|MO|2</t>
  </si>
  <si>
    <t>PTO-1203|EQ</t>
  </si>
  <si>
    <t>PTO-1203|EQ|1</t>
  </si>
  <si>
    <t>PTO-1204</t>
  </si>
  <si>
    <t>PTO-1204|MAT</t>
  </si>
  <si>
    <t>PTO-1204|MAT|1</t>
  </si>
  <si>
    <t>PTO-1204|MAT|2</t>
  </si>
  <si>
    <t>PTO-1204|MAT|3</t>
  </si>
  <si>
    <t>PTO-1204|MAT|4</t>
  </si>
  <si>
    <t>PTO-1204|MO</t>
  </si>
  <si>
    <t>PTO-1204|MO|1</t>
  </si>
  <si>
    <t>PTO-1204|MO|2</t>
  </si>
  <si>
    <t>PTO-1204|EQ</t>
  </si>
  <si>
    <t>PTO-1204|EQ|1</t>
  </si>
  <si>
    <t>PTO-1301</t>
  </si>
  <si>
    <t>PTO-1301|MAT</t>
  </si>
  <si>
    <t>PTO-1301|MAT|1</t>
  </si>
  <si>
    <t>PTO-1301|MAT|2</t>
  </si>
  <si>
    <t>PTO-1301|MAT|3</t>
  </si>
  <si>
    <t>PTO-1301|MAT|4</t>
  </si>
  <si>
    <t>PTO-1301|MO</t>
  </si>
  <si>
    <t>PTO-1301|MO|1</t>
  </si>
  <si>
    <t>PTO-1301|MO|2</t>
  </si>
  <si>
    <t>PTO-1301|EQ</t>
  </si>
  <si>
    <t>PTO-1301|EQ|1</t>
  </si>
  <si>
    <t>PTO-1302</t>
  </si>
  <si>
    <t>PTO-1302|MAT</t>
  </si>
  <si>
    <t>PTO-1302|MAT|1</t>
  </si>
  <si>
    <t>PTO-1302|MAT|2</t>
  </si>
  <si>
    <t>PTO-1302|MAT|3</t>
  </si>
  <si>
    <t>PTO-1302|MAT|4</t>
  </si>
  <si>
    <t>PTO-1302|MO</t>
  </si>
  <si>
    <t>PTO-1302|MO|1</t>
  </si>
  <si>
    <t>PTO-1302|MO|2</t>
  </si>
  <si>
    <t>PTO-1302|EQ</t>
  </si>
  <si>
    <t>PTO-1302|EQ|1</t>
  </si>
  <si>
    <t>PTO-1303</t>
  </si>
  <si>
    <t>PTO-1303|MAT</t>
  </si>
  <si>
    <t>PTO-1303|MAT|1</t>
  </si>
  <si>
    <t>PTO-1303|MAT|2</t>
  </si>
  <si>
    <t>PTO-1303|MAT|3</t>
  </si>
  <si>
    <t>PTO-1303|MAT|4</t>
  </si>
  <si>
    <t>PTO-1303|MO</t>
  </si>
  <si>
    <t>PTO-1303|MO|1</t>
  </si>
  <si>
    <t>PTO-1303|MO|2</t>
  </si>
  <si>
    <t>PTO-1303|EQ</t>
  </si>
  <si>
    <t>PTO-1303|EQ|1</t>
  </si>
  <si>
    <t>PTO-1401</t>
  </si>
  <si>
    <t>PTO-1401|MAT</t>
  </si>
  <si>
    <t>PTO-1401|MAT|1</t>
  </si>
  <si>
    <t>PTO-1401|MAT|2</t>
  </si>
  <si>
    <t>PTO-1401|MAT|3</t>
  </si>
  <si>
    <t>PTO-1401|MAT|4</t>
  </si>
  <si>
    <t>PTO-1401|MAT|5</t>
  </si>
  <si>
    <t>PTO-1401|MAT|6</t>
  </si>
  <si>
    <t>PTO-1401|MAT|7</t>
  </si>
  <si>
    <t>PTO-1401|MAT|8</t>
  </si>
  <si>
    <t>PTO-1401|EQ</t>
  </si>
  <si>
    <t>PTO-1401|EQ|1</t>
  </si>
  <si>
    <t>PTO-1402</t>
  </si>
  <si>
    <t>PTO-1402|MAT</t>
  </si>
  <si>
    <t>PTO-1402|MAT|1</t>
  </si>
  <si>
    <t>PTO-1402|MAT|2</t>
  </si>
  <si>
    <t>PTO-1402|MAT|3</t>
  </si>
  <si>
    <t>PTO-1402|MAT|4</t>
  </si>
  <si>
    <t>PTO-1402|MAT|5</t>
  </si>
  <si>
    <t>PTO-1402|MAT|6</t>
  </si>
  <si>
    <t>PTO-1402|MAT|7</t>
  </si>
  <si>
    <t>PTO-1402|MAT|8</t>
  </si>
  <si>
    <t>PTO-1402|EQ</t>
  </si>
  <si>
    <t>PTO-1402|EQ|1</t>
  </si>
  <si>
    <t>PTO-1403|MAT</t>
  </si>
  <si>
    <t>PTO-1403|MAT|1</t>
  </si>
  <si>
    <t>PTO-1403|MAT|2</t>
  </si>
  <si>
    <t>PTO-1403|MAT|3</t>
  </si>
  <si>
    <t>PTO-1403|MAT|4</t>
  </si>
  <si>
    <t>PTO-1403|MAT|5</t>
  </si>
  <si>
    <t>PTO-1403|MAT|6</t>
  </si>
  <si>
    <t>PTO-1403|MAT|7</t>
  </si>
  <si>
    <t>PTO-1403|MAT|8</t>
  </si>
  <si>
    <t>PTO-1403|MAT|9</t>
  </si>
  <si>
    <t>PTO-1403|MAT|10</t>
  </si>
  <si>
    <t>PTO-1403|EQ|2</t>
  </si>
  <si>
    <t>PTO-1404</t>
  </si>
  <si>
    <t>PTO-1404|MAT</t>
  </si>
  <si>
    <t>PTO-1404|MAT|1</t>
  </si>
  <si>
    <t>PTO-1404|MAT|2</t>
  </si>
  <si>
    <t>PTO-1404|EQ</t>
  </si>
  <si>
    <t>PTO-1404|EQ|1</t>
  </si>
  <si>
    <t>PTO-1404|EQ|2</t>
  </si>
  <si>
    <t>PTO-1405</t>
  </si>
  <si>
    <t>PTO-1405|MAT</t>
  </si>
  <si>
    <t>PTO-1405|MAT|1</t>
  </si>
  <si>
    <t>PTO-1405|MAT|2</t>
  </si>
  <si>
    <t>PTO-1405|MO</t>
  </si>
  <si>
    <t>PTO-1405|MO|1</t>
  </si>
  <si>
    <t>EQ-PTO040</t>
  </si>
  <si>
    <t>Herramientas — Aplicado de yeso interior</t>
  </si>
  <si>
    <t>PTO-1405|EQ</t>
  </si>
  <si>
    <t>PTO-1405|EQ|1</t>
  </si>
  <si>
    <t>PTO-1406</t>
  </si>
  <si>
    <t>PTO-1406|MO</t>
  </si>
  <si>
    <t>PTO-1406|MO|1</t>
  </si>
  <si>
    <t>EQ-PTO041</t>
  </si>
  <si>
    <t xml:space="preserve">Herramientas — Buña en yeso </t>
  </si>
  <si>
    <t>PTO-1406|EQ</t>
  </si>
  <si>
    <t>PTO-1406|EQ|1</t>
  </si>
  <si>
    <t>PTO-1407</t>
  </si>
  <si>
    <t>SUB-PTO039</t>
  </si>
  <si>
    <t>Cantonera</t>
  </si>
  <si>
    <t>PTO-1407|MO</t>
  </si>
  <si>
    <t>PTO-1407|MO|1</t>
  </si>
  <si>
    <t>PTO-1408</t>
  </si>
  <si>
    <t>PTO-1408|MAT</t>
  </si>
  <si>
    <t>PTO-1408|MAT|1</t>
  </si>
  <si>
    <t>PTO-1408|MO</t>
  </si>
  <si>
    <t>PTO-1408|MO|1</t>
  </si>
  <si>
    <t>PTO-1408|MO|2</t>
  </si>
  <si>
    <t>EQ-PTO042</t>
  </si>
  <si>
    <t>Herramientas — H° Visto - Maquillaje para recibir pintu</t>
  </si>
  <si>
    <t>PTO-1408|EQ</t>
  </si>
  <si>
    <t>PTO-1408|EQ|1</t>
  </si>
  <si>
    <t>PTO-1501</t>
  </si>
  <si>
    <t>PTO-1501|MAT</t>
  </si>
  <si>
    <t>PTO-1501|MAT|1</t>
  </si>
  <si>
    <t>PTO-1501|MAT|2</t>
  </si>
  <si>
    <t>PTO-1501|MAT|3</t>
  </si>
  <si>
    <t>PTO-1501|MAT|4</t>
  </si>
  <si>
    <t>PTO-1501|MAT|5</t>
  </si>
  <si>
    <t>PTO-1501|MAT|6</t>
  </si>
  <si>
    <t>PTO-1501|MAT|7</t>
  </si>
  <si>
    <t>PTO-1501|MAT|8</t>
  </si>
  <si>
    <t>PTO-1501|MAT|9</t>
  </si>
  <si>
    <t>PTO-1501|MAT|10</t>
  </si>
  <si>
    <t>PTO-1501|EQ</t>
  </si>
  <si>
    <t>PTO-1501|EQ|1</t>
  </si>
  <si>
    <t>PTO-1502</t>
  </si>
  <si>
    <t>PTO-1502|MAT</t>
  </si>
  <si>
    <t>PTO-1502|MAT|1</t>
  </si>
  <si>
    <t>PTO-1502|MAT|2</t>
  </si>
  <si>
    <t>PTO-1502|MAT|3</t>
  </si>
  <si>
    <t>PTO-1502|MAT|4</t>
  </si>
  <si>
    <t>PTO-1502|MAT|5</t>
  </si>
  <si>
    <t>PTO-1502|MAT|6</t>
  </si>
  <si>
    <t>PTO-1502|MAT|7</t>
  </si>
  <si>
    <t>PTO-1502|MAT|8</t>
  </si>
  <si>
    <t>PTO-1502|EQ</t>
  </si>
  <si>
    <t>PTO-1502|EQ|1</t>
  </si>
  <si>
    <t>PTO-1503</t>
  </si>
  <si>
    <t>PTO-1503|MAT</t>
  </si>
  <si>
    <t>PTO-1503|MAT|1</t>
  </si>
  <si>
    <t>PTO-1503|MAT|2</t>
  </si>
  <si>
    <t>PTO-1503|MAT|3</t>
  </si>
  <si>
    <t>PTO-1503|MAT|4</t>
  </si>
  <si>
    <t>PTO-1503|MAT|5</t>
  </si>
  <si>
    <t>PTO-1503|MAT|6</t>
  </si>
  <si>
    <t>PTO-1503|MAT|7</t>
  </si>
  <si>
    <t>PTO-1503|MAT|8</t>
  </si>
  <si>
    <t>PTO-1503|MAT|9</t>
  </si>
  <si>
    <t>PTO-1503|MAT|10</t>
  </si>
  <si>
    <t>PTO-1503|EQ</t>
  </si>
  <si>
    <t>PTO-1503|EQ|1</t>
  </si>
  <si>
    <t>PTO-1503|EQ|2</t>
  </si>
  <si>
    <t>PTO-1504</t>
  </si>
  <si>
    <t>PTO-1504|MAT</t>
  </si>
  <si>
    <t>PTO-1504|MAT|1</t>
  </si>
  <si>
    <t>PTO-1504|MAT|2</t>
  </si>
  <si>
    <t>PTO-1504|MAT|3</t>
  </si>
  <si>
    <t>PTO-1504|MAT|4</t>
  </si>
  <si>
    <t>PTO-1504|MAT|5</t>
  </si>
  <si>
    <t>PTO-1504|MAT|6</t>
  </si>
  <si>
    <t>PTO-1504|MAT|7</t>
  </si>
  <si>
    <t>PTO-1504|MAT|8</t>
  </si>
  <si>
    <t>PTO-1504|MAT|9</t>
  </si>
  <si>
    <t>PTO-1504|MAT|10</t>
  </si>
  <si>
    <t>PTO-1504|EQ</t>
  </si>
  <si>
    <t>PTO-1504|EQ|1</t>
  </si>
  <si>
    <t>PTO-1504|EQ|2</t>
  </si>
  <si>
    <t>PTO-1505</t>
  </si>
  <si>
    <t>PTO-1505|MAT</t>
  </si>
  <si>
    <t>PTO-1505|MAT|1</t>
  </si>
  <si>
    <t>PTO-1505|MAT|2</t>
  </si>
  <si>
    <t>PTO-1505|MAT|3</t>
  </si>
  <si>
    <t>PTO-1505|MAT|4</t>
  </si>
  <si>
    <t>PTO-1505|MAT|5</t>
  </si>
  <si>
    <t>PTO-1505|MAT|6</t>
  </si>
  <si>
    <t>PTO-1505|MAT|7</t>
  </si>
  <si>
    <t>PTO-1505|MAT|8</t>
  </si>
  <si>
    <t>PTO-1505|MAT|9</t>
  </si>
  <si>
    <t>PTO-1505|MAT|10</t>
  </si>
  <si>
    <t>PTO-1505|EQ</t>
  </si>
  <si>
    <t>PTO-1505|EQ|1</t>
  </si>
  <si>
    <t>PTO-1506</t>
  </si>
  <si>
    <t>PTO-1506|MAT</t>
  </si>
  <si>
    <t>PTO-1506|MAT|1</t>
  </si>
  <si>
    <t>PTO-1506|MAT|2</t>
  </si>
  <si>
    <t>PTO-1506|MAT|3</t>
  </si>
  <si>
    <t>PTO-1506|MAT|4</t>
  </si>
  <si>
    <t>PTO-1506|MAT|5</t>
  </si>
  <si>
    <t>PTO-1506|MAT|6</t>
  </si>
  <si>
    <t>PTO-1506|MAT|7</t>
  </si>
  <si>
    <t>PTO-1506|MAT|8</t>
  </si>
  <si>
    <t>PTO-1506|EQ</t>
  </si>
  <si>
    <t>PTO-1506|EQ|1</t>
  </si>
  <si>
    <t>PTO-1507</t>
  </si>
  <si>
    <t>OTR-QUIMTEX</t>
  </si>
  <si>
    <t>Quimtex Romano Fino x 27kg</t>
  </si>
  <si>
    <t>PTO-1507|MAT</t>
  </si>
  <si>
    <t>PTO-1507|MAT|1</t>
  </si>
  <si>
    <t>OTR-QUIMBASE</t>
  </si>
  <si>
    <t>Quimtex base cuarzo 18lts</t>
  </si>
  <si>
    <t>PTO-1507|MAT|2</t>
  </si>
  <si>
    <t>OTR-LLANA</t>
  </si>
  <si>
    <t>Llana plástica 12x25cm</t>
  </si>
  <si>
    <t>PTO-1507|MAT|3</t>
  </si>
  <si>
    <t>PTO-1507|MAT|4</t>
  </si>
  <si>
    <t>PTO-1507|MAT|5</t>
  </si>
  <si>
    <t>PTO-1507|MAT|6</t>
  </si>
  <si>
    <t>PTO-1507|EQ</t>
  </si>
  <si>
    <t>PTO-1507|EQ|1</t>
  </si>
  <si>
    <t>PTO-1507|EQ|2</t>
  </si>
  <si>
    <t>PTO-1507|EQ|3</t>
  </si>
  <si>
    <t>PTO-1507|EQ|4</t>
  </si>
  <si>
    <t>PTO-1508</t>
  </si>
  <si>
    <t>PTO-1508|MAT</t>
  </si>
  <si>
    <t>PTO-1508|MAT|1</t>
  </si>
  <si>
    <t>PTO-1508|MAT|2</t>
  </si>
  <si>
    <t>PTO-1508|MAT|3</t>
  </si>
  <si>
    <t>PTO-1508|MAT|4</t>
  </si>
  <si>
    <t>PTO-1508|MAT|5</t>
  </si>
  <si>
    <t>PTO-1508|MAT|6</t>
  </si>
  <si>
    <t>PTO-1508|EQ</t>
  </si>
  <si>
    <t>PTO-1508|EQ|1</t>
  </si>
  <si>
    <t>PTO-1508|EQ|2</t>
  </si>
  <si>
    <t>PTO-1508|EQ|3</t>
  </si>
  <si>
    <t>PTO-1508|EQ|4</t>
  </si>
  <si>
    <t>PTO-1509</t>
  </si>
  <si>
    <t>OTR-PTO089</t>
  </si>
  <si>
    <t>Base Coat Bicomponente Durlock® Exteriores</t>
  </si>
  <si>
    <t>PTO-1509|MAT</t>
  </si>
  <si>
    <t>PTO-1509|MAT|1</t>
  </si>
  <si>
    <t>PTO-1509|MAT|2</t>
  </si>
  <si>
    <t>PTO-1509|MO</t>
  </si>
  <si>
    <t>PTO-1509|MO|1</t>
  </si>
  <si>
    <t>PTO-1509|MO|2</t>
  </si>
  <si>
    <t>EQ-PTO043</t>
  </si>
  <si>
    <t xml:space="preserve">Herramientas — Preparación de superficie con base coat </t>
  </si>
  <si>
    <t>PTO-1509|EQ</t>
  </si>
  <si>
    <t>PTO-1509|EQ|1</t>
  </si>
  <si>
    <t>PTO-0151</t>
  </si>
  <si>
    <t>OTR-PTO091</t>
  </si>
  <si>
    <t>Quimtex Forma x 27 kg (rinde 1kg/m2)</t>
  </si>
  <si>
    <t>PTO-0151|MAT</t>
  </si>
  <si>
    <t>PTO-0151|MAT|1</t>
  </si>
  <si>
    <t>PTO-0151|MAT|2</t>
  </si>
  <si>
    <t>SUB-PTO040</t>
  </si>
  <si>
    <t>M.O</t>
  </si>
  <si>
    <t>PTO-0151|MO</t>
  </si>
  <si>
    <t>PTO-0151|MO|1</t>
  </si>
  <si>
    <t>SUB-PTO041</t>
  </si>
  <si>
    <t>Plus por silleta y rendimiento (40%)</t>
  </si>
  <si>
    <t>PTO-0151|MO|2</t>
  </si>
  <si>
    <t>SUB-PTO042</t>
  </si>
  <si>
    <t>Alquiler de balancin - Leiten 3,00 m</t>
  </si>
  <si>
    <t>PTO-0151|MO|3</t>
  </si>
  <si>
    <t>EQ-PTO044</t>
  </si>
  <si>
    <t>Herramientas — Revestimiento plástico a rodillo tipo Qu</t>
  </si>
  <si>
    <t>PTO-0151|EQ</t>
  </si>
  <si>
    <t>PTO-0151|EQ|1</t>
  </si>
  <si>
    <t>PTO-1511</t>
  </si>
  <si>
    <t>OTR-PTO092</t>
  </si>
  <si>
    <t>Removedor en gel para marcos</t>
  </si>
  <si>
    <t>PTO-1511|MAT</t>
  </si>
  <si>
    <t>PTO-1511|MAT|1</t>
  </si>
  <si>
    <t>PTO-1511|MO</t>
  </si>
  <si>
    <t>PTO-1511|MO|1</t>
  </si>
  <si>
    <t>OTR-PTO095</t>
  </si>
  <si>
    <t>Esmalte sintetico</t>
  </si>
  <si>
    <t>PTO-1511|MAT|2</t>
  </si>
  <si>
    <t>SUB-PTO043</t>
  </si>
  <si>
    <t>PTO-1511|MO|2</t>
  </si>
  <si>
    <t>EQ-PTO045</t>
  </si>
  <si>
    <t>Herramientas — Esmalte sintético en puertas placa, chap</t>
  </si>
  <si>
    <t>PTO-1511|EQ</t>
  </si>
  <si>
    <t>PTO-1511|EQ|1</t>
  </si>
  <si>
    <t>PTO-1512</t>
  </si>
  <si>
    <t>OTR-PTO106</t>
  </si>
  <si>
    <t>PTO-1512|MAT</t>
  </si>
  <si>
    <t>PTO-1512|MAT|1</t>
  </si>
  <si>
    <t>SUB-PTO044</t>
  </si>
  <si>
    <t>PTO-1512|MO</t>
  </si>
  <si>
    <t>PTO-1512|MO|1</t>
  </si>
  <si>
    <t>EQ-PTO046</t>
  </si>
  <si>
    <t>Herramientas — Convertidor y esmalte sintético en baran</t>
  </si>
  <si>
    <t>PTO-1512|EQ</t>
  </si>
  <si>
    <t>PTO-1512|EQ|1</t>
  </si>
  <si>
    <t>PTO-1701</t>
  </si>
  <si>
    <t>PTO-1701|MAT</t>
  </si>
  <si>
    <t>PTO-1701|MAT|1</t>
  </si>
  <si>
    <t>PTO-1701|MAT|2</t>
  </si>
  <si>
    <t>PTO-1701|MO</t>
  </si>
  <si>
    <t>PTO-1701|MO|1</t>
  </si>
  <si>
    <t>PTO-1701|MO|2</t>
  </si>
  <si>
    <t>PTO-1701|EQ</t>
  </si>
  <si>
    <t>PTO-1701|EQ|1</t>
  </si>
  <si>
    <t>PTO-1701|EQ|2</t>
  </si>
  <si>
    <t>PTO-1702</t>
  </si>
  <si>
    <t>PTO-1702|MAT</t>
  </si>
  <si>
    <t>PTO-1702|MAT|1</t>
  </si>
  <si>
    <t>PTO-1702|MAT|2</t>
  </si>
  <si>
    <t>PTO-1702|MO</t>
  </si>
  <si>
    <t>PTO-1702|MO|1</t>
  </si>
  <si>
    <t>PTO-1702|MO|2</t>
  </si>
  <si>
    <t>PTO-1702|EQ</t>
  </si>
  <si>
    <t>PTO-1702|EQ|1</t>
  </si>
  <si>
    <t>PTO-1702|EQ|2</t>
  </si>
  <si>
    <t>PTO-1703</t>
  </si>
  <si>
    <t>PTO-1703|MAT</t>
  </si>
  <si>
    <t>PTO-1703|MAT|1</t>
  </si>
  <si>
    <t>PTO-1703|MAT|2</t>
  </si>
  <si>
    <t>PTO-1703|MO</t>
  </si>
  <si>
    <t>PTO-1703|MO|1</t>
  </si>
  <si>
    <t>PTO-1703|MO|2</t>
  </si>
  <si>
    <t>PTO-1703|EQ</t>
  </si>
  <si>
    <t>PTO-1703|EQ|1</t>
  </si>
  <si>
    <t>PTO-1703|EQ|2</t>
  </si>
  <si>
    <t>PTO-1704</t>
  </si>
  <si>
    <t>OTR-PTO9008</t>
  </si>
  <si>
    <t>PTO-1704|MAT</t>
  </si>
  <si>
    <t>PTO-1704|MAT|1</t>
  </si>
  <si>
    <t>SUB-PTO045</t>
  </si>
  <si>
    <t>MO — Amure Puertas de Ascensor - Provisión a cargo del comit</t>
  </si>
  <si>
    <t>PTO-1704|MO</t>
  </si>
  <si>
    <t>PTO-1704|MO|1</t>
  </si>
  <si>
    <t>EQ-PTO047</t>
  </si>
  <si>
    <t>EQ — Amure Puertas de Ascensor - Provisión a cargo del comit</t>
  </si>
  <si>
    <t>PTO-1704|EQ</t>
  </si>
  <si>
    <t>PTO-1704|EQ|1</t>
  </si>
  <si>
    <t>PTO-1801</t>
  </si>
  <si>
    <t>PTO-1801|MAT</t>
  </si>
  <si>
    <t>PTO-1801|MAT|1</t>
  </si>
  <si>
    <t>PTO-1801|MAT|2</t>
  </si>
  <si>
    <t>PTO-1801|MAT|3</t>
  </si>
  <si>
    <t>PTO-1801|MAT|4</t>
  </si>
  <si>
    <t>PTO-1801|MAT|5</t>
  </si>
  <si>
    <t>PTO-1801|MAT|6</t>
  </si>
  <si>
    <t>PTO-1801|MAT|7</t>
  </si>
  <si>
    <t>ELE-013</t>
  </si>
  <si>
    <t>Caja octogonal profunda</t>
  </si>
  <si>
    <t>PTO-1801|MAT|8</t>
  </si>
  <si>
    <t>PTO-1801|MAT|9</t>
  </si>
  <si>
    <t>PTO-1801|EQ</t>
  </si>
  <si>
    <t>PTO-1801|EQ|1</t>
  </si>
  <si>
    <t>PTO-1801|EQ|2</t>
  </si>
  <si>
    <t>PTO-1801|EQ|3</t>
  </si>
  <si>
    <t>PTO-1802</t>
  </si>
  <si>
    <t>PTO-1802|MAT</t>
  </si>
  <si>
    <t>PTO-1802|MAT|1</t>
  </si>
  <si>
    <t>PTO-1802|MAT|2</t>
  </si>
  <si>
    <t>PTO-1802|MAT|3</t>
  </si>
  <si>
    <t>PTO-1802|MAT|4</t>
  </si>
  <si>
    <t>PTO-1802|MAT|5</t>
  </si>
  <si>
    <t>PTO-1802|MAT|6</t>
  </si>
  <si>
    <t>PTO-1802|MAT|7</t>
  </si>
  <si>
    <t>PTO-1802|MAT|8</t>
  </si>
  <si>
    <t>PTO-1802|MAT|9</t>
  </si>
  <si>
    <t>PTO-1802|EQ</t>
  </si>
  <si>
    <t>PTO-1802|EQ|1</t>
  </si>
  <si>
    <t>PTO-1802|EQ|2</t>
  </si>
  <si>
    <t>PTO-1802|EQ|3</t>
  </si>
  <si>
    <t>PTO-1803</t>
  </si>
  <si>
    <t>PTO-1803|MAT</t>
  </si>
  <si>
    <t>PTO-1803|MAT|1</t>
  </si>
  <si>
    <t>PTO-1803|MAT|2</t>
  </si>
  <si>
    <t>PTO-1803|MAT|3</t>
  </si>
  <si>
    <t>PTO-1803|MAT|4</t>
  </si>
  <si>
    <t>PTO-1803|MAT|5</t>
  </si>
  <si>
    <t>PTO-1803|MAT|6</t>
  </si>
  <si>
    <t>PTO-1803|MAT|7</t>
  </si>
  <si>
    <t>PTO-1803|MAT|8</t>
  </si>
  <si>
    <t>PTO-1803|MAT|9</t>
  </si>
  <si>
    <t>PTO-1803|EQ</t>
  </si>
  <si>
    <t>PTO-1803|EQ|1</t>
  </si>
  <si>
    <t>PTO-1803|EQ|2</t>
  </si>
  <si>
    <t>PTO-1803|EQ|3</t>
  </si>
  <si>
    <t>PTO-1804</t>
  </si>
  <si>
    <t>PTO-1804|MAT</t>
  </si>
  <si>
    <t>PTO-1804|MAT|1</t>
  </si>
  <si>
    <t>PTO-1804|MAT|2</t>
  </si>
  <si>
    <t>PTO-1804|MAT|3</t>
  </si>
  <si>
    <t>PTO-1804|MAT|4</t>
  </si>
  <si>
    <t>PTO-1804|MAT|5</t>
  </si>
  <si>
    <t>PTO-1804|MAT|6</t>
  </si>
  <si>
    <t>PTO-1804|MAT|7</t>
  </si>
  <si>
    <t>PTO-1804|MAT|8</t>
  </si>
  <si>
    <t>PTO-1804|MAT|9</t>
  </si>
  <si>
    <t>PTO-1804|EQ</t>
  </si>
  <si>
    <t>PTO-1804|EQ|1</t>
  </si>
  <si>
    <t>PTO-1804|EQ|2</t>
  </si>
  <si>
    <t>PTO-1804|EQ|3</t>
  </si>
  <si>
    <t>PTO-1805</t>
  </si>
  <si>
    <t>PTO-1805|MAT</t>
  </si>
  <si>
    <t>PTO-1805|MAT|1</t>
  </si>
  <si>
    <t>PTO-1805|MAT|2</t>
  </si>
  <si>
    <t>PTO-1805|MAT|3</t>
  </si>
  <si>
    <t>PTO-1805|MAT|4</t>
  </si>
  <si>
    <t>PTO-1805|MAT|5</t>
  </si>
  <si>
    <t>PTO-1805|MAT|6</t>
  </si>
  <si>
    <t>PTO-1805|MAT|7</t>
  </si>
  <si>
    <t>PTO-1805|EQ</t>
  </si>
  <si>
    <t>PTO-1805|EQ|1</t>
  </si>
  <si>
    <t>PTO-1805|EQ|2</t>
  </si>
  <si>
    <t>PTO-1805|EQ|3</t>
  </si>
  <si>
    <t>PTO-1806</t>
  </si>
  <si>
    <t>ELE-CAÑO1</t>
  </si>
  <si>
    <t>Caño rígido 1"</t>
  </si>
  <si>
    <t>PTO-1806|MAT</t>
  </si>
  <si>
    <t>PTO-1806|MAT|1</t>
  </si>
  <si>
    <t>ACE-019</t>
  </si>
  <si>
    <t>Conector hierro 1"</t>
  </si>
  <si>
    <t>PTO-1806|MAT|2</t>
  </si>
  <si>
    <t>ELE-007</t>
  </si>
  <si>
    <t>Cupla PVC 1"</t>
  </si>
  <si>
    <t>PTO-1806|MAT|3</t>
  </si>
  <si>
    <t>ELE-011</t>
  </si>
  <si>
    <t>Cable unipolar 1 x 4,00</t>
  </si>
  <si>
    <t>PTO-1806|MAT|4</t>
  </si>
  <si>
    <t>PTO-1806|MAT|5</t>
  </si>
  <si>
    <t>PTO-1806|MAT|6</t>
  </si>
  <si>
    <t>PTO-1806|MAT|7</t>
  </si>
  <si>
    <t>PTO-1806|EQ</t>
  </si>
  <si>
    <t>PTO-1806|EQ|1</t>
  </si>
  <si>
    <t>PTO-1806|EQ|2</t>
  </si>
  <si>
    <t>PTO-1806|EQ|3</t>
  </si>
  <si>
    <t>PTO-1807</t>
  </si>
  <si>
    <t>PTO-1807|MAT</t>
  </si>
  <si>
    <t>PTO-1807|MAT|1</t>
  </si>
  <si>
    <t>PTO-1807|MAT|2</t>
  </si>
  <si>
    <t>PTO-1807|MAT|3</t>
  </si>
  <si>
    <t>PTO-1807|MAT|4</t>
  </si>
  <si>
    <t>PTO-1807|MAT|5</t>
  </si>
  <si>
    <t>PTO-1807|MAT|6</t>
  </si>
  <si>
    <t>PTO-1807|MAT|7</t>
  </si>
  <si>
    <t>PTO-1807|EQ</t>
  </si>
  <si>
    <t>PTO-1807|EQ|1</t>
  </si>
  <si>
    <t>PTO-1807|EQ|2</t>
  </si>
  <si>
    <t>PTO-1807|EQ|3</t>
  </si>
  <si>
    <t>PTO-1808</t>
  </si>
  <si>
    <t>PTO-1808|MAT</t>
  </si>
  <si>
    <t>PTO-1808|MAT|1</t>
  </si>
  <si>
    <t>PTO-1808|MAT|2</t>
  </si>
  <si>
    <t>PTO-1808|MAT|3</t>
  </si>
  <si>
    <t>PTO-1808|MAT|4</t>
  </si>
  <si>
    <t>PTO-1808|MAT|5</t>
  </si>
  <si>
    <t>PTO-1808|MAT|6</t>
  </si>
  <si>
    <t>PTO-1808|MAT|7</t>
  </si>
  <si>
    <t>PTO-1808|EQ</t>
  </si>
  <si>
    <t>PTO-1808|EQ|1</t>
  </si>
  <si>
    <t>PTO-1808|EQ|2</t>
  </si>
  <si>
    <t>PTO-1808|EQ|3</t>
  </si>
  <si>
    <t>PTO-1809</t>
  </si>
  <si>
    <t>PTO-1809|MAT</t>
  </si>
  <si>
    <t>PTO-1809|MAT|1</t>
  </si>
  <si>
    <t>PTO-1809|MAT|2</t>
  </si>
  <si>
    <t>PTO-1809|MAT|3</t>
  </si>
  <si>
    <t>PTO-1809|MAT|4</t>
  </si>
  <si>
    <t>PTO-1809|MAT|5</t>
  </si>
  <si>
    <t>PTO-1809|MAT|6</t>
  </si>
  <si>
    <t>PTO-1809|EQ</t>
  </si>
  <si>
    <t>PTO-1809|EQ|1</t>
  </si>
  <si>
    <t>PTO-1809|EQ|2</t>
  </si>
  <si>
    <t>PTO-1809|EQ|3</t>
  </si>
  <si>
    <t>PTO-0181</t>
  </si>
  <si>
    <t>ELE-CANO1</t>
  </si>
  <si>
    <t>Caño rígido 1" x 3m</t>
  </si>
  <si>
    <t>PTO-0181|MAT</t>
  </si>
  <si>
    <t>PTO-0181|MAT|1</t>
  </si>
  <si>
    <t>PTO-0181|MAT|2</t>
  </si>
  <si>
    <t>PTO-0181|MAT|3</t>
  </si>
  <si>
    <t>PTO-0181|MAT|4</t>
  </si>
  <si>
    <t>PTO-0181|MAT|5</t>
  </si>
  <si>
    <t>PTO-0181|MAT|6</t>
  </si>
  <si>
    <t>PTO-0181|MAT|7</t>
  </si>
  <si>
    <t>PTO-0181|EQ</t>
  </si>
  <si>
    <t>PTO-0181|EQ|1</t>
  </si>
  <si>
    <t>PTO-0181|EQ|2</t>
  </si>
  <si>
    <t>PTO-0181|EQ|3</t>
  </si>
  <si>
    <t>PTO-1811</t>
  </si>
  <si>
    <t>SUB-PTO046</t>
  </si>
  <si>
    <t>Tablero seccional de 36 a 54 polos</t>
  </si>
  <si>
    <t>PTO-1811|MO</t>
  </si>
  <si>
    <t>PTO-1811|MO|1</t>
  </si>
  <si>
    <t>OTR-ELECT-001</t>
  </si>
  <si>
    <t>STECK DIFERENCIAL 2X25A 30MA</t>
  </si>
  <si>
    <t>PTO-1811|MAT</t>
  </si>
  <si>
    <t>PTO-1811|MAT|1</t>
  </si>
  <si>
    <t>EQ-PTO048</t>
  </si>
  <si>
    <t>Herramientas — Tablero Servicios Generales - TSG</t>
  </si>
  <si>
    <t>PTO-1811|EQ</t>
  </si>
  <si>
    <t>PTO-1811|EQ|1</t>
  </si>
  <si>
    <t>PTO-1812</t>
  </si>
  <si>
    <t>SUB-PTO047</t>
  </si>
  <si>
    <t>Tablero seccional de 8 a 36 polos</t>
  </si>
  <si>
    <t>PTO-1812|MO</t>
  </si>
  <si>
    <t>PTO-1812|MO|1</t>
  </si>
  <si>
    <t>PTO-1812|MAT</t>
  </si>
  <si>
    <t>PTO-1812|MAT|1</t>
  </si>
  <si>
    <t>EQ-PTO049</t>
  </si>
  <si>
    <t>Herramientas — Tablero Bombas impulsión - TS BA</t>
  </si>
  <si>
    <t>PTO-1812|EQ</t>
  </si>
  <si>
    <t>PTO-1812|EQ|1</t>
  </si>
  <si>
    <t>PTO-1813</t>
  </si>
  <si>
    <t>PTO-1813|MO</t>
  </si>
  <si>
    <t>PTO-1813|MO|1</t>
  </si>
  <si>
    <t>OTR-ELECT-006</t>
  </si>
  <si>
    <t>STECK TM TETRAPOLAR 32A 6KA</t>
  </si>
  <si>
    <t>PTO-1813|MAT</t>
  </si>
  <si>
    <t>PTO-1813|MAT|1</t>
  </si>
  <si>
    <t>EQ-PTO050</t>
  </si>
  <si>
    <t>Herramientas — Tablero Seccional Ascensor - TS ASC</t>
  </si>
  <si>
    <t>PTO-1813|EQ</t>
  </si>
  <si>
    <t>PTO-1813|EQ|1</t>
  </si>
  <si>
    <t>PTO-1814</t>
  </si>
  <si>
    <t>PTO-1814|MO</t>
  </si>
  <si>
    <t>PTO-1814|MO|1</t>
  </si>
  <si>
    <t>OTR-ELECT-005</t>
  </si>
  <si>
    <t>STECK TM BIPOLAR 16A 6KA</t>
  </si>
  <si>
    <t>PTO-1814|MAT</t>
  </si>
  <si>
    <t>PTO-1814|MAT|1</t>
  </si>
  <si>
    <t>EQ-PTO051</t>
  </si>
  <si>
    <t>Herramientas — Tablero de Bomba presurizadora - TS BOMB</t>
  </si>
  <si>
    <t>PTO-1814|EQ</t>
  </si>
  <si>
    <t>PTO-1814|EQ|1</t>
  </si>
  <si>
    <t>PTO-1815</t>
  </si>
  <si>
    <t>PTO-1815|MO</t>
  </si>
  <si>
    <t>PTO-1815|MO|1</t>
  </si>
  <si>
    <t>OTR-ELECT-004</t>
  </si>
  <si>
    <t>STECK TM BIPOLAR 10A 6KA</t>
  </si>
  <si>
    <t>PTO-1815|MAT</t>
  </si>
  <si>
    <t>PTO-1815|MAT|1</t>
  </si>
  <si>
    <t>EQ-PTO052</t>
  </si>
  <si>
    <t>Herramientas — Tablero de UF - Monofasico</t>
  </si>
  <si>
    <t>PTO-1815|EQ</t>
  </si>
  <si>
    <t>PTO-1815|EQ|1</t>
  </si>
  <si>
    <t>PTO-1816</t>
  </si>
  <si>
    <t>PTO-1816|MO</t>
  </si>
  <si>
    <t>PTO-1816|MO|1</t>
  </si>
  <si>
    <t>OTR-ELECT-002</t>
  </si>
  <si>
    <t>STECK DIFERENCIAL 4X40A 30MA</t>
  </si>
  <si>
    <t>PTO-1816|MAT</t>
  </si>
  <si>
    <t>PTO-1816|MAT|1</t>
  </si>
  <si>
    <t>EQ-PTO053</t>
  </si>
  <si>
    <t>Herramientas — Tablero de UF - Trifasico</t>
  </si>
  <si>
    <t>PTO-1816|EQ</t>
  </si>
  <si>
    <t>PTO-1816|EQ|1</t>
  </si>
  <si>
    <t>PTO-1817</t>
  </si>
  <si>
    <t>OTR-PTO111</t>
  </si>
  <si>
    <t>Materiales</t>
  </si>
  <si>
    <t>PTO-1817|MAT</t>
  </si>
  <si>
    <t>PTO-1817|MAT|1</t>
  </si>
  <si>
    <t>PTO-1817|MO</t>
  </si>
  <si>
    <t>PTO-1817|MO|1</t>
  </si>
  <si>
    <t>PTO-1817|MO|2</t>
  </si>
  <si>
    <t>PTO-1817|MO|3</t>
  </si>
  <si>
    <t>EQ-PTO054</t>
  </si>
  <si>
    <t>Herramientas — Montante eléctrica</t>
  </si>
  <si>
    <t>PTO-1817|EQ</t>
  </si>
  <si>
    <t>PTO-1817|EQ|1</t>
  </si>
  <si>
    <t>PTO-1818</t>
  </si>
  <si>
    <t>OTR-PTO160</t>
  </si>
  <si>
    <t>Montante TV + Tablero TV — Materiales</t>
  </si>
  <si>
    <t>PTO-1818|MAT</t>
  </si>
  <si>
    <t>PTO-1818|MAT|1</t>
  </si>
  <si>
    <t>PTO-1818|MO</t>
  </si>
  <si>
    <t>PTO-1818|MO|1</t>
  </si>
  <si>
    <t>PTO-1818|MO|2</t>
  </si>
  <si>
    <t>PTO-1818|MO|3</t>
  </si>
  <si>
    <t>EQ-PTO055</t>
  </si>
  <si>
    <t>Herramientas — Montante TV + Tablero TV - Cañería c/cab</t>
  </si>
  <si>
    <t>PTO-1818|EQ</t>
  </si>
  <si>
    <t>PTO-1818|EQ|1</t>
  </si>
  <si>
    <t>PTO-0182</t>
  </si>
  <si>
    <t>SUB-PTO048</t>
  </si>
  <si>
    <t>Conexión de punto y toma</t>
  </si>
  <si>
    <t>PTO-0182|MO</t>
  </si>
  <si>
    <t>PTO-0182|MO|1</t>
  </si>
  <si>
    <t>EQ-PTO056</t>
  </si>
  <si>
    <t>Herramientas — Colocación de teclas simples y/o combina</t>
  </si>
  <si>
    <t>PTO-0182|EQ</t>
  </si>
  <si>
    <t>PTO-0182|EQ|1</t>
  </si>
  <si>
    <t>PTO-1821</t>
  </si>
  <si>
    <t>PTO-1821|MO</t>
  </si>
  <si>
    <t>PTO-1821|MO|1</t>
  </si>
  <si>
    <t>EQ-PTO057</t>
  </si>
  <si>
    <t xml:space="preserve">Herramientas — Colocación de pulsadores, circulación + </t>
  </si>
  <si>
    <t>PTO-1821|EQ</t>
  </si>
  <si>
    <t>PTO-1821|EQ|1</t>
  </si>
  <si>
    <t>PTO-1822</t>
  </si>
  <si>
    <t>PTO-1822|MO</t>
  </si>
  <si>
    <t>PTO-1822|MO|1</t>
  </si>
  <si>
    <t>EQ-PTO058</t>
  </si>
  <si>
    <t>Herramientas — Colocación de tomacorriente simple y dob</t>
  </si>
  <si>
    <t>PTO-1822|EQ</t>
  </si>
  <si>
    <t>PTO-1822|EQ|1</t>
  </si>
  <si>
    <t>PTO-1823</t>
  </si>
  <si>
    <t>SUB-PTO049</t>
  </si>
  <si>
    <t>Colocación artefacto</t>
  </si>
  <si>
    <t>PTO-1823|MO</t>
  </si>
  <si>
    <t>PTO-1823|MO|1</t>
  </si>
  <si>
    <t>EQ-PTO059</t>
  </si>
  <si>
    <t>Herramientas — Colocación artefactos en espacios comune</t>
  </si>
  <si>
    <t>PTO-1823|EQ</t>
  </si>
  <si>
    <t>PTO-1823|EQ|1</t>
  </si>
  <si>
    <t>PTO-1824</t>
  </si>
  <si>
    <t>PTO-1824|MO</t>
  </si>
  <si>
    <t>PTO-1824|MO|1</t>
  </si>
  <si>
    <t>EQ-PTO060</t>
  </si>
  <si>
    <t>Herramientas — Colocación de luz de emergencia - Provis</t>
  </si>
  <si>
    <t>PTO-1824|EQ</t>
  </si>
  <si>
    <t>PTO-1824|EQ|1</t>
  </si>
  <si>
    <t>PTO-1825</t>
  </si>
  <si>
    <t>OTR-PTO112</t>
  </si>
  <si>
    <t>Mat</t>
  </si>
  <si>
    <t>PTO-1825|MAT</t>
  </si>
  <si>
    <t>PTO-1825|MAT|1</t>
  </si>
  <si>
    <t>SUB-PTO050</t>
  </si>
  <si>
    <t>Gabinete 4 medidores</t>
  </si>
  <si>
    <t>PTO-1825|MO</t>
  </si>
  <si>
    <t>PTO-1825|MO|1</t>
  </si>
  <si>
    <t>SUB-PTO051</t>
  </si>
  <si>
    <t>Gabinete 1 medidor trif</t>
  </si>
  <si>
    <t>PTO-1825|MO|2</t>
  </si>
  <si>
    <t>SUB-PTO052</t>
  </si>
  <si>
    <t>[66030400] GAB 4 MED MONO C/TM + DIF (EDENOR)</t>
  </si>
  <si>
    <t>PTO-1825|MO|3</t>
  </si>
  <si>
    <t>SUB-PTO053</t>
  </si>
  <si>
    <t>Bandeja portacable 300 mm</t>
  </si>
  <si>
    <t>PTO-1825|MO|4</t>
  </si>
  <si>
    <t>SUB-PTO054</t>
  </si>
  <si>
    <t>Caja de toma</t>
  </si>
  <si>
    <t>PTO-1825|MO|5</t>
  </si>
  <si>
    <t>EQ-PTO061</t>
  </si>
  <si>
    <t>Herramientas — Provisión y armado de medidores. Provisi</t>
  </si>
  <si>
    <t>PTO-1825|EQ</t>
  </si>
  <si>
    <t>PTO-1825|EQ|1</t>
  </si>
  <si>
    <t>PTO-1826</t>
  </si>
  <si>
    <t>OTR-PTO9021</t>
  </si>
  <si>
    <t>Puesta a tierra — Jabalinas y cableados</t>
  </si>
  <si>
    <t>PTO-1826|MAT</t>
  </si>
  <si>
    <t>PTO-1826|MAT|1</t>
  </si>
  <si>
    <t>SUB-PTO055</t>
  </si>
  <si>
    <t>PAT de Servicio</t>
  </si>
  <si>
    <t>PTO-1826|MO</t>
  </si>
  <si>
    <t>PTO-1826|MO|1</t>
  </si>
  <si>
    <t>EQ-PTO062</t>
  </si>
  <si>
    <t>Herramientas — Puesta a tierra, jabalinas y cableados</t>
  </si>
  <si>
    <t>PTO-1826|EQ</t>
  </si>
  <si>
    <t>PTO-1826|EQ|1</t>
  </si>
  <si>
    <t>PTO-1827</t>
  </si>
  <si>
    <t>SUB-PTO056</t>
  </si>
  <si>
    <t>Servicios grales T1</t>
  </si>
  <si>
    <t>PTO-1827|MO</t>
  </si>
  <si>
    <t>PTO-1827|MO|1</t>
  </si>
  <si>
    <t>PTO-1901</t>
  </si>
  <si>
    <t>OTR-AWA-001</t>
  </si>
  <si>
    <t>AWA TUBO PPN CLOACAL ø.110X4.00 3/1035</t>
  </si>
  <si>
    <t>PTO-1901|MAT</t>
  </si>
  <si>
    <t>PTO-1901|MAT|1</t>
  </si>
  <si>
    <t>EQ-PTO063</t>
  </si>
  <si>
    <t>Herramientas — Tendido caño cloacal en planta baja</t>
  </si>
  <si>
    <t>PTO-1901|EQ</t>
  </si>
  <si>
    <t>PTO-1901|EQ|1</t>
  </si>
  <si>
    <t>PTO-1902</t>
  </si>
  <si>
    <t>PTO-1902|MAT</t>
  </si>
  <si>
    <t>PTO-1902|MAT|1</t>
  </si>
  <si>
    <t>EQ-PTO064</t>
  </si>
  <si>
    <t>Herramientas — Por armar CDV en UF</t>
  </si>
  <si>
    <t>PTO-1902|EQ</t>
  </si>
  <si>
    <t>PTO-1902|EQ|1</t>
  </si>
  <si>
    <t>PTO-1903</t>
  </si>
  <si>
    <t>OTR-PTO9009</t>
  </si>
  <si>
    <t>CLOACAL — Montantes, remate y ventilación a los 4 vient</t>
  </si>
  <si>
    <t>PTO-1903|MAT</t>
  </si>
  <si>
    <t>PTO-1903|MAT|1</t>
  </si>
  <si>
    <t>EQ-PTO065</t>
  </si>
  <si>
    <t xml:space="preserve">Herramientas — Montantes, remate y ventilación a los 4 </t>
  </si>
  <si>
    <t>PTO-1903|EQ</t>
  </si>
  <si>
    <t>PTO-1903|EQ|1</t>
  </si>
  <si>
    <t>PTO-1904</t>
  </si>
  <si>
    <t>PTO-1904|MAT</t>
  </si>
  <si>
    <t>PTO-1904|MAT|1</t>
  </si>
  <si>
    <t>EQ-PTO066</t>
  </si>
  <si>
    <t>Herramientas — Tendido caño pluvial en planta baja</t>
  </si>
  <si>
    <t>PTO-1904|EQ</t>
  </si>
  <si>
    <t>PTO-1904|EQ|1</t>
  </si>
  <si>
    <t>PTO-1905</t>
  </si>
  <si>
    <t>OTR-PTO108</t>
  </si>
  <si>
    <t>PLU — Tendido caño pluvial en balcones de UF y azot</t>
  </si>
  <si>
    <t>PTO-1905|MAT</t>
  </si>
  <si>
    <t>PTO-1905|MAT|1</t>
  </si>
  <si>
    <t>EQ-PTO067</t>
  </si>
  <si>
    <t>Herramientas — Tendido caño pluvial en balcones de UF y</t>
  </si>
  <si>
    <t>PTO-1905|EQ</t>
  </si>
  <si>
    <t>PTO-1905|EQ|1</t>
  </si>
  <si>
    <t>PTO-1906</t>
  </si>
  <si>
    <t>OTR-PTO109</t>
  </si>
  <si>
    <t>AF_AC — Tendido caño de agua en PB hasta TB. Armado d</t>
  </si>
  <si>
    <t>PTO-1906|MAT</t>
  </si>
  <si>
    <t>PTO-1906|MAT|1</t>
  </si>
  <si>
    <t>EQ-PTO068</t>
  </si>
  <si>
    <t>Herramientas — Tendido caño de agua en PB hasta TB. Arm</t>
  </si>
  <si>
    <t>PTO-1906|EQ</t>
  </si>
  <si>
    <t>PTO-1906|EQ|1</t>
  </si>
  <si>
    <t>PTO-1907</t>
  </si>
  <si>
    <t>OTR-PTO110</t>
  </si>
  <si>
    <t>AF_AC — Conexión y armado de colector de TR. Montante</t>
  </si>
  <si>
    <t>PTO-1907|MAT</t>
  </si>
  <si>
    <t>PTO-1907|MAT|1</t>
  </si>
  <si>
    <t>EQ-PTO069</t>
  </si>
  <si>
    <t>Herramientas — Conexión y armado de colector de TR. Mon</t>
  </si>
  <si>
    <t>PTO-1907|EQ</t>
  </si>
  <si>
    <t>PTO-1907|EQ|1</t>
  </si>
  <si>
    <t>PTO-1908</t>
  </si>
  <si>
    <t>OTR-PTO9010</t>
  </si>
  <si>
    <t xml:space="preserve">AF_AC — Armado de colector de TAR. Bajadas y retorno </t>
  </si>
  <si>
    <t>PTO-1908|MAT</t>
  </si>
  <si>
    <t>PTO-1908|MAT|1</t>
  </si>
  <si>
    <t>EQ-PTO070</t>
  </si>
  <si>
    <t>Herramientas — Armado de colector de TAR. Bajadas y ret</t>
  </si>
  <si>
    <t>PTO-1908|EQ</t>
  </si>
  <si>
    <t>PTO-1908|EQ|1</t>
  </si>
  <si>
    <t>PTO-1909</t>
  </si>
  <si>
    <t>OTR-PTO9011</t>
  </si>
  <si>
    <t xml:space="preserve">AF_AC — Colocación de bomba presurizadora, armado de </t>
  </si>
  <si>
    <t>PTO-1909|MAT</t>
  </si>
  <si>
    <t>PTO-1909|MAT|1</t>
  </si>
  <si>
    <t>EQ-PTO071</t>
  </si>
  <si>
    <t>Herramientas — Colocación de bomba presurizadora, armad</t>
  </si>
  <si>
    <t>PTO-1909|EQ</t>
  </si>
  <si>
    <t>PTO-1909|EQ|1</t>
  </si>
  <si>
    <t>PTO-1910</t>
  </si>
  <si>
    <t>OTR-PTO113</t>
  </si>
  <si>
    <t>AF_AC — Distribución agua fria y caliente en planta t</t>
  </si>
  <si>
    <t>PTO-1910|MAT</t>
  </si>
  <si>
    <t>PTO-1910|MAT|1</t>
  </si>
  <si>
    <t>EQ-PTO072</t>
  </si>
  <si>
    <t>Herramientas — Distribución agua fria y caliente en pla</t>
  </si>
  <si>
    <t>PTO-1910|EQ</t>
  </si>
  <si>
    <t>PTO-1910|EQ|1</t>
  </si>
  <si>
    <t>PTO-1912</t>
  </si>
  <si>
    <t>OTR-PTO114</t>
  </si>
  <si>
    <t>AF_AC — Colocación de artefactos y griferías - Provis</t>
  </si>
  <si>
    <t>PTO-1912|MAT</t>
  </si>
  <si>
    <t>PTO-1912|MAT|1</t>
  </si>
  <si>
    <t>EQ-PTO073</t>
  </si>
  <si>
    <t>Herramientas — Colocación de artefactos y griferías - P</t>
  </si>
  <si>
    <t>PTO-1912|EQ</t>
  </si>
  <si>
    <t>PTO-1912|EQ|1</t>
  </si>
  <si>
    <t>PTO-1913</t>
  </si>
  <si>
    <t>OTR-PTO115</t>
  </si>
  <si>
    <t>Colocación y armado de colectores solares - Provisión de col</t>
  </si>
  <si>
    <t>PTO-1913|MAT</t>
  </si>
  <si>
    <t>PTO-1913|MAT|1</t>
  </si>
  <si>
    <t>SUB-PTO057</t>
  </si>
  <si>
    <t>MO — Colocación y armado de colectores solares - Provisión d</t>
  </si>
  <si>
    <t>PTO-1913|MO</t>
  </si>
  <si>
    <t>PTO-1913|MO|1</t>
  </si>
  <si>
    <t>EQ-PTO074</t>
  </si>
  <si>
    <t>EQ — Colocación y armado de colectores solares - Provisión d</t>
  </si>
  <si>
    <t>PTO-1913|EQ</t>
  </si>
  <si>
    <t>PTO-1913|EQ|1</t>
  </si>
  <si>
    <t>PTO-1914</t>
  </si>
  <si>
    <t>OTR-AWA-033</t>
  </si>
  <si>
    <t>AWA A.A.ADAPT.ø32M X 3/4" ESPIGA 20/2283</t>
  </si>
  <si>
    <t>PTO-1914|MAT</t>
  </si>
  <si>
    <t>PTO-1914|MAT|1</t>
  </si>
  <si>
    <t>EQ-PTO075</t>
  </si>
  <si>
    <t>Herramientas — Armado y conexionado de desagües AA.CC</t>
  </si>
  <si>
    <t>PTO-1914|EQ</t>
  </si>
  <si>
    <t>PTO-1914|EQ|1</t>
  </si>
  <si>
    <t>PTO-1915</t>
  </si>
  <si>
    <t>OTR-PTO117</t>
  </si>
  <si>
    <t>INCEND — Tendido cañeria de incendio - Gabinetes, mang</t>
  </si>
  <si>
    <t>PTO-1915|MAT</t>
  </si>
  <si>
    <t>PTO-1915|MAT|1</t>
  </si>
  <si>
    <t>EQ-PTO076</t>
  </si>
  <si>
    <t>Herramientas — Tendido cañeria de incendio - Gabinetes,</t>
  </si>
  <si>
    <t>PTO-1915|EQ</t>
  </si>
  <si>
    <t>PTO-1915|EQ|1</t>
  </si>
  <si>
    <t>PTO-1916</t>
  </si>
  <si>
    <t>OTR-GAS-001</t>
  </si>
  <si>
    <t>BZ TENARIS CANO EPOXI 11/4X6.40 MTS</t>
  </si>
  <si>
    <t>tira</t>
  </si>
  <si>
    <t>PTO-1916|MAT</t>
  </si>
  <si>
    <t>PTO-1916|MAT|1</t>
  </si>
  <si>
    <t>EQ-PTO077</t>
  </si>
  <si>
    <t>Herramientas — Provisión y tendido de cañerías de gas a</t>
  </si>
  <si>
    <t>PTO-1916|EQ</t>
  </si>
  <si>
    <t>PTO-1916|EQ|1</t>
  </si>
  <si>
    <t>PTO-1917</t>
  </si>
  <si>
    <t>OTR-PTO119</t>
  </si>
  <si>
    <t xml:space="preserve">GAS — Colocación de artefactos - Provisión a cargo </t>
  </si>
  <si>
    <t>PTO-1917|MAT</t>
  </si>
  <si>
    <t>PTO-1917|MAT|1</t>
  </si>
  <si>
    <t>EQ-PTO078</t>
  </si>
  <si>
    <t>Herramientas — Colocación de artefactos - Provisión a c</t>
  </si>
  <si>
    <t>PTO-1917|EQ</t>
  </si>
  <si>
    <t>PTO-1917|EQ|1</t>
  </si>
  <si>
    <t>PTO-1918</t>
  </si>
  <si>
    <t>SUB-PTO091</t>
  </si>
  <si>
    <t>Gestor Gas — Prefactibilidad</t>
  </si>
  <si>
    <t>PTO-1918|MO</t>
  </si>
  <si>
    <t>PTO-1918|MO|1</t>
  </si>
  <si>
    <t>PTO-1919</t>
  </si>
  <si>
    <t>SUB-PTO059</t>
  </si>
  <si>
    <t xml:space="preserve">MO — Tramites de habilitación municipal </t>
  </si>
  <si>
    <t>PTO-1919|MO</t>
  </si>
  <si>
    <t>PTO-1919|MO|1</t>
  </si>
  <si>
    <t>PTO-2001</t>
  </si>
  <si>
    <t>SUB-PTO060</t>
  </si>
  <si>
    <t>Preinstalacion M.O</t>
  </si>
  <si>
    <t>PTO-2001|MO</t>
  </si>
  <si>
    <t>PTO-2001|MO|1</t>
  </si>
  <si>
    <t>PTO-2002</t>
  </si>
  <si>
    <t>SUB-PTO061</t>
  </si>
  <si>
    <t>Instalacion y puesta en marcha</t>
  </si>
  <si>
    <t>PTO-2002|MO</t>
  </si>
  <si>
    <t>PTO-2002|MO|1</t>
  </si>
  <si>
    <t>PTO-2201</t>
  </si>
  <si>
    <t>SUB-PTO062</t>
  </si>
  <si>
    <t>Colocación extractor de aire en baño</t>
  </si>
  <si>
    <t>PTO-2201|MO</t>
  </si>
  <si>
    <t>PTO-2201|MO|1</t>
  </si>
  <si>
    <t>PTO-2301</t>
  </si>
  <si>
    <t>OTR-PTO120</t>
  </si>
  <si>
    <t>Angulo 3/4" x 1/8"</t>
  </si>
  <si>
    <t>PTO-2301|MAT</t>
  </si>
  <si>
    <t>PTO-2301|MAT|1</t>
  </si>
  <si>
    <t>PTO-2301|MAT|2</t>
  </si>
  <si>
    <t>PTO-2301|MO</t>
  </si>
  <si>
    <t>PTO-2301|MO|1</t>
  </si>
  <si>
    <t>PTO-2301|MO|2</t>
  </si>
  <si>
    <t>PTO-2301|MO|3</t>
  </si>
  <si>
    <t>OTR-PTO122</t>
  </si>
  <si>
    <t>Chapa LAF 1,22 x 2,44 C22</t>
  </si>
  <si>
    <t>PTO-2301|MAT|3</t>
  </si>
  <si>
    <t>SUB-PTO063</t>
  </si>
  <si>
    <t>M.Obra plegado</t>
  </si>
  <si>
    <t>PTO-2301|MO|4</t>
  </si>
  <si>
    <t>EQ-PTO079</t>
  </si>
  <si>
    <t>Herramientas — Provisión y amure de tapas para pleno el</t>
  </si>
  <si>
    <t>PTO-2301|EQ</t>
  </si>
  <si>
    <t>PTO-2301|EQ|1</t>
  </si>
  <si>
    <t>PTO-2302</t>
  </si>
  <si>
    <t>OTR-PTO123</t>
  </si>
  <si>
    <t>Colocación de herrajes</t>
  </si>
  <si>
    <t>PTO-2302|MAT</t>
  </si>
  <si>
    <t>PTO-2302|MAT|1</t>
  </si>
  <si>
    <t>PTO-2302|MO</t>
  </si>
  <si>
    <t>PTO-2302|MO|1</t>
  </si>
  <si>
    <t>PTO-2302|MO|2</t>
  </si>
  <si>
    <t>EQ-PTO080</t>
  </si>
  <si>
    <t>Herramientas — Colocación de señaletica - Provisión a c</t>
  </si>
  <si>
    <t>PTO-2302|EQ</t>
  </si>
  <si>
    <t>PTO-2302|EQ|1</t>
  </si>
  <si>
    <t>PTO-2303</t>
  </si>
  <si>
    <t>SUB-PTO064</t>
  </si>
  <si>
    <t>PTO-2303|MO</t>
  </si>
  <si>
    <t>PTO-2303|MO|1</t>
  </si>
  <si>
    <t>SUB-PTO065</t>
  </si>
  <si>
    <t>Cambio de cerraduras/ajuste de cerraduras</t>
  </si>
  <si>
    <t>PTO-2303|MO|2</t>
  </si>
  <si>
    <t>SUB-PTO066</t>
  </si>
  <si>
    <t>Trabajo de carpintero, ajuste de hojas puerta placa</t>
  </si>
  <si>
    <t>PTO-2303|MO|3</t>
  </si>
  <si>
    <t>EQ-PTO081</t>
  </si>
  <si>
    <t>Herramientas — Ajuste final de puertas placas, colocaci</t>
  </si>
  <si>
    <t>PTO-2303|EQ</t>
  </si>
  <si>
    <t>PTO-2303|EQ|1</t>
  </si>
  <si>
    <t>PTO-2401</t>
  </si>
  <si>
    <t>SUB-PTO067</t>
  </si>
  <si>
    <t>PTO-2401|MO</t>
  </si>
  <si>
    <t>PTO-2401|MO|1</t>
  </si>
  <si>
    <t>PTO-2402</t>
  </si>
  <si>
    <t>SUB-PTO068</t>
  </si>
  <si>
    <t>PTO-2402|MO</t>
  </si>
  <si>
    <t>PTO-2402|MO|1</t>
  </si>
  <si>
    <t>PTO-2403</t>
  </si>
  <si>
    <t>SUB-PTO069</t>
  </si>
  <si>
    <t>PTO-2403|MO</t>
  </si>
  <si>
    <t>PTO-2403|MO|1</t>
  </si>
  <si>
    <t>PTO-2404</t>
  </si>
  <si>
    <t>OTR-PTO137</t>
  </si>
  <si>
    <t>Defensas</t>
  </si>
  <si>
    <t>PTO-2404|MAT</t>
  </si>
  <si>
    <t>PTO-2404|MAT|1</t>
  </si>
  <si>
    <t>OTR-PTO138</t>
  </si>
  <si>
    <t>Tabla 4 x 1 x 3,6 Saligna bruto</t>
  </si>
  <si>
    <t>PTO-2404|MAT|2</t>
  </si>
  <si>
    <t>OTR-PTO139</t>
  </si>
  <si>
    <t>Tirante 3 x 3 x 3,6 Saligna bruto</t>
  </si>
  <si>
    <t>PTO-2404|MAT|3</t>
  </si>
  <si>
    <t>PTO-2404|MO</t>
  </si>
  <si>
    <t>PTO-2404|MO|1</t>
  </si>
  <si>
    <t>PTO-2404|MO|2</t>
  </si>
  <si>
    <t>PTO-2404|MO|3</t>
  </si>
  <si>
    <t>PTO-2404|MO|4</t>
  </si>
  <si>
    <t>EQ-PTO082</t>
  </si>
  <si>
    <t>Herramientas — Protecciones y defensas</t>
  </si>
  <si>
    <t>PTO-2404|EQ</t>
  </si>
  <si>
    <t>PTO-2404|EQ|1</t>
  </si>
  <si>
    <t>PTO-2405</t>
  </si>
  <si>
    <t>OTR-PTO140</t>
  </si>
  <si>
    <t>Mat.</t>
  </si>
  <si>
    <t>PTO-2405|MAT</t>
  </si>
  <si>
    <t>PTO-2405|MAT|1</t>
  </si>
  <si>
    <t>PTO-2405|MO</t>
  </si>
  <si>
    <t>PTO-2405|MO|1</t>
  </si>
  <si>
    <t>PTO-2405|MO|2</t>
  </si>
  <si>
    <t>EQ-PTO083</t>
  </si>
  <si>
    <t>Herramientas — Ayuda de gremios</t>
  </si>
  <si>
    <t>PTO-2405|EQ</t>
  </si>
  <si>
    <t>PTO-2405|EQ|1</t>
  </si>
  <si>
    <t>PTO-2406</t>
  </si>
  <si>
    <t>PTO-2406|MAT</t>
  </si>
  <si>
    <t>PTO-2406|MAT|1</t>
  </si>
  <si>
    <t>PTO-2406|MO</t>
  </si>
  <si>
    <t>PTO-2406|MO|1</t>
  </si>
  <si>
    <t>EQ-PTO084</t>
  </si>
  <si>
    <t xml:space="preserve">Herramientas — Limpieza periódica </t>
  </si>
  <si>
    <t>PTO-2406|EQ</t>
  </si>
  <si>
    <t>PTO-2406|EQ|1</t>
  </si>
  <si>
    <t>PTO-2407</t>
  </si>
  <si>
    <t>OTR-PTO162</t>
  </si>
  <si>
    <t>Limpieza final de obra — Materiales</t>
  </si>
  <si>
    <t>PTO-2407|MAT</t>
  </si>
  <si>
    <t>PTO-2407|MAT|1</t>
  </si>
  <si>
    <t>PTO-2407|MO</t>
  </si>
  <si>
    <t>PTO-2407|MO|1</t>
  </si>
  <si>
    <t>EQ-PTO085</t>
  </si>
  <si>
    <t>Herramientas — Limpieza final de Obra</t>
  </si>
  <si>
    <t>PTO-2407|EQ</t>
  </si>
  <si>
    <t>PTO-2407|EQ|1</t>
  </si>
  <si>
    <t>PTO-2408</t>
  </si>
  <si>
    <t>SUB-PTO070</t>
  </si>
  <si>
    <t>MO — Fletes</t>
  </si>
  <si>
    <t>PTO-2408|MO</t>
  </si>
  <si>
    <t>PTO-2408|MO|1</t>
  </si>
  <si>
    <t>PTO-2409</t>
  </si>
  <si>
    <t>OTR-PTO128</t>
  </si>
  <si>
    <t>Volquete x mes</t>
  </si>
  <si>
    <t>PTO-2409|MAT</t>
  </si>
  <si>
    <t>PTO-2409|MAT|1</t>
  </si>
  <si>
    <t>PTO-2409|MO</t>
  </si>
  <si>
    <t>PTO-2409|MO|1</t>
  </si>
  <si>
    <t>EQ-PTO086</t>
  </si>
  <si>
    <t>Herramientas — Volquetes</t>
  </si>
  <si>
    <t>PTO-2409|EQ</t>
  </si>
  <si>
    <t>PTO-2409|EQ|1</t>
  </si>
  <si>
    <t>PTO-2501</t>
  </si>
  <si>
    <t>SUB-PTO071</t>
  </si>
  <si>
    <t>PTO-2501|MO</t>
  </si>
  <si>
    <t>PTO-2501|MO|1</t>
  </si>
  <si>
    <t>PTO-2502</t>
  </si>
  <si>
    <t>SUB-PTO072</t>
  </si>
  <si>
    <t>PTO-2502|MO</t>
  </si>
  <si>
    <t>PTO-2502|MO|1</t>
  </si>
  <si>
    <t>PTO-2603</t>
  </si>
  <si>
    <t>OTR-PTO129</t>
  </si>
  <si>
    <t>Sombrerete en chapa prepintada C25</t>
  </si>
  <si>
    <t>PTO-2603|MAT</t>
  </si>
  <si>
    <t>PTO-2603|MAT|1</t>
  </si>
  <si>
    <t>PTO-2605</t>
  </si>
  <si>
    <t>OTR-PTO130</t>
  </si>
  <si>
    <t>Cotizaciones — Forzador de aire y termostato de ambiente - S</t>
  </si>
  <si>
    <t>PTO-2605|MAT</t>
  </si>
  <si>
    <t>PTO-2605|MAT|1</t>
  </si>
  <si>
    <t>PTO-2701</t>
  </si>
  <si>
    <t>OTR-PTO131</t>
  </si>
  <si>
    <t>Electrobomba centrifuga 2,5 Hp Motormech</t>
  </si>
  <si>
    <t>PTO-2701|MAT</t>
  </si>
  <si>
    <t>PTO-2701|MAT|1</t>
  </si>
  <si>
    <t>PTO-2702</t>
  </si>
  <si>
    <t>OTR-PTO132</t>
  </si>
  <si>
    <t>Bomba sumergible trituradora Mec V1300 1,8hp Monofásica - Po</t>
  </si>
  <si>
    <t>PTO-2702|MAT</t>
  </si>
  <si>
    <t>PTO-2702|MAT|1</t>
  </si>
  <si>
    <t>PTO-2703</t>
  </si>
  <si>
    <t>OTR-PTO133</t>
  </si>
  <si>
    <t>Bomba sumergible agua sucia 7mts Llp-250 Lusqtoff C - Pozo d</t>
  </si>
  <si>
    <t>PTO-2703|MAT</t>
  </si>
  <si>
    <t>PTO-2703|MAT|1</t>
  </si>
  <si>
    <t>PTO-2704</t>
  </si>
  <si>
    <t>OTR-PTO134</t>
  </si>
  <si>
    <t>Bomba presurizadora tipo Rowa Mini RW9 Bronce para un consum</t>
  </si>
  <si>
    <t>PTO-2704|MAT</t>
  </si>
  <si>
    <t>PTO-2704|MAT|1</t>
  </si>
  <si>
    <t>PTO-2705</t>
  </si>
  <si>
    <t>OTR-PTO135</t>
  </si>
  <si>
    <t>Rowa 5/1 Sanitaria Tempo 220 V</t>
  </si>
  <si>
    <t>PTO-2705|MAT</t>
  </si>
  <si>
    <t>PTO-2705|MAT|1</t>
  </si>
  <si>
    <t>PTO-2706</t>
  </si>
  <si>
    <t>OTR-PTO136</t>
  </si>
  <si>
    <t>Termotanque a gas Rheem Performance 120 litros de pie (TGNP1</t>
  </si>
  <si>
    <t>PTO-2706|MAT</t>
  </si>
  <si>
    <t>PTO-2706|MAT|1</t>
  </si>
  <si>
    <t>PTO-2707</t>
  </si>
  <si>
    <t>OTR-PTO9012</t>
  </si>
  <si>
    <t>Rejilla galvanizada 15cm - Modelo Ed-r150g - Rampa vehicular</t>
  </si>
  <si>
    <t>PTO-2707|MAT</t>
  </si>
  <si>
    <t>PTO-2707|MAT|1</t>
  </si>
  <si>
    <t>PTO-2801</t>
  </si>
  <si>
    <t>OTR-PTO9013</t>
  </si>
  <si>
    <t>Cotizaciones — Válvula tipo teatro de 2" BSP x 1 3/4"INC.</t>
  </si>
  <si>
    <t>PTO-2801|MAT</t>
  </si>
  <si>
    <t>PTO-2801|MAT|1</t>
  </si>
  <si>
    <t>PTO-2802</t>
  </si>
  <si>
    <t>OTR-PTO9014</t>
  </si>
  <si>
    <t>Cotizaciones — Gabinete para manguera de 1 3/4" con puerta h</t>
  </si>
  <si>
    <t>PTO-2802|MAT</t>
  </si>
  <si>
    <t>PTO-2802|MAT|1</t>
  </si>
  <si>
    <t>PTO-2803</t>
  </si>
  <si>
    <t>OTR-PTO9015</t>
  </si>
  <si>
    <t>Cotizaciones — Manguera sintética RYL JET sello IRAM de 1 3/</t>
  </si>
  <si>
    <t>PTO-2803|MAT</t>
  </si>
  <si>
    <t>PTO-2803|MAT|1</t>
  </si>
  <si>
    <t>PTO-2804</t>
  </si>
  <si>
    <t>OTR-PTO141</t>
  </si>
  <si>
    <t>Cotizaciones — Lanza de 1 3/4" con boquilla chorro PLENO Y N</t>
  </si>
  <si>
    <t>PTO-2804|MAT</t>
  </si>
  <si>
    <t>PTO-2804|MAT|1</t>
  </si>
  <si>
    <t>PTO-2805</t>
  </si>
  <si>
    <t>OTR-PTO142</t>
  </si>
  <si>
    <t>Cotizaciones — Válvula de Impulsión para Piso o Pared c/anil</t>
  </si>
  <si>
    <t>PTO-2805|MAT</t>
  </si>
  <si>
    <t>PTO-2805|MAT|1</t>
  </si>
  <si>
    <t>PTO-2806</t>
  </si>
  <si>
    <t>OTR-PTO143</t>
  </si>
  <si>
    <t>Cotizaciones — Tapa con inscripción BOMBEROS para pared</t>
  </si>
  <si>
    <t>PTO-2806|MAT</t>
  </si>
  <si>
    <t>PTO-2806|MAT|1</t>
  </si>
  <si>
    <t>PTO-2807</t>
  </si>
  <si>
    <t>OTR-PTO144</t>
  </si>
  <si>
    <t>Cotizaciones — Extintor nuevo a base de polvo ABC x 5 kg. In</t>
  </si>
  <si>
    <t>PTO-2807|MAT</t>
  </si>
  <si>
    <t>PTO-2807|MAT|1</t>
  </si>
  <si>
    <t>PTO-2808</t>
  </si>
  <si>
    <t>OTR-PTO145</t>
  </si>
  <si>
    <t>Cotizaciones — Extintor nuevo a base de gas carbonico BC C02</t>
  </si>
  <si>
    <t>PTO-2808|MAT</t>
  </si>
  <si>
    <t>PTO-2808|MAT|1</t>
  </si>
  <si>
    <t>PTO-2901</t>
  </si>
  <si>
    <t>OTR-PTO146</t>
  </si>
  <si>
    <t>Cotizaciones — Hidroflex colector Luxus cromo 4 sal.16 mm</t>
  </si>
  <si>
    <t>PTO-2901|MAT</t>
  </si>
  <si>
    <t>PTO-2901|MAT|1</t>
  </si>
  <si>
    <t>PTO-2902</t>
  </si>
  <si>
    <t>OTR-PTO147</t>
  </si>
  <si>
    <t>Cotizaciones — Hidroflex colector Luxus cromo 5 sal.16 mm</t>
  </si>
  <si>
    <t>PTO-2902|MAT</t>
  </si>
  <si>
    <t>PTO-2902|MAT|1</t>
  </si>
  <si>
    <t>PTO-2903</t>
  </si>
  <si>
    <t>OTR-PTO148</t>
  </si>
  <si>
    <t>Cotizaciones — Hidroflex gabinete p/colector 450 x 450 x 110</t>
  </si>
  <si>
    <t>PTO-2903|MAT</t>
  </si>
  <si>
    <t>PTO-2903|MAT|1</t>
  </si>
  <si>
    <t>PTO-2904</t>
  </si>
  <si>
    <t>OTR-PTO149</t>
  </si>
  <si>
    <t>Cotizaciones — Hidroflex gabinete p/colector 600 x 450 x 110</t>
  </si>
  <si>
    <t>PTO-2904|MAT</t>
  </si>
  <si>
    <t>PTO-2904|MAT|1</t>
  </si>
  <si>
    <t>PTO-2905</t>
  </si>
  <si>
    <t>OTR-PTO150</t>
  </si>
  <si>
    <t>Cotizaciones — Hidroflex termostato de ambiente 220 V</t>
  </si>
  <si>
    <t>PTO-2905|MAT</t>
  </si>
  <si>
    <t>PTO-2905|MAT|1</t>
  </si>
  <si>
    <t>PTO-2906</t>
  </si>
  <si>
    <t>OTR-PTO151</t>
  </si>
  <si>
    <t>Cotizaciones — Caldera Peisa Diva 24 DS TF GN 19800 KC. Inc.</t>
  </si>
  <si>
    <t>PTO-2906|MAT</t>
  </si>
  <si>
    <t>PTO-2906|MAT|1</t>
  </si>
  <si>
    <t>PTO-2907</t>
  </si>
  <si>
    <t>OTR-PTO152</t>
  </si>
  <si>
    <t>Cotizaciones — Tubo Coaxial 1,00 m 60/100 MH</t>
  </si>
  <si>
    <t>PTO-2907|MAT</t>
  </si>
  <si>
    <t>PTO-2907|MAT|1</t>
  </si>
  <si>
    <t>PTO-3001</t>
  </si>
  <si>
    <t>OTR-PTO153</t>
  </si>
  <si>
    <t>ELECT — Módulo completo tecla marca Cambre línea SXXI</t>
  </si>
  <si>
    <t>PTO-3001|MAT</t>
  </si>
  <si>
    <t>PTO-3001|MAT|1</t>
  </si>
  <si>
    <t>PTO-3002</t>
  </si>
  <si>
    <t>OTR-PTO9016</t>
  </si>
  <si>
    <t>ELECT — Modulo completo ciego mignon, marca Cambre lí</t>
  </si>
  <si>
    <t>PTO-3002|MAT</t>
  </si>
  <si>
    <t>PTO-3002|MAT|1</t>
  </si>
  <si>
    <t>PTO-3003</t>
  </si>
  <si>
    <t>OTR-PTO9017</t>
  </si>
  <si>
    <t>ELECT — Módulo completo tomacorriente simple 10A marc</t>
  </si>
  <si>
    <t>PTO-3003|MAT</t>
  </si>
  <si>
    <t>PTO-3003|MAT|1</t>
  </si>
  <si>
    <t>PTO-3004</t>
  </si>
  <si>
    <t>OTR-PTO9018</t>
  </si>
  <si>
    <t>ELECT — Módulo completo tomacorriente doble 10A marca</t>
  </si>
  <si>
    <t>PTO-3004|MAT</t>
  </si>
  <si>
    <t>PTO-3004|MAT|1</t>
  </si>
  <si>
    <t>PTO-3005</t>
  </si>
  <si>
    <t>OTR-PTO9019</t>
  </si>
  <si>
    <t>ELECT — Módulo completo tomacorriente simple 20A marc</t>
  </si>
  <si>
    <t>PTO-3005|MAT</t>
  </si>
  <si>
    <t>PTO-3005|MAT|1</t>
  </si>
  <si>
    <t>PTO-3006</t>
  </si>
  <si>
    <t>OTR-PTO9020</t>
  </si>
  <si>
    <t>ELECT — Módulo completo tomacorriente doble 10A encap</t>
  </si>
  <si>
    <t>PTO-3006|MAT</t>
  </si>
  <si>
    <t>PTO-3006|MAT|1</t>
  </si>
  <si>
    <t>PTO-3007</t>
  </si>
  <si>
    <t>OTR-PTO159</t>
  </si>
  <si>
    <t>ELECT — Módulo completo TV/RED marca Cambre línea SXX</t>
  </si>
  <si>
    <t>PTO-3007|MAT</t>
  </si>
  <si>
    <t>PTO-3007|MAT|1</t>
  </si>
  <si>
    <t>OTR-048</t>
  </si>
  <si>
    <t>Recarga de garrafa</t>
  </si>
  <si>
    <t>IMP-070|MAT|8</t>
  </si>
  <si>
    <t>PTO-0501|MAT|6</t>
  </si>
  <si>
    <t>PTO-0501|MAT|7</t>
  </si>
  <si>
    <t>PTO-0501|MAT|8</t>
  </si>
  <si>
    <t>OTR-BAB0501</t>
  </si>
  <si>
    <t>Costo adicional babetas MAT — 35% sobre MT/COR (PTO-0501)</t>
  </si>
  <si>
    <t>PTO-0501|MAT|9</t>
  </si>
  <si>
    <t>PTO-0506|MAT|6</t>
  </si>
  <si>
    <t>PTO-0506|MAT|7</t>
  </si>
  <si>
    <t>PTO-0506|MAT|8</t>
  </si>
  <si>
    <t>OTR-BAB0506</t>
  </si>
  <si>
    <t>Costo adicional babetas MAT — 20% sobre MT/COR (PTO-0506)</t>
  </si>
  <si>
    <t>PTO-0506|MAT|9</t>
  </si>
  <si>
    <t>EQ-CORTA</t>
  </si>
  <si>
    <t>CORTADORA CERAMICA PROFESIONAL 1200MM (PORCELANATO HASTA 16MM)</t>
  </si>
  <si>
    <t>PTO-1101|EQ|2</t>
  </si>
  <si>
    <t>PTO-1102|EQ|2</t>
  </si>
  <si>
    <t>PTO-1103|EQ|2</t>
  </si>
  <si>
    <t>PTO-1104|EQ|2</t>
  </si>
  <si>
    <t>PTO-1107|EQ|2</t>
  </si>
  <si>
    <t>PTO-1202|EQ|2</t>
  </si>
  <si>
    <t>PTO-1203|EQ|2</t>
  </si>
  <si>
    <t>PTO-1204|EQ|2</t>
  </si>
  <si>
    <t>PTO-1301|EQ|2</t>
  </si>
  <si>
    <t>PTO-1302|EQ|2</t>
  </si>
  <si>
    <t>PTO-1303|EQ|2</t>
  </si>
  <si>
    <t>PTO-1501|EQ|2</t>
  </si>
  <si>
    <t>PTO-1502|EQ|2</t>
  </si>
  <si>
    <t>PTO-1503|EQ|3</t>
  </si>
  <si>
    <t>PTO-1504|EQ|3</t>
  </si>
  <si>
    <t>PTO-1505|EQ|2</t>
  </si>
  <si>
    <t>PTO-1506|EQ|2</t>
  </si>
  <si>
    <t>PIR-056|MAT|5</t>
  </si>
  <si>
    <t>PIR-057|MAT|5</t>
  </si>
  <si>
    <t>PTO-1101|MAT|5</t>
  </si>
  <si>
    <t>PTO-1102|MAT|5</t>
  </si>
  <si>
    <t>PTO-1103|MAT|5</t>
  </si>
  <si>
    <t>PTO-1104|MAT|5</t>
  </si>
  <si>
    <t>PTO-1107|MAT|5</t>
  </si>
  <si>
    <t>YES-118|MAT|6</t>
  </si>
  <si>
    <t>PIN-119|MAT|6</t>
  </si>
  <si>
    <t>REV-043|MAT|4</t>
  </si>
  <si>
    <t>PTO-0704|MAT|4</t>
  </si>
  <si>
    <t>CON-053|MAT|6</t>
  </si>
  <si>
    <t>CON-053|MAT|7</t>
  </si>
  <si>
    <t>CON-053|MAT|8</t>
  </si>
  <si>
    <t>PTO-0405|MO</t>
  </si>
  <si>
    <t>PTO-0405|MO|1</t>
  </si>
  <si>
    <t>PTO-0405|MO|2</t>
  </si>
  <si>
    <t>PTO-1401|MO</t>
  </si>
  <si>
    <t>PTO-1401|MO|1</t>
  </si>
  <si>
    <t>PTO-1401|MO|2</t>
  </si>
  <si>
    <t>PTO-1402|MO</t>
  </si>
  <si>
    <t>PTO-1402|MO|1</t>
  </si>
  <si>
    <t>PTO-1402|MO|2</t>
  </si>
  <si>
    <t>PTO-1403|MO</t>
  </si>
  <si>
    <t>PTO-1403|MO|1</t>
  </si>
  <si>
    <t>PTO-1403|MO|2</t>
  </si>
  <si>
    <t>PTO-1403|MO|3</t>
  </si>
  <si>
    <t>PTO-1404|MO</t>
  </si>
  <si>
    <t>PTO-1404|MO|1</t>
  </si>
  <si>
    <t>PTO-1501|MO</t>
  </si>
  <si>
    <t>PTO-1501|MO|1</t>
  </si>
  <si>
    <t>PTO-1502|MO</t>
  </si>
  <si>
    <t>PTO-1502|MO|1</t>
  </si>
  <si>
    <t>PTO-1503|MO</t>
  </si>
  <si>
    <t>PTO-1503|MO|1</t>
  </si>
  <si>
    <t>PTO-1503|MO|2</t>
  </si>
  <si>
    <t>PTO-1504|MO</t>
  </si>
  <si>
    <t>PTO-1504|MO|1</t>
  </si>
  <si>
    <t>PTO-1504|MO|2</t>
  </si>
  <si>
    <t>PTO-1505|MO</t>
  </si>
  <si>
    <t>PTO-1505|MO|1</t>
  </si>
  <si>
    <t>PTO-1506|MO</t>
  </si>
  <si>
    <t>PTO-1506|MO|1</t>
  </si>
  <si>
    <t>PTO-1507|MO</t>
  </si>
  <si>
    <t>PTO-1507|MO|1</t>
  </si>
  <si>
    <t>PTO-1507|MO|2</t>
  </si>
  <si>
    <t>PTO-1507|MO|3</t>
  </si>
  <si>
    <t>PTO-1508|MO</t>
  </si>
  <si>
    <t>PTO-1508|MO|1</t>
  </si>
  <si>
    <t>PTO-1508|MO|2</t>
  </si>
  <si>
    <t>PTO-1508|MO|3</t>
  </si>
  <si>
    <t>PTO-1801|MO</t>
  </si>
  <si>
    <t>PTO-1801|MO|1</t>
  </si>
  <si>
    <t>PTO-1801|MO|2</t>
  </si>
  <si>
    <t>PTO-1802|MO</t>
  </si>
  <si>
    <t>PTO-1802|MO|1</t>
  </si>
  <si>
    <t>PTO-1802|MO|2</t>
  </si>
  <si>
    <t>PTO-1803|MO</t>
  </si>
  <si>
    <t>PTO-1803|MO|1</t>
  </si>
  <si>
    <t>PTO-1803|MO|2</t>
  </si>
  <si>
    <t>PTO-1804|MO</t>
  </si>
  <si>
    <t>PTO-1804|MO|1</t>
  </si>
  <si>
    <t>PTO-1804|MO|2</t>
  </si>
  <si>
    <t>PTO-1805|MO</t>
  </si>
  <si>
    <t>PTO-1805|MO|1</t>
  </si>
  <si>
    <t>PTO-1805|MO|2</t>
  </si>
  <si>
    <t>PTO-1806|MO</t>
  </si>
  <si>
    <t>PTO-1806|MO|1</t>
  </si>
  <si>
    <t>PTO-1806|MO|2</t>
  </si>
  <si>
    <t>PTO-1807|MO</t>
  </si>
  <si>
    <t>PTO-1807|MO|1</t>
  </si>
  <si>
    <t>PTO-1807|MO|2</t>
  </si>
  <si>
    <t>PTO-1808|MO</t>
  </si>
  <si>
    <t>PTO-1808|MO|1</t>
  </si>
  <si>
    <t>PTO-1808|MO|2</t>
  </si>
  <si>
    <t>PTO-1809|MO</t>
  </si>
  <si>
    <t>PTO-1809|MO|1</t>
  </si>
  <si>
    <t>PTO-1809|MO|2</t>
  </si>
  <si>
    <t>PTO-0181|MO</t>
  </si>
  <si>
    <t>PTO-0181|MO|1</t>
  </si>
  <si>
    <t>PTO-0181|MO|2</t>
  </si>
  <si>
    <t>SUB-PTO075</t>
  </si>
  <si>
    <t>MO — Tendido cloacal PB</t>
  </si>
  <si>
    <t>PTO-1901|MO</t>
  </si>
  <si>
    <t>PTO-1901|MO|1</t>
  </si>
  <si>
    <t>SUB-PTO076</t>
  </si>
  <si>
    <t>MO — Cloacal armado CDV en UF</t>
  </si>
  <si>
    <t>PTO-1902|MO</t>
  </si>
  <si>
    <t>PTO-1902|MO|1</t>
  </si>
  <si>
    <t>SUB-PTO077</t>
  </si>
  <si>
    <t>MO — Cloacal montantes/ventilación</t>
  </si>
  <si>
    <t>PTO-1903|MO</t>
  </si>
  <si>
    <t>PTO-1903|MO|1</t>
  </si>
  <si>
    <t>SUB-PTO078</t>
  </si>
  <si>
    <t>MO — Tendido pluvial PB</t>
  </si>
  <si>
    <t>PTO-1904|MO</t>
  </si>
  <si>
    <t>PTO-1904|MO|1</t>
  </si>
  <si>
    <t>SUB-PTO079</t>
  </si>
  <si>
    <t>MO — Tendido pluvial balcones/azoteas</t>
  </si>
  <si>
    <t>PTO-1905|MO</t>
  </si>
  <si>
    <t>PTO-1905|MO|1</t>
  </si>
  <si>
    <t>SUB-PTO080</t>
  </si>
  <si>
    <t>MO — AF/AC tendido PB y armado bombas</t>
  </si>
  <si>
    <t>PTO-1906|MO</t>
  </si>
  <si>
    <t>PTO-1906|MO|1</t>
  </si>
  <si>
    <t>SUB-PTO081</t>
  </si>
  <si>
    <t>MO — AF/AC colector TR y montantes</t>
  </si>
  <si>
    <t>PTO-1907|MO</t>
  </si>
  <si>
    <t>PTO-1907|MO|1</t>
  </si>
  <si>
    <t>SUB-PTO082</t>
  </si>
  <si>
    <t>MO — AF/AC colector TAR y bajadas ACS</t>
  </si>
  <si>
    <t>PTO-1908|MO</t>
  </si>
  <si>
    <t>PTO-1908|MO|1</t>
  </si>
  <si>
    <t>SUB-PTO083</t>
  </si>
  <si>
    <t>MO — AF/AC bomba presurizadora</t>
  </si>
  <si>
    <t>PTO-1909|MO</t>
  </si>
  <si>
    <t>PTO-1909|MO|1</t>
  </si>
  <si>
    <t>SUB-PTO084</t>
  </si>
  <si>
    <t>MO — AF/AC distribución planta tipo</t>
  </si>
  <si>
    <t>PTO-1910|MO</t>
  </si>
  <si>
    <t>PTO-1910|MO|1</t>
  </si>
  <si>
    <t>SUB-PTO085</t>
  </si>
  <si>
    <t>MO — Artefactos y griferías</t>
  </si>
  <si>
    <t>PTO-1912|MO</t>
  </si>
  <si>
    <t>PTO-1912|MO|1</t>
  </si>
  <si>
    <t>SUB-PTO086</t>
  </si>
  <si>
    <t>MO — Desagües AA.CC</t>
  </si>
  <si>
    <t>PTO-1914|MO</t>
  </si>
  <si>
    <t>PTO-1914|MO|1</t>
  </si>
  <si>
    <t>SUB-PTO087</t>
  </si>
  <si>
    <t>MO — Tendido cañería incendio</t>
  </si>
  <si>
    <t>PTO-1915|MO</t>
  </si>
  <si>
    <t>PTO-1915|MO|1</t>
  </si>
  <si>
    <t>SUB-PTO088</t>
  </si>
  <si>
    <t>MO — Tendido cañerías de gas</t>
  </si>
  <si>
    <t>PTO-1916|MO</t>
  </si>
  <si>
    <t>PTO-1916|MO|1</t>
  </si>
  <si>
    <t>SUB-PTO089</t>
  </si>
  <si>
    <t>MO — Colocación artefactos gas</t>
  </si>
  <si>
    <t>PTO-1917|MO</t>
  </si>
  <si>
    <t>PTO-1917|MO|1</t>
  </si>
  <si>
    <t>EQ-PTO087</t>
  </si>
  <si>
    <t>Equipos viales — Pala/retro 310J + Camión volcador 170E22 + Compactador pata cabra 612H</t>
  </si>
  <si>
    <t>PRE-032|EQ</t>
  </si>
  <si>
    <t>PRE-032|EQ|1</t>
  </si>
  <si>
    <t>SUB-PTO090</t>
  </si>
  <si>
    <t>?</t>
  </si>
  <si>
    <t>PTO-2001|MAT</t>
  </si>
  <si>
    <t>PTO-2001|MAT|1</t>
  </si>
  <si>
    <t>MO-ALBVHV</t>
  </si>
  <si>
    <t>MO Albañilería complementaria — Viga H°V (25% MO H°A°)</t>
  </si>
  <si>
    <t>PTO-0312|MO|2</t>
  </si>
  <si>
    <t>PTO-0313|MO|2</t>
  </si>
  <si>
    <t>MO-ALBLHV</t>
  </si>
  <si>
    <t>MO Albañilería complementaria — Losa H°V (25% MO H°A°)</t>
  </si>
  <si>
    <t>PTO-0316|MO|2</t>
  </si>
  <si>
    <t>PTO-0318|MO|2</t>
  </si>
  <si>
    <t>YES-117|EQ</t>
  </si>
  <si>
    <t>YES-117|EQ|1</t>
  </si>
  <si>
    <t>CER-061|EQ|2</t>
  </si>
  <si>
    <t>CER-063|EQ|2</t>
  </si>
  <si>
    <t>PTO-1401|EQ|2</t>
  </si>
  <si>
    <t>PTO-1402|EQ|2</t>
  </si>
  <si>
    <t>YES-117|EQ|2</t>
  </si>
  <si>
    <t>PTO-1301|MAT|5</t>
  </si>
  <si>
    <t>OTR-NIVEL-PT</t>
  </si>
  <si>
    <t>Arco y cuña niveladores porcelanatos x100</t>
  </si>
  <si>
    <t>PTO-1301|MAT|6</t>
  </si>
  <si>
    <t>PTO-1302|MAT|5</t>
  </si>
  <si>
    <t>PTO-1302|MAT|6</t>
  </si>
  <si>
    <t>PIR-057|EQ|2</t>
  </si>
  <si>
    <t>SUB-PTO092</t>
  </si>
  <si>
    <t>Gestor Gas — Parcial</t>
  </si>
  <si>
    <t>PTO-1918|MO|2</t>
  </si>
  <si>
    <t>SUB-PTO093</t>
  </si>
  <si>
    <t>Gestor Gas — Final</t>
  </si>
  <si>
    <t>PTO-1918|MO|3</t>
  </si>
  <si>
    <t>CER-137|EQ|2</t>
  </si>
  <si>
    <t>PIN-146|EQ|2</t>
  </si>
  <si>
    <t>CON-052|EQ|3</t>
  </si>
  <si>
    <t>PIR-056|EQ|2</t>
  </si>
  <si>
    <t>CER-058|EQ|2</t>
  </si>
  <si>
    <t>CON-051|EQ|2</t>
  </si>
  <si>
    <t>CON-051|MAT|9</t>
  </si>
  <si>
    <t>CON-051|MAT|10</t>
  </si>
  <si>
    <t>CON-052|MAT|9</t>
  </si>
  <si>
    <t>CON-052|MAT|10</t>
  </si>
  <si>
    <t>CON-054|MAT|7</t>
  </si>
  <si>
    <t>CON-054|MAT|8</t>
  </si>
  <si>
    <t>SUB-PTO095</t>
  </si>
  <si>
    <t>MO — Revestimiento plástico a llana tipo Quimtex en altura - Aire luz y balcones</t>
  </si>
  <si>
    <t>PTO-1508|MO|4</t>
  </si>
  <si>
    <t>PTO-1811|MAT|2</t>
  </si>
  <si>
    <t>PTO-1811|MAT|3</t>
  </si>
  <si>
    <t>OTR-ELECT-003</t>
  </si>
  <si>
    <t>STECK DIFERENCIAL 4X63A 30MA</t>
  </si>
  <si>
    <t>PTO-1811|MAT|4</t>
  </si>
  <si>
    <t>PTO-1811|MAT|5</t>
  </si>
  <si>
    <t>PTO-1811|MAT|6</t>
  </si>
  <si>
    <t>PTO-1811|MAT|7</t>
  </si>
  <si>
    <t>PTO-1811|MAT|8</t>
  </si>
  <si>
    <t>PTO-1811|MAT|9</t>
  </si>
  <si>
    <t>PTO-1811|MAT|10</t>
  </si>
  <si>
    <t>PTO-1811|MAT|11</t>
  </si>
  <si>
    <t>PTO-1811|MAT|12</t>
  </si>
  <si>
    <t>PTO-1811|MAT|13</t>
  </si>
  <si>
    <t>OTR-ELECT-007</t>
  </si>
  <si>
    <t>STECK TM TETRAPOLAR 50A 6KA</t>
  </si>
  <si>
    <t>PTO-1811|MAT|14</t>
  </si>
  <si>
    <t>OTR-PTO154</t>
  </si>
  <si>
    <t>GAB. IP65 SERIE 9000 600X900X225</t>
  </si>
  <si>
    <t>PTO-1811|MAT|15</t>
  </si>
  <si>
    <t>OTR-PTO155</t>
  </si>
  <si>
    <t>CONTRAF ABISAG CALADO 60BIP S9000 600X900</t>
  </si>
  <si>
    <t>PTO-1811|MAT|16</t>
  </si>
  <si>
    <t>OTR-PTO170</t>
  </si>
  <si>
    <t>RIEL DIN 35MM 1 METRO PERFOR.</t>
  </si>
  <si>
    <t>PTO-1811|MAT|17</t>
  </si>
  <si>
    <t>OTR-PTO157</t>
  </si>
  <si>
    <t>RIEL PORTA ELEMENTOS X 1 METRO</t>
  </si>
  <si>
    <t>PTO-1811|MAT|18</t>
  </si>
  <si>
    <t>OTR-PTO156</t>
  </si>
  <si>
    <t>SOP REG P/CONTRAFRENTE PROF 225 X1</t>
  </si>
  <si>
    <t>PTO-1811|MAT|19</t>
  </si>
  <si>
    <t>OTR-ELECT-013</t>
  </si>
  <si>
    <t>INTERRUPTOR COMPACTO 4X125A S250</t>
  </si>
  <si>
    <t>PTO-1811|MAT|20</t>
  </si>
  <si>
    <t>OTR-PTO158</t>
  </si>
  <si>
    <t>DISTRIBUIDOR TETRAP.160A 15 STD</t>
  </si>
  <si>
    <t>PTO-1811|MAT|21</t>
  </si>
  <si>
    <t>OTR-ELECT-015</t>
  </si>
  <si>
    <t>TERMINAL COBRE SCC 120-2 (5/8)</t>
  </si>
  <si>
    <t>PTO-1811|MAT|22</t>
  </si>
  <si>
    <t>OTR-ELECT-016</t>
  </si>
  <si>
    <t>VOLTIMETRO DISPLAY OJO DE BUEY 22MM</t>
  </si>
  <si>
    <t>PTO-1811|MAT|23</t>
  </si>
  <si>
    <t>OTR-ELECT-017</t>
  </si>
  <si>
    <t>RLLOX100M 1X 6,0MM NEGRO N.IRAM</t>
  </si>
  <si>
    <t>PTO-1811|MAT|24</t>
  </si>
  <si>
    <t>PTO-1811|MAT|25</t>
  </si>
  <si>
    <t>PTO-1812|MAT|2</t>
  </si>
  <si>
    <t>PTO-1812|MAT|3</t>
  </si>
  <si>
    <t>OTR-PTO164</t>
  </si>
  <si>
    <t>LC1D18M7 18A 7,5KW 1+1 220V</t>
  </si>
  <si>
    <t>PTO-1812|MAT|4</t>
  </si>
  <si>
    <t>OTR-ELECT-019</t>
  </si>
  <si>
    <t>ALTERNADOR 2 BOMBA DIGITAL 24/110/220VCA</t>
  </si>
  <si>
    <t>PTO-1812|MAT|5</t>
  </si>
  <si>
    <t>PTO-1812|MAT|6</t>
  </si>
  <si>
    <t>OTR-ELECT-020</t>
  </si>
  <si>
    <t>GAB. IP65 SERIE 9000 450X450X225</t>
  </si>
  <si>
    <t>PTO-1812|MAT|7</t>
  </si>
  <si>
    <t>OTR-ELECT-021</t>
  </si>
  <si>
    <t>CONTRAF ABISAG.CALADO 18BIP S9000 450X450</t>
  </si>
  <si>
    <t>PTO-1812|MAT|8</t>
  </si>
  <si>
    <t>PTO-1812|MAT|9</t>
  </si>
  <si>
    <t>PTO-1813|MAT|2</t>
  </si>
  <si>
    <t>PTO-1813|MAT|3</t>
  </si>
  <si>
    <t>PTO-1813|MAT|4</t>
  </si>
  <si>
    <t>PTO-1813|MAT|5</t>
  </si>
  <si>
    <t>PTO-1813|MAT|6</t>
  </si>
  <si>
    <t>PTO-1814|MAT|2</t>
  </si>
  <si>
    <t>PTO-1814|MAT|3</t>
  </si>
  <si>
    <t>PTO-1814|MAT|4</t>
  </si>
  <si>
    <t>PTO-1814|MAT|5</t>
  </si>
  <si>
    <t>PTO-1814|MAT|6</t>
  </si>
  <si>
    <t>OTR-ELECT-022</t>
  </si>
  <si>
    <t>GAB. IP65 SERIE 9000 300X300X150</t>
  </si>
  <si>
    <t>PTO-1814|MAT|7</t>
  </si>
  <si>
    <t>OTR-PTO161</t>
  </si>
  <si>
    <t>CONTRAF ABISAG.CALADO 10BIP S9000 300X300</t>
  </si>
  <si>
    <t>PTO-1814|MAT|8</t>
  </si>
  <si>
    <t>PTO-1814|MAT|9</t>
  </si>
  <si>
    <t>PTO-1815|MAT|2</t>
  </si>
  <si>
    <t>PTO-1815|MAT|3</t>
  </si>
  <si>
    <t>PTO-1815|MAT|4</t>
  </si>
  <si>
    <t>PTO-1815|MAT|5</t>
  </si>
  <si>
    <t>OTR-PTO169</t>
  </si>
  <si>
    <t>CAJA EMB P/ TM 36 POLOS BC T/FUME</t>
  </si>
  <si>
    <t>PTO-1815|MAT|6</t>
  </si>
  <si>
    <t>PTO-1815|MAT|7</t>
  </si>
  <si>
    <t>PTO-1816|MAT|2</t>
  </si>
  <si>
    <t>OTR-ELECT-025</t>
  </si>
  <si>
    <t>STECK TM TETRAPOLAR 16A 6KA</t>
  </si>
  <si>
    <t>PTO-1816|MAT|3</t>
  </si>
  <si>
    <t>PTO-1816|MAT|4</t>
  </si>
  <si>
    <t>PTO-1816|MAT|5</t>
  </si>
  <si>
    <t>PTO-1816|MAT|6</t>
  </si>
  <si>
    <t>PTO-1816|MAT|7</t>
  </si>
  <si>
    <t>PTO-1816|MAT|8</t>
  </si>
  <si>
    <t>OTR-AWA-002</t>
  </si>
  <si>
    <t>AWA CODO MH 90*PPN.CLOACAL ø110 12/2008</t>
  </si>
  <si>
    <t>PTO-1901|MAT|2</t>
  </si>
  <si>
    <t>OTR-AWA-003</t>
  </si>
  <si>
    <t>AWA CODO MH 45*PPN CLOACAL.ø110 6/2004</t>
  </si>
  <si>
    <t>PTO-1901|MAT|3</t>
  </si>
  <si>
    <t>OTR-AWA-004</t>
  </si>
  <si>
    <t>AWA RAMAL 45*PPN CLOAC.ø110X110 5/2023</t>
  </si>
  <si>
    <t>PTO-1901|MAT|4</t>
  </si>
  <si>
    <t>OTR-AWA-005</t>
  </si>
  <si>
    <t>AWA GRAMPA RAPICLACK ø110 10/4170</t>
  </si>
  <si>
    <t>PTO-1901|MAT|5</t>
  </si>
  <si>
    <t>OTR-AWA-006</t>
  </si>
  <si>
    <t>AWA CAÑO CAMARA PPN CLOACAL ø110 5/2065</t>
  </si>
  <si>
    <t>PTO-1901|MAT|6</t>
  </si>
  <si>
    <t>OTR-AWA-007</t>
  </si>
  <si>
    <t>AWA MANG/CUPLA PPN CLOAC.ø110 10/2016</t>
  </si>
  <si>
    <t>PTO-1901|MAT|7</t>
  </si>
  <si>
    <t>OTR-AWA-008</t>
  </si>
  <si>
    <t>AWA BOCA ACCES.HOR.3 ACOM.ø110X63 4/2460</t>
  </si>
  <si>
    <t>PTO-1901|MAT|8</t>
  </si>
  <si>
    <t>OTR-AWA-009</t>
  </si>
  <si>
    <t>AWADUCT PILETA PATIO 7 ENT. C/SIFON 40X63 2031</t>
  </si>
  <si>
    <t>PTO-1901|MAT|9</t>
  </si>
  <si>
    <t>OTR-AWA-010</t>
  </si>
  <si>
    <t>AWA COJINETE PARA CAMARA INSPECCION 200 3 ENTRADAS</t>
  </si>
  <si>
    <t>PTO-1901|MAT|10</t>
  </si>
  <si>
    <t>OTR-AWA-011</t>
  </si>
  <si>
    <t>AWA TAPA PPN CLOACAL ø.110 10/2036</t>
  </si>
  <si>
    <t>PTO-1901|MAT|11</t>
  </si>
  <si>
    <t>PTO-1901|MAT|12</t>
  </si>
  <si>
    <t>PTO-1902|MAT|2</t>
  </si>
  <si>
    <t>PTO-1902|MAT|3</t>
  </si>
  <si>
    <t>PTO-1902|MAT|4</t>
  </si>
  <si>
    <t>OTR-AWA-012</t>
  </si>
  <si>
    <t>AWA TUBO PPN CLOACAL ø 63X4.00 10/1026</t>
  </si>
  <si>
    <t>PTO-1902|MAT|5</t>
  </si>
  <si>
    <t>OTR-AWA-013</t>
  </si>
  <si>
    <t>AWA CODO MH 45*PPN CLOACAL ø63 20/2003</t>
  </si>
  <si>
    <t>PTO-1902|MAT|6</t>
  </si>
  <si>
    <t>OTR-AWA-014</t>
  </si>
  <si>
    <t>AWA MANG/CUPLA PPN CLOAC.ø 63 20/2015</t>
  </si>
  <si>
    <t>PTO-1902|MAT|7</t>
  </si>
  <si>
    <t>OTR-AWA-015</t>
  </si>
  <si>
    <t>AWA TUBO PPN CLOACAL ø 50X4.00 10/1017</t>
  </si>
  <si>
    <t>PTO-1902|MAT|8</t>
  </si>
  <si>
    <t>OTR-AWA-016</t>
  </si>
  <si>
    <t>AWA CODO MH 90*PPN CLOACAL ø50 20/2006</t>
  </si>
  <si>
    <t>PTO-1902|MAT|9</t>
  </si>
  <si>
    <t>OTR-AWA-017</t>
  </si>
  <si>
    <t>AWA MANG/CUPLA PPN CLOAC.ø 50 20/2014</t>
  </si>
  <si>
    <t>PTO-1902|MAT|10</t>
  </si>
  <si>
    <t>OTR-AWA-018</t>
  </si>
  <si>
    <t>AWA TAPA PPN CLOACAL ø 50 20/2037</t>
  </si>
  <si>
    <t>PTO-1902|MAT|11</t>
  </si>
  <si>
    <t>OTR-AWA-019</t>
  </si>
  <si>
    <t>AWA TUBO PPN CLOACAL ø 40X4.00 10/1008</t>
  </si>
  <si>
    <t>PTO-1902|MAT|12</t>
  </si>
  <si>
    <t>OTR-AWA-020</t>
  </si>
  <si>
    <t>AWA CODO MH 90*PPN CLOACAL ø40 20/2005</t>
  </si>
  <si>
    <t>PTO-1902|MAT|13</t>
  </si>
  <si>
    <t>OTR-AWA-021</t>
  </si>
  <si>
    <t>AWA CODO MH 45*PPN CLOACAL ø40 20/2001</t>
  </si>
  <si>
    <t>PTO-1902|MAT|14</t>
  </si>
  <si>
    <t>OTR-AWA-022</t>
  </si>
  <si>
    <t>AWA MANG/CUPLA PPN CLOAC.ø 40 20/2013</t>
  </si>
  <si>
    <t>PTO-1902|MAT|15</t>
  </si>
  <si>
    <t>OTR-AWA-023</t>
  </si>
  <si>
    <t>AWA TAPA PPN CLOACAL ø 40 20/2034</t>
  </si>
  <si>
    <t>PTO-1902|MAT|16</t>
  </si>
  <si>
    <t>PTO-1902|MAT|17</t>
  </si>
  <si>
    <t>OTR-AWA-024</t>
  </si>
  <si>
    <t>AWA GRAMPA RAPICLACK ø 40-50-63 20/4167</t>
  </si>
  <si>
    <t>PTO-1902|MAT|18</t>
  </si>
  <si>
    <t>OTR-AWA-025</t>
  </si>
  <si>
    <t>AWA BUJE RED.MH ø 63X50 20/2081</t>
  </si>
  <si>
    <t>PTO-1902|MAT|19</t>
  </si>
  <si>
    <t>PTO-1902|MAT|20</t>
  </si>
  <si>
    <t>OTR-AWA-026</t>
  </si>
  <si>
    <t>AWA RAMAL 45*PPN CLOAC.ø110X63 5/2024</t>
  </si>
  <si>
    <t>PTO-1902|MAT|21</t>
  </si>
  <si>
    <t>PTO-1902|MAT|22</t>
  </si>
  <si>
    <t>OTR-AWA-027</t>
  </si>
  <si>
    <t>AWA DISCO ANTIFILTRACION P/REJA 4/2077</t>
  </si>
  <si>
    <t>PTO-1902|MAT|23</t>
  </si>
  <si>
    <t>OTR-AWA-028</t>
  </si>
  <si>
    <t>AWA ADAPT.SUPEREXCENT.INO.ø105 4/2271</t>
  </si>
  <si>
    <t>PTO-1902|MAT|24</t>
  </si>
  <si>
    <t>OTR-AWA-029</t>
  </si>
  <si>
    <t>AWA SIFON ROMPE ESPUMA PPN 1/7120</t>
  </si>
  <si>
    <t>PTO-1902|MAT|25</t>
  </si>
  <si>
    <t>OTR-AWA-030</t>
  </si>
  <si>
    <t>AWA SOLUC.DESLIZ.AEROSOL 255 CM3 12/4023</t>
  </si>
  <si>
    <t>PTO-1902|MAT|26</t>
  </si>
  <si>
    <t>PTO-1902|MAT|27</t>
  </si>
  <si>
    <t>OTR-AWA-031</t>
  </si>
  <si>
    <t>AWA PILETA BALCON ø 63(M) 4/2062</t>
  </si>
  <si>
    <t>PTO-1902|MAT|28</t>
  </si>
  <si>
    <t>PTO-1902|MAT|29</t>
  </si>
  <si>
    <t>PTO-1904|MAT|2</t>
  </si>
  <si>
    <t>PTO-1904|MAT|3</t>
  </si>
  <si>
    <t>PTO-1904|MAT|4</t>
  </si>
  <si>
    <t>PTO-1904|MAT|5</t>
  </si>
  <si>
    <t>OTR-PTO173</t>
  </si>
  <si>
    <t>BROCA METALICA 1/4 CJA X 100</t>
  </si>
  <si>
    <t>PTO-1904|MAT|6</t>
  </si>
  <si>
    <t>PTO-1904|MAT|7</t>
  </si>
  <si>
    <t>PTO-1904|MAT|8</t>
  </si>
  <si>
    <t>PTO-1904|MAT|9</t>
  </si>
  <si>
    <t>OTR-AWA-034</t>
  </si>
  <si>
    <t>AWA A.A.TUBO PPN CLOACAL ø32X3 10/1060</t>
  </si>
  <si>
    <t>PTO-1914|MAT|2</t>
  </si>
  <si>
    <t>OTR-AWA-035</t>
  </si>
  <si>
    <t>AWA A.A.CODO HH 90*PPN CLOAC.ø32 10/2265</t>
  </si>
  <si>
    <t>PTO-1914|MAT|3</t>
  </si>
  <si>
    <t>OTR-AWA-036</t>
  </si>
  <si>
    <t>AWA A.A.CODO HH 45*PPN CLOAC.ø32 10/2252</t>
  </si>
  <si>
    <t>PTO-1914|MAT|4</t>
  </si>
  <si>
    <t>PTO-1914|MAT|5</t>
  </si>
  <si>
    <t>OTR-AWA-037</t>
  </si>
  <si>
    <t>AWA RAMAL 45*PPN CLOAC.ø 63X 63 20/2026</t>
  </si>
  <si>
    <t>PTO-1914|MAT|6</t>
  </si>
  <si>
    <t>PTO-1914|MAT|7</t>
  </si>
  <si>
    <t>PTO-1914|MAT|8</t>
  </si>
  <si>
    <t>OTR-GAS-002</t>
  </si>
  <si>
    <t>DEMA EPOXI TEE 11/4</t>
  </si>
  <si>
    <t>PTO-1916|MAT|2</t>
  </si>
  <si>
    <t>OTR-GAS-003</t>
  </si>
  <si>
    <t>DEMA EPOXI CODO 90 HH 11/4</t>
  </si>
  <si>
    <t>PTO-1916|MAT|3</t>
  </si>
  <si>
    <t>OTR-GAS-004</t>
  </si>
  <si>
    <t>CB BRONCE BUJE RED 11/4X1</t>
  </si>
  <si>
    <t>PTO-1916|MAT|4</t>
  </si>
  <si>
    <t>OTR-GAS-005</t>
  </si>
  <si>
    <t>SUYAI ESFERICA P/GAS FORJADA 11/4 PASO TOTAL</t>
  </si>
  <si>
    <t>PTO-1916|MAT|5</t>
  </si>
  <si>
    <t>OTR-GAS-006</t>
  </si>
  <si>
    <t>FUSIOGAS TRANSICION HEMBRA 32 X 1 203232</t>
  </si>
  <si>
    <t>PTO-1916|MAT|6</t>
  </si>
  <si>
    <t>OTR-GAS-007</t>
  </si>
  <si>
    <t>SALUSTRI REGULADOR GAS GS-25 25 NM3/H APROBADO</t>
  </si>
  <si>
    <t>PTO-1916|MAT|7</t>
  </si>
  <si>
    <t>OTR-GAS-008</t>
  </si>
  <si>
    <t>FUSIOGAS TUBO 32 MM X 4.00 MTS 200032</t>
  </si>
  <si>
    <t>PTO-1916|MAT|8</t>
  </si>
  <si>
    <t>OTR-GAS-009</t>
  </si>
  <si>
    <t>FUSIOGAS TUBO 50 MM X 4.00 MTS 200050</t>
  </si>
  <si>
    <t>PTO-1916|MAT|9</t>
  </si>
  <si>
    <t>OTR-GAS-010</t>
  </si>
  <si>
    <t>FUSIOGAS CUPLA FUSION 32 MM 203032</t>
  </si>
  <si>
    <t>PTO-1916|MAT|10</t>
  </si>
  <si>
    <t>OTR-GAS-011</t>
  </si>
  <si>
    <t>FUSIOGAS CUPLA FUSION 50 MM 203050</t>
  </si>
  <si>
    <t>PTO-1916|MAT|11</t>
  </si>
  <si>
    <t>OTR-GAS-012</t>
  </si>
  <si>
    <t>FUSIOGAS TEE FUSION 50 MM 202050</t>
  </si>
  <si>
    <t>PTO-1916|MAT|12</t>
  </si>
  <si>
    <t>OTR-GAS-013</t>
  </si>
  <si>
    <t>FUSIOGAS CODO A 90 FUSION 32 MM 201032</t>
  </si>
  <si>
    <t>PTO-1916|MAT|13</t>
  </si>
  <si>
    <t>OTR-GAS-014</t>
  </si>
  <si>
    <t>FUSIOGAS CODO A 90 FUSION 50 MM 201050</t>
  </si>
  <si>
    <t>PTO-1916|MAT|14</t>
  </si>
  <si>
    <t>OTR-GAS-015</t>
  </si>
  <si>
    <t>FUSIOGAS CUPLA RED. FUSION 25 X 20 MM 203126</t>
  </si>
  <si>
    <t>PTO-1916|MAT|15</t>
  </si>
  <si>
    <t>OTR-GAS-016</t>
  </si>
  <si>
    <t>FUSIOGAS CUPLA RED. FUSION 32 X 25 MM 203133</t>
  </si>
  <si>
    <t>PTO-1916|MAT|16</t>
  </si>
  <si>
    <t>OTR-GAS-017</t>
  </si>
  <si>
    <t>FUSIOGAS CUPLA RED. FUSION 50 X 32 MM 203152</t>
  </si>
  <si>
    <t>PTO-1916|MAT|17</t>
  </si>
  <si>
    <t>OTR-GAS-018</t>
  </si>
  <si>
    <t>FUSIOGAS CODO A 90 ROSCA HEMBRA 20 X 1/2 201220</t>
  </si>
  <si>
    <t>PTO-1916|MAT|18</t>
  </si>
  <si>
    <t>OTR-GAS-019</t>
  </si>
  <si>
    <t>FUSIOGAS LLAVE PASO C/MANIVELA Y ROSETA 32 MM 207</t>
  </si>
  <si>
    <t>PTO-1916|MAT|19</t>
  </si>
  <si>
    <t>OTR-GAS-020</t>
  </si>
  <si>
    <t>GABINETE PARA GAS</t>
  </si>
  <si>
    <t>PTO-1916|MAT|20</t>
  </si>
  <si>
    <t>PTO-1916|MAT|21</t>
  </si>
  <si>
    <t>HAO-HORM</t>
  </si>
  <si>
    <t>HORMIGON H30 (bombeado con superfluidos)</t>
  </si>
  <si>
    <t>PTO-0303|MAT|2</t>
  </si>
  <si>
    <t>HAO-ENC-PLATEA</t>
  </si>
  <si>
    <t>ENCOFRADO — Platea</t>
  </si>
  <si>
    <t>PTO-0303|MAT|3</t>
  </si>
  <si>
    <t>PTO-0304|MAT|2</t>
  </si>
  <si>
    <t>HAO-ENC-VIGAFUND</t>
  </si>
  <si>
    <t>ENCOFRADO — Viga fundacion</t>
  </si>
  <si>
    <t>PTO-0304|MAT|3</t>
  </si>
  <si>
    <t>PTO-0306|MAT|2</t>
  </si>
  <si>
    <t>PTO-0306|MAT|3</t>
  </si>
  <si>
    <t>PTO-0307|MAT|2</t>
  </si>
  <si>
    <t>PTO-0307|MAT|3</t>
  </si>
  <si>
    <t>PTO-0308|MAT|2</t>
  </si>
  <si>
    <t>HAO-ENC-TABIQUE</t>
  </si>
  <si>
    <t>ENCOFRADO — Tabique</t>
  </si>
  <si>
    <t>PTO-0308|MAT|3</t>
  </si>
  <si>
    <t>PTO-0031|MAT|2</t>
  </si>
  <si>
    <t>HAO-ENC-COLUMNA</t>
  </si>
  <si>
    <t>ENCOFRADO — Columna</t>
  </si>
  <si>
    <t>PTO-0031|MAT|3</t>
  </si>
  <si>
    <t>PTO-0311|MAT|2</t>
  </si>
  <si>
    <t>PTO-0311|MAT|3</t>
  </si>
  <si>
    <t>PTO-0312|MAT|2</t>
  </si>
  <si>
    <t>HAO-ENC-VIGAVIST</t>
  </si>
  <si>
    <t>ENCOFRADO — Viga vista</t>
  </si>
  <si>
    <t>PTO-0312|MAT|3</t>
  </si>
  <si>
    <t>PTO-0313|MAT|2</t>
  </si>
  <si>
    <t>HAO-ENC-VIGA</t>
  </si>
  <si>
    <t>ENCOFRADO — Viga</t>
  </si>
  <si>
    <t>PTO-0313|MAT|3</t>
  </si>
  <si>
    <t>PTO-0314|MAT|2</t>
  </si>
  <si>
    <t>PTO-0314|MAT|3</t>
  </si>
  <si>
    <t>PTO-0315|MAT|2</t>
  </si>
  <si>
    <t>HAO-ENC-LOSA</t>
  </si>
  <si>
    <t>ENCOFRADO — Losa</t>
  </si>
  <si>
    <t>PTO-0315|MAT|3</t>
  </si>
  <si>
    <t>PTO-0316|MAT|2</t>
  </si>
  <si>
    <t>HAO-ENC-LOSAVIST</t>
  </si>
  <si>
    <t>ENCOFRADO — Losa vista</t>
  </si>
  <si>
    <t>PTO-0316|MAT|3</t>
  </si>
  <si>
    <t>PTO-0317|MAT|2</t>
  </si>
  <si>
    <t>HAO-ENC-ESCAL</t>
  </si>
  <si>
    <t>ENCOFRADO — Escalera</t>
  </si>
  <si>
    <t>PTO-0317|MAT|3</t>
  </si>
  <si>
    <t>PTO-0318|MAT|2</t>
  </si>
  <si>
    <t>PTO-0318|MAT|3</t>
  </si>
  <si>
    <t>PTO-0808|MAT|3</t>
  </si>
  <si>
    <t>PTO-0808|MAT|4</t>
  </si>
  <si>
    <t>AIS-114|MAT|3</t>
  </si>
  <si>
    <t>AIS-114|MAT|4</t>
  </si>
  <si>
    <t>AIS-114|MAT|5</t>
  </si>
  <si>
    <t>AIS-114|MAT|6</t>
  </si>
  <si>
    <t>AIS-114|MAT|7</t>
  </si>
  <si>
    <t>AIS-114|MAT|8</t>
  </si>
  <si>
    <t>CUB-071|MAT|4</t>
  </si>
  <si>
    <t>CUB-071|MAT|5</t>
  </si>
  <si>
    <t>CUB-071|MAT|6</t>
  </si>
  <si>
    <t>MESES</t>
  </si>
  <si>
    <t>DÓLAR BNA</t>
  </si>
  <si>
    <t>DÓLAR MEP</t>
  </si>
  <si>
    <t>Descrip</t>
  </si>
  <si>
    <t>Total Dias</t>
  </si>
  <si>
    <t>GASTOS GENERALES y BENEFICIO</t>
  </si>
  <si>
    <t>Prelim</t>
  </si>
  <si>
    <t>Syh permanente</t>
  </si>
  <si>
    <t>Micropilotes</t>
  </si>
  <si>
    <t>Gastos Grales de obra en items</t>
  </si>
  <si>
    <t>Un</t>
  </si>
  <si>
    <t>Meses</t>
  </si>
  <si>
    <t>Precio Unit</t>
  </si>
  <si>
    <t>Subtotal</t>
  </si>
  <si>
    <t>Subsuelo y VF</t>
  </si>
  <si>
    <t>Oficina en obra (6x3 c/AA)</t>
  </si>
  <si>
    <t>Losa sobre PB</t>
  </si>
  <si>
    <t>Obrador 6x3 s/AA</t>
  </si>
  <si>
    <t>Losa sobre 1</t>
  </si>
  <si>
    <t>Pañol (6x3)</t>
  </si>
  <si>
    <t>Losa sobre 2</t>
  </si>
  <si>
    <t>Baños</t>
  </si>
  <si>
    <t>Losa sobre 3</t>
  </si>
  <si>
    <t>Losa sobre 4</t>
  </si>
  <si>
    <t>Inicio mamposteria</t>
  </si>
  <si>
    <t xml:space="preserve">Meses H° </t>
  </si>
  <si>
    <t>Estacionamiento en contramano</t>
  </si>
  <si>
    <t>HyS permanente</t>
  </si>
  <si>
    <t>Losa sobre 5</t>
  </si>
  <si>
    <t>HyS</t>
  </si>
  <si>
    <t>Losa sobre 6</t>
  </si>
  <si>
    <t>Energía de obra</t>
  </si>
  <si>
    <t>Losa sobre 7</t>
  </si>
  <si>
    <t>Agua de obra</t>
  </si>
  <si>
    <t>Losa Techos</t>
  </si>
  <si>
    <t>Internet</t>
  </si>
  <si>
    <t>Alquiler cerco de obra chapa</t>
  </si>
  <si>
    <t>Revoques, contrap y carp</t>
  </si>
  <si>
    <t>Proyecto Ejecutivo</t>
  </si>
  <si>
    <t>Colocación</t>
  </si>
  <si>
    <t>Proyecto (50%)</t>
  </si>
  <si>
    <t>Gastos Directos</t>
  </si>
  <si>
    <t>Terminaciones</t>
  </si>
  <si>
    <t>Coordinacion de obra</t>
  </si>
  <si>
    <t>Jefe de obra</t>
  </si>
  <si>
    <t>Sobrestante</t>
  </si>
  <si>
    <t>Administrativo en obra</t>
  </si>
  <si>
    <t>Capataz</t>
  </si>
  <si>
    <t>Logistica</t>
  </si>
  <si>
    <t>Vehiculo obra</t>
  </si>
  <si>
    <t>Mov y viaticos</t>
  </si>
  <si>
    <t>UOCRA</t>
  </si>
  <si>
    <t>Pañolero/Sereno</t>
  </si>
  <si>
    <t>Equipos</t>
  </si>
  <si>
    <t>Bobcat</t>
  </si>
  <si>
    <t>Camion limpieza</t>
  </si>
  <si>
    <t>Tijera electrica 12</t>
  </si>
  <si>
    <t>JLG</t>
  </si>
  <si>
    <t>Grua 20ton</t>
  </si>
  <si>
    <t>Gastos Indirectos</t>
  </si>
  <si>
    <t>Admin (50%Compras - 50%RRHH)</t>
  </si>
  <si>
    <t>Seguros</t>
  </si>
  <si>
    <t>IIBB (monto venta obra gris)</t>
  </si>
  <si>
    <t>Imp cheque</t>
  </si>
  <si>
    <t>Contrato</t>
  </si>
  <si>
    <t>Monto puesto en Ayuda de gremio que no se eroga</t>
  </si>
  <si>
    <t>Imputados en pres</t>
  </si>
  <si>
    <t>Total GGBB</t>
  </si>
  <si>
    <t>Total de Gastos Generales</t>
  </si>
  <si>
    <t>Otro</t>
  </si>
  <si>
    <t>Corralon</t>
  </si>
  <si>
    <t>Subcontratos</t>
  </si>
  <si>
    <t>Mano de obra</t>
  </si>
  <si>
    <t>A</t>
  </si>
  <si>
    <t>GG</t>
  </si>
  <si>
    <t>Imprevistos + Negociación</t>
  </si>
  <si>
    <t>Beneficio</t>
  </si>
  <si>
    <t>B</t>
  </si>
  <si>
    <t>K</t>
  </si>
  <si>
    <t>A+B</t>
  </si>
  <si>
    <t>Resumen Consolidado por Obra (Horas)</t>
  </si>
  <si>
    <t>Cargar horas por quincena: G=normales, H=extra 50%, I=extra 100%. F y costos K-O se calculan solos.</t>
  </si>
  <si>
    <t>Período</t>
  </si>
  <si>
    <t>Obra</t>
  </si>
  <si>
    <t>Categoría</t>
  </si>
  <si>
    <t>Horas totales</t>
  </si>
  <si>
    <t>Horas normales</t>
  </si>
  <si>
    <t>Horas extra 50%</t>
  </si>
  <si>
    <t>Horas extra 100%</t>
  </si>
  <si>
    <t>Costo Hs. Normales</t>
  </si>
  <si>
    <t>Costo Hs. Extra 50%</t>
  </si>
  <si>
    <t>Costo Hs. Extra 100%</t>
  </si>
  <si>
    <t>Total</t>
  </si>
  <si>
    <t>Total Descontado</t>
  </si>
  <si>
    <t>2Q</t>
  </si>
  <si>
    <t>CHIVILCOY</t>
  </si>
  <si>
    <t>1Q</t>
  </si>
  <si>
    <t>Fecha</t>
  </si>
  <si>
    <t>Concepto</t>
  </si>
  <si>
    <t>Monto</t>
  </si>
  <si>
    <t>Directo</t>
  </si>
  <si>
    <t>Indirecto</t>
  </si>
  <si>
    <t>Payroll - Administración</t>
  </si>
  <si>
    <t>Payroll - Socios</t>
  </si>
  <si>
    <t>SUBCONTRATOS — MAESTRO DE CONTRATOS</t>
  </si>
  <si>
    <t>Contrato#</t>
  </si>
  <si>
    <t>Proveedor</t>
  </si>
  <si>
    <t>Monto Presup.</t>
  </si>
  <si>
    <t>Ajusta CAC</t>
  </si>
  <si>
    <t>% Anticipo</t>
  </si>
  <si>
    <t>Pagado BASE+ANT</t>
  </si>
  <si>
    <t>CAC pagado</t>
  </si>
  <si>
    <t>CS pagado</t>
  </si>
  <si>
    <t>Total pagado</t>
  </si>
  <si>
    <t>Saldo disponible</t>
  </si>
  <si>
    <t>% consumido</t>
  </si>
  <si>
    <t>CH-SC-001</t>
  </si>
  <si>
    <t>CLAUDIO BALACLAV</t>
  </si>
  <si>
    <t>Electricidad</t>
  </si>
  <si>
    <t>GESTOR ELECTRICO</t>
  </si>
  <si>
    <t>NO</t>
  </si>
  <si>
    <t>CH-SC-002</t>
  </si>
  <si>
    <t>ALEJANDRO ARDILES</t>
  </si>
  <si>
    <t>Agrimensura</t>
  </si>
  <si>
    <t>AGRIMENSOR</t>
  </si>
  <si>
    <t>CH-SC-003</t>
  </si>
  <si>
    <t>MICROPILOTES</t>
  </si>
  <si>
    <t>Hormigón</t>
  </si>
  <si>
    <t>SI</t>
  </si>
  <si>
    <t>CH-SC-004</t>
  </si>
  <si>
    <t>CELSI VIAL</t>
  </si>
  <si>
    <t>Excavación y Mov. de Suelos</t>
  </si>
  <si>
    <t>EXCAVACIÓN / VIAL</t>
  </si>
  <si>
    <t>RUBROS CANÓNICOS (Plan de Cuentas Tezamat — rama 53 OBRA + especiales)</t>
  </si>
  <si>
    <t>Código</t>
  </si>
  <si>
    <t>TIPOS</t>
  </si>
  <si>
    <t>VALIDACIÓN — rubros de tarea ∈ plan de cuentas</t>
  </si>
  <si>
    <t>CONCEPTOS GASTOS DIR/IND</t>
  </si>
  <si>
    <t>53001</t>
  </si>
  <si>
    <t>Rubros fuera de plan — 1_Presupuesto (A/B/C/D)</t>
  </si>
  <si>
    <t>Demolición</t>
  </si>
  <si>
    <t>53002</t>
  </si>
  <si>
    <t>Rubros fuera de plan — 2_Quincenas (E)</t>
  </si>
  <si>
    <t>53003</t>
  </si>
  <si>
    <t>53004</t>
  </si>
  <si>
    <t>53005</t>
  </si>
  <si>
    <t>Metálica MT</t>
  </si>
  <si>
    <t>53006</t>
  </si>
  <si>
    <t>Metálica MO</t>
  </si>
  <si>
    <t>53007</t>
  </si>
  <si>
    <t>53008</t>
  </si>
  <si>
    <t>53009</t>
  </si>
  <si>
    <t>53010</t>
  </si>
  <si>
    <t>53011</t>
  </si>
  <si>
    <t>Aberturas</t>
  </si>
  <si>
    <t>53012</t>
  </si>
  <si>
    <t>53013</t>
  </si>
  <si>
    <t>53014</t>
  </si>
  <si>
    <t>53015</t>
  </si>
  <si>
    <t>Intereses Financiamiento</t>
  </si>
  <si>
    <t>53016</t>
  </si>
  <si>
    <t>53017</t>
  </si>
  <si>
    <t>53018</t>
  </si>
  <si>
    <t>53019</t>
  </si>
  <si>
    <t>53020</t>
  </si>
  <si>
    <t>Provisiones</t>
  </si>
  <si>
    <t>53021</t>
  </si>
  <si>
    <t>53022</t>
  </si>
  <si>
    <t>53023</t>
  </si>
  <si>
    <t>53024</t>
  </si>
  <si>
    <t>53025</t>
  </si>
  <si>
    <t>53026</t>
  </si>
  <si>
    <t>Herrería MT</t>
  </si>
  <si>
    <t>53027</t>
  </si>
  <si>
    <t>53028</t>
  </si>
  <si>
    <t>Alquiler de Equipos</t>
  </si>
  <si>
    <t>53980</t>
  </si>
  <si>
    <t>Gastos a Reintegrar</t>
  </si>
  <si>
    <t>53990</t>
  </si>
  <si>
    <t>Gastos GCBA Construccion</t>
  </si>
  <si>
    <t>53999</t>
  </si>
  <si>
    <t>52302</t>
  </si>
  <si>
    <t>52209</t>
  </si>
  <si>
    <t>ID OC</t>
  </si>
  <si>
    <t>Descripcion</t>
  </si>
  <si>
    <t>Presupuesto aprobado</t>
  </si>
  <si>
    <t>% anticipo</t>
  </si>
  <si>
    <t>Indice base CAC</t>
  </si>
  <si>
    <t>% Blanco sugerido</t>
  </si>
  <si>
    <t>% Negro sugerido</t>
  </si>
  <si>
    <t>% desacopio sugerido</t>
  </si>
  <si>
    <t>% IVA sugerido</t>
  </si>
  <si>
    <t>Fecha anticipo</t>
  </si>
  <si>
    <t>CH 2171</t>
  </si>
  <si>
    <t>CH-OC01</t>
  </si>
  <si>
    <t>Pto 1 - Preliminares y estructura</t>
  </si>
  <si>
    <t>CH-OC02</t>
  </si>
  <si>
    <t>Pto 2 - Albanileria e Instalaciones</t>
  </si>
  <si>
    <t>ID Certif</t>
  </si>
  <si>
    <t>Cod. tarea</t>
  </si>
  <si>
    <t>% anterior</t>
  </si>
  <si>
    <t>% actual</t>
  </si>
  <si>
    <t>% total</t>
  </si>
  <si>
    <t>PV total tarea</t>
  </si>
  <si>
    <t>$ base tarea (cert act.)</t>
  </si>
  <si>
    <t>Control vs Ppto</t>
  </si>
  <si>
    <t>rank_pend</t>
  </si>
  <si>
    <t>CH-OC01-C01</t>
  </si>
  <si>
    <t>CH-OC01-C02</t>
  </si>
  <si>
    <t>ID Cert+Fact</t>
  </si>
  <si>
    <t>$ base certif (total)</t>
  </si>
  <si>
    <t>% facturacion</t>
  </si>
  <si>
    <t>$ base de esta parte</t>
  </si>
  <si>
    <t>% desacopio</t>
  </si>
  <si>
    <t>$ desacopio</t>
  </si>
  <si>
    <t>$ base neta</t>
  </si>
  <si>
    <t>Indice CAC a la fecha</t>
  </si>
  <si>
    <t>Ratio CAC</t>
  </si>
  <si>
    <t>$ CAC</t>
  </si>
  <si>
    <t>$ base + CAC</t>
  </si>
  <si>
    <t>% IVA</t>
  </si>
  <si>
    <t>$ IVA</t>
  </si>
  <si>
    <t>$ Total certificacion</t>
  </si>
  <si>
    <t>USD MEP a la fecha</t>
  </si>
  <si>
    <t>U$ Total</t>
  </si>
  <si>
    <t>Control B/N suma 100%</t>
  </si>
  <si>
    <t>Indice CAC override</t>
  </si>
  <si>
    <t>CH-OC01-C01-B</t>
  </si>
  <si>
    <t>Blanco</t>
  </si>
  <si>
    <t>CH-OC01-C01-N</t>
  </si>
  <si>
    <t>Negro</t>
  </si>
  <si>
    <t>CH-OC01-C02-B</t>
  </si>
  <si>
    <t>CH-OC01-C02-N</t>
  </si>
  <si>
    <t>CH-OC01-ANT</t>
  </si>
  <si>
    <t>CH-OC01-ANT-B</t>
  </si>
  <si>
    <t>CH-OC01-ANT-N</t>
  </si>
  <si>
    <t>$ base bruta certif.</t>
  </si>
  <si>
    <t>% desacopio (madre)</t>
  </si>
  <si>
    <t>Subtotal neto</t>
  </si>
  <si>
    <t>Chequeo</t>
  </si>
  <si>
    <t>id_cert_fact</t>
  </si>
  <si>
    <t>Comprobante</t>
  </si>
  <si>
    <t>monto</t>
  </si>
  <si>
    <t>moneda</t>
  </si>
  <si>
    <t>Fecha cobro</t>
  </si>
  <si>
    <t>monto_ars_equiv</t>
  </si>
  <si>
    <t>Estado conciliado</t>
  </si>
  <si>
    <t>$ certificado (control)</t>
  </si>
  <si>
    <t>Saldo a facturar</t>
  </si>
  <si>
    <t>id_factura</t>
  </si>
  <si>
    <t>TC cobro</t>
  </si>
  <si>
    <t>id_cert_madre</t>
  </si>
  <si>
    <t>id_OC</t>
  </si>
  <si>
    <t>Clase</t>
  </si>
  <si>
    <t>Retención</t>
  </si>
  <si>
    <t>Haber conciliado</t>
  </si>
  <si>
    <t>$ Contrato</t>
  </si>
  <si>
    <t>% Avance fisico</t>
  </si>
  <si>
    <t>$ Certificado</t>
  </si>
  <si>
    <t>$ Facturado</t>
  </si>
  <si>
    <t>$ Cobrado</t>
  </si>
  <si>
    <t>$ Anticipo certif.</t>
  </si>
  <si>
    <t>$ Avance s/certificar</t>
  </si>
  <si>
    <t>Saldo a cobrar</t>
  </si>
  <si>
    <t>TOTAL</t>
  </si>
  <si>
    <t>▌ PENDIENTES DE CERTIFICAR  (avance cargado por el JO sin Cert_Calculo)</t>
  </si>
  <si>
    <t>#</t>
  </si>
  <si>
    <t>$ base avance</t>
  </si>
  <si>
    <t>CHANGELOG — CH 2171 v8_3 (versión EGRESOS, prototipo estado futuro)</t>
  </si>
  <si>
    <t>Principio: rubros alineados al plan de cuentas de Tezamat; ID de SC + tipo de</t>
  </si>
  <si>
    <t>movimiento + CAC cargados de forma estandarizada en Tezamat (aguas arriba).</t>
  </si>
  <si>
    <t>El circuito de INGRESOS no se modifica en esta versión.</t>
  </si>
  <si>
    <t>CAMBIO</t>
  </si>
  <si>
    <t>DETALLE</t>
  </si>
  <si>
    <t>MOTIVO</t>
  </si>
  <si>
    <t>Rubros -&gt; token único</t>
  </si>
  <si>
    <t>1_Presupuesto A/B='X MT', C/D='X MO'; Hormigón MO='Homigón MO' (typo Tezamat)</t>
  </si>
  <si>
    <t>Plan de cuentas Tezamat trae rubro+tipo en un solo campo (Desc Cuenta)</t>
  </si>
  <si>
    <t>Cruce Control_Ppto por E</t>
  </si>
  <si>
    <t>SUMIFS sobre 2_Gastos!E (Desc Cuenta), no por col A reclasificada</t>
  </si>
  <si>
    <t>Elimina reclasificación manual; rubro viene alineado de origen</t>
  </si>
  <si>
    <t>2_Gastos A,B,U,V,W obsoletas</t>
  </si>
  <si>
    <t>Vaciadas + header (OBSOLETA). NO borradas físicamente</t>
  </si>
  <si>
    <t>delete_cols corrompe refs por letra (openpyxl no reajusta). Vaciar es reference-safe</t>
  </si>
  <si>
    <t>2_Gastos X repunteada</t>
  </si>
  <si>
    <t>X = ISNUMBER(MATCH(E, Control_Ppto rubros)) = 'rubro reconocido'</t>
  </si>
  <si>
    <t>Alimenta sanity check de gasto sin rubro</t>
  </si>
  <si>
    <t>2_Quincenas col E</t>
  </si>
  <si>
    <t>Códigos ALBAMO/HORMIMO/ELECTMO/HERRERO -&gt; tokens MO</t>
  </si>
  <si>
    <t>Alinea con Control (arregla bug: antes no matcheaba por usar códigos)</t>
  </si>
  <si>
    <t>Control_Ppto fórmulas unificadas</t>
  </si>
  <si>
    <t>1 fórmula por columna (sin IF B=MT/MO); 27 tokens (17 canónicos + 10 extras debajo)</t>
  </si>
  <si>
    <t>Mantenibilidad; reconciliación exacta del presupuesto</t>
  </si>
  <si>
    <t>Sanity 'gasto sin rubro'</t>
  </si>
  <si>
    <t>Control_Ppto E102 = SUMIFS(2_Gastos!T, X=FALSE)</t>
  </si>
  <si>
    <t>Detecta cuentas Tezamat fuera del plan de rubros</t>
  </si>
  <si>
    <t>Subcontratos por Observaciones</t>
  </si>
  <si>
    <t>ID CH-SC-001; SUMIFS comodín '*ID TIPO*' (AVANCE/QUINCENA/CAC/CARGAS SOCIALES)</t>
  </si>
  <si>
    <t>ID vive en Observaciones (col H), no en col U</t>
  </si>
  <si>
    <t>Saldo SC</t>
  </si>
  <si>
    <t>Saldo = Presup - (AVANCE + QUINCENA); CAC y Cargas suman a Total pero no descuentan saldo</t>
  </si>
  <si>
    <t>Definición de proceso nueva</t>
  </si>
  <si>
    <t>CAC fila separada</t>
  </si>
  <si>
    <t>El CAC viene como fila aparte marcada en Observaciones; col S deflacta por fila (sin cambios)</t>
  </si>
  <si>
    <t>Ya no se deriva restando en la misma fila (V/W obsoletas)</t>
  </si>
  <si>
    <t>Hojas eliminadas</t>
  </si>
  <si>
    <t>2_Pagos_Subc, 2_Pagos_Quincena_SC, 2_Certificaciones</t>
  </si>
  <si>
    <t>Deep-dive SC va al dashboard; certificaciones -&gt; versión de ingresos</t>
  </si>
  <si>
    <t>Ingresos neutralizados</t>
  </si>
  <si>
    <t>Dashboard C4/C5/C6/C20 y Cash_Flow filas 4-5 = 0 (con nota)</t>
  </si>
  <si>
    <t>2_Certificaciones eliminada; ingresos se reconectan en otra versión</t>
  </si>
  <si>
    <t>Maestros documentados</t>
  </si>
  <si>
    <t>0_Indice_CAC / 0_Jornales_MO: nota de import futuro (sin vínculo vivo)</t>
  </si>
  <si>
    <t>Una sola actualización en maestro externo</t>
  </si>
  <si>
    <t>v8_4 (2026-06-18) — ingresos+egresos conviven en 2_Movimientos</t>
  </si>
  <si>
    <t>Hoja 2_Gastos -&gt; 2_Movimientos</t>
  </si>
  <si>
    <t>Refs de fórmula actualizadas en todo el libro</t>
  </si>
  <si>
    <t>Ingresos y egresos conviven; cashflow sale de acá</t>
  </si>
  <si>
    <t>Col Tipo Mov (Y)</t>
  </si>
  <si>
    <t>INGRESO si cuenta serie 4, EGRESO si no</t>
  </si>
  <si>
    <t>Separa ing/egr sin umbral mágico</t>
  </si>
  <si>
    <t>Col En 3_Control_Ppto (X)</t>
  </si>
  <si>
    <t>SÍ/NO si Desc Cuenta matchea rubro del control</t>
  </si>
  <si>
    <t>Identifica movimientos no contabilizados para revisar</t>
  </si>
  <si>
    <t>Col Observaciones original (Z)</t>
  </si>
  <si>
    <t>Guarda la observación previa (cómo se cargaba antes)</t>
  </si>
  <si>
    <t>Demo antes/después del proceso Tezamat</t>
  </si>
  <si>
    <t>Re-tag SC en Observaciones</t>
  </si>
  <si>
    <t>10 pagos -&gt; 'CH-SC-00X AVANCE'; 2 CAC desagregados como fila aparte</t>
  </si>
  <si>
    <t>Demostrar el tracking de SC por Observaciones</t>
  </si>
  <si>
    <t>Cash_Flow ingresos</t>
  </si>
  <si>
    <t>Fila 4 (cobros) = -Σ T INGRESO por mes; fila 6 egresos filtra EGRESO</t>
  </si>
  <si>
    <t>Ingresos del cashflow salen de 2_Movimientos</t>
  </si>
  <si>
    <t>Sanity egreso sin rubro</t>
  </si>
  <si>
    <t>E102 = SUMIFS(T, X=NO, Tipo=EGRESO)</t>
  </si>
  <si>
    <t>Excluye ingresos del flag</t>
  </si>
  <si>
    <t>v8_5 (2026-06-18) — quincenas como movimientos; fuente única de egresos</t>
  </si>
  <si>
    <t>Quincenas -&gt; 2_Movimientos</t>
  </si>
  <si>
    <t>11 filas (Mes,Período,Rubro); monto pegado, D=cuenta del rubro, Obs 'QUINCENA aaaa-mm NQ'</t>
  </si>
  <si>
    <t>MO entra a Tezamat con cuenta y rubro; una sola fuente de egresos</t>
  </si>
  <si>
    <t>Control_Ppto fuente única</t>
  </si>
  <si>
    <t>E/F = SUMIFS(2_Movimientos S/T por rubro), sin término 2_Quincenas</t>
  </si>
  <si>
    <t>Elimina la doble fuente de costo de MO</t>
  </si>
  <si>
    <t>Cash_Flow sin doble conteo</t>
  </si>
  <si>
    <t>Fila 6 egresos = solo 2_Movimientos EGRESO por mes</t>
  </si>
  <si>
    <t>La quincena ya entra por movimientos</t>
  </si>
  <si>
    <t>2_Quincenas = staging</t>
  </si>
  <si>
    <t>Se mantiene: 3_Control_Jornales lee sus horas (G/H/I) para horas vs ppto</t>
  </si>
  <si>
    <t>Sigue siendo origen del dato; no se elimina</t>
  </si>
  <si>
    <t>Pendiente nº cuenta</t>
  </si>
  <si>
    <t>Eléctrico MO y Herrería MO sin cuenta Tezamat (D vacía)</t>
  </si>
  <si>
    <t>Completar cuando Tezamat provea el plan de cuentas</t>
  </si>
  <si>
    <t>v8_7 (2026-06-19): rubros alineados al Plan de Cuentas oficial</t>
  </si>
  <si>
    <t>Recibido AING - Plan de Cuentas.xlsx. _Listas reescrito = rama 53 OBRA (con código) + Mov.Variables(52302) + Supervisión(52209). Renames/merges en 1_Presupuesto: Agrimensura MT/MO-&gt;Preliminares; Gastos Generales Obra MT/MO + Mantenimiento MO-&gt;Gastos Generales; Seguridad e Higiene MO-&gt;Seguridad e Higiene. Dropdowns (nombre definido RUBROS_PLAN) en 1_Presupuesto A:D y 2_Quincenas E. Sanity _Listas!F2/F3 (rubros de tarea ∈ plan = ✓).</t>
  </si>
  <si>
    <t>Plan de cuentas Tezamat = fuente de verdad de rubros (decisión Pedro 2026-06-18). Value-preserving: total presupuestado intacto (1.109.935.042,56); cruce presup↔gasto mejora (Gastos Generales y Seguridad e Higiene dejan de ser sin-ppto falsos).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</si>
</sst>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dd/mm/yyyy"/>
    <numFmt numFmtId="165" formatCode="mm/yyyy"/>
    <numFmt numFmtId="166" formatCode="0.0000"/>
    <numFmt numFmtId="167" formatCode="_(* #,##0_);_(* \(#,##0\);_(* \-??_);_(@_)"/>
    <numFmt numFmtId="168" formatCode="_(* #,##0.00_);_(* \(#,##0.00\);_(* \-??_);_(@_)"/>
    <numFmt numFmtId="169" formatCode="0.000"/>
    <numFmt numFmtId="170" formatCode="0.0%"/>
    <numFmt numFmtId="171" formatCode="\$#,##0;&quot;($&quot;#,##0\);\-"/>
    <numFmt numFmtId="172" formatCode="_-* #,##0.00\ _$_-;\-* #,##0.00\ _$_-;_-* \-??\ _$_-;_-@_-"/>
    <numFmt numFmtId="173" formatCode="_ * #,##0.00_ ;_ * \-#,##0.00_ ;_ * \-??_ ;_ @_ "/>
    <numFmt numFmtId="174" formatCode="_ * #,##0.0_ ;_ * \-#,##0.0_ ;_ * \-??_ ;_ @_ "/>
    <numFmt numFmtId="175" formatCode="_-* #,##0.00\ _€_-;\-* #,##0.00\ _€_-;_-* \-??\ _€_-;_-@_-"/>
    <numFmt numFmtId="176" formatCode="_-* #,##0.00_-;\-* #,##0.00_-;_-* \-??_-;_-@_-"/>
    <numFmt numFmtId="177" formatCode="_-* #,##0_-;\-* #,##0_-;_-* \-??_-;_-@_-"/>
    <numFmt numFmtId="178" formatCode="_(* #,##0.0000_);_(* \(#,##0.0000\);_(* \-??_);_(@_)"/>
    <numFmt numFmtId="179" formatCode="_(* #,##0_);_(* \(#,##0\);_(* &quot;-&quot;??_);_(@_)"/>
    <numFmt numFmtId="180" formatCode="\$#,##0"/>
    <numFmt numFmtId="181" formatCode="mmm\-yyyy"/>
    <numFmt numFmtId="182" formatCode="&quot;US$ &quot;#,##0"/>
    <numFmt numFmtId="183" formatCode="yyyy\-mm\-dd"/>
  </numFmts>
  <fonts count="6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808080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1F3864"/>
      <name val="Aptos Narrow"/>
      <family val="2"/>
      <charset val="1"/>
    </font>
    <font>
      <b/>
      <sz val="10"/>
      <color rgb="FFFFFFFF"/>
      <name val="Aptos Narrow"/>
      <family val="2"/>
      <charset val="1"/>
    </font>
    <font>
      <sz val="10"/>
      <color theme="1"/>
      <name val="Aptos Narrow"/>
      <family val="2"/>
      <charset val="1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8000"/>
      <name val="Calibri"/>
      <family val="2"/>
    </font>
    <font>
      <b/>
      <sz val="12"/>
      <color rgb="FF1F3864"/>
      <name val="Aptos Narrow"/>
      <family val="2"/>
    </font>
    <font>
      <sz val="10"/>
      <color rgb="FF0000FF"/>
      <name val="Aptos Narrow"/>
      <family val="2"/>
    </font>
    <font>
      <sz val="10"/>
      <color rgb="FF008000"/>
      <name val="Aptos Narrow"/>
      <family val="2"/>
    </font>
    <font>
      <sz val="10"/>
      <color rgb="FFFF0000"/>
      <name val="Aptos Narrow"/>
      <family val="2"/>
    </font>
    <font>
      <sz val="10"/>
      <color rgb="FF000000"/>
      <name val="Aptos Narrow"/>
      <family val="2"/>
    </font>
    <font>
      <b/>
      <sz val="10"/>
      <color rgb="FFFFFFFF"/>
      <name val="Aptos Narrow"/>
      <family val="2"/>
    </font>
    <font>
      <b/>
      <sz val="11"/>
      <color rgb="FFFFFFFF"/>
      <name val="Aptos Narrow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9"/>
      <color rgb="FF000000"/>
      <name val="Aptos Narrow"/>
      <family val="2"/>
    </font>
    <font>
      <sz val="9"/>
      <color rgb="FF0000FF"/>
      <name val="Aptos Narrow"/>
      <family val="2"/>
    </font>
    <font>
      <sz val="9"/>
      <color rgb="FF008000"/>
      <name val="Aptos Narrow"/>
      <family val="2"/>
    </font>
    <font>
      <b/>
      <i/>
      <sz val="10"/>
      <color rgb="FF000000"/>
      <name val="Aptos Narrow"/>
      <family val="2"/>
    </font>
    <font>
      <i/>
      <sz val="10"/>
      <color rgb="FF000000"/>
      <name val="Aptos Narrow"/>
      <family val="2"/>
    </font>
    <font>
      <b/>
      <sz val="10"/>
      <color rgb="FF008000"/>
      <name val="Aptos Narrow"/>
      <family val="2"/>
    </font>
    <font>
      <b/>
      <sz val="10"/>
      <color rgb="FF0000FF"/>
      <name val="Aptos Narrow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  <font>
      <b/>
      <sz val="9"/>
      <color rgb="FFFFFFFF"/>
      <name val="Aptos Narrow"/>
      <family val="2"/>
    </font>
    <font>
      <b/>
      <sz val="8"/>
      <color rgb="FFFFFFFF"/>
      <name val="Aptos Narrow"/>
      <family val="2"/>
    </font>
    <font>
      <sz val="8"/>
      <color theme="1"/>
      <name val="Calibri"/>
      <family val="2"/>
      <charset val="1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6100"/>
      <name val="Calibri"/>
      <family val="2"/>
    </font>
    <font>
      <sz val="10"/>
      <color theme="9"/>
      <name val="Calibri"/>
      <family val="2"/>
    </font>
    <font>
      <b/>
      <sz val="8"/>
      <name val="Aptos Narrow"/>
      <family val="2"/>
    </font>
    <font>
      <b/>
      <sz val="9"/>
      <name val="Aptos Narrow"/>
      <family val="2"/>
    </font>
    <font>
      <i/>
      <sz val="9"/>
      <color rgb="FF0000FF"/>
      <name val="Aptos Narrow"/>
      <family val="2"/>
    </font>
    <font>
      <b/>
      <sz val="11"/>
      <color rgb="FFFFFFFF"/>
      <name val="Aptos Narrow"/>
      <family val="2"/>
    </font>
    <font>
      <sz val="11"/>
      <color rgb="FF0000FF"/>
      <name val="Aptos Narrow"/>
      <family val="2"/>
    </font>
    <font>
      <sz val="11"/>
      <color rgb="FF00B05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i/>
      <sz val="11"/>
      <color rgb="FF808080"/>
      <name val="Aptos Narrow"/>
      <family val="2"/>
    </font>
    <font>
      <sz val="11"/>
      <color rgb="FF808080"/>
      <name val="Aptos Narrow"/>
      <family val="2"/>
    </font>
    <font>
      <b/>
      <sz val="11"/>
      <color rgb="FFFFFFFF"/>
      <name val="Aptos Narrow"/>
    </font>
    <font>
      <sz val="11"/>
      <color rgb="FF0000FF"/>
      <name val="Aptos Narrow"/>
    </font>
    <font>
      <sz val="11"/>
      <color rgb="FF000000"/>
      <name val="Aptos Narrow"/>
    </font>
    <font>
      <sz val="11"/>
      <color rgb="FF00B050"/>
      <name val="Aptos Narrow"/>
    </font>
    <font>
      <b/>
      <sz val="11"/>
      <name val="Calibri"/>
    </font>
    <font>
      <i/>
      <sz val="10"/>
      <color rgb="FF0000FF"/>
      <name val="Aptos Narrow"/>
      <family val="2"/>
    </font>
    <font>
      <b/>
      <sz val="11"/>
      <color rgb="FF1F3864"/>
      <name val="Aptos Narrow"/>
    </font>
    <font>
      <b/>
      <sz val="11"/>
      <color rgb="FFFFFFFF"/>
      <name val="Aptos Narrow"/>
    </font>
    <font>
      <sz val="11"/>
      <color rgb="FF000000"/>
      <name val="Aptos Narrow"/>
    </font>
    <font>
      <sz val="11"/>
      <color rgb="FF0000FF"/>
      <name val="Aptos Narrow"/>
    </font>
    <font>
      <sz val="11"/>
      <color rgb="FF008000"/>
      <name val="Aptos Narrow"/>
    </font>
  </fonts>
  <fills count="17">
    <fill>
      <patternFill patternType="none"/>
    </fill>
    <fill>
      <patternFill patternType="gray125"/>
    </fill>
    <fill>
      <patternFill patternType="solid">
        <fgColor rgb="FF00843B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CCFFCC"/>
        <bgColor rgb="FFD6E4F0"/>
      </patternFill>
    </fill>
    <fill>
      <patternFill patternType="solid">
        <fgColor rgb="FFD6E4F0"/>
      </patternFill>
    </fill>
    <fill>
      <patternFill patternType="solid">
        <fgColor rgb="FF1F4E7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6E4F0"/>
      </patternFill>
    </fill>
    <fill>
      <patternFill patternType="solid">
        <fgColor rgb="FFFFFF00"/>
        <bgColor indexed="64"/>
      </patternFill>
    </fill>
    <fill>
      <patternFill patternType="solid">
        <fgColor rgb="FFD6E4F0"/>
      </patternFill>
    </fill>
    <fill>
      <patternFill patternType="solid">
        <fgColor rgb="FF1F4E78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/>
      <diagonal/>
    </border>
  </borders>
  <cellStyleXfs count="3">
    <xf numFmtId="0" fontId="0" fillId="0" borderId="0"/>
    <xf numFmtId="43" fontId="30" fillId="0" borderId="0"/>
    <xf numFmtId="0" fontId="1" fillId="0" borderId="0"/>
  </cellStyleXfs>
  <cellXfs count="257">
    <xf numFmtId="0" fontId="0" fillId="0" borderId="0" xfId="0"/>
    <xf numFmtId="0" fontId="2" fillId="0" borderId="0" xfId="0" applyFont="1"/>
    <xf numFmtId="3" fontId="3" fillId="3" borderId="0" xfId="0" applyNumberFormat="1" applyFont="1" applyFill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vertical="center"/>
    </xf>
    <xf numFmtId="0" fontId="13" fillId="6" borderId="0" xfId="0" applyFont="1" applyFill="1"/>
    <xf numFmtId="0" fontId="10" fillId="0" borderId="0" xfId="0" applyFont="1"/>
    <xf numFmtId="164" fontId="10" fillId="0" borderId="0" xfId="0" applyNumberFormat="1" applyFont="1"/>
    <xf numFmtId="165" fontId="10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3" fontId="12" fillId="0" borderId="0" xfId="0" applyNumberFormat="1" applyFont="1"/>
    <xf numFmtId="0" fontId="18" fillId="7" borderId="0" xfId="0" applyFont="1" applyFill="1" applyAlignment="1">
      <alignment horizontal="center" vertical="center" wrapText="1"/>
    </xf>
    <xf numFmtId="14" fontId="14" fillId="0" borderId="10" xfId="0" applyNumberFormat="1" applyFont="1" applyBorder="1" applyAlignment="1">
      <alignment horizontal="center" vertical="center"/>
    </xf>
    <xf numFmtId="4" fontId="14" fillId="0" borderId="10" xfId="0" applyNumberFormat="1" applyFont="1" applyBorder="1" applyAlignment="1">
      <alignment horizontal="center" vertical="center"/>
    </xf>
    <xf numFmtId="4" fontId="15" fillId="0" borderId="10" xfId="0" applyNumberFormat="1" applyFont="1" applyBorder="1" applyAlignment="1">
      <alignment horizontal="center" vertical="center"/>
    </xf>
    <xf numFmtId="4" fontId="16" fillId="3" borderId="10" xfId="0" applyNumberFormat="1" applyFont="1" applyFill="1" applyBorder="1" applyAlignment="1">
      <alignment horizontal="center" vertical="center"/>
    </xf>
    <xf numFmtId="4" fontId="17" fillId="0" borderId="10" xfId="0" applyNumberFormat="1" applyFont="1" applyBorder="1" applyAlignment="1">
      <alignment horizontal="center" vertical="center"/>
    </xf>
    <xf numFmtId="14" fontId="16" fillId="3" borderId="10" xfId="0" applyNumberFormat="1" applyFont="1" applyFill="1" applyBorder="1" applyAlignment="1">
      <alignment horizontal="center" vertical="center"/>
    </xf>
    <xf numFmtId="4" fontId="15" fillId="3" borderId="10" xfId="0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 wrapText="1"/>
    </xf>
    <xf numFmtId="39" fontId="20" fillId="3" borderId="3" xfId="0" applyNumberFormat="1" applyFont="1" applyFill="1" applyBorder="1"/>
    <xf numFmtId="39" fontId="21" fillId="3" borderId="3" xfId="0" applyNumberFormat="1" applyFont="1" applyFill="1" applyBorder="1"/>
    <xf numFmtId="167" fontId="21" fillId="3" borderId="3" xfId="0" applyNumberFormat="1" applyFont="1" applyFill="1" applyBorder="1"/>
    <xf numFmtId="167" fontId="20" fillId="3" borderId="3" xfId="0" applyNumberFormat="1" applyFont="1" applyFill="1" applyBorder="1"/>
    <xf numFmtId="9" fontId="21" fillId="3" borderId="0" xfId="0" applyNumberFormat="1" applyFont="1" applyFill="1" applyAlignment="1">
      <alignment horizontal="center" vertical="center"/>
    </xf>
    <xf numFmtId="168" fontId="18" fillId="7" borderId="0" xfId="0" applyNumberFormat="1" applyFont="1" applyFill="1" applyAlignment="1">
      <alignment horizontal="center" vertical="center" wrapText="1"/>
    </xf>
    <xf numFmtId="10" fontId="18" fillId="7" borderId="0" xfId="0" applyNumberFormat="1" applyFont="1" applyFill="1" applyAlignment="1">
      <alignment horizontal="center" vertical="center" wrapText="1"/>
    </xf>
    <xf numFmtId="167" fontId="18" fillId="7" borderId="0" xfId="0" applyNumberFormat="1" applyFont="1" applyFill="1" applyAlignment="1">
      <alignment horizontal="center" vertical="center" wrapText="1"/>
    </xf>
    <xf numFmtId="2" fontId="18" fillId="7" borderId="0" xfId="0" applyNumberFormat="1" applyFont="1" applyFill="1" applyAlignment="1">
      <alignment horizontal="center" vertical="center" wrapText="1"/>
    </xf>
    <xf numFmtId="0" fontId="22" fillId="0" borderId="10" xfId="0" applyFont="1" applyBorder="1"/>
    <xf numFmtId="169" fontId="23" fillId="0" borderId="10" xfId="0" applyNumberFormat="1" applyFont="1" applyBorder="1"/>
    <xf numFmtId="170" fontId="23" fillId="0" borderId="10" xfId="0" applyNumberFormat="1" applyFont="1" applyBorder="1"/>
    <xf numFmtId="3" fontId="22" fillId="0" borderId="10" xfId="0" applyNumberFormat="1" applyFont="1" applyBorder="1"/>
    <xf numFmtId="2" fontId="22" fillId="0" borderId="10" xfId="0" applyNumberFormat="1" applyFont="1" applyBorder="1"/>
    <xf numFmtId="2" fontId="22" fillId="0" borderId="10" xfId="0" applyNumberFormat="1" applyFont="1" applyBorder="1" applyAlignment="1">
      <alignment horizontal="center"/>
    </xf>
    <xf numFmtId="2" fontId="24" fillId="0" borderId="10" xfId="0" applyNumberFormat="1" applyFont="1" applyBorder="1" applyAlignment="1">
      <alignment horizontal="center"/>
    </xf>
    <xf numFmtId="0" fontId="13" fillId="6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49" fontId="29" fillId="0" borderId="0" xfId="0" applyNumberFormat="1" applyFont="1" applyAlignment="1">
      <alignment vertical="center"/>
    </xf>
    <xf numFmtId="0" fontId="29" fillId="0" borderId="0" xfId="0" applyFont="1"/>
    <xf numFmtId="0" fontId="18" fillId="0" borderId="0" xfId="0" applyFont="1" applyAlignment="1">
      <alignment horizontal="center" vertical="center" wrapText="1"/>
    </xf>
    <xf numFmtId="171" fontId="15" fillId="0" borderId="10" xfId="0" applyNumberFormat="1" applyFont="1" applyBorder="1" applyAlignment="1">
      <alignment horizontal="center" vertical="center"/>
    </xf>
    <xf numFmtId="171" fontId="27" fillId="8" borderId="10" xfId="0" applyNumberFormat="1" applyFont="1" applyFill="1" applyBorder="1" applyAlignment="1">
      <alignment horizontal="center" vertical="center"/>
    </xf>
    <xf numFmtId="4" fontId="15" fillId="8" borderId="1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1" fillId="7" borderId="0" xfId="0" applyFont="1" applyFill="1" applyAlignment="1">
      <alignment horizontal="center" vertical="center" wrapText="1"/>
    </xf>
    <xf numFmtId="0" fontId="32" fillId="7" borderId="0" xfId="0" applyFont="1" applyFill="1" applyAlignment="1">
      <alignment horizontal="center" vertical="center" wrapText="1"/>
    </xf>
    <xf numFmtId="0" fontId="33" fillId="0" borderId="0" xfId="0" applyFont="1"/>
    <xf numFmtId="3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172" fontId="34" fillId="0" borderId="0" xfId="0" applyNumberFormat="1" applyFont="1" applyAlignment="1">
      <alignment horizontal="right" vertical="center" wrapText="1"/>
    </xf>
    <xf numFmtId="167" fontId="34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wrapText="1"/>
    </xf>
    <xf numFmtId="174" fontId="34" fillId="0" borderId="0" xfId="0" applyNumberFormat="1" applyFont="1" applyAlignment="1">
      <alignment horizontal="center" vertical="center" wrapText="1"/>
    </xf>
    <xf numFmtId="0" fontId="35" fillId="0" borderId="0" xfId="0" applyFont="1"/>
    <xf numFmtId="174" fontId="5" fillId="0" borderId="0" xfId="0" applyNumberFormat="1" applyFont="1" applyAlignment="1">
      <alignment wrapText="1"/>
    </xf>
    <xf numFmtId="174" fontId="6" fillId="0" borderId="0" xfId="0" applyNumberFormat="1" applyFont="1" applyAlignment="1">
      <alignment wrapText="1"/>
    </xf>
    <xf numFmtId="173" fontId="5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7" fontId="6" fillId="0" borderId="1" xfId="0" applyNumberFormat="1" applyFont="1" applyBorder="1" applyAlignment="1">
      <alignment horizontal="center" vertical="center" wrapText="1"/>
    </xf>
    <xf numFmtId="174" fontId="6" fillId="0" borderId="1" xfId="0" applyNumberFormat="1" applyFont="1" applyBorder="1" applyAlignment="1">
      <alignment horizontal="center" vertical="center" wrapText="1"/>
    </xf>
    <xf numFmtId="174" fontId="6" fillId="0" borderId="1" xfId="0" applyNumberFormat="1" applyFont="1" applyBorder="1" applyAlignment="1">
      <alignment horizontal="center" wrapText="1"/>
    </xf>
    <xf numFmtId="173" fontId="5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/>
    </xf>
    <xf numFmtId="167" fontId="6" fillId="4" borderId="1" xfId="0" applyNumberFormat="1" applyFont="1" applyFill="1" applyBorder="1" applyAlignment="1">
      <alignment horizontal="center" wrapText="1"/>
    </xf>
    <xf numFmtId="168" fontId="6" fillId="5" borderId="1" xfId="0" applyNumberFormat="1" applyFont="1" applyFill="1" applyBorder="1" applyAlignment="1">
      <alignment horizontal="center" wrapText="1"/>
    </xf>
    <xf numFmtId="173" fontId="5" fillId="0" borderId="0" xfId="0" applyNumberFormat="1" applyFont="1" applyAlignment="1">
      <alignment horizontal="center" wrapText="1"/>
    </xf>
    <xf numFmtId="174" fontId="5" fillId="0" borderId="0" xfId="0" applyNumberFormat="1" applyFont="1" applyAlignment="1">
      <alignment horizontal="center" wrapText="1"/>
    </xf>
    <xf numFmtId="168" fontId="4" fillId="0" borderId="2" xfId="0" applyNumberFormat="1" applyFont="1" applyBorder="1" applyAlignment="1">
      <alignment horizontal="left" vertical="center"/>
    </xf>
    <xf numFmtId="168" fontId="4" fillId="0" borderId="2" xfId="0" applyNumberFormat="1" applyFont="1" applyBorder="1"/>
    <xf numFmtId="174" fontId="6" fillId="0" borderId="0" xfId="0" applyNumberFormat="1" applyFont="1" applyAlignment="1">
      <alignment horizontal="center" vertical="center" wrapText="1"/>
    </xf>
    <xf numFmtId="173" fontId="5" fillId="0" borderId="0" xfId="0" applyNumberFormat="1" applyFont="1" applyAlignment="1">
      <alignment wrapText="1"/>
    </xf>
    <xf numFmtId="168" fontId="4" fillId="0" borderId="3" xfId="0" applyNumberFormat="1" applyFont="1" applyBorder="1" applyAlignment="1">
      <alignment horizontal="left" vertical="center"/>
    </xf>
    <xf numFmtId="168" fontId="4" fillId="0" borderId="3" xfId="0" applyNumberFormat="1" applyFont="1" applyBorder="1"/>
    <xf numFmtId="175" fontId="34" fillId="0" borderId="0" xfId="0" applyNumberFormat="1" applyFont="1"/>
    <xf numFmtId="168" fontId="4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 vertical="center"/>
    </xf>
    <xf numFmtId="39" fontId="6" fillId="0" borderId="5" xfId="0" applyNumberFormat="1" applyFont="1" applyBorder="1" applyAlignment="1">
      <alignment horizontal="center" vertical="center"/>
    </xf>
    <xf numFmtId="167" fontId="6" fillId="0" borderId="5" xfId="0" applyNumberFormat="1" applyFont="1" applyBorder="1" applyAlignment="1">
      <alignment horizontal="center" vertical="center"/>
    </xf>
    <xf numFmtId="168" fontId="6" fillId="0" borderId="6" xfId="0" applyNumberFormat="1" applyFont="1" applyBorder="1"/>
    <xf numFmtId="168" fontId="34" fillId="0" borderId="0" xfId="0" applyNumberFormat="1" applyFont="1"/>
    <xf numFmtId="168" fontId="35" fillId="0" borderId="0" xfId="0" applyNumberFormat="1" applyFont="1"/>
    <xf numFmtId="175" fontId="4" fillId="0" borderId="3" xfId="0" applyNumberFormat="1" applyFont="1" applyBorder="1" applyAlignment="1">
      <alignment horizontal="left" vertical="center"/>
    </xf>
    <xf numFmtId="175" fontId="34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39" fontId="4" fillId="0" borderId="7" xfId="0" applyNumberFormat="1" applyFont="1" applyBorder="1"/>
    <xf numFmtId="167" fontId="4" fillId="0" borderId="3" xfId="0" applyNumberFormat="1" applyFont="1" applyBorder="1"/>
    <xf numFmtId="167" fontId="4" fillId="0" borderId="7" xfId="0" applyNumberFormat="1" applyFont="1" applyBorder="1"/>
    <xf numFmtId="168" fontId="20" fillId="0" borderId="0" xfId="0" applyNumberFormat="1" applyFont="1"/>
    <xf numFmtId="0" fontId="4" fillId="0" borderId="3" xfId="0" applyFont="1" applyBorder="1" applyAlignment="1">
      <alignment horizontal="left"/>
    </xf>
    <xf numFmtId="0" fontId="4" fillId="0" borderId="3" xfId="0" applyFont="1" applyBorder="1"/>
    <xf numFmtId="39" fontId="4" fillId="0" borderId="3" xfId="0" applyNumberFormat="1" applyFont="1" applyBorder="1"/>
    <xf numFmtId="0" fontId="35" fillId="0" borderId="5" xfId="0" applyFont="1" applyBorder="1"/>
    <xf numFmtId="39" fontId="34" fillId="0" borderId="5" xfId="0" applyNumberFormat="1" applyFont="1" applyBorder="1"/>
    <xf numFmtId="167" fontId="34" fillId="0" borderId="5" xfId="0" applyNumberFormat="1" applyFont="1" applyBorder="1"/>
    <xf numFmtId="175" fontId="4" fillId="0" borderId="0" xfId="0" applyNumberFormat="1" applyFont="1"/>
    <xf numFmtId="175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39" fontId="4" fillId="0" borderId="2" xfId="0" applyNumberFormat="1" applyFont="1" applyBorder="1"/>
    <xf numFmtId="167" fontId="34" fillId="0" borderId="2" xfId="0" applyNumberFormat="1" applyFont="1" applyBorder="1"/>
    <xf numFmtId="167" fontId="34" fillId="0" borderId="3" xfId="0" applyNumberFormat="1" applyFont="1" applyBorder="1"/>
    <xf numFmtId="175" fontId="4" fillId="0" borderId="3" xfId="0" applyNumberFormat="1" applyFont="1" applyBorder="1"/>
    <xf numFmtId="168" fontId="4" fillId="0" borderId="8" xfId="0" applyNumberFormat="1" applyFont="1" applyBorder="1" applyAlignment="1">
      <alignment horizontal="left" vertical="center"/>
    </xf>
    <xf numFmtId="168" fontId="4" fillId="0" borderId="8" xfId="0" applyNumberFormat="1" applyFont="1" applyBorder="1"/>
    <xf numFmtId="167" fontId="4" fillId="0" borderId="2" xfId="0" applyNumberFormat="1" applyFont="1" applyBorder="1"/>
    <xf numFmtId="168" fontId="6" fillId="0" borderId="1" xfId="0" applyNumberFormat="1" applyFont="1" applyBorder="1"/>
    <xf numFmtId="175" fontId="5" fillId="0" borderId="0" xfId="0" applyNumberFormat="1" applyFont="1"/>
    <xf numFmtId="175" fontId="34" fillId="0" borderId="3" xfId="0" applyNumberFormat="1" applyFont="1" applyBorder="1"/>
    <xf numFmtId="39" fontId="34" fillId="0" borderId="2" xfId="0" applyNumberFormat="1" applyFont="1" applyBorder="1"/>
    <xf numFmtId="39" fontId="34" fillId="0" borderId="3" xfId="0" applyNumberFormat="1" applyFont="1" applyBorder="1"/>
    <xf numFmtId="0" fontId="4" fillId="0" borderId="9" xfId="0" applyFont="1" applyBorder="1" applyAlignment="1">
      <alignment horizontal="left"/>
    </xf>
    <xf numFmtId="0" fontId="4" fillId="0" borderId="9" xfId="0" applyFont="1" applyBorder="1"/>
    <xf numFmtId="39" fontId="34" fillId="0" borderId="9" xfId="0" applyNumberFormat="1" applyFont="1" applyBorder="1"/>
    <xf numFmtId="167" fontId="4" fillId="0" borderId="9" xfId="0" applyNumberFormat="1" applyFont="1" applyBorder="1"/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0" fillId="3" borderId="3" xfId="0" applyFont="1" applyFill="1" applyBorder="1" applyAlignment="1">
      <alignment horizontal="left"/>
    </xf>
    <xf numFmtId="168" fontId="36" fillId="0" borderId="0" xfId="0" applyNumberFormat="1" applyFont="1"/>
    <xf numFmtId="0" fontId="4" fillId="0" borderId="9" xfId="0" applyFont="1" applyBorder="1" applyAlignment="1">
      <alignment horizontal="center" vertical="center"/>
    </xf>
    <xf numFmtId="39" fontId="4" fillId="0" borderId="9" xfId="0" applyNumberFormat="1" applyFont="1" applyBorder="1"/>
    <xf numFmtId="0" fontId="36" fillId="0" borderId="4" xfId="0" applyFont="1" applyBorder="1" applyAlignment="1">
      <alignment horizontal="left"/>
    </xf>
    <xf numFmtId="0" fontId="36" fillId="0" borderId="5" xfId="0" applyFont="1" applyBorder="1"/>
    <xf numFmtId="39" fontId="5" fillId="0" borderId="5" xfId="0" applyNumberFormat="1" applyFont="1" applyBorder="1"/>
    <xf numFmtId="167" fontId="5" fillId="0" borderId="5" xfId="0" applyNumberFormat="1" applyFont="1" applyBorder="1"/>
    <xf numFmtId="39" fontId="6" fillId="0" borderId="5" xfId="0" applyNumberFormat="1" applyFont="1" applyBorder="1"/>
    <xf numFmtId="168" fontId="6" fillId="0" borderId="0" xfId="0" applyNumberFormat="1" applyFont="1"/>
    <xf numFmtId="176" fontId="6" fillId="0" borderId="0" xfId="0" applyNumberFormat="1" applyFont="1"/>
    <xf numFmtId="0" fontId="4" fillId="0" borderId="0" xfId="0" applyFont="1" applyAlignment="1">
      <alignment horizontal="left"/>
    </xf>
    <xf numFmtId="39" fontId="34" fillId="0" borderId="0" xfId="0" applyNumberFormat="1" applyFont="1"/>
    <xf numFmtId="167" fontId="34" fillId="0" borderId="0" xfId="0" applyNumberFormat="1" applyFont="1"/>
    <xf numFmtId="0" fontId="4" fillId="0" borderId="0" xfId="0" applyFont="1" applyAlignment="1">
      <alignment horizontal="center" vertical="center"/>
    </xf>
    <xf numFmtId="39" fontId="4" fillId="0" borderId="0" xfId="0" applyNumberFormat="1" applyFont="1"/>
    <xf numFmtId="175" fontId="35" fillId="0" borderId="0" xfId="0" applyNumberFormat="1" applyFont="1"/>
    <xf numFmtId="0" fontId="35" fillId="0" borderId="0" xfId="0" applyFont="1" applyAlignment="1">
      <alignment horizontal="left"/>
    </xf>
    <xf numFmtId="39" fontId="35" fillId="0" borderId="0" xfId="0" applyNumberFormat="1" applyFont="1"/>
    <xf numFmtId="167" fontId="35" fillId="0" borderId="0" xfId="0" applyNumberFormat="1" applyFont="1"/>
    <xf numFmtId="168" fontId="4" fillId="0" borderId="0" xfId="0" applyNumberFormat="1" applyFont="1"/>
    <xf numFmtId="0" fontId="36" fillId="0" borderId="0" xfId="0" applyFont="1"/>
    <xf numFmtId="168" fontId="37" fillId="0" borderId="0" xfId="0" applyNumberFormat="1" applyFont="1"/>
    <xf numFmtId="176" fontId="35" fillId="0" borderId="0" xfId="0" applyNumberFormat="1" applyFont="1"/>
    <xf numFmtId="0" fontId="6" fillId="0" borderId="4" xfId="0" applyFont="1" applyBorder="1" applyAlignment="1">
      <alignment horizontal="right"/>
    </xf>
    <xf numFmtId="0" fontId="35" fillId="0" borderId="5" xfId="0" applyFont="1" applyBorder="1" applyAlignment="1">
      <alignment horizontal="left"/>
    </xf>
    <xf numFmtId="167" fontId="35" fillId="0" borderId="5" xfId="0" applyNumberFormat="1" applyFont="1" applyBorder="1"/>
    <xf numFmtId="168" fontId="6" fillId="0" borderId="5" xfId="0" applyNumberFormat="1" applyFont="1" applyBorder="1"/>
    <xf numFmtId="168" fontId="4" fillId="0" borderId="6" xfId="0" applyNumberFormat="1" applyFont="1" applyBorder="1"/>
    <xf numFmtId="9" fontId="35" fillId="0" borderId="0" xfId="0" applyNumberFormat="1" applyFont="1"/>
    <xf numFmtId="0" fontId="21" fillId="0" borderId="0" xfId="0" applyFont="1" applyAlignment="1">
      <alignment horizontal="right"/>
    </xf>
    <xf numFmtId="9" fontId="36" fillId="0" borderId="0" xfId="0" applyNumberFormat="1" applyFont="1"/>
    <xf numFmtId="10" fontId="4" fillId="0" borderId="0" xfId="0" applyNumberFormat="1" applyFont="1"/>
    <xf numFmtId="9" fontId="4" fillId="0" borderId="0" xfId="0" applyNumberFormat="1" applyFont="1"/>
    <xf numFmtId="0" fontId="35" fillId="0" borderId="0" xfId="0" applyFont="1" applyAlignment="1">
      <alignment horizontal="right"/>
    </xf>
    <xf numFmtId="168" fontId="35" fillId="0" borderId="5" xfId="0" applyNumberFormat="1" applyFont="1" applyBorder="1"/>
    <xf numFmtId="168" fontId="4" fillId="0" borderId="5" xfId="0" applyNumberFormat="1" applyFont="1" applyBorder="1"/>
    <xf numFmtId="168" fontId="35" fillId="0" borderId="6" xfId="0" applyNumberFormat="1" applyFont="1" applyBorder="1"/>
    <xf numFmtId="168" fontId="38" fillId="0" borderId="0" xfId="0" applyNumberFormat="1" applyFont="1"/>
    <xf numFmtId="177" fontId="35" fillId="0" borderId="0" xfId="0" applyNumberFormat="1" applyFont="1" applyAlignment="1">
      <alignment horizontal="right"/>
    </xf>
    <xf numFmtId="178" fontId="34" fillId="0" borderId="0" xfId="0" applyNumberFormat="1" applyFont="1"/>
    <xf numFmtId="175" fontId="34" fillId="0" borderId="0" xfId="0" applyNumberFormat="1" applyFont="1" applyAlignment="1">
      <alignment horizontal="right"/>
    </xf>
    <xf numFmtId="177" fontId="34" fillId="0" borderId="0" xfId="0" applyNumberFormat="1" applyFont="1" applyAlignment="1">
      <alignment horizontal="right"/>
    </xf>
    <xf numFmtId="168" fontId="34" fillId="0" borderId="0" xfId="0" applyNumberFormat="1" applyFont="1" applyAlignment="1">
      <alignment horizontal="right"/>
    </xf>
    <xf numFmtId="175" fontId="34" fillId="0" borderId="0" xfId="0" applyNumberFormat="1" applyFont="1" applyAlignment="1">
      <alignment horizontal="left"/>
    </xf>
    <xf numFmtId="168" fontId="5" fillId="0" borderId="0" xfId="0" applyNumberFormat="1" applyFont="1"/>
    <xf numFmtId="0" fontId="22" fillId="0" borderId="11" xfId="0" applyFont="1" applyBorder="1"/>
    <xf numFmtId="14" fontId="22" fillId="0" borderId="11" xfId="0" applyNumberFormat="1" applyFont="1" applyBorder="1" applyAlignment="1">
      <alignment horizontal="center"/>
    </xf>
    <xf numFmtId="177" fontId="22" fillId="0" borderId="11" xfId="0" applyNumberFormat="1" applyFont="1" applyBorder="1"/>
    <xf numFmtId="0" fontId="22" fillId="0" borderId="12" xfId="0" applyFont="1" applyBorder="1"/>
    <xf numFmtId="14" fontId="22" fillId="0" borderId="12" xfId="0" applyNumberFormat="1" applyFont="1" applyBorder="1" applyAlignment="1">
      <alignment horizontal="center"/>
    </xf>
    <xf numFmtId="177" fontId="22" fillId="0" borderId="12" xfId="0" applyNumberFormat="1" applyFont="1" applyBorder="1"/>
    <xf numFmtId="0" fontId="22" fillId="0" borderId="13" xfId="0" applyFont="1" applyBorder="1"/>
    <xf numFmtId="14" fontId="22" fillId="0" borderId="13" xfId="0" applyNumberFormat="1" applyFont="1" applyBorder="1" applyAlignment="1">
      <alignment horizontal="center"/>
    </xf>
    <xf numFmtId="177" fontId="22" fillId="0" borderId="13" xfId="0" applyNumberFormat="1" applyFont="1" applyBorder="1"/>
    <xf numFmtId="0" fontId="39" fillId="10" borderId="0" xfId="0" applyFont="1" applyFill="1" applyAlignment="1">
      <alignment horizontal="center" vertical="center" wrapText="1"/>
    </xf>
    <xf numFmtId="0" fontId="40" fillId="10" borderId="0" xfId="0" applyFont="1" applyFill="1" applyAlignment="1">
      <alignment horizontal="center" vertical="center" wrapText="1"/>
    </xf>
    <xf numFmtId="49" fontId="31" fillId="7" borderId="0" xfId="0" applyNumberFormat="1" applyFont="1" applyFill="1" applyAlignment="1">
      <alignment horizontal="center" vertical="center" wrapText="1"/>
    </xf>
    <xf numFmtId="179" fontId="41" fillId="0" borderId="0" xfId="1" applyNumberFormat="1" applyFont="1" applyAlignment="1">
      <alignment horizontal="center"/>
    </xf>
    <xf numFmtId="0" fontId="28" fillId="0" borderId="12" xfId="0" applyFont="1" applyBorder="1" applyAlignment="1">
      <alignment horizontal="center"/>
    </xf>
    <xf numFmtId="0" fontId="14" fillId="0" borderId="12" xfId="0" applyFont="1" applyBorder="1"/>
    <xf numFmtId="171" fontId="14" fillId="0" borderId="12" xfId="0" applyNumberFormat="1" applyFont="1" applyBorder="1"/>
    <xf numFmtId="0" fontId="14" fillId="0" borderId="12" xfId="0" applyFont="1" applyBorder="1" applyAlignment="1">
      <alignment horizontal="center"/>
    </xf>
    <xf numFmtId="9" fontId="14" fillId="0" borderId="12" xfId="0" applyNumberFormat="1" applyFont="1" applyBorder="1" applyAlignment="1">
      <alignment horizontal="center"/>
    </xf>
    <xf numFmtId="0" fontId="0" fillId="0" borderId="12" xfId="0" applyBorder="1"/>
    <xf numFmtId="167" fontId="4" fillId="11" borderId="3" xfId="0" applyNumberFormat="1" applyFont="1" applyFill="1" applyBorder="1"/>
    <xf numFmtId="0" fontId="42" fillId="12" borderId="0" xfId="0" applyFont="1" applyFill="1" applyAlignment="1">
      <alignment horizontal="center" vertical="center"/>
    </xf>
    <xf numFmtId="0" fontId="43" fillId="0" borderId="0" xfId="0" applyFont="1"/>
    <xf numFmtId="180" fontId="43" fillId="0" borderId="0" xfId="0" applyNumberFormat="1" applyFont="1"/>
    <xf numFmtId="170" fontId="43" fillId="0" borderId="0" xfId="0" applyNumberFormat="1" applyFont="1"/>
    <xf numFmtId="181" fontId="43" fillId="0" borderId="0" xfId="0" applyNumberFormat="1" applyFont="1"/>
    <xf numFmtId="4" fontId="44" fillId="0" borderId="0" xfId="0" applyNumberFormat="1" applyFont="1"/>
    <xf numFmtId="164" fontId="43" fillId="0" borderId="0" xfId="0" applyNumberFormat="1" applyFont="1"/>
    <xf numFmtId="170" fontId="45" fillId="0" borderId="0" xfId="0" applyNumberFormat="1" applyFont="1"/>
    <xf numFmtId="180" fontId="44" fillId="0" borderId="0" xfId="0" applyNumberFormat="1" applyFont="1"/>
    <xf numFmtId="180" fontId="45" fillId="0" borderId="0" xfId="0" applyNumberFormat="1" applyFont="1"/>
    <xf numFmtId="0" fontId="44" fillId="0" borderId="0" xfId="0" applyFont="1"/>
    <xf numFmtId="164" fontId="44" fillId="0" borderId="0" xfId="0" applyNumberFormat="1" applyFont="1"/>
    <xf numFmtId="166" fontId="45" fillId="0" borderId="0" xfId="0" applyNumberFormat="1" applyFont="1"/>
    <xf numFmtId="182" fontId="45" fillId="0" borderId="0" xfId="0" applyNumberFormat="1" applyFont="1"/>
    <xf numFmtId="0" fontId="45" fillId="0" borderId="0" xfId="0" applyFont="1"/>
    <xf numFmtId="0" fontId="46" fillId="0" borderId="0" xfId="0" applyFont="1"/>
    <xf numFmtId="0" fontId="46" fillId="13" borderId="0" xfId="0" applyFont="1" applyFill="1"/>
    <xf numFmtId="0" fontId="0" fillId="13" borderId="0" xfId="0" applyFill="1"/>
    <xf numFmtId="180" fontId="46" fillId="13" borderId="0" xfId="0" applyNumberFormat="1" applyFont="1" applyFill="1"/>
    <xf numFmtId="170" fontId="46" fillId="13" borderId="0" xfId="0" applyNumberFormat="1" applyFont="1" applyFill="1"/>
    <xf numFmtId="183" fontId="14" fillId="0" borderId="10" xfId="0" applyNumberFormat="1" applyFont="1" applyBorder="1" applyAlignment="1">
      <alignment horizontal="center" vertical="center"/>
    </xf>
    <xf numFmtId="4" fontId="16" fillId="0" borderId="10" xfId="0" applyNumberFormat="1" applyFont="1" applyBorder="1" applyAlignment="1">
      <alignment horizontal="center" vertical="center"/>
    </xf>
    <xf numFmtId="0" fontId="47" fillId="0" borderId="0" xfId="0" applyFont="1"/>
    <xf numFmtId="0" fontId="48" fillId="0" borderId="0" xfId="0" applyFont="1"/>
    <xf numFmtId="0" fontId="42" fillId="12" borderId="0" xfId="0" applyFont="1" applyFill="1"/>
    <xf numFmtId="0" fontId="0" fillId="12" borderId="0" xfId="0" applyFill="1"/>
    <xf numFmtId="0" fontId="49" fillId="12" borderId="0" xfId="0" applyFont="1" applyFill="1" applyAlignment="1">
      <alignment horizontal="center" vertical="center" wrapText="1"/>
    </xf>
    <xf numFmtId="170" fontId="52" fillId="0" borderId="0" xfId="0" applyNumberFormat="1" applyFont="1"/>
    <xf numFmtId="4" fontId="52" fillId="0" borderId="0" xfId="0" applyNumberFormat="1" applyFont="1"/>
    <xf numFmtId="4" fontId="50" fillId="0" borderId="0" xfId="0" applyNumberFormat="1" applyFont="1"/>
    <xf numFmtId="0" fontId="50" fillId="0" borderId="0" xfId="0" applyFont="1"/>
    <xf numFmtId="0" fontId="51" fillId="0" borderId="0" xfId="0" applyFont="1"/>
    <xf numFmtId="164" fontId="52" fillId="0" borderId="0" xfId="0" applyNumberFormat="1" applyFont="1"/>
    <xf numFmtId="180" fontId="52" fillId="0" borderId="0" xfId="0" applyNumberFormat="1" applyFont="1"/>
    <xf numFmtId="170" fontId="50" fillId="0" borderId="0" xfId="0" applyNumberFormat="1" applyFont="1"/>
    <xf numFmtId="180" fontId="51" fillId="0" borderId="0" xfId="0" applyNumberFormat="1" applyFont="1"/>
    <xf numFmtId="3" fontId="50" fillId="0" borderId="0" xfId="0" applyNumberFormat="1" applyFont="1"/>
    <xf numFmtId="49" fontId="50" fillId="0" borderId="0" xfId="0" applyNumberFormat="1" applyFont="1"/>
    <xf numFmtId="49" fontId="51" fillId="0" borderId="0" xfId="0" applyNumberFormat="1" applyFont="1"/>
    <xf numFmtId="180" fontId="50" fillId="0" borderId="0" xfId="0" applyNumberFormat="1" applyFont="1"/>
    <xf numFmtId="170" fontId="51" fillId="0" borderId="0" xfId="0" applyNumberFormat="1" applyFont="1"/>
    <xf numFmtId="0" fontId="30" fillId="0" borderId="0" xfId="0" applyFont="1"/>
    <xf numFmtId="0" fontId="39" fillId="14" borderId="0" xfId="0" applyFont="1" applyFill="1" applyAlignment="1">
      <alignment horizontal="center" vertical="center" wrapText="1"/>
    </xf>
    <xf numFmtId="180" fontId="41" fillId="0" borderId="0" xfId="1" applyNumberFormat="1" applyFont="1" applyAlignment="1">
      <alignment horizontal="center"/>
    </xf>
    <xf numFmtId="0" fontId="53" fillId="0" borderId="0" xfId="0" applyFont="1"/>
    <xf numFmtId="164" fontId="25" fillId="9" borderId="0" xfId="0" applyNumberFormat="1" applyFont="1" applyFill="1" applyAlignment="1">
      <alignment horizontal="center"/>
    </xf>
    <xf numFmtId="179" fontId="41" fillId="0" borderId="0" xfId="1" applyNumberFormat="1" applyFont="1" applyAlignment="1">
      <alignment horizontal="left"/>
    </xf>
    <xf numFmtId="164" fontId="54" fillId="0" borderId="0" xfId="0" applyNumberFormat="1" applyFont="1" applyAlignment="1">
      <alignment horizontal="center"/>
    </xf>
    <xf numFmtId="0" fontId="55" fillId="15" borderId="0" xfId="0" applyFont="1" applyFill="1"/>
    <xf numFmtId="0" fontId="0" fillId="15" borderId="0" xfId="0" applyFill="1"/>
    <xf numFmtId="0" fontId="56" fillId="16" borderId="0" xfId="0" applyFont="1" applyFill="1" applyAlignment="1">
      <alignment horizontal="center" vertical="center" wrapText="1"/>
    </xf>
    <xf numFmtId="0" fontId="57" fillId="0" borderId="0" xfId="0" applyFont="1"/>
    <xf numFmtId="4" fontId="0" fillId="0" borderId="0" xfId="0" applyNumberFormat="1"/>
    <xf numFmtId="3" fontId="0" fillId="0" borderId="0" xfId="0" applyNumberFormat="1"/>
    <xf numFmtId="166" fontId="0" fillId="0" borderId="0" xfId="0" applyNumberFormat="1"/>
    <xf numFmtId="170" fontId="0" fillId="0" borderId="0" xfId="0" applyNumberFormat="1"/>
    <xf numFmtId="4" fontId="58" fillId="0" borderId="0" xfId="0" applyNumberFormat="1" applyFont="1"/>
    <xf numFmtId="3" fontId="58" fillId="0" borderId="0" xfId="0" applyNumberFormat="1" applyFont="1"/>
    <xf numFmtId="3" fontId="59" fillId="0" borderId="0" xfId="0" applyNumberFormat="1" applyFont="1"/>
    <xf numFmtId="166" fontId="59" fillId="0" borderId="0" xfId="0" applyNumberFormat="1" applyFont="1"/>
    <xf numFmtId="170" fontId="59" fillId="0" borderId="0" xfId="0" applyNumberFormat="1" applyFont="1"/>
    <xf numFmtId="0" fontId="55" fillId="0" borderId="0" xfId="0" applyFont="1"/>
    <xf numFmtId="3" fontId="55" fillId="0" borderId="0" xfId="0" applyNumberFormat="1" applyFont="1"/>
    <xf numFmtId="0" fontId="11" fillId="2" borderId="0" xfId="0" applyFont="1" applyFill="1"/>
    <xf numFmtId="0" fontId="0" fillId="0" borderId="0" xfId="0"/>
    <xf numFmtId="0" fontId="13" fillId="6" borderId="0" xfId="0" applyFont="1" applyFill="1"/>
  </cellXfs>
  <cellStyles count="3">
    <cellStyle name="Comma" xfId="1" builtinId="3"/>
    <cellStyle name="Normal" xfId="0" builtinId="0"/>
    <cellStyle name="Normal 2 4" xfId="2" xr:uid="{00000000-0005-0000-0000-000002000000}"/>
  </cellStyles>
  <dxfs count="8"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43B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1F3864"/>
      <rgbColor rgb="FF00B050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56"/>
  <sheetViews>
    <sheetView zoomScaleNormal="100" workbookViewId="0">
      <pane ySplit="2" topLeftCell="A3" activePane="bottomLeft" state="frozen"/>
      <selection pane="bottomLeft" activeCell="A3" sqref="A3"/>
    </sheetView>
  </sheetViews>
  <sheetFormatPr defaultColWidth="8.6328125" defaultRowHeight="14.5" x14ac:dyDescent="0.35"/>
  <cols>
    <col min="1" max="1" width="25" customWidth="1"/>
    <col min="2" max="2" width="15.453125" customWidth="1"/>
    <col min="3" max="3" width="50" customWidth="1"/>
    <col min="4" max="4" width="8.54296875" customWidth="1"/>
  </cols>
  <sheetData>
    <row r="1" spans="1:3" ht="15" customHeight="1" x14ac:dyDescent="0.4">
      <c r="A1" s="256" t="s">
        <v>137</v>
      </c>
      <c r="B1" s="255"/>
      <c r="C1" s="255"/>
    </row>
    <row r="3" spans="1:3" ht="15" customHeight="1" x14ac:dyDescent="0.35">
      <c r="A3" s="7" t="s">
        <v>138</v>
      </c>
      <c r="B3" s="7" t="s">
        <v>139</v>
      </c>
    </row>
    <row r="4" spans="1:3" ht="15" customHeight="1" x14ac:dyDescent="0.35">
      <c r="A4" s="7" t="s">
        <v>140</v>
      </c>
      <c r="B4" s="7" t="s">
        <v>141</v>
      </c>
    </row>
    <row r="5" spans="1:3" ht="15" customHeight="1" x14ac:dyDescent="0.35">
      <c r="A5" s="7" t="s">
        <v>142</v>
      </c>
      <c r="B5" s="8">
        <v>46023</v>
      </c>
    </row>
    <row r="6" spans="1:3" ht="15" customHeight="1" x14ac:dyDescent="0.35">
      <c r="A6" s="7" t="s">
        <v>143</v>
      </c>
      <c r="B6" s="7">
        <v>18</v>
      </c>
    </row>
    <row r="7" spans="1:3" ht="15" customHeight="1" x14ac:dyDescent="0.35">
      <c r="A7" s="254" t="s">
        <v>144</v>
      </c>
      <c r="B7" s="255"/>
      <c r="C7" s="255"/>
    </row>
    <row r="8" spans="1:3" ht="15" customHeight="1" x14ac:dyDescent="0.35">
      <c r="A8" s="7" t="s">
        <v>145</v>
      </c>
      <c r="B8" s="9">
        <v>45809</v>
      </c>
    </row>
    <row r="9" spans="1:3" ht="15" customHeight="1" x14ac:dyDescent="0.35">
      <c r="A9" s="7" t="s">
        <v>146</v>
      </c>
      <c r="B9" s="7">
        <v>16643.400000000001</v>
      </c>
    </row>
    <row r="10" spans="1:3" ht="15" customHeight="1" x14ac:dyDescent="0.35">
      <c r="A10" s="7" t="s">
        <v>147</v>
      </c>
      <c r="B10" s="10">
        <f>'0_Indice_CAC'!A4</f>
        <v>45778</v>
      </c>
    </row>
    <row r="11" spans="1:3" ht="15" customHeight="1" x14ac:dyDescent="0.35">
      <c r="A11" s="7" t="s">
        <v>148</v>
      </c>
      <c r="B11" s="11">
        <f>'0_Indice_CAC'!D4</f>
        <v>1.0073904595885312</v>
      </c>
    </row>
    <row r="12" spans="1:3" ht="15" customHeight="1" x14ac:dyDescent="0.35">
      <c r="A12" s="254" t="s">
        <v>149</v>
      </c>
      <c r="B12" s="255"/>
      <c r="C12" s="255"/>
    </row>
    <row r="13" spans="1:3" ht="15" customHeight="1" x14ac:dyDescent="0.35">
      <c r="A13" s="7" t="s">
        <v>150</v>
      </c>
      <c r="B13" s="11">
        <f>'1_GGBB'!F61</f>
        <v>1.3564671245448701</v>
      </c>
      <c r="C13" s="7" t="s">
        <v>151</v>
      </c>
    </row>
    <row r="14" spans="1:3" ht="15" customHeight="1" x14ac:dyDescent="0.35">
      <c r="A14" s="254" t="s">
        <v>152</v>
      </c>
      <c r="B14" s="255"/>
      <c r="C14" s="255"/>
    </row>
    <row r="15" spans="1:3" ht="15" customHeight="1" x14ac:dyDescent="0.35">
      <c r="A15" s="7" t="s">
        <v>153</v>
      </c>
      <c r="B15" s="7" t="s">
        <v>154</v>
      </c>
    </row>
    <row r="16" spans="1:3" ht="15" customHeight="1" x14ac:dyDescent="0.35">
      <c r="A16" s="7" t="s">
        <v>155</v>
      </c>
      <c r="B16" s="12">
        <f t="array" ref="B16">SUMPRODUCT(('1_Presupuesto'!$J$4:$J$212+'1_Presupuesto'!$K$4:$K$212+'1_Presupuesto'!$L$4:$L$212)*'1_Presupuesto'!$I$4:$I$212)</f>
        <v>1109935042.5599997</v>
      </c>
    </row>
    <row r="17" spans="1:3" ht="15" customHeight="1" x14ac:dyDescent="0.35">
      <c r="A17" s="7" t="s">
        <v>156</v>
      </c>
      <c r="B17" s="12">
        <f t="array" ref="B17">SUMPRODUCT('1_Presupuesto'!$N$4:$N$212*'1_Presupuesto'!$I$4:$I$212)</f>
        <v>1135751904.0499997</v>
      </c>
    </row>
    <row r="18" spans="1:3" ht="15" customHeight="1" x14ac:dyDescent="0.35">
      <c r="A18" s="7" t="s">
        <v>157</v>
      </c>
      <c r="B18" s="12">
        <f t="array" ref="B18">SUMPRODUCT('1_Presupuesto'!$S$4:$S$212*'1_Presupuesto'!$I$4:$I$212)</f>
        <v>1540610119.4830639</v>
      </c>
    </row>
    <row r="19" spans="1:3" ht="15" customHeight="1" x14ac:dyDescent="0.35">
      <c r="A19" s="7" t="s">
        <v>158</v>
      </c>
      <c r="B19" s="12">
        <f>+B17*B13-B18</f>
        <v>0</v>
      </c>
      <c r="C19" s="7" t="s">
        <v>159</v>
      </c>
    </row>
    <row r="44" spans="1:3" ht="15" customHeight="1" x14ac:dyDescent="0.35">
      <c r="A44" s="254" t="s">
        <v>160</v>
      </c>
      <c r="B44" s="255"/>
      <c r="C44" s="255"/>
    </row>
    <row r="45" spans="1:3" ht="15" customHeight="1" x14ac:dyDescent="0.35">
      <c r="A45" s="7" t="s">
        <v>161</v>
      </c>
      <c r="B45" s="12">
        <f>SUMPRODUCT('2_Movimientos'!$I$2:$I$1000,N(LEFT(TEXT('2_Movimientos'!$A$2:$A$1000,"0"),1)&lt;&gt;"4"))-SUMPRODUCT('2_Movimientos'!$J$2:$J$1000,N(LEFT(TEXT('2_Movimientos'!$A$2:$A$1000,"0"),1)&lt;&gt;"4"))</f>
        <v>93309800.910000026</v>
      </c>
    </row>
    <row r="46" spans="1:3" ht="15" customHeight="1" x14ac:dyDescent="0.35">
      <c r="A46" s="7" t="s">
        <v>162</v>
      </c>
      <c r="B46" s="2"/>
    </row>
    <row r="47" spans="1:3" ht="15" customHeight="1" x14ac:dyDescent="0.35">
      <c r="A47" s="7" t="s">
        <v>163</v>
      </c>
      <c r="B47" s="12">
        <f>B45-B46</f>
        <v>93309800.910000026</v>
      </c>
    </row>
    <row r="49" spans="1:3" x14ac:dyDescent="0.35">
      <c r="A49" s="222" t="s">
        <v>164</v>
      </c>
      <c r="B49" s="230">
        <v>100</v>
      </c>
    </row>
    <row r="52" spans="1:3" ht="15" customHeight="1" x14ac:dyDescent="0.35">
      <c r="A52" s="254" t="s">
        <v>165</v>
      </c>
      <c r="B52" s="255"/>
      <c r="C52" s="255"/>
    </row>
    <row r="53" spans="1:3" ht="15" customHeight="1" x14ac:dyDescent="0.35">
      <c r="A53" s="7" t="s">
        <v>166</v>
      </c>
      <c r="B53" s="7" t="s">
        <v>167</v>
      </c>
    </row>
    <row r="54" spans="1:3" ht="15" customHeight="1" x14ac:dyDescent="0.35">
      <c r="A54" s="7" t="s">
        <v>168</v>
      </c>
      <c r="B54" s="7" t="s">
        <v>169</v>
      </c>
    </row>
    <row r="55" spans="1:3" ht="15" customHeight="1" x14ac:dyDescent="0.35">
      <c r="A55" s="7" t="s">
        <v>170</v>
      </c>
      <c r="B55" s="7" t="s">
        <v>171</v>
      </c>
    </row>
    <row r="56" spans="1:3" ht="15" customHeight="1" x14ac:dyDescent="0.35">
      <c r="A56" s="7" t="s">
        <v>172</v>
      </c>
      <c r="B56" s="7" t="s">
        <v>173</v>
      </c>
    </row>
  </sheetData>
  <mergeCells count="6">
    <mergeCell ref="A52:C52"/>
    <mergeCell ref="A44:C44"/>
    <mergeCell ref="A1:C1"/>
    <mergeCell ref="A14:C14"/>
    <mergeCell ref="A12:C12"/>
    <mergeCell ref="A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33"/>
  <sheetViews>
    <sheetView showGridLines="0" zoomScaleNormal="100" workbookViewId="0">
      <pane ySplit="3" topLeftCell="A4" activePane="bottomLeft" state="frozen"/>
      <selection pane="bottomLeft" activeCell="B12" sqref="B12"/>
    </sheetView>
  </sheetViews>
  <sheetFormatPr defaultColWidth="8.6328125" defaultRowHeight="14.5" x14ac:dyDescent="0.35"/>
  <cols>
    <col min="1" max="1" width="15.36328125" customWidth="1"/>
    <col min="2" max="4" width="11" customWidth="1"/>
    <col min="5" max="5" width="8.7265625" customWidth="1"/>
  </cols>
  <sheetData>
    <row r="1" spans="1:6" ht="15" customHeight="1" x14ac:dyDescent="0.4">
      <c r="A1" s="6" t="s">
        <v>174</v>
      </c>
      <c r="B1" s="6"/>
      <c r="C1" s="6"/>
      <c r="D1" s="6"/>
      <c r="F1" t="s">
        <v>175</v>
      </c>
    </row>
    <row r="2" spans="1:6" ht="15" customHeight="1" x14ac:dyDescent="0.35">
      <c r="A2" s="47" t="s">
        <v>176</v>
      </c>
    </row>
    <row r="3" spans="1:6" ht="26" customHeight="1" x14ac:dyDescent="0.35">
      <c r="A3" s="13" t="s">
        <v>177</v>
      </c>
      <c r="B3" s="13" t="s">
        <v>178</v>
      </c>
      <c r="C3" s="13" t="s">
        <v>179</v>
      </c>
      <c r="D3" s="13" t="s">
        <v>180</v>
      </c>
    </row>
    <row r="4" spans="1:6" ht="12.75" customHeight="1" x14ac:dyDescent="0.35">
      <c r="A4" s="14">
        <v>45778</v>
      </c>
      <c r="B4" s="15">
        <v>16521.3</v>
      </c>
      <c r="C4" s="15"/>
      <c r="D4" s="16">
        <f t="shared" ref="D4:D18" si="0">$B$5/B4</f>
        <v>1.0073904595885312</v>
      </c>
    </row>
    <row r="5" spans="1:6" ht="12.75" customHeight="1" x14ac:dyDescent="0.35">
      <c r="A5" s="14">
        <v>45809</v>
      </c>
      <c r="B5" s="15">
        <v>16643.400000000001</v>
      </c>
      <c r="C5" s="15"/>
      <c r="D5" s="16">
        <f t="shared" si="0"/>
        <v>1</v>
      </c>
    </row>
    <row r="6" spans="1:6" ht="12.75" customHeight="1" x14ac:dyDescent="0.35">
      <c r="A6" s="14">
        <v>45839</v>
      </c>
      <c r="B6" s="15">
        <v>16939.5</v>
      </c>
      <c r="C6" s="15"/>
      <c r="D6" s="16">
        <f t="shared" si="0"/>
        <v>0.98252014522270437</v>
      </c>
    </row>
    <row r="7" spans="1:6" ht="12.75" customHeight="1" x14ac:dyDescent="0.35">
      <c r="A7" s="14">
        <v>45870</v>
      </c>
      <c r="B7" s="15">
        <v>17187.599999999999</v>
      </c>
      <c r="C7" s="15"/>
      <c r="D7" s="16">
        <f t="shared" si="0"/>
        <v>0.96833763876282919</v>
      </c>
    </row>
    <row r="8" spans="1:6" ht="12.75" customHeight="1" x14ac:dyDescent="0.35">
      <c r="A8" s="14">
        <v>45901</v>
      </c>
      <c r="B8" s="15">
        <v>17762.3</v>
      </c>
      <c r="C8" s="15"/>
      <c r="D8" s="16">
        <f t="shared" si="0"/>
        <v>0.93700703174701483</v>
      </c>
    </row>
    <row r="9" spans="1:6" ht="12.75" customHeight="1" x14ac:dyDescent="0.35">
      <c r="A9" s="14">
        <v>45931</v>
      </c>
      <c r="B9" s="15">
        <v>18172.8</v>
      </c>
      <c r="C9" s="15"/>
      <c r="D9" s="16">
        <f t="shared" si="0"/>
        <v>0.91584125726360288</v>
      </c>
    </row>
    <row r="10" spans="1:6" ht="12.75" customHeight="1" x14ac:dyDescent="0.35">
      <c r="A10" s="14">
        <v>45962</v>
      </c>
      <c r="B10" s="15">
        <v>18534.900000000001</v>
      </c>
      <c r="C10" s="15"/>
      <c r="D10" s="16">
        <f t="shared" si="0"/>
        <v>0.89794927407215575</v>
      </c>
    </row>
    <row r="11" spans="1:6" ht="12.75" customHeight="1" x14ac:dyDescent="0.35">
      <c r="A11" s="14">
        <v>45992</v>
      </c>
      <c r="B11" s="15">
        <v>18776.5</v>
      </c>
      <c r="C11" s="15"/>
      <c r="D11" s="16">
        <f t="shared" si="0"/>
        <v>0.88639522807765037</v>
      </c>
    </row>
    <row r="12" spans="1:6" ht="12.75" customHeight="1" x14ac:dyDescent="0.35">
      <c r="A12" s="14">
        <v>46023</v>
      </c>
      <c r="B12" s="15">
        <v>19209.400000000001</v>
      </c>
      <c r="C12" s="15"/>
      <c r="D12" s="16">
        <f t="shared" si="0"/>
        <v>0.86641956542109588</v>
      </c>
    </row>
    <row r="13" spans="1:6" ht="12.75" customHeight="1" x14ac:dyDescent="0.35">
      <c r="A13" s="14">
        <v>46054</v>
      </c>
      <c r="B13" s="15">
        <v>19453</v>
      </c>
      <c r="C13" s="15"/>
      <c r="D13" s="16">
        <f t="shared" si="0"/>
        <v>0.85556983498689154</v>
      </c>
    </row>
    <row r="14" spans="1:6" ht="12.75" customHeight="1" x14ac:dyDescent="0.35">
      <c r="A14" s="14">
        <v>46082</v>
      </c>
      <c r="B14" s="15">
        <v>19771.2</v>
      </c>
      <c r="C14" s="15"/>
      <c r="D14" s="16">
        <f t="shared" si="0"/>
        <v>0.84180019422189856</v>
      </c>
    </row>
    <row r="15" spans="1:6" ht="12.75" customHeight="1" x14ac:dyDescent="0.35">
      <c r="A15" s="14">
        <v>46113</v>
      </c>
      <c r="B15" s="17">
        <v>20138.793405782701</v>
      </c>
      <c r="C15" s="15"/>
      <c r="D15" s="16">
        <f t="shared" si="0"/>
        <v>0.82643481486934445</v>
      </c>
    </row>
    <row r="16" spans="1:6" ht="12.75" customHeight="1" x14ac:dyDescent="0.35">
      <c r="A16" s="14">
        <v>46143</v>
      </c>
      <c r="B16" s="17">
        <v>20471.346217654202</v>
      </c>
      <c r="C16" s="15"/>
      <c r="D16" s="16">
        <f t="shared" si="0"/>
        <v>0.81300955115726425</v>
      </c>
    </row>
    <row r="17" spans="1:4" ht="12.75" customHeight="1" x14ac:dyDescent="0.35">
      <c r="A17" s="14">
        <v>46174</v>
      </c>
      <c r="B17" s="17">
        <v>20471.346217654202</v>
      </c>
      <c r="C17" s="15"/>
      <c r="D17" s="16">
        <f t="shared" si="0"/>
        <v>0.81300955115726425</v>
      </c>
    </row>
    <row r="18" spans="1:4" x14ac:dyDescent="0.35">
      <c r="A18" s="211">
        <v>46204</v>
      </c>
      <c r="B18" s="212">
        <v>20800</v>
      </c>
      <c r="C18" s="15"/>
      <c r="D18" s="16">
        <f t="shared" si="0"/>
        <v>0.80016346153846163</v>
      </c>
    </row>
    <row r="19" spans="1:4" x14ac:dyDescent="0.35">
      <c r="A19" s="14"/>
      <c r="B19" s="15"/>
      <c r="C19" s="15"/>
      <c r="D19" s="18"/>
    </row>
    <row r="20" spans="1:4" x14ac:dyDescent="0.35">
      <c r="A20" s="14"/>
      <c r="B20" s="15"/>
      <c r="C20" s="15"/>
      <c r="D20" s="18"/>
    </row>
    <row r="21" spans="1:4" x14ac:dyDescent="0.35">
      <c r="A21" s="14"/>
      <c r="B21" s="15"/>
      <c r="C21" s="15"/>
      <c r="D21" s="18"/>
    </row>
    <row r="22" spans="1:4" x14ac:dyDescent="0.35">
      <c r="A22" s="14"/>
      <c r="B22" s="15"/>
      <c r="C22" s="15"/>
      <c r="D22" s="18"/>
    </row>
    <row r="23" spans="1:4" x14ac:dyDescent="0.35">
      <c r="A23" s="14"/>
      <c r="B23" s="15"/>
      <c r="C23" s="15"/>
      <c r="D23" s="18"/>
    </row>
    <row r="24" spans="1:4" x14ac:dyDescent="0.35">
      <c r="A24" s="14"/>
      <c r="B24" s="15"/>
      <c r="C24" s="15"/>
      <c r="D24" s="18"/>
    </row>
    <row r="25" spans="1:4" x14ac:dyDescent="0.35">
      <c r="A25" s="14"/>
      <c r="B25" s="15"/>
      <c r="C25" s="15"/>
      <c r="D25" s="18"/>
    </row>
    <row r="26" spans="1:4" x14ac:dyDescent="0.35">
      <c r="A26" s="14"/>
      <c r="B26" s="15"/>
      <c r="C26" s="15"/>
      <c r="D26" s="18"/>
    </row>
    <row r="27" spans="1:4" x14ac:dyDescent="0.35">
      <c r="A27" s="14"/>
      <c r="B27" s="15"/>
      <c r="C27" s="15"/>
      <c r="D27" s="18"/>
    </row>
    <row r="28" spans="1:4" x14ac:dyDescent="0.35">
      <c r="A28" s="14"/>
      <c r="B28" s="15"/>
      <c r="C28" s="15"/>
      <c r="D28" s="18"/>
    </row>
    <row r="29" spans="1:4" x14ac:dyDescent="0.35">
      <c r="A29" s="14"/>
      <c r="B29" s="15"/>
      <c r="C29" s="15"/>
      <c r="D29" s="18"/>
    </row>
    <row r="30" spans="1:4" x14ac:dyDescent="0.35">
      <c r="A30" s="14"/>
      <c r="B30" s="15"/>
      <c r="C30" s="15"/>
      <c r="D30" s="18"/>
    </row>
    <row r="31" spans="1:4" x14ac:dyDescent="0.35">
      <c r="A31" s="14"/>
      <c r="B31" s="15"/>
      <c r="C31" s="15"/>
      <c r="D31" s="18"/>
    </row>
    <row r="32" spans="1:4" x14ac:dyDescent="0.35">
      <c r="A32" s="14"/>
      <c r="B32" s="15"/>
      <c r="C32" s="15"/>
      <c r="D32" s="18"/>
    </row>
    <row r="33" spans="1:4" x14ac:dyDescent="0.35">
      <c r="A33" s="14"/>
      <c r="B33" s="15"/>
      <c r="C33" s="15"/>
      <c r="D33" s="18"/>
    </row>
  </sheetData>
  <conditionalFormatting sqref="A4:A33">
    <cfRule type="timePeriod" dxfId="7" priority="2" timePeriod="lastMonth">
      <formula>AND(MONTH(A4)=MONTH(EDATE(TODAY(),0-1)),YEAR(A4)=YEAR(EDATE(TODAY(),0-1)))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L2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5" width="13.26953125" customWidth="1"/>
    <col min="6" max="6" width="4.90625" customWidth="1"/>
    <col min="7" max="10" width="11.90625" customWidth="1"/>
    <col min="11" max="11" width="8.6328125" customWidth="1"/>
  </cols>
  <sheetData>
    <row r="1" spans="1:12" ht="15" customHeight="1" x14ac:dyDescent="0.4">
      <c r="A1" s="6" t="s">
        <v>181</v>
      </c>
      <c r="B1" s="6"/>
      <c r="C1" s="6"/>
      <c r="D1" s="6"/>
      <c r="E1" s="6"/>
      <c r="F1" s="6"/>
      <c r="G1" s="6"/>
      <c r="H1" s="6"/>
      <c r="I1" s="6"/>
      <c r="J1" s="6"/>
      <c r="L1" t="s">
        <v>182</v>
      </c>
    </row>
    <row r="2" spans="1:12" ht="15" customHeight="1" x14ac:dyDescent="0.35"/>
    <row r="3" spans="1:12" ht="21.5" customHeight="1" x14ac:dyDescent="0.35">
      <c r="A3" s="180" t="s">
        <v>177</v>
      </c>
      <c r="B3" s="180" t="s">
        <v>183</v>
      </c>
      <c r="C3" s="180" t="s">
        <v>184</v>
      </c>
      <c r="D3" s="180" t="s">
        <v>185</v>
      </c>
      <c r="E3" s="180" t="s">
        <v>186</v>
      </c>
      <c r="F3" s="13"/>
      <c r="G3" s="13" t="s">
        <v>187</v>
      </c>
      <c r="H3" s="13" t="s">
        <v>188</v>
      </c>
      <c r="I3" s="13" t="s">
        <v>189</v>
      </c>
      <c r="J3" s="13" t="s">
        <v>190</v>
      </c>
    </row>
    <row r="4" spans="1:12" ht="15" customHeight="1" x14ac:dyDescent="0.35">
      <c r="A4" s="14">
        <v>46023</v>
      </c>
      <c r="B4" s="15">
        <v>117452.66</v>
      </c>
      <c r="C4" s="15">
        <v>97866.77</v>
      </c>
      <c r="D4" s="15">
        <v>83614.94</v>
      </c>
      <c r="E4" s="15">
        <v>78291.039999999994</v>
      </c>
      <c r="G4" s="16">
        <f t="shared" ref="G4:G21" si="0">IF(B4="","",B4/8)</f>
        <v>14681.5825</v>
      </c>
      <c r="H4" s="16">
        <f t="shared" ref="H4:H21" si="1">IF(C4="","",C4/8)</f>
        <v>12233.346250000001</v>
      </c>
      <c r="I4" s="16">
        <f t="shared" ref="I4:I21" si="2">IF(D4="","",D4/8)</f>
        <v>10451.8675</v>
      </c>
      <c r="J4" s="16">
        <f t="shared" ref="J4:J21" si="3">IF(E4="","",E4/8)</f>
        <v>9786.3799999999992</v>
      </c>
    </row>
    <row r="5" spans="1:12" ht="15" customHeight="1" x14ac:dyDescent="0.35">
      <c r="A5" s="14">
        <v>46054</v>
      </c>
      <c r="B5" s="15">
        <v>119406.33</v>
      </c>
      <c r="C5" s="15">
        <v>99479.56</v>
      </c>
      <c r="D5" s="15">
        <v>84948.75</v>
      </c>
      <c r="E5" s="15">
        <v>79490.600000000006</v>
      </c>
      <c r="G5" s="16">
        <f t="shared" si="0"/>
        <v>14925.79125</v>
      </c>
      <c r="H5" s="16">
        <f t="shared" si="1"/>
        <v>12434.945</v>
      </c>
      <c r="I5" s="16">
        <f t="shared" si="2"/>
        <v>10618.59375</v>
      </c>
      <c r="J5" s="16">
        <f t="shared" si="3"/>
        <v>9936.3250000000007</v>
      </c>
    </row>
    <row r="6" spans="1:12" ht="15" customHeight="1" x14ac:dyDescent="0.35">
      <c r="A6" s="14">
        <v>46082</v>
      </c>
      <c r="B6" s="15">
        <v>122445.79</v>
      </c>
      <c r="C6" s="15">
        <v>102029.07</v>
      </c>
      <c r="D6" s="15">
        <v>87100.47</v>
      </c>
      <c r="E6" s="15">
        <v>81453.72</v>
      </c>
      <c r="G6" s="16">
        <f t="shared" si="0"/>
        <v>15305.723749999999</v>
      </c>
      <c r="H6" s="16">
        <f t="shared" si="1"/>
        <v>12753.633750000001</v>
      </c>
      <c r="I6" s="16">
        <f t="shared" si="2"/>
        <v>10887.55875</v>
      </c>
      <c r="J6" s="16">
        <f t="shared" si="3"/>
        <v>10181.715</v>
      </c>
    </row>
    <row r="7" spans="1:12" ht="15" customHeight="1" x14ac:dyDescent="0.35">
      <c r="A7" s="14">
        <v>46113</v>
      </c>
      <c r="B7" s="15">
        <v>128780.87</v>
      </c>
      <c r="C7" s="15">
        <v>106995.86</v>
      </c>
      <c r="D7" s="15">
        <v>91265.84</v>
      </c>
      <c r="E7" s="15">
        <v>85242.81</v>
      </c>
      <c r="G7" s="16">
        <f t="shared" si="0"/>
        <v>16097.608749999999</v>
      </c>
      <c r="H7" s="16">
        <f t="shared" si="1"/>
        <v>13374.4825</v>
      </c>
      <c r="I7" s="16">
        <f t="shared" si="2"/>
        <v>11408.23</v>
      </c>
      <c r="J7" s="16">
        <f t="shared" si="3"/>
        <v>10655.35125</v>
      </c>
    </row>
    <row r="8" spans="1:12" ht="15" customHeight="1" x14ac:dyDescent="0.35">
      <c r="A8" s="14">
        <v>46143</v>
      </c>
      <c r="B8" s="15">
        <v>131727.59</v>
      </c>
      <c r="C8" s="15">
        <v>109491.85</v>
      </c>
      <c r="D8" s="15">
        <v>93345.07</v>
      </c>
      <c r="E8" s="15">
        <v>87239.92</v>
      </c>
      <c r="G8" s="16">
        <f t="shared" si="0"/>
        <v>16465.94875</v>
      </c>
      <c r="H8" s="16">
        <f t="shared" si="1"/>
        <v>13686.481250000001</v>
      </c>
      <c r="I8" s="16">
        <f t="shared" si="2"/>
        <v>11668.133750000001</v>
      </c>
      <c r="J8" s="16">
        <f t="shared" si="3"/>
        <v>10904.99</v>
      </c>
    </row>
    <row r="9" spans="1:12" ht="15" customHeight="1" x14ac:dyDescent="0.35">
      <c r="A9" s="19">
        <v>46174</v>
      </c>
      <c r="B9" s="17"/>
      <c r="C9" s="17"/>
      <c r="D9" s="17"/>
      <c r="E9" s="17"/>
      <c r="G9" s="20" t="str">
        <f t="shared" si="0"/>
        <v/>
      </c>
      <c r="H9" s="20" t="str">
        <f t="shared" si="1"/>
        <v/>
      </c>
      <c r="I9" s="20" t="str">
        <f t="shared" si="2"/>
        <v/>
      </c>
      <c r="J9" s="20" t="str">
        <f t="shared" si="3"/>
        <v/>
      </c>
    </row>
    <row r="10" spans="1:12" ht="15" customHeight="1" x14ac:dyDescent="0.35">
      <c r="A10" s="19">
        <v>46204</v>
      </c>
      <c r="B10" s="17"/>
      <c r="C10" s="17"/>
      <c r="D10" s="17"/>
      <c r="E10" s="17"/>
      <c r="G10" s="20" t="str">
        <f t="shared" si="0"/>
        <v/>
      </c>
      <c r="H10" s="20" t="str">
        <f t="shared" si="1"/>
        <v/>
      </c>
      <c r="I10" s="20" t="str">
        <f t="shared" si="2"/>
        <v/>
      </c>
      <c r="J10" s="20" t="str">
        <f t="shared" si="3"/>
        <v/>
      </c>
    </row>
    <row r="11" spans="1:12" ht="15" customHeight="1" x14ac:dyDescent="0.35">
      <c r="A11" s="19">
        <v>46235</v>
      </c>
      <c r="B11" s="17"/>
      <c r="C11" s="17"/>
      <c r="D11" s="17"/>
      <c r="E11" s="17"/>
      <c r="G11" s="20" t="str">
        <f t="shared" si="0"/>
        <v/>
      </c>
      <c r="H11" s="20" t="str">
        <f t="shared" si="1"/>
        <v/>
      </c>
      <c r="I11" s="20" t="str">
        <f t="shared" si="2"/>
        <v/>
      </c>
      <c r="J11" s="20" t="str">
        <f t="shared" si="3"/>
        <v/>
      </c>
    </row>
    <row r="12" spans="1:12" ht="15" customHeight="1" x14ac:dyDescent="0.35">
      <c r="A12" s="19">
        <v>46266</v>
      </c>
      <c r="B12" s="17"/>
      <c r="C12" s="17"/>
      <c r="D12" s="17"/>
      <c r="E12" s="17"/>
      <c r="G12" s="20" t="str">
        <f t="shared" si="0"/>
        <v/>
      </c>
      <c r="H12" s="20" t="str">
        <f t="shared" si="1"/>
        <v/>
      </c>
      <c r="I12" s="20" t="str">
        <f t="shared" si="2"/>
        <v/>
      </c>
      <c r="J12" s="20" t="str">
        <f t="shared" si="3"/>
        <v/>
      </c>
    </row>
    <row r="13" spans="1:12" ht="15" customHeight="1" x14ac:dyDescent="0.35">
      <c r="A13" s="19">
        <v>46296</v>
      </c>
      <c r="B13" s="17"/>
      <c r="C13" s="17"/>
      <c r="D13" s="17"/>
      <c r="E13" s="17"/>
      <c r="G13" s="20" t="str">
        <f t="shared" si="0"/>
        <v/>
      </c>
      <c r="H13" s="20" t="str">
        <f t="shared" si="1"/>
        <v/>
      </c>
      <c r="I13" s="20" t="str">
        <f t="shared" si="2"/>
        <v/>
      </c>
      <c r="J13" s="20" t="str">
        <f t="shared" si="3"/>
        <v/>
      </c>
    </row>
    <row r="14" spans="1:12" ht="15" customHeight="1" x14ac:dyDescent="0.35">
      <c r="A14" s="19">
        <v>46327</v>
      </c>
      <c r="B14" s="17"/>
      <c r="C14" s="17"/>
      <c r="D14" s="17"/>
      <c r="E14" s="17"/>
      <c r="G14" s="20" t="str">
        <f t="shared" si="0"/>
        <v/>
      </c>
      <c r="H14" s="20" t="str">
        <f t="shared" si="1"/>
        <v/>
      </c>
      <c r="I14" s="20" t="str">
        <f t="shared" si="2"/>
        <v/>
      </c>
      <c r="J14" s="20" t="str">
        <f t="shared" si="3"/>
        <v/>
      </c>
    </row>
    <row r="15" spans="1:12" ht="15" customHeight="1" x14ac:dyDescent="0.35">
      <c r="A15" s="19">
        <v>46357</v>
      </c>
      <c r="B15" s="17"/>
      <c r="C15" s="17"/>
      <c r="D15" s="17"/>
      <c r="E15" s="17"/>
      <c r="G15" s="20" t="str">
        <f t="shared" si="0"/>
        <v/>
      </c>
      <c r="H15" s="20" t="str">
        <f t="shared" si="1"/>
        <v/>
      </c>
      <c r="I15" s="20" t="str">
        <f t="shared" si="2"/>
        <v/>
      </c>
      <c r="J15" s="20" t="str">
        <f t="shared" si="3"/>
        <v/>
      </c>
    </row>
    <row r="16" spans="1:12" ht="15" customHeight="1" x14ac:dyDescent="0.35">
      <c r="A16" s="19">
        <v>46388</v>
      </c>
      <c r="B16" s="17"/>
      <c r="C16" s="17"/>
      <c r="D16" s="17"/>
      <c r="E16" s="17"/>
      <c r="G16" s="20" t="str">
        <f t="shared" si="0"/>
        <v/>
      </c>
      <c r="H16" s="20" t="str">
        <f t="shared" si="1"/>
        <v/>
      </c>
      <c r="I16" s="20" t="str">
        <f t="shared" si="2"/>
        <v/>
      </c>
      <c r="J16" s="20" t="str">
        <f t="shared" si="3"/>
        <v/>
      </c>
    </row>
    <row r="17" spans="1:10" ht="15" customHeight="1" x14ac:dyDescent="0.35">
      <c r="A17" s="19">
        <v>46419</v>
      </c>
      <c r="B17" s="17"/>
      <c r="C17" s="17"/>
      <c r="D17" s="17"/>
      <c r="E17" s="17"/>
      <c r="G17" s="20" t="str">
        <f t="shared" si="0"/>
        <v/>
      </c>
      <c r="H17" s="20" t="str">
        <f t="shared" si="1"/>
        <v/>
      </c>
      <c r="I17" s="20" t="str">
        <f t="shared" si="2"/>
        <v/>
      </c>
      <c r="J17" s="20" t="str">
        <f t="shared" si="3"/>
        <v/>
      </c>
    </row>
    <row r="18" spans="1:10" ht="15" customHeight="1" x14ac:dyDescent="0.35">
      <c r="A18" s="19">
        <v>46447</v>
      </c>
      <c r="B18" s="17"/>
      <c r="C18" s="17"/>
      <c r="D18" s="17"/>
      <c r="E18" s="17"/>
      <c r="G18" s="20" t="str">
        <f t="shared" si="0"/>
        <v/>
      </c>
      <c r="H18" s="20" t="str">
        <f t="shared" si="1"/>
        <v/>
      </c>
      <c r="I18" s="20" t="str">
        <f t="shared" si="2"/>
        <v/>
      </c>
      <c r="J18" s="20" t="str">
        <f t="shared" si="3"/>
        <v/>
      </c>
    </row>
    <row r="19" spans="1:10" ht="15" customHeight="1" x14ac:dyDescent="0.35">
      <c r="A19" s="19">
        <v>46478</v>
      </c>
      <c r="B19" s="17"/>
      <c r="C19" s="17"/>
      <c r="D19" s="17"/>
      <c r="E19" s="17"/>
      <c r="G19" s="20" t="str">
        <f t="shared" si="0"/>
        <v/>
      </c>
      <c r="H19" s="20" t="str">
        <f t="shared" si="1"/>
        <v/>
      </c>
      <c r="I19" s="20" t="str">
        <f t="shared" si="2"/>
        <v/>
      </c>
      <c r="J19" s="20" t="str">
        <f t="shared" si="3"/>
        <v/>
      </c>
    </row>
    <row r="20" spans="1:10" ht="15" customHeight="1" x14ac:dyDescent="0.35">
      <c r="A20" s="19">
        <v>46508</v>
      </c>
      <c r="B20" s="17"/>
      <c r="C20" s="17"/>
      <c r="D20" s="17"/>
      <c r="E20" s="17"/>
      <c r="G20" s="20" t="str">
        <f t="shared" si="0"/>
        <v/>
      </c>
      <c r="H20" s="20" t="str">
        <f t="shared" si="1"/>
        <v/>
      </c>
      <c r="I20" s="20" t="str">
        <f t="shared" si="2"/>
        <v/>
      </c>
      <c r="J20" s="20" t="str">
        <f t="shared" si="3"/>
        <v/>
      </c>
    </row>
    <row r="21" spans="1:10" ht="15" customHeight="1" x14ac:dyDescent="0.35">
      <c r="A21" s="19">
        <v>46539</v>
      </c>
      <c r="B21" s="17"/>
      <c r="C21" s="17"/>
      <c r="D21" s="17"/>
      <c r="E21" s="17"/>
      <c r="G21" s="20" t="str">
        <f t="shared" si="0"/>
        <v/>
      </c>
      <c r="H21" s="20" t="str">
        <f t="shared" si="1"/>
        <v/>
      </c>
      <c r="I21" s="20" t="str">
        <f t="shared" si="2"/>
        <v/>
      </c>
      <c r="J21" s="20" t="str">
        <f t="shared" si="3"/>
        <v/>
      </c>
    </row>
    <row r="22" spans="1:10" ht="15" customHeight="1" x14ac:dyDescent="0.35"/>
    <row r="23" spans="1:10" x14ac:dyDescent="0.35">
      <c r="A23" s="1"/>
    </row>
  </sheetData>
  <conditionalFormatting sqref="A4:A21">
    <cfRule type="timePeriod" dxfId="6" priority="2" timePeriod="lastMonth">
      <formula>AND(MONTH(A4)=MONTH(EDATE(TODAY(),0-1)),YEAR(A4)=YEAR(EDATE(TODAY(),0-1)))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95959"/>
  </sheetPr>
  <dimension ref="A1:Y212"/>
  <sheetViews>
    <sheetView showGridLines="0" workbookViewId="0">
      <pane xSplit="9" ySplit="3" topLeftCell="J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4" width="16" customWidth="1"/>
    <col min="5" max="5" width="9" customWidth="1"/>
    <col min="6" max="6" width="8" customWidth="1"/>
    <col min="7" max="7" width="40" customWidth="1"/>
    <col min="8" max="8" width="6" customWidth="1"/>
    <col min="9" max="9" width="8" customWidth="1"/>
    <col min="10" max="19" width="13" customWidth="1"/>
    <col min="20" max="20" width="9" customWidth="1"/>
    <col min="21" max="22" width="13" customWidth="1"/>
    <col min="23" max="23" width="20" customWidth="1"/>
    <col min="24" max="24" width="12" customWidth="1"/>
    <col min="25" max="25" width="11" customWidth="1"/>
  </cols>
  <sheetData>
    <row r="1" spans="1:25" x14ac:dyDescent="0.35">
      <c r="A1" s="239" t="s">
        <v>191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</row>
    <row r="3" spans="1:25" x14ac:dyDescent="0.35">
      <c r="A3" s="241" t="s">
        <v>192</v>
      </c>
      <c r="B3" s="241" t="s">
        <v>193</v>
      </c>
      <c r="C3" s="241" t="s">
        <v>194</v>
      </c>
      <c r="D3" s="241" t="s">
        <v>195</v>
      </c>
      <c r="E3" s="241" t="s">
        <v>196</v>
      </c>
      <c r="F3" s="241" t="s">
        <v>140</v>
      </c>
      <c r="G3" s="241" t="s">
        <v>197</v>
      </c>
      <c r="H3" s="241" t="s">
        <v>198</v>
      </c>
      <c r="I3" s="241" t="s">
        <v>199</v>
      </c>
      <c r="J3" s="241" t="s">
        <v>200</v>
      </c>
      <c r="K3" s="241" t="s">
        <v>201</v>
      </c>
      <c r="L3" s="241" t="s">
        <v>202</v>
      </c>
      <c r="M3" s="241" t="s">
        <v>203</v>
      </c>
      <c r="N3" s="241" t="s">
        <v>204</v>
      </c>
      <c r="O3" s="241" t="s">
        <v>200</v>
      </c>
      <c r="P3" s="241" t="s">
        <v>201</v>
      </c>
      <c r="Q3" s="241" t="s">
        <v>202</v>
      </c>
      <c r="R3" s="241" t="s">
        <v>203</v>
      </c>
      <c r="S3" s="241" t="s">
        <v>205</v>
      </c>
      <c r="T3" s="241" t="s">
        <v>206</v>
      </c>
      <c r="U3" s="241" t="s">
        <v>207</v>
      </c>
      <c r="V3" s="241" t="s">
        <v>208</v>
      </c>
      <c r="W3" s="241" t="s">
        <v>209</v>
      </c>
      <c r="X3" s="241" t="s">
        <v>210</v>
      </c>
      <c r="Y3" s="241" t="s">
        <v>211</v>
      </c>
    </row>
    <row r="4" spans="1:25" x14ac:dyDescent="0.35">
      <c r="F4" s="242" t="s">
        <v>212</v>
      </c>
      <c r="G4" s="242" t="s">
        <v>213</v>
      </c>
      <c r="I4" s="243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5"/>
      <c r="U4" s="244"/>
      <c r="V4" s="244"/>
      <c r="W4" s="242" t="s">
        <v>214</v>
      </c>
      <c r="X4" s="242" t="s">
        <v>215</v>
      </c>
      <c r="Y4" s="246"/>
    </row>
    <row r="5" spans="1:25" x14ac:dyDescent="0.35">
      <c r="E5" s="242">
        <v>1.01</v>
      </c>
      <c r="F5" s="242" t="s">
        <v>216</v>
      </c>
      <c r="G5" s="242" t="s">
        <v>217</v>
      </c>
      <c r="H5" s="242" t="s">
        <v>218</v>
      </c>
      <c r="I5" s="247">
        <v>0</v>
      </c>
      <c r="J5" s="248">
        <v>0</v>
      </c>
      <c r="K5" s="248">
        <v>0</v>
      </c>
      <c r="L5" s="248">
        <v>0</v>
      </c>
      <c r="M5" s="248">
        <v>0</v>
      </c>
      <c r="N5" s="249">
        <f t="shared" ref="N5:N13" si="0">SUM(J5:M5)</f>
        <v>0</v>
      </c>
      <c r="O5" s="249">
        <f t="shared" ref="O5:O13" si="1">IF($N5=0,$S5,J5/$N5*$S5)</f>
        <v>0</v>
      </c>
      <c r="P5" s="249">
        <f t="shared" ref="P5:P13" si="2">IF($N5=0,0,K5/$N5*$S5)</f>
        <v>0</v>
      </c>
      <c r="Q5" s="249">
        <f t="shared" ref="Q5:Q13" si="3">IF($N5=0,0,L5/$N5*$S5)</f>
        <v>0</v>
      </c>
      <c r="R5" s="249">
        <f t="shared" ref="R5:R13" si="4">IF($N5=0,0,M5/$N5*$S5)</f>
        <v>0</v>
      </c>
      <c r="S5" s="248">
        <v>0</v>
      </c>
      <c r="T5" s="250" t="str">
        <f t="shared" ref="T5:T13" si="5">IFERROR(S5/N5,"")</f>
        <v/>
      </c>
      <c r="U5" s="249">
        <f t="shared" ref="U5:U13" si="6">N5*I5</f>
        <v>0</v>
      </c>
      <c r="V5" s="249">
        <f t="shared" ref="V5:V13" si="7">S5*I5</f>
        <v>0</v>
      </c>
      <c r="W5" s="242" t="s">
        <v>214</v>
      </c>
      <c r="X5" s="242" t="s">
        <v>215</v>
      </c>
      <c r="Y5" s="251">
        <f>SUMIFS(Cert_App_Output!$G:$G,Cert_App_Output!$E:$E,$E5,Cert_App_Output!$K:$K,$X5)</f>
        <v>0</v>
      </c>
    </row>
    <row r="6" spans="1:25" x14ac:dyDescent="0.35">
      <c r="A6" s="242" t="s">
        <v>18</v>
      </c>
      <c r="C6" s="242" t="s">
        <v>18</v>
      </c>
      <c r="D6" s="242" t="s">
        <v>18</v>
      </c>
      <c r="E6" s="242">
        <v>1.02</v>
      </c>
      <c r="F6" s="242" t="s">
        <v>216</v>
      </c>
      <c r="G6" s="242" t="s">
        <v>219</v>
      </c>
      <c r="H6" s="242" t="s">
        <v>220</v>
      </c>
      <c r="I6" s="247">
        <v>4</v>
      </c>
      <c r="J6" s="248">
        <v>25000</v>
      </c>
      <c r="K6" s="248">
        <v>214394.06</v>
      </c>
      <c r="L6" s="248">
        <v>67240.5</v>
      </c>
      <c r="M6" s="248">
        <v>4599.5200000000004</v>
      </c>
      <c r="N6" s="249">
        <f t="shared" si="0"/>
        <v>311234.08</v>
      </c>
      <c r="O6" s="249">
        <f t="shared" si="1"/>
        <v>33911.678113621754</v>
      </c>
      <c r="P6" s="249">
        <f t="shared" si="2"/>
        <v>290818.49408770038</v>
      </c>
      <c r="Q6" s="249">
        <f t="shared" si="3"/>
        <v>91209.527687959344</v>
      </c>
      <c r="R6" s="249">
        <f t="shared" si="4"/>
        <v>6239.0976686866225</v>
      </c>
      <c r="S6" s="248">
        <v>422178.79755796812</v>
      </c>
      <c r="T6" s="250">
        <f t="shared" si="5"/>
        <v>1.3564671245448703</v>
      </c>
      <c r="U6" s="249">
        <f t="shared" si="6"/>
        <v>1244936.32</v>
      </c>
      <c r="V6" s="249">
        <f t="shared" si="7"/>
        <v>1688715.1902318725</v>
      </c>
      <c r="W6" s="242" t="s">
        <v>214</v>
      </c>
      <c r="X6" s="242" t="s">
        <v>215</v>
      </c>
      <c r="Y6" s="251">
        <f>SUMIFS(Cert_App_Output!$G:$G,Cert_App_Output!$E:$E,$E6,Cert_App_Output!$K:$K,$X6)</f>
        <v>0.5</v>
      </c>
    </row>
    <row r="7" spans="1:25" x14ac:dyDescent="0.35">
      <c r="E7" s="242">
        <v>1.03</v>
      </c>
      <c r="F7" s="242" t="s">
        <v>216</v>
      </c>
      <c r="G7" s="242" t="s">
        <v>221</v>
      </c>
      <c r="H7" s="242" t="s">
        <v>218</v>
      </c>
      <c r="I7" s="247">
        <v>1</v>
      </c>
      <c r="J7" s="248">
        <v>0</v>
      </c>
      <c r="K7" s="248">
        <v>0</v>
      </c>
      <c r="L7" s="248">
        <v>0</v>
      </c>
      <c r="M7" s="248">
        <v>0</v>
      </c>
      <c r="N7" s="249">
        <f t="shared" si="0"/>
        <v>0</v>
      </c>
      <c r="O7" s="249">
        <f t="shared" si="1"/>
        <v>0</v>
      </c>
      <c r="P7" s="249">
        <f t="shared" si="2"/>
        <v>0</v>
      </c>
      <c r="Q7" s="249">
        <f t="shared" si="3"/>
        <v>0</v>
      </c>
      <c r="R7" s="249">
        <f t="shared" si="4"/>
        <v>0</v>
      </c>
      <c r="S7" s="248">
        <v>0</v>
      </c>
      <c r="T7" s="250" t="str">
        <f t="shared" si="5"/>
        <v/>
      </c>
      <c r="U7" s="249">
        <f t="shared" si="6"/>
        <v>0</v>
      </c>
      <c r="V7" s="249">
        <f t="shared" si="7"/>
        <v>0</v>
      </c>
      <c r="W7" s="242" t="s">
        <v>214</v>
      </c>
      <c r="X7" s="242" t="s">
        <v>215</v>
      </c>
      <c r="Y7" s="251">
        <f>SUMIFS(Cert_App_Output!$G:$G,Cert_App_Output!$E:$E,$E7,Cert_App_Output!$K:$K,$X7)</f>
        <v>0</v>
      </c>
    </row>
    <row r="8" spans="1:25" x14ac:dyDescent="0.35">
      <c r="A8" s="242" t="s">
        <v>18</v>
      </c>
      <c r="D8" s="242" t="s">
        <v>18</v>
      </c>
      <c r="E8" s="242">
        <v>1.04</v>
      </c>
      <c r="F8" s="242" t="s">
        <v>216</v>
      </c>
      <c r="G8" s="242" t="s">
        <v>222</v>
      </c>
      <c r="H8" s="242" t="s">
        <v>223</v>
      </c>
      <c r="I8" s="247">
        <v>10</v>
      </c>
      <c r="J8" s="248">
        <v>98815.57</v>
      </c>
      <c r="K8" s="248">
        <v>0</v>
      </c>
      <c r="L8" s="248">
        <v>111992.57</v>
      </c>
      <c r="M8" s="248">
        <v>3162.12</v>
      </c>
      <c r="N8" s="249">
        <f t="shared" si="0"/>
        <v>213970.26</v>
      </c>
      <c r="O8" s="249">
        <f t="shared" si="1"/>
        <v>134040.07209816232</v>
      </c>
      <c r="P8" s="249">
        <f t="shared" si="2"/>
        <v>0</v>
      </c>
      <c r="Q8" s="249">
        <f t="shared" si="3"/>
        <v>151914.23939829005</v>
      </c>
      <c r="R8" s="249">
        <f t="shared" si="4"/>
        <v>4289.3118238658235</v>
      </c>
      <c r="S8" s="248">
        <v>290243.62332031818</v>
      </c>
      <c r="T8" s="250">
        <f t="shared" si="5"/>
        <v>1.3564671245448698</v>
      </c>
      <c r="U8" s="249">
        <f t="shared" si="6"/>
        <v>2139702.6</v>
      </c>
      <c r="V8" s="249">
        <f t="shared" si="7"/>
        <v>2902436.233203182</v>
      </c>
      <c r="W8" s="242" t="s">
        <v>214</v>
      </c>
      <c r="X8" s="242" t="s">
        <v>215</v>
      </c>
      <c r="Y8" s="251">
        <f>SUMIFS(Cert_App_Output!$G:$G,Cert_App_Output!$E:$E,$E8,Cert_App_Output!$K:$K,$X8)</f>
        <v>1</v>
      </c>
    </row>
    <row r="9" spans="1:25" x14ac:dyDescent="0.35">
      <c r="A9" s="242" t="s">
        <v>18</v>
      </c>
      <c r="C9" s="242" t="s">
        <v>18</v>
      </c>
      <c r="D9" s="242" t="s">
        <v>18</v>
      </c>
      <c r="E9" s="242">
        <v>1.05</v>
      </c>
      <c r="F9" s="242" t="s">
        <v>216</v>
      </c>
      <c r="G9" s="242" t="s">
        <v>224</v>
      </c>
      <c r="H9" s="242" t="s">
        <v>218</v>
      </c>
      <c r="I9" s="247">
        <v>1</v>
      </c>
      <c r="J9" s="248">
        <v>2570625.17</v>
      </c>
      <c r="K9" s="248">
        <v>1000000</v>
      </c>
      <c r="L9" s="248">
        <v>5023936.3499999996</v>
      </c>
      <c r="M9" s="248">
        <v>128918.42</v>
      </c>
      <c r="N9" s="249">
        <f t="shared" si="0"/>
        <v>8723479.9399999995</v>
      </c>
      <c r="O9" s="249">
        <f t="shared" si="1"/>
        <v>3486968.5326325665</v>
      </c>
      <c r="P9" s="249">
        <f t="shared" si="2"/>
        <v>1356467.1245448696</v>
      </c>
      <c r="Q9" s="249">
        <f t="shared" si="3"/>
        <v>6814804.4945809469</v>
      </c>
      <c r="R9" s="249">
        <f t="shared" si="4"/>
        <v>174873.59847826781</v>
      </c>
      <c r="S9" s="248">
        <v>11833113.750236651</v>
      </c>
      <c r="T9" s="250">
        <f t="shared" si="5"/>
        <v>1.3564671245448696</v>
      </c>
      <c r="U9" s="249">
        <f t="shared" si="6"/>
        <v>8723479.9399999995</v>
      </c>
      <c r="V9" s="249">
        <f t="shared" si="7"/>
        <v>11833113.750236651</v>
      </c>
      <c r="W9" s="242" t="s">
        <v>214</v>
      </c>
      <c r="X9" s="242" t="s">
        <v>215</v>
      </c>
      <c r="Y9" s="251">
        <f>SUMIFS(Cert_App_Output!$G:$G,Cert_App_Output!$E:$E,$E9,Cert_App_Output!$K:$K,$X9)</f>
        <v>0.75</v>
      </c>
    </row>
    <row r="10" spans="1:25" x14ac:dyDescent="0.35">
      <c r="C10" s="242" t="s">
        <v>38</v>
      </c>
      <c r="E10" s="242">
        <v>1.06</v>
      </c>
      <c r="F10" s="242" t="s">
        <v>216</v>
      </c>
      <c r="G10" s="242" t="s">
        <v>225</v>
      </c>
      <c r="H10" s="242" t="s">
        <v>226</v>
      </c>
      <c r="I10" s="247">
        <v>4</v>
      </c>
      <c r="J10" s="248">
        <v>0</v>
      </c>
      <c r="K10" s="248">
        <v>260000</v>
      </c>
      <c r="L10" s="248">
        <v>0</v>
      </c>
      <c r="M10" s="248">
        <v>0</v>
      </c>
      <c r="N10" s="249">
        <f t="shared" si="0"/>
        <v>260000</v>
      </c>
      <c r="O10" s="249">
        <f t="shared" si="1"/>
        <v>0</v>
      </c>
      <c r="P10" s="249">
        <f t="shared" si="2"/>
        <v>352681.45238166623</v>
      </c>
      <c r="Q10" s="249">
        <f t="shared" si="3"/>
        <v>0</v>
      </c>
      <c r="R10" s="249">
        <f t="shared" si="4"/>
        <v>0</v>
      </c>
      <c r="S10" s="248">
        <v>352681.45238166623</v>
      </c>
      <c r="T10" s="250">
        <f t="shared" si="5"/>
        <v>1.3564671245448701</v>
      </c>
      <c r="U10" s="249">
        <f t="shared" si="6"/>
        <v>1040000</v>
      </c>
      <c r="V10" s="249">
        <f t="shared" si="7"/>
        <v>1410725.8095266649</v>
      </c>
      <c r="W10" s="242" t="s">
        <v>214</v>
      </c>
      <c r="X10" s="242" t="s">
        <v>215</v>
      </c>
      <c r="Y10" s="251">
        <f>SUMIFS(Cert_App_Output!$G:$G,Cert_App_Output!$E:$E,$E10,Cert_App_Output!$K:$K,$X10)</f>
        <v>0.25</v>
      </c>
    </row>
    <row r="11" spans="1:25" x14ac:dyDescent="0.35">
      <c r="A11" s="242" t="s">
        <v>18</v>
      </c>
      <c r="D11" s="242" t="s">
        <v>18</v>
      </c>
      <c r="E11" s="242">
        <v>1.07</v>
      </c>
      <c r="F11" s="242" t="s">
        <v>216</v>
      </c>
      <c r="G11" s="242" t="s">
        <v>227</v>
      </c>
      <c r="H11" s="242" t="s">
        <v>218</v>
      </c>
      <c r="I11" s="247">
        <v>1</v>
      </c>
      <c r="J11" s="248">
        <v>1390000</v>
      </c>
      <c r="K11" s="248">
        <v>0</v>
      </c>
      <c r="L11" s="248">
        <v>661285.31999999995</v>
      </c>
      <c r="M11" s="248">
        <v>30769.279999999999</v>
      </c>
      <c r="N11" s="249">
        <f t="shared" si="0"/>
        <v>2082054.5999999999</v>
      </c>
      <c r="O11" s="249">
        <f t="shared" si="1"/>
        <v>1885489.3031173698</v>
      </c>
      <c r="P11" s="249">
        <f t="shared" si="2"/>
        <v>0</v>
      </c>
      <c r="Q11" s="249">
        <f t="shared" si="3"/>
        <v>897011.79652413435</v>
      </c>
      <c r="R11" s="249">
        <f t="shared" si="4"/>
        <v>41737.516765915985</v>
      </c>
      <c r="S11" s="248">
        <v>2824238.61640742</v>
      </c>
      <c r="T11" s="250">
        <f t="shared" si="5"/>
        <v>1.3564671245448703</v>
      </c>
      <c r="U11" s="249">
        <f t="shared" si="6"/>
        <v>2082054.5999999999</v>
      </c>
      <c r="V11" s="249">
        <f t="shared" si="7"/>
        <v>2824238.61640742</v>
      </c>
      <c r="W11" s="242" t="s">
        <v>214</v>
      </c>
      <c r="X11" s="242" t="s">
        <v>215</v>
      </c>
      <c r="Y11" s="251">
        <f>SUMIFS(Cert_App_Output!$G:$G,Cert_App_Output!$E:$E,$E11,Cert_App_Output!$K:$K,$X11)</f>
        <v>1</v>
      </c>
    </row>
    <row r="12" spans="1:25" x14ac:dyDescent="0.35">
      <c r="A12" s="242" t="s">
        <v>18</v>
      </c>
      <c r="D12" s="242" t="s">
        <v>18</v>
      </c>
      <c r="E12" s="242">
        <v>1.08</v>
      </c>
      <c r="F12" s="242" t="s">
        <v>216</v>
      </c>
      <c r="G12" s="242" t="s">
        <v>228</v>
      </c>
      <c r="H12" s="242" t="s">
        <v>218</v>
      </c>
      <c r="I12" s="247">
        <v>1</v>
      </c>
      <c r="J12" s="248">
        <v>936000</v>
      </c>
      <c r="K12" s="248">
        <v>0</v>
      </c>
      <c r="L12" s="248">
        <v>536368.94999999995</v>
      </c>
      <c r="M12" s="248">
        <v>22085.53</v>
      </c>
      <c r="N12" s="249">
        <f t="shared" si="0"/>
        <v>1494454.48</v>
      </c>
      <c r="O12" s="249">
        <f t="shared" si="1"/>
        <v>1269653.2285739982</v>
      </c>
      <c r="P12" s="249">
        <f t="shared" si="2"/>
        <v>0</v>
      </c>
      <c r="Q12" s="249">
        <f t="shared" si="3"/>
        <v>727566.84730165114</v>
      </c>
      <c r="R12" s="249">
        <f t="shared" si="4"/>
        <v>29958.29537314946</v>
      </c>
      <c r="S12" s="248">
        <v>2027178.3712487989</v>
      </c>
      <c r="T12" s="250">
        <f t="shared" si="5"/>
        <v>1.3564671245448701</v>
      </c>
      <c r="U12" s="249">
        <f t="shared" si="6"/>
        <v>1494454.48</v>
      </c>
      <c r="V12" s="249">
        <f t="shared" si="7"/>
        <v>2027178.3712487989</v>
      </c>
      <c r="W12" s="242" t="s">
        <v>214</v>
      </c>
      <c r="X12" s="242" t="s">
        <v>215</v>
      </c>
      <c r="Y12" s="251">
        <f>SUMIFS(Cert_App_Output!$G:$G,Cert_App_Output!$E:$E,$E12,Cert_App_Output!$K:$K,$X12)</f>
        <v>0</v>
      </c>
    </row>
    <row r="13" spans="1:25" x14ac:dyDescent="0.35">
      <c r="C13" s="242" t="s">
        <v>18</v>
      </c>
      <c r="E13" s="242">
        <v>1.0900000000000001</v>
      </c>
      <c r="F13" s="242" t="s">
        <v>216</v>
      </c>
      <c r="G13" s="242" t="s">
        <v>229</v>
      </c>
      <c r="H13" s="242" t="s">
        <v>218</v>
      </c>
      <c r="I13" s="247">
        <v>1</v>
      </c>
      <c r="J13" s="248">
        <v>0</v>
      </c>
      <c r="K13" s="248">
        <v>482995.31</v>
      </c>
      <c r="L13" s="248">
        <v>0</v>
      </c>
      <c r="M13" s="248">
        <v>0</v>
      </c>
      <c r="N13" s="249">
        <f t="shared" si="0"/>
        <v>482995.31</v>
      </c>
      <c r="O13" s="249">
        <f t="shared" si="1"/>
        <v>0</v>
      </c>
      <c r="P13" s="249">
        <f t="shared" si="2"/>
        <v>655167.25932435808</v>
      </c>
      <c r="Q13" s="249">
        <f t="shared" si="3"/>
        <v>0</v>
      </c>
      <c r="R13" s="249">
        <f t="shared" si="4"/>
        <v>0</v>
      </c>
      <c r="S13" s="248">
        <v>655167.25932435808</v>
      </c>
      <c r="T13" s="250">
        <f t="shared" si="5"/>
        <v>1.3564671245448701</v>
      </c>
      <c r="U13" s="249">
        <f t="shared" si="6"/>
        <v>482995.31</v>
      </c>
      <c r="V13" s="249">
        <f t="shared" si="7"/>
        <v>655167.25932435808</v>
      </c>
      <c r="W13" s="242" t="s">
        <v>214</v>
      </c>
      <c r="X13" s="242" t="s">
        <v>215</v>
      </c>
      <c r="Y13" s="251">
        <f>SUMIFS(Cert_App_Output!$G:$G,Cert_App_Output!$E:$E,$E13,Cert_App_Output!$K:$K,$X13)</f>
        <v>0.7</v>
      </c>
    </row>
    <row r="14" spans="1:25" x14ac:dyDescent="0.35">
      <c r="F14" s="242" t="s">
        <v>212</v>
      </c>
      <c r="G14" s="242" t="s">
        <v>230</v>
      </c>
      <c r="I14" s="243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5"/>
      <c r="U14" s="244"/>
      <c r="V14" s="244"/>
      <c r="W14" s="242" t="s">
        <v>231</v>
      </c>
      <c r="X14" s="242" t="s">
        <v>215</v>
      </c>
      <c r="Y14" s="246"/>
    </row>
    <row r="15" spans="1:25" x14ac:dyDescent="0.35">
      <c r="C15" s="242" t="s">
        <v>232</v>
      </c>
      <c r="D15" s="242" t="s">
        <v>106</v>
      </c>
      <c r="E15" s="242">
        <v>2.0099999999999998</v>
      </c>
      <c r="F15" s="242" t="s">
        <v>216</v>
      </c>
      <c r="G15" s="242" t="s">
        <v>233</v>
      </c>
      <c r="H15" s="242" t="s">
        <v>234</v>
      </c>
      <c r="I15" s="247">
        <v>219</v>
      </c>
      <c r="J15" s="248">
        <v>0</v>
      </c>
      <c r="K15" s="248">
        <v>25907.439999999999</v>
      </c>
      <c r="L15" s="248">
        <v>3070.34</v>
      </c>
      <c r="M15" s="248">
        <v>0</v>
      </c>
      <c r="N15" s="249">
        <f>SUM(J15:M15)</f>
        <v>28977.78</v>
      </c>
      <c r="O15" s="249">
        <f>IF($N15=0,$S15,J15/$N15*$S15)</f>
        <v>0</v>
      </c>
      <c r="P15" s="249">
        <f t="shared" ref="P15:R18" si="8">IF($N15=0,0,K15/$N15*$S15)</f>
        <v>35142.590641118746</v>
      </c>
      <c r="Q15" s="249">
        <f t="shared" si="8"/>
        <v>4164.8152711750963</v>
      </c>
      <c r="R15" s="249">
        <f t="shared" si="8"/>
        <v>0</v>
      </c>
      <c r="S15" s="248">
        <v>39307.405912293842</v>
      </c>
      <c r="T15" s="250">
        <f>IFERROR(S15/N15,"")</f>
        <v>1.3564671245448701</v>
      </c>
      <c r="U15" s="249">
        <f>N15*I15</f>
        <v>6346133.8199999994</v>
      </c>
      <c r="V15" s="249">
        <f>S15*I15</f>
        <v>8608321.8947923519</v>
      </c>
      <c r="W15" s="242" t="s">
        <v>231</v>
      </c>
      <c r="X15" s="242" t="s">
        <v>215</v>
      </c>
      <c r="Y15" s="251">
        <f>SUMIFS(Cert_App_Output!$G:$G,Cert_App_Output!$E:$E,$E15,Cert_App_Output!$K:$K,$X15)</f>
        <v>0.5</v>
      </c>
    </row>
    <row r="16" spans="1:25" x14ac:dyDescent="0.35">
      <c r="C16" s="242" t="s">
        <v>232</v>
      </c>
      <c r="D16" s="242" t="s">
        <v>106</v>
      </c>
      <c r="E16" s="242">
        <v>2.02</v>
      </c>
      <c r="F16" s="242" t="s">
        <v>216</v>
      </c>
      <c r="G16" s="242" t="s">
        <v>235</v>
      </c>
      <c r="H16" s="242" t="s">
        <v>236</v>
      </c>
      <c r="I16" s="247">
        <v>100</v>
      </c>
      <c r="J16" s="248">
        <v>0</v>
      </c>
      <c r="K16" s="248">
        <v>24440</v>
      </c>
      <c r="L16" s="248">
        <v>6724.05</v>
      </c>
      <c r="M16" s="248">
        <v>467.46</v>
      </c>
      <c r="N16" s="249">
        <f>SUM(J16:M16)</f>
        <v>31631.51</v>
      </c>
      <c r="O16" s="249">
        <f>IF($N16=0,$S16,J16/$N16*$S16)</f>
        <v>0</v>
      </c>
      <c r="P16" s="249">
        <f t="shared" si="8"/>
        <v>33152.056523876628</v>
      </c>
      <c r="Q16" s="249">
        <f t="shared" si="8"/>
        <v>9120.9527687959326</v>
      </c>
      <c r="R16" s="249">
        <f t="shared" si="8"/>
        <v>634.09412203974489</v>
      </c>
      <c r="S16" s="248">
        <v>42907.103414712299</v>
      </c>
      <c r="T16" s="250">
        <f>IFERROR(S16/N16,"")</f>
        <v>1.3564671245448701</v>
      </c>
      <c r="U16" s="249">
        <f>N16*I16</f>
        <v>3163151</v>
      </c>
      <c r="V16" s="249">
        <f>S16*I16</f>
        <v>4290710.3414712297</v>
      </c>
      <c r="W16" s="242" t="s">
        <v>231</v>
      </c>
      <c r="X16" s="242" t="s">
        <v>215</v>
      </c>
      <c r="Y16" s="251">
        <f>SUMIFS(Cert_App_Output!$G:$G,Cert_App_Output!$E:$E,$E16,Cert_App_Output!$K:$K,$X16)</f>
        <v>0</v>
      </c>
    </row>
    <row r="17" spans="1:25" x14ac:dyDescent="0.35">
      <c r="D17" s="242" t="s">
        <v>106</v>
      </c>
      <c r="E17" s="242">
        <v>2.0299999999999998</v>
      </c>
      <c r="F17" s="242" t="s">
        <v>216</v>
      </c>
      <c r="G17" s="242" t="s">
        <v>237</v>
      </c>
      <c r="H17" s="242" t="s">
        <v>236</v>
      </c>
      <c r="I17" s="247">
        <v>43</v>
      </c>
      <c r="J17" s="248">
        <v>0</v>
      </c>
      <c r="K17" s="248">
        <v>0</v>
      </c>
      <c r="L17" s="248">
        <v>67240.5</v>
      </c>
      <c r="M17" s="248">
        <v>0</v>
      </c>
      <c r="N17" s="249">
        <f>SUM(J17:M17)</f>
        <v>67240.5</v>
      </c>
      <c r="O17" s="249">
        <f>IF($N17=0,$S17,J17/$N17*$S17)</f>
        <v>0</v>
      </c>
      <c r="P17" s="249">
        <f t="shared" si="8"/>
        <v>0</v>
      </c>
      <c r="Q17" s="249">
        <f t="shared" si="8"/>
        <v>91209.527687959329</v>
      </c>
      <c r="R17" s="249">
        <f t="shared" si="8"/>
        <v>0</v>
      </c>
      <c r="S17" s="248">
        <v>91209.527687959329</v>
      </c>
      <c r="T17" s="250">
        <f>IFERROR(S17/N17,"")</f>
        <v>1.3564671245448701</v>
      </c>
      <c r="U17" s="249">
        <f>N17*I17</f>
        <v>2891341.5</v>
      </c>
      <c r="V17" s="249">
        <f>S17*I17</f>
        <v>3922009.6905822512</v>
      </c>
      <c r="W17" s="242" t="s">
        <v>231</v>
      </c>
      <c r="X17" s="242" t="s">
        <v>215</v>
      </c>
      <c r="Y17" s="251">
        <f>SUMIFS(Cert_App_Output!$G:$G,Cert_App_Output!$E:$E,$E17,Cert_App_Output!$K:$K,$X17)</f>
        <v>0.4</v>
      </c>
    </row>
    <row r="18" spans="1:25" x14ac:dyDescent="0.35">
      <c r="E18" s="242">
        <v>2.04</v>
      </c>
      <c r="F18" s="242" t="s">
        <v>216</v>
      </c>
      <c r="G18" s="242" t="s">
        <v>238</v>
      </c>
      <c r="H18" s="242" t="s">
        <v>218</v>
      </c>
      <c r="I18" s="247">
        <v>0</v>
      </c>
      <c r="J18" s="248">
        <v>0</v>
      </c>
      <c r="K18" s="248">
        <v>0</v>
      </c>
      <c r="L18" s="248">
        <v>0</v>
      </c>
      <c r="M18" s="248">
        <v>0</v>
      </c>
      <c r="N18" s="249">
        <f>SUM(J18:M18)</f>
        <v>0</v>
      </c>
      <c r="O18" s="249">
        <f>IF($N18=0,$S18,J18/$N18*$S18)</f>
        <v>0</v>
      </c>
      <c r="P18" s="249">
        <f t="shared" si="8"/>
        <v>0</v>
      </c>
      <c r="Q18" s="249">
        <f t="shared" si="8"/>
        <v>0</v>
      </c>
      <c r="R18" s="249">
        <f t="shared" si="8"/>
        <v>0</v>
      </c>
      <c r="S18" s="248">
        <v>0</v>
      </c>
      <c r="T18" s="250" t="str">
        <f>IFERROR(S18/N18,"")</f>
        <v/>
      </c>
      <c r="U18" s="249">
        <f>N18*I18</f>
        <v>0</v>
      </c>
      <c r="V18" s="249">
        <f>S18*I18</f>
        <v>0</v>
      </c>
      <c r="W18" s="242" t="s">
        <v>231</v>
      </c>
      <c r="X18" s="242" t="s">
        <v>215</v>
      </c>
      <c r="Y18" s="251">
        <f>SUMIFS(Cert_App_Output!$G:$G,Cert_App_Output!$E:$E,$E18,Cert_App_Output!$K:$K,$X18)</f>
        <v>0</v>
      </c>
    </row>
    <row r="19" spans="1:25" x14ac:dyDescent="0.35">
      <c r="F19" s="242" t="s">
        <v>212</v>
      </c>
      <c r="G19" s="242" t="s">
        <v>239</v>
      </c>
      <c r="I19" s="243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5"/>
      <c r="U19" s="244"/>
      <c r="V19" s="244"/>
      <c r="W19" s="242" t="s">
        <v>240</v>
      </c>
      <c r="X19" s="242" t="s">
        <v>215</v>
      </c>
      <c r="Y19" s="246"/>
    </row>
    <row r="20" spans="1:25" x14ac:dyDescent="0.35">
      <c r="A20" s="242" t="s">
        <v>54</v>
      </c>
      <c r="D20" s="242" t="s">
        <v>106</v>
      </c>
      <c r="E20" s="242">
        <v>3.01</v>
      </c>
      <c r="F20" s="242" t="s">
        <v>216</v>
      </c>
      <c r="G20" s="242" t="s">
        <v>241</v>
      </c>
      <c r="H20" s="242" t="s">
        <v>236</v>
      </c>
      <c r="I20" s="247">
        <v>3</v>
      </c>
      <c r="J20" s="248">
        <v>120430</v>
      </c>
      <c r="K20" s="248">
        <v>0</v>
      </c>
      <c r="L20" s="248">
        <v>155041.22</v>
      </c>
      <c r="M20" s="248">
        <v>4132.07</v>
      </c>
      <c r="N20" s="249">
        <f t="shared" ref="N20:N41" si="9">SUM(J20:M20)</f>
        <v>279603.28999999998</v>
      </c>
      <c r="O20" s="249">
        <f t="shared" ref="O20:O41" si="10">IF($N20=0,$S20,J20/$N20*$S20)</f>
        <v>163359.33580893869</v>
      </c>
      <c r="P20" s="249">
        <f t="shared" ref="P20:P41" si="11">IF($N20=0,0,K20/$N20*$S20)</f>
        <v>0</v>
      </c>
      <c r="Q20" s="249">
        <f t="shared" ref="Q20:Q41" si="12">IF($N20=0,0,L20/$N20*$S20)</f>
        <v>210308.31787932862</v>
      </c>
      <c r="R20" s="249">
        <f t="shared" ref="R20:R41" si="13">IF($N20=0,0,M20/$N20*$S20)</f>
        <v>5605.0171113181204</v>
      </c>
      <c r="S20" s="248">
        <v>379272.67079958541</v>
      </c>
      <c r="T20" s="250">
        <f t="shared" ref="T20:T41" si="14">IFERROR(S20/N20,"")</f>
        <v>1.3564671245448701</v>
      </c>
      <c r="U20" s="249">
        <f t="shared" ref="U20:U41" si="15">N20*I20</f>
        <v>838809.86999999988</v>
      </c>
      <c r="V20" s="249">
        <f t="shared" ref="V20:V41" si="16">S20*I20</f>
        <v>1137818.0123987561</v>
      </c>
      <c r="W20" s="242" t="s">
        <v>240</v>
      </c>
      <c r="X20" s="242" t="s">
        <v>215</v>
      </c>
      <c r="Y20" s="251">
        <f>SUMIFS(Cert_App_Output!$G:$G,Cert_App_Output!$E:$E,$E20,Cert_App_Output!$K:$K,$X20)</f>
        <v>0</v>
      </c>
    </row>
    <row r="21" spans="1:25" x14ac:dyDescent="0.35">
      <c r="A21" s="242" t="s">
        <v>54</v>
      </c>
      <c r="C21" s="242" t="s">
        <v>106</v>
      </c>
      <c r="D21" s="242" t="s">
        <v>106</v>
      </c>
      <c r="E21" s="242">
        <v>3.02</v>
      </c>
      <c r="F21" s="242" t="s">
        <v>216</v>
      </c>
      <c r="G21" s="242" t="s">
        <v>242</v>
      </c>
      <c r="H21" s="242" t="s">
        <v>218</v>
      </c>
      <c r="I21" s="247">
        <v>1</v>
      </c>
      <c r="J21" s="248">
        <v>11090041.199999999</v>
      </c>
      <c r="K21" s="248">
        <v>34350000</v>
      </c>
      <c r="L21" s="248">
        <v>2460301.4900000002</v>
      </c>
      <c r="M21" s="248">
        <v>718505.14</v>
      </c>
      <c r="N21" s="249">
        <f t="shared" si="9"/>
        <v>48618847.830000006</v>
      </c>
      <c r="O21" s="249">
        <f t="shared" si="10"/>
        <v>15043276.297648139</v>
      </c>
      <c r="P21" s="249">
        <f t="shared" si="11"/>
        <v>46594645.728116289</v>
      </c>
      <c r="Q21" s="249">
        <f t="shared" si="12"/>
        <v>3337318.0876537594</v>
      </c>
      <c r="R21" s="249">
        <f t="shared" si="13"/>
        <v>974628.60122650932</v>
      </c>
      <c r="S21" s="248">
        <v>65949868.7146447</v>
      </c>
      <c r="T21" s="250">
        <f t="shared" si="14"/>
        <v>1.3564671245448701</v>
      </c>
      <c r="U21" s="249">
        <f t="shared" si="15"/>
        <v>48618847.830000006</v>
      </c>
      <c r="V21" s="249">
        <f t="shared" si="16"/>
        <v>65949868.7146447</v>
      </c>
      <c r="W21" s="242" t="s">
        <v>240</v>
      </c>
      <c r="X21" s="242" t="s">
        <v>215</v>
      </c>
      <c r="Y21" s="251">
        <f>SUMIFS(Cert_App_Output!$G:$G,Cert_App_Output!$E:$E,$E21,Cert_App_Output!$K:$K,$X21)</f>
        <v>1</v>
      </c>
    </row>
    <row r="22" spans="1:25" x14ac:dyDescent="0.35">
      <c r="A22" s="242" t="s">
        <v>54</v>
      </c>
      <c r="C22" s="242" t="s">
        <v>106</v>
      </c>
      <c r="E22" s="242">
        <v>3.03</v>
      </c>
      <c r="F22" s="242" t="s">
        <v>216</v>
      </c>
      <c r="G22" s="242" t="s">
        <v>243</v>
      </c>
      <c r="H22" s="242" t="s">
        <v>236</v>
      </c>
      <c r="I22" s="247">
        <v>7</v>
      </c>
      <c r="J22" s="248">
        <v>357146.17</v>
      </c>
      <c r="K22" s="248">
        <v>222927.96</v>
      </c>
      <c r="L22" s="248">
        <v>0</v>
      </c>
      <c r="M22" s="248">
        <v>8701.11</v>
      </c>
      <c r="N22" s="249">
        <f t="shared" si="9"/>
        <v>588775.24</v>
      </c>
      <c r="O22" s="249">
        <f t="shared" si="10"/>
        <v>484457.03826211329</v>
      </c>
      <c r="P22" s="249">
        <f t="shared" si="11"/>
        <v>302394.44888185384</v>
      </c>
      <c r="Q22" s="249">
        <f t="shared" si="12"/>
        <v>0</v>
      </c>
      <c r="R22" s="249">
        <f t="shared" si="13"/>
        <v>11802.769662048615</v>
      </c>
      <c r="S22" s="248">
        <v>798654.25680601574</v>
      </c>
      <c r="T22" s="250">
        <f t="shared" si="14"/>
        <v>1.3564671245448701</v>
      </c>
      <c r="U22" s="249">
        <f t="shared" si="15"/>
        <v>4121426.6799999997</v>
      </c>
      <c r="V22" s="249">
        <f t="shared" si="16"/>
        <v>5590579.7976421099</v>
      </c>
      <c r="W22" s="242" t="s">
        <v>240</v>
      </c>
      <c r="X22" s="242" t="s">
        <v>215</v>
      </c>
      <c r="Y22" s="251">
        <f>SUMIFS(Cert_App_Output!$G:$G,Cert_App_Output!$E:$E,$E22,Cert_App_Output!$K:$K,$X22)</f>
        <v>0.5</v>
      </c>
    </row>
    <row r="23" spans="1:25" x14ac:dyDescent="0.35">
      <c r="A23" s="242" t="s">
        <v>54</v>
      </c>
      <c r="C23" s="242" t="s">
        <v>106</v>
      </c>
      <c r="E23" s="242">
        <v>3.04</v>
      </c>
      <c r="F23" s="242" t="s">
        <v>216</v>
      </c>
      <c r="G23" s="242" t="s">
        <v>244</v>
      </c>
      <c r="H23" s="242" t="s">
        <v>236</v>
      </c>
      <c r="I23" s="247">
        <v>4</v>
      </c>
      <c r="J23" s="248">
        <v>537813.29</v>
      </c>
      <c r="K23" s="248">
        <v>323084</v>
      </c>
      <c r="L23" s="248">
        <v>0</v>
      </c>
      <c r="M23" s="248">
        <v>12913.46</v>
      </c>
      <c r="N23" s="249">
        <f t="shared" si="9"/>
        <v>873810.75</v>
      </c>
      <c r="O23" s="249">
        <f t="shared" si="10"/>
        <v>729526.04702831618</v>
      </c>
      <c r="P23" s="249">
        <f t="shared" si="11"/>
        <v>438252.82446645468</v>
      </c>
      <c r="Q23" s="249">
        <f t="shared" si="12"/>
        <v>0</v>
      </c>
      <c r="R23" s="249">
        <f t="shared" si="13"/>
        <v>17516.683954125194</v>
      </c>
      <c r="S23" s="248">
        <v>1185295.555448896</v>
      </c>
      <c r="T23" s="250">
        <f t="shared" si="14"/>
        <v>1.3564671245448696</v>
      </c>
      <c r="U23" s="249">
        <f t="shared" si="15"/>
        <v>3495243</v>
      </c>
      <c r="V23" s="249">
        <f t="shared" si="16"/>
        <v>4741182.2217955841</v>
      </c>
      <c r="W23" s="242" t="s">
        <v>240</v>
      </c>
      <c r="X23" s="242" t="s">
        <v>215</v>
      </c>
      <c r="Y23" s="251">
        <f>SUMIFS(Cert_App_Output!$G:$G,Cert_App_Output!$E:$E,$E23,Cert_App_Output!$K:$K,$X23)</f>
        <v>0.5</v>
      </c>
    </row>
    <row r="24" spans="1:25" x14ac:dyDescent="0.35">
      <c r="A24" s="242" t="s">
        <v>54</v>
      </c>
      <c r="C24" s="242" t="s">
        <v>106</v>
      </c>
      <c r="E24" s="242">
        <v>3.05</v>
      </c>
      <c r="F24" s="242" t="s">
        <v>216</v>
      </c>
      <c r="G24" s="242" t="s">
        <v>245</v>
      </c>
      <c r="H24" s="242" t="s">
        <v>236</v>
      </c>
      <c r="I24" s="247">
        <v>2</v>
      </c>
      <c r="J24" s="248">
        <v>357146.17</v>
      </c>
      <c r="K24" s="248">
        <v>222927.96</v>
      </c>
      <c r="L24" s="248">
        <v>0</v>
      </c>
      <c r="M24" s="248">
        <v>8701.11</v>
      </c>
      <c r="N24" s="249">
        <f t="shared" si="9"/>
        <v>588775.24</v>
      </c>
      <c r="O24" s="249">
        <f t="shared" si="10"/>
        <v>484457.03826211329</v>
      </c>
      <c r="P24" s="249">
        <f t="shared" si="11"/>
        <v>302394.44888185384</v>
      </c>
      <c r="Q24" s="249">
        <f t="shared" si="12"/>
        <v>0</v>
      </c>
      <c r="R24" s="249">
        <f t="shared" si="13"/>
        <v>11802.769662048615</v>
      </c>
      <c r="S24" s="248">
        <v>798654.25680601574</v>
      </c>
      <c r="T24" s="250">
        <f t="shared" si="14"/>
        <v>1.3564671245448701</v>
      </c>
      <c r="U24" s="249">
        <f t="shared" si="15"/>
        <v>1177550.48</v>
      </c>
      <c r="V24" s="249">
        <f t="shared" si="16"/>
        <v>1597308.5136120315</v>
      </c>
      <c r="W24" s="242" t="s">
        <v>240</v>
      </c>
      <c r="X24" s="242" t="s">
        <v>215</v>
      </c>
      <c r="Y24" s="251">
        <f>SUMIFS(Cert_App_Output!$G:$G,Cert_App_Output!$E:$E,$E24,Cert_App_Output!$K:$K,$X24)</f>
        <v>0.5</v>
      </c>
    </row>
    <row r="25" spans="1:25" x14ac:dyDescent="0.35">
      <c r="A25" s="242" t="s">
        <v>54</v>
      </c>
      <c r="C25" s="242" t="s">
        <v>106</v>
      </c>
      <c r="E25" s="242">
        <v>3.06</v>
      </c>
      <c r="F25" s="242" t="s">
        <v>216</v>
      </c>
      <c r="G25" s="242" t="s">
        <v>246</v>
      </c>
      <c r="H25" s="242" t="s">
        <v>236</v>
      </c>
      <c r="I25" s="247">
        <v>11</v>
      </c>
      <c r="J25" s="248">
        <v>392586.17</v>
      </c>
      <c r="K25" s="248">
        <v>222927.96</v>
      </c>
      <c r="L25" s="248">
        <v>0</v>
      </c>
      <c r="M25" s="248">
        <v>9232.7099999999991</v>
      </c>
      <c r="N25" s="249">
        <f t="shared" si="9"/>
        <v>624746.84</v>
      </c>
      <c r="O25" s="249">
        <f t="shared" si="10"/>
        <v>532530.2331559835</v>
      </c>
      <c r="P25" s="249">
        <f t="shared" si="11"/>
        <v>302394.44888185378</v>
      </c>
      <c r="Q25" s="249">
        <f t="shared" si="12"/>
        <v>0</v>
      </c>
      <c r="R25" s="249">
        <f t="shared" si="13"/>
        <v>12523.867585456666</v>
      </c>
      <c r="S25" s="248">
        <v>847448.54962329392</v>
      </c>
      <c r="T25" s="250">
        <f t="shared" si="14"/>
        <v>1.3564671245448701</v>
      </c>
      <c r="U25" s="249">
        <f t="shared" si="15"/>
        <v>6872215.2399999993</v>
      </c>
      <c r="V25" s="249">
        <f t="shared" si="16"/>
        <v>9321934.0458562337</v>
      </c>
      <c r="W25" s="242" t="s">
        <v>240</v>
      </c>
      <c r="X25" s="242" t="s">
        <v>215</v>
      </c>
      <c r="Y25" s="251">
        <f>SUMIFS(Cert_App_Output!$G:$G,Cert_App_Output!$E:$E,$E25,Cert_App_Output!$K:$K,$X25)</f>
        <v>0.7</v>
      </c>
    </row>
    <row r="26" spans="1:25" x14ac:dyDescent="0.35">
      <c r="A26" s="242" t="s">
        <v>54</v>
      </c>
      <c r="C26" s="242" t="s">
        <v>106</v>
      </c>
      <c r="E26" s="242">
        <v>3.07</v>
      </c>
      <c r="F26" s="242" t="s">
        <v>216</v>
      </c>
      <c r="G26" s="242" t="s">
        <v>247</v>
      </c>
      <c r="H26" s="242" t="s">
        <v>236</v>
      </c>
      <c r="I26" s="247">
        <v>9</v>
      </c>
      <c r="J26" s="248">
        <v>537813.29</v>
      </c>
      <c r="K26" s="248">
        <v>323084</v>
      </c>
      <c r="L26" s="248">
        <v>0</v>
      </c>
      <c r="M26" s="248">
        <v>12913.46</v>
      </c>
      <c r="N26" s="249">
        <f t="shared" si="9"/>
        <v>873810.75</v>
      </c>
      <c r="O26" s="249">
        <f t="shared" si="10"/>
        <v>729526.04702831618</v>
      </c>
      <c r="P26" s="249">
        <f t="shared" si="11"/>
        <v>438252.82446645468</v>
      </c>
      <c r="Q26" s="249">
        <f t="shared" si="12"/>
        <v>0</v>
      </c>
      <c r="R26" s="249">
        <f t="shared" si="13"/>
        <v>17516.683954125194</v>
      </c>
      <c r="S26" s="248">
        <v>1185295.555448896</v>
      </c>
      <c r="T26" s="250">
        <f t="shared" si="14"/>
        <v>1.3564671245448696</v>
      </c>
      <c r="U26" s="249">
        <f t="shared" si="15"/>
        <v>7864296.75</v>
      </c>
      <c r="V26" s="249">
        <f t="shared" si="16"/>
        <v>10667659.999040063</v>
      </c>
      <c r="W26" s="242" t="s">
        <v>240</v>
      </c>
      <c r="X26" s="242" t="s">
        <v>215</v>
      </c>
      <c r="Y26" s="251">
        <f>SUMIFS(Cert_App_Output!$G:$G,Cert_App_Output!$E:$E,$E26,Cert_App_Output!$K:$K,$X26)</f>
        <v>0.7</v>
      </c>
    </row>
    <row r="27" spans="1:25" x14ac:dyDescent="0.35">
      <c r="A27" s="242" t="s">
        <v>54</v>
      </c>
      <c r="C27" s="242" t="s">
        <v>106</v>
      </c>
      <c r="E27" s="242">
        <v>3.08</v>
      </c>
      <c r="F27" s="242" t="s">
        <v>216</v>
      </c>
      <c r="G27" s="242" t="s">
        <v>248</v>
      </c>
      <c r="H27" s="242" t="s">
        <v>236</v>
      </c>
      <c r="I27" s="247">
        <v>9</v>
      </c>
      <c r="J27" s="248">
        <v>394401.89</v>
      </c>
      <c r="K27" s="248">
        <v>392678.73</v>
      </c>
      <c r="L27" s="248">
        <v>0</v>
      </c>
      <c r="M27" s="248">
        <v>11806.21</v>
      </c>
      <c r="N27" s="249">
        <f t="shared" si="9"/>
        <v>798886.83</v>
      </c>
      <c r="O27" s="249">
        <f t="shared" si="10"/>
        <v>534993.19764336199</v>
      </c>
      <c r="P27" s="249">
        <f t="shared" si="11"/>
        <v>532655.78775303124</v>
      </c>
      <c r="Q27" s="249">
        <f t="shared" si="12"/>
        <v>0</v>
      </c>
      <c r="R27" s="249">
        <f t="shared" si="13"/>
        <v>16014.735730472885</v>
      </c>
      <c r="S27" s="248">
        <v>1083663.7211268661</v>
      </c>
      <c r="T27" s="250">
        <f t="shared" si="14"/>
        <v>1.3564671245448696</v>
      </c>
      <c r="U27" s="249">
        <f t="shared" si="15"/>
        <v>7189981.4699999997</v>
      </c>
      <c r="V27" s="249">
        <f t="shared" si="16"/>
        <v>9752973.4901417941</v>
      </c>
      <c r="W27" s="242" t="s">
        <v>240</v>
      </c>
      <c r="X27" s="242" t="s">
        <v>215</v>
      </c>
      <c r="Y27" s="251">
        <f>SUMIFS(Cert_App_Output!$G:$G,Cert_App_Output!$E:$E,$E27,Cert_App_Output!$K:$K,$X27)</f>
        <v>0.5</v>
      </c>
    </row>
    <row r="28" spans="1:25" x14ac:dyDescent="0.35">
      <c r="A28" s="242" t="s">
        <v>54</v>
      </c>
      <c r="C28" s="242" t="s">
        <v>106</v>
      </c>
      <c r="E28" s="242">
        <v>3.09</v>
      </c>
      <c r="F28" s="242" t="s">
        <v>216</v>
      </c>
      <c r="G28" s="242" t="s">
        <v>249</v>
      </c>
      <c r="H28" s="242" t="s">
        <v>236</v>
      </c>
      <c r="I28" s="247">
        <v>1</v>
      </c>
      <c r="J28" s="248">
        <v>542036.05000000005</v>
      </c>
      <c r="K28" s="248">
        <v>362209.61</v>
      </c>
      <c r="L28" s="248">
        <v>0</v>
      </c>
      <c r="M28" s="248">
        <v>13563.68</v>
      </c>
      <c r="N28" s="249">
        <f t="shared" si="9"/>
        <v>917809.34000000008</v>
      </c>
      <c r="O28" s="249">
        <f t="shared" si="10"/>
        <v>735254.08214315935</v>
      </c>
      <c r="P28" s="249">
        <f t="shared" si="11"/>
        <v>491325.42815921869</v>
      </c>
      <c r="Q28" s="249">
        <f t="shared" si="12"/>
        <v>0</v>
      </c>
      <c r="R28" s="249">
        <f t="shared" si="13"/>
        <v>18398.686007846762</v>
      </c>
      <c r="S28" s="248">
        <v>1244978.1963102249</v>
      </c>
      <c r="T28" s="250">
        <f t="shared" si="14"/>
        <v>1.3564671245448698</v>
      </c>
      <c r="U28" s="249">
        <f t="shared" si="15"/>
        <v>917809.34000000008</v>
      </c>
      <c r="V28" s="249">
        <f t="shared" si="16"/>
        <v>1244978.1963102249</v>
      </c>
      <c r="W28" s="242" t="s">
        <v>240</v>
      </c>
      <c r="X28" s="242" t="s">
        <v>215</v>
      </c>
      <c r="Y28" s="251">
        <f>SUMIFS(Cert_App_Output!$G:$G,Cert_App_Output!$E:$E,$E28,Cert_App_Output!$K:$K,$X28)</f>
        <v>0.5</v>
      </c>
    </row>
    <row r="29" spans="1:25" x14ac:dyDescent="0.35">
      <c r="A29" s="242" t="s">
        <v>54</v>
      </c>
      <c r="C29" s="242" t="s">
        <v>106</v>
      </c>
      <c r="E29" s="242">
        <v>3.1</v>
      </c>
      <c r="F29" s="242" t="s">
        <v>216</v>
      </c>
      <c r="G29" s="242" t="s">
        <v>250</v>
      </c>
      <c r="H29" s="242" t="s">
        <v>236</v>
      </c>
      <c r="I29" s="247">
        <v>32</v>
      </c>
      <c r="J29" s="248">
        <v>648356.05000000005</v>
      </c>
      <c r="K29" s="248">
        <v>362209.61</v>
      </c>
      <c r="L29" s="248">
        <v>0</v>
      </c>
      <c r="M29" s="248">
        <v>15158.48</v>
      </c>
      <c r="N29" s="249">
        <f t="shared" si="9"/>
        <v>1025724.14</v>
      </c>
      <c r="O29" s="249">
        <f t="shared" si="10"/>
        <v>879473.66682477028</v>
      </c>
      <c r="P29" s="249">
        <f t="shared" si="11"/>
        <v>491325.42815921892</v>
      </c>
      <c r="Q29" s="249">
        <f t="shared" si="12"/>
        <v>0</v>
      </c>
      <c r="R29" s="249">
        <f t="shared" si="13"/>
        <v>20561.979778070927</v>
      </c>
      <c r="S29" s="248">
        <v>1391361.0747620601</v>
      </c>
      <c r="T29" s="250">
        <f t="shared" si="14"/>
        <v>1.3564671245448703</v>
      </c>
      <c r="U29" s="249">
        <f t="shared" si="15"/>
        <v>32823172.48</v>
      </c>
      <c r="V29" s="249">
        <f t="shared" si="16"/>
        <v>44523554.392385922</v>
      </c>
      <c r="W29" s="242" t="s">
        <v>240</v>
      </c>
      <c r="X29" s="242" t="s">
        <v>215</v>
      </c>
      <c r="Y29" s="251">
        <f>SUMIFS(Cert_App_Output!$G:$G,Cert_App_Output!$E:$E,$E29,Cert_App_Output!$K:$K,$X29)</f>
        <v>0</v>
      </c>
    </row>
    <row r="30" spans="1:25" x14ac:dyDescent="0.35">
      <c r="A30" s="242" t="s">
        <v>54</v>
      </c>
      <c r="C30" s="242" t="s">
        <v>106</v>
      </c>
      <c r="E30" s="242">
        <v>3.11</v>
      </c>
      <c r="F30" s="242" t="s">
        <v>216</v>
      </c>
      <c r="G30" s="242" t="s">
        <v>251</v>
      </c>
      <c r="H30" s="242" t="s">
        <v>236</v>
      </c>
      <c r="I30" s="247">
        <v>30</v>
      </c>
      <c r="J30" s="248">
        <v>447561.89</v>
      </c>
      <c r="K30" s="248">
        <v>392678.73</v>
      </c>
      <c r="L30" s="248">
        <v>0</v>
      </c>
      <c r="M30" s="248">
        <v>12603.61</v>
      </c>
      <c r="N30" s="249">
        <f t="shared" si="9"/>
        <v>852844.23</v>
      </c>
      <c r="O30" s="249">
        <f t="shared" si="10"/>
        <v>607102.98998416751</v>
      </c>
      <c r="P30" s="249">
        <f t="shared" si="11"/>
        <v>532655.78775303147</v>
      </c>
      <c r="Q30" s="249">
        <f t="shared" si="12"/>
        <v>0</v>
      </c>
      <c r="R30" s="249">
        <f t="shared" si="13"/>
        <v>17096.382615584975</v>
      </c>
      <c r="S30" s="248">
        <v>1156855.160352784</v>
      </c>
      <c r="T30" s="250">
        <f t="shared" si="14"/>
        <v>1.3564671245448703</v>
      </c>
      <c r="U30" s="249">
        <f t="shared" si="15"/>
        <v>25585326.899999999</v>
      </c>
      <c r="V30" s="249">
        <f t="shared" si="16"/>
        <v>34705654.810583517</v>
      </c>
      <c r="W30" s="242" t="s">
        <v>240</v>
      </c>
      <c r="X30" s="242" t="s">
        <v>215</v>
      </c>
      <c r="Y30" s="251">
        <f>SUMIFS(Cert_App_Output!$G:$G,Cert_App_Output!$E:$E,$E30,Cert_App_Output!$K:$K,$X30)</f>
        <v>0</v>
      </c>
    </row>
    <row r="31" spans="1:25" x14ac:dyDescent="0.35">
      <c r="A31" s="242" t="s">
        <v>54</v>
      </c>
      <c r="C31" s="242" t="s">
        <v>106</v>
      </c>
      <c r="D31" s="242" t="s">
        <v>106</v>
      </c>
      <c r="E31" s="242">
        <v>3.12</v>
      </c>
      <c r="F31" s="242" t="s">
        <v>216</v>
      </c>
      <c r="G31" s="242" t="s">
        <v>252</v>
      </c>
      <c r="H31" s="242" t="s">
        <v>236</v>
      </c>
      <c r="I31" s="247">
        <v>7</v>
      </c>
      <c r="J31" s="248">
        <v>466389.3</v>
      </c>
      <c r="K31" s="248">
        <v>629584.36</v>
      </c>
      <c r="L31" s="248">
        <v>157396.09</v>
      </c>
      <c r="M31" s="248">
        <v>18800.55</v>
      </c>
      <c r="N31" s="249">
        <f t="shared" si="9"/>
        <v>1272170.3</v>
      </c>
      <c r="O31" s="249">
        <f t="shared" si="10"/>
        <v>632641.75268949487</v>
      </c>
      <c r="P31" s="249">
        <f t="shared" si="11"/>
        <v>854010.48646762245</v>
      </c>
      <c r="Q31" s="249">
        <f t="shared" si="12"/>
        <v>213502.62161690561</v>
      </c>
      <c r="R31" s="249">
        <f t="shared" si="13"/>
        <v>25502.32799836206</v>
      </c>
      <c r="S31" s="248">
        <v>1725657.188772385</v>
      </c>
      <c r="T31" s="250">
        <f t="shared" si="14"/>
        <v>1.3564671245448703</v>
      </c>
      <c r="U31" s="249">
        <f t="shared" si="15"/>
        <v>8905192.0999999996</v>
      </c>
      <c r="V31" s="249">
        <f t="shared" si="16"/>
        <v>12079600.321406696</v>
      </c>
      <c r="W31" s="242" t="s">
        <v>240</v>
      </c>
      <c r="X31" s="242" t="s">
        <v>215</v>
      </c>
      <c r="Y31" s="251">
        <f>SUMIFS(Cert_App_Output!$G:$G,Cert_App_Output!$E:$E,$E31,Cert_App_Output!$K:$K,$X31)</f>
        <v>0</v>
      </c>
    </row>
    <row r="32" spans="1:25" x14ac:dyDescent="0.35">
      <c r="A32" s="242" t="s">
        <v>54</v>
      </c>
      <c r="C32" s="242" t="s">
        <v>106</v>
      </c>
      <c r="D32" s="242" t="s">
        <v>106</v>
      </c>
      <c r="E32" s="242">
        <v>3.13</v>
      </c>
      <c r="F32" s="242" t="s">
        <v>216</v>
      </c>
      <c r="G32" s="242" t="s">
        <v>253</v>
      </c>
      <c r="H32" s="242" t="s">
        <v>236</v>
      </c>
      <c r="I32" s="247">
        <v>12</v>
      </c>
      <c r="J32" s="248">
        <v>578369.51</v>
      </c>
      <c r="K32" s="248">
        <v>629584.36</v>
      </c>
      <c r="L32" s="248">
        <v>157396.09</v>
      </c>
      <c r="M32" s="248">
        <v>20480.25</v>
      </c>
      <c r="N32" s="249">
        <f t="shared" si="9"/>
        <v>1385830.2100000002</v>
      </c>
      <c r="O32" s="249">
        <f t="shared" si="10"/>
        <v>784539.22615412564</v>
      </c>
      <c r="P32" s="249">
        <f t="shared" si="11"/>
        <v>854010.48646762245</v>
      </c>
      <c r="Q32" s="249">
        <f t="shared" si="12"/>
        <v>213502.62161690561</v>
      </c>
      <c r="R32" s="249">
        <f t="shared" si="13"/>
        <v>27780.785827460077</v>
      </c>
      <c r="S32" s="248">
        <v>1879833.120066114</v>
      </c>
      <c r="T32" s="250">
        <f t="shared" si="14"/>
        <v>1.3564671245448703</v>
      </c>
      <c r="U32" s="249">
        <f t="shared" si="15"/>
        <v>16629962.520000003</v>
      </c>
      <c r="V32" s="249">
        <f t="shared" si="16"/>
        <v>22557997.440793369</v>
      </c>
      <c r="W32" s="242" t="s">
        <v>240</v>
      </c>
      <c r="X32" s="242" t="s">
        <v>215</v>
      </c>
      <c r="Y32" s="251">
        <f>SUMIFS(Cert_App_Output!$G:$G,Cert_App_Output!$E:$E,$E32,Cert_App_Output!$K:$K,$X32)</f>
        <v>0.2</v>
      </c>
    </row>
    <row r="33" spans="1:25" x14ac:dyDescent="0.35">
      <c r="A33" s="242" t="s">
        <v>54</v>
      </c>
      <c r="C33" s="242" t="s">
        <v>106</v>
      </c>
      <c r="E33" s="242">
        <v>3.14</v>
      </c>
      <c r="F33" s="242" t="s">
        <v>216</v>
      </c>
      <c r="G33" s="242" t="s">
        <v>254</v>
      </c>
      <c r="H33" s="242" t="s">
        <v>236</v>
      </c>
      <c r="I33" s="247">
        <v>41</v>
      </c>
      <c r="J33" s="248">
        <v>472049.51</v>
      </c>
      <c r="K33" s="248">
        <v>629584.36</v>
      </c>
      <c r="L33" s="248">
        <v>0</v>
      </c>
      <c r="M33" s="248">
        <v>16524.509999999998</v>
      </c>
      <c r="N33" s="249">
        <f t="shared" si="9"/>
        <v>1118158.3800000001</v>
      </c>
      <c r="O33" s="249">
        <f t="shared" si="10"/>
        <v>640319.64147251472</v>
      </c>
      <c r="P33" s="249">
        <f t="shared" si="11"/>
        <v>854010.4864676221</v>
      </c>
      <c r="Q33" s="249">
        <f t="shared" si="12"/>
        <v>0</v>
      </c>
      <c r="R33" s="249">
        <f t="shared" si="13"/>
        <v>22414.954564212945</v>
      </c>
      <c r="S33" s="248">
        <v>1516745.08250435</v>
      </c>
      <c r="T33" s="250">
        <f t="shared" si="14"/>
        <v>1.3564671245448698</v>
      </c>
      <c r="U33" s="249">
        <f t="shared" si="15"/>
        <v>45844493.580000006</v>
      </c>
      <c r="V33" s="249">
        <f t="shared" si="16"/>
        <v>62186548.382678352</v>
      </c>
      <c r="W33" s="242" t="s">
        <v>240</v>
      </c>
      <c r="X33" s="242" t="s">
        <v>215</v>
      </c>
      <c r="Y33" s="251">
        <f>SUMIFS(Cert_App_Output!$G:$G,Cert_App_Output!$E:$E,$E33,Cert_App_Output!$K:$K,$X33)</f>
        <v>0</v>
      </c>
    </row>
    <row r="34" spans="1:25" x14ac:dyDescent="0.35">
      <c r="A34" s="242" t="s">
        <v>54</v>
      </c>
      <c r="C34" s="242" t="s">
        <v>106</v>
      </c>
      <c r="E34" s="242">
        <v>3.15</v>
      </c>
      <c r="F34" s="242" t="s">
        <v>216</v>
      </c>
      <c r="G34" s="242" t="s">
        <v>255</v>
      </c>
      <c r="H34" s="242" t="s">
        <v>236</v>
      </c>
      <c r="I34" s="247">
        <v>135</v>
      </c>
      <c r="J34" s="248">
        <v>361563.22</v>
      </c>
      <c r="K34" s="248">
        <v>253632.45</v>
      </c>
      <c r="L34" s="248">
        <v>0</v>
      </c>
      <c r="M34" s="248">
        <v>9227.94</v>
      </c>
      <c r="N34" s="249">
        <f t="shared" si="9"/>
        <v>624423.60999999987</v>
      </c>
      <c r="O34" s="249">
        <f t="shared" si="10"/>
        <v>490448.62137458421</v>
      </c>
      <c r="P34" s="249">
        <f t="shared" si="11"/>
        <v>344044.08014277049</v>
      </c>
      <c r="Q34" s="249">
        <f t="shared" si="12"/>
        <v>0</v>
      </c>
      <c r="R34" s="249">
        <f t="shared" si="13"/>
        <v>12517.397237272588</v>
      </c>
      <c r="S34" s="248">
        <v>847010.09875462716</v>
      </c>
      <c r="T34" s="250">
        <f t="shared" si="14"/>
        <v>1.3564671245448701</v>
      </c>
      <c r="U34" s="249">
        <f t="shared" si="15"/>
        <v>84297187.349999979</v>
      </c>
      <c r="V34" s="249">
        <f t="shared" si="16"/>
        <v>114346363.33187467</v>
      </c>
      <c r="W34" s="242" t="s">
        <v>240</v>
      </c>
      <c r="X34" s="242" t="s">
        <v>215</v>
      </c>
      <c r="Y34" s="251">
        <f>SUMIFS(Cert_App_Output!$G:$G,Cert_App_Output!$E:$E,$E34,Cert_App_Output!$K:$K,$X34)</f>
        <v>0</v>
      </c>
    </row>
    <row r="35" spans="1:25" x14ac:dyDescent="0.35">
      <c r="A35" s="242" t="s">
        <v>54</v>
      </c>
      <c r="C35" s="242" t="s">
        <v>106</v>
      </c>
      <c r="D35" s="242" t="s">
        <v>106</v>
      </c>
      <c r="E35" s="242">
        <v>3.16</v>
      </c>
      <c r="F35" s="242" t="s">
        <v>216</v>
      </c>
      <c r="G35" s="242" t="s">
        <v>256</v>
      </c>
      <c r="H35" s="242" t="s">
        <v>236</v>
      </c>
      <c r="I35" s="247">
        <v>13</v>
      </c>
      <c r="J35" s="248">
        <v>367994.55</v>
      </c>
      <c r="K35" s="248">
        <v>253632.45</v>
      </c>
      <c r="L35" s="248">
        <v>63408.11</v>
      </c>
      <c r="M35" s="248">
        <v>10275.530000000001</v>
      </c>
      <c r="N35" s="249">
        <f t="shared" si="9"/>
        <v>695310.64</v>
      </c>
      <c r="O35" s="249">
        <f t="shared" si="10"/>
        <v>499172.50908668339</v>
      </c>
      <c r="P35" s="249">
        <f t="shared" si="11"/>
        <v>344044.08014277054</v>
      </c>
      <c r="Q35" s="249">
        <f t="shared" si="12"/>
        <v>86011.016644524818</v>
      </c>
      <c r="R35" s="249">
        <f t="shared" si="13"/>
        <v>13938.41863227455</v>
      </c>
      <c r="S35" s="248">
        <v>943166.02450625331</v>
      </c>
      <c r="T35" s="250">
        <f t="shared" si="14"/>
        <v>1.3564671245448701</v>
      </c>
      <c r="U35" s="249">
        <f t="shared" si="15"/>
        <v>9039038.3200000003</v>
      </c>
      <c r="V35" s="249">
        <f t="shared" si="16"/>
        <v>12261158.318581292</v>
      </c>
      <c r="W35" s="242" t="s">
        <v>240</v>
      </c>
      <c r="X35" s="242" t="s">
        <v>215</v>
      </c>
      <c r="Y35" s="251">
        <f>SUMIFS(Cert_App_Output!$G:$G,Cert_App_Output!$E:$E,$E35,Cert_App_Output!$K:$K,$X35)</f>
        <v>0</v>
      </c>
    </row>
    <row r="36" spans="1:25" x14ac:dyDescent="0.35">
      <c r="A36" s="242" t="s">
        <v>54</v>
      </c>
      <c r="C36" s="242" t="s">
        <v>106</v>
      </c>
      <c r="E36" s="242">
        <v>3.17</v>
      </c>
      <c r="F36" s="242" t="s">
        <v>216</v>
      </c>
      <c r="G36" s="242" t="s">
        <v>257</v>
      </c>
      <c r="H36" s="242" t="s">
        <v>236</v>
      </c>
      <c r="I36" s="247">
        <v>14</v>
      </c>
      <c r="J36" s="248">
        <v>404870.23</v>
      </c>
      <c r="K36" s="248">
        <v>370454.15</v>
      </c>
      <c r="L36" s="248">
        <v>0</v>
      </c>
      <c r="M36" s="248">
        <v>11629.87</v>
      </c>
      <c r="N36" s="249">
        <f t="shared" si="9"/>
        <v>786954.25</v>
      </c>
      <c r="O36" s="249">
        <f t="shared" si="10"/>
        <v>549193.1567019202</v>
      </c>
      <c r="P36" s="249">
        <f t="shared" si="11"/>
        <v>502508.87562621408</v>
      </c>
      <c r="Q36" s="249">
        <f t="shared" si="12"/>
        <v>0</v>
      </c>
      <c r="R36" s="249">
        <f t="shared" si="13"/>
        <v>15775.536317730652</v>
      </c>
      <c r="S36" s="248">
        <v>1067477.568645865</v>
      </c>
      <c r="T36" s="250">
        <f t="shared" si="14"/>
        <v>1.3564671245448703</v>
      </c>
      <c r="U36" s="249">
        <f t="shared" si="15"/>
        <v>11017359.5</v>
      </c>
      <c r="V36" s="249">
        <f t="shared" si="16"/>
        <v>14944685.96104211</v>
      </c>
      <c r="W36" s="242" t="s">
        <v>240</v>
      </c>
      <c r="X36" s="242" t="s">
        <v>215</v>
      </c>
      <c r="Y36" s="251">
        <f>SUMIFS(Cert_App_Output!$G:$G,Cert_App_Output!$E:$E,$E36,Cert_App_Output!$K:$K,$X36)</f>
        <v>0</v>
      </c>
    </row>
    <row r="37" spans="1:25" x14ac:dyDescent="0.35">
      <c r="A37" s="242" t="s">
        <v>54</v>
      </c>
      <c r="C37" s="242" t="s">
        <v>106</v>
      </c>
      <c r="D37" s="242" t="s">
        <v>106</v>
      </c>
      <c r="E37" s="242">
        <v>3.18</v>
      </c>
      <c r="F37" s="242" t="s">
        <v>216</v>
      </c>
      <c r="G37" s="242" t="s">
        <v>258</v>
      </c>
      <c r="H37" s="242" t="s">
        <v>236</v>
      </c>
      <c r="I37" s="247">
        <v>2</v>
      </c>
      <c r="J37" s="248">
        <v>466389.3</v>
      </c>
      <c r="K37" s="248">
        <v>629584.36</v>
      </c>
      <c r="L37" s="248">
        <v>157396.09</v>
      </c>
      <c r="M37" s="248">
        <v>18800.55</v>
      </c>
      <c r="N37" s="249">
        <f t="shared" si="9"/>
        <v>1272170.3</v>
      </c>
      <c r="O37" s="249">
        <f t="shared" si="10"/>
        <v>632641.75268949487</v>
      </c>
      <c r="P37" s="249">
        <f t="shared" si="11"/>
        <v>854010.48646762245</v>
      </c>
      <c r="Q37" s="249">
        <f t="shared" si="12"/>
        <v>213502.62161690561</v>
      </c>
      <c r="R37" s="249">
        <f t="shared" si="13"/>
        <v>25502.32799836206</v>
      </c>
      <c r="S37" s="248">
        <v>1725657.188772385</v>
      </c>
      <c r="T37" s="250">
        <f t="shared" si="14"/>
        <v>1.3564671245448703</v>
      </c>
      <c r="U37" s="249">
        <f t="shared" si="15"/>
        <v>2544340.6</v>
      </c>
      <c r="V37" s="249">
        <f t="shared" si="16"/>
        <v>3451314.37754477</v>
      </c>
      <c r="W37" s="242" t="s">
        <v>240</v>
      </c>
      <c r="X37" s="242" t="s">
        <v>215</v>
      </c>
      <c r="Y37" s="251">
        <f>SUMIFS(Cert_App_Output!$G:$G,Cert_App_Output!$E:$E,$E37,Cert_App_Output!$K:$K,$X37)</f>
        <v>0</v>
      </c>
    </row>
    <row r="38" spans="1:25" x14ac:dyDescent="0.35">
      <c r="E38" s="242">
        <v>3.19</v>
      </c>
      <c r="F38" s="242" t="s">
        <v>216</v>
      </c>
      <c r="G38" s="242" t="s">
        <v>259</v>
      </c>
      <c r="H38" s="242" t="s">
        <v>218</v>
      </c>
      <c r="I38" s="247">
        <v>1</v>
      </c>
      <c r="J38" s="248">
        <v>0</v>
      </c>
      <c r="K38" s="248">
        <v>0</v>
      </c>
      <c r="L38" s="248">
        <v>0</v>
      </c>
      <c r="M38" s="248">
        <v>10584987.99</v>
      </c>
      <c r="N38" s="249">
        <f t="shared" si="9"/>
        <v>10584987.99</v>
      </c>
      <c r="O38" s="249">
        <f t="shared" si="10"/>
        <v>0</v>
      </c>
      <c r="P38" s="249">
        <f t="shared" si="11"/>
        <v>0</v>
      </c>
      <c r="Q38" s="249">
        <f t="shared" si="12"/>
        <v>0</v>
      </c>
      <c r="R38" s="249">
        <f t="shared" si="13"/>
        <v>14358188.22213728</v>
      </c>
      <c r="S38" s="248">
        <v>14358188.22213728</v>
      </c>
      <c r="T38" s="250">
        <f t="shared" si="14"/>
        <v>1.3564671245448696</v>
      </c>
      <c r="U38" s="249">
        <f t="shared" si="15"/>
        <v>10584987.99</v>
      </c>
      <c r="V38" s="249">
        <f t="shared" si="16"/>
        <v>14358188.22213728</v>
      </c>
      <c r="W38" s="242" t="s">
        <v>240</v>
      </c>
      <c r="X38" s="242" t="s">
        <v>215</v>
      </c>
      <c r="Y38" s="251">
        <f>SUMIFS(Cert_App_Output!$G:$G,Cert_App_Output!$E:$E,$E38,Cert_App_Output!$K:$K,$X38)</f>
        <v>0</v>
      </c>
    </row>
    <row r="39" spans="1:25" x14ac:dyDescent="0.35">
      <c r="C39" s="242" t="s">
        <v>106</v>
      </c>
      <c r="E39" s="242">
        <v>3.2</v>
      </c>
      <c r="F39" s="242" t="s">
        <v>216</v>
      </c>
      <c r="G39" s="242" t="s">
        <v>260</v>
      </c>
      <c r="H39" s="242" t="s">
        <v>261</v>
      </c>
      <c r="I39" s="247">
        <v>13</v>
      </c>
      <c r="J39" s="248">
        <v>0</v>
      </c>
      <c r="K39" s="248">
        <v>246942.15</v>
      </c>
      <c r="L39" s="248">
        <v>0</v>
      </c>
      <c r="M39" s="248">
        <v>0</v>
      </c>
      <c r="N39" s="249">
        <f t="shared" si="9"/>
        <v>246942.15</v>
      </c>
      <c r="O39" s="249">
        <f t="shared" si="10"/>
        <v>0</v>
      </c>
      <c r="P39" s="249">
        <f t="shared" si="11"/>
        <v>334968.90813942789</v>
      </c>
      <c r="Q39" s="249">
        <f t="shared" si="12"/>
        <v>0</v>
      </c>
      <c r="R39" s="249">
        <f t="shared" si="13"/>
        <v>0</v>
      </c>
      <c r="S39" s="248">
        <v>334968.90813942789</v>
      </c>
      <c r="T39" s="250">
        <f t="shared" si="14"/>
        <v>1.3564671245448696</v>
      </c>
      <c r="U39" s="249">
        <f t="shared" si="15"/>
        <v>3210247.9499999997</v>
      </c>
      <c r="V39" s="249">
        <f t="shared" si="16"/>
        <v>4354595.8058125628</v>
      </c>
      <c r="W39" s="242" t="s">
        <v>240</v>
      </c>
      <c r="X39" s="242" t="s">
        <v>215</v>
      </c>
      <c r="Y39" s="251">
        <f>SUMIFS(Cert_App_Output!$G:$G,Cert_App_Output!$E:$E,$E39,Cert_App_Output!$K:$K,$X39)</f>
        <v>0</v>
      </c>
    </row>
    <row r="40" spans="1:25" x14ac:dyDescent="0.35">
      <c r="A40" s="242" t="s">
        <v>54</v>
      </c>
      <c r="E40" s="242">
        <v>3.21</v>
      </c>
      <c r="F40" s="242" t="s">
        <v>216</v>
      </c>
      <c r="G40" s="242" t="s">
        <v>262</v>
      </c>
      <c r="H40" s="242" t="s">
        <v>218</v>
      </c>
      <c r="I40" s="247">
        <v>3</v>
      </c>
      <c r="J40" s="248">
        <v>55000</v>
      </c>
      <c r="K40" s="248">
        <v>0</v>
      </c>
      <c r="L40" s="248">
        <v>0</v>
      </c>
      <c r="M40" s="248">
        <v>0</v>
      </c>
      <c r="N40" s="249">
        <f t="shared" si="9"/>
        <v>55000</v>
      </c>
      <c r="O40" s="249">
        <f t="shared" si="10"/>
        <v>74605.691849967858</v>
      </c>
      <c r="P40" s="249">
        <f t="shared" si="11"/>
        <v>0</v>
      </c>
      <c r="Q40" s="249">
        <f t="shared" si="12"/>
        <v>0</v>
      </c>
      <c r="R40" s="249">
        <f t="shared" si="13"/>
        <v>0</v>
      </c>
      <c r="S40" s="248">
        <v>74605.691849967858</v>
      </c>
      <c r="T40" s="250">
        <f t="shared" si="14"/>
        <v>1.3564671245448701</v>
      </c>
      <c r="U40" s="249">
        <f t="shared" si="15"/>
        <v>165000</v>
      </c>
      <c r="V40" s="249">
        <f t="shared" si="16"/>
        <v>223817.07554990356</v>
      </c>
      <c r="W40" s="242" t="s">
        <v>240</v>
      </c>
      <c r="X40" s="242" t="s">
        <v>215</v>
      </c>
      <c r="Y40" s="251">
        <f>SUMIFS(Cert_App_Output!$G:$G,Cert_App_Output!$E:$E,$E40,Cert_App_Output!$K:$K,$X40)</f>
        <v>0.35</v>
      </c>
    </row>
    <row r="41" spans="1:25" x14ac:dyDescent="0.35">
      <c r="A41" s="242" t="s">
        <v>54</v>
      </c>
      <c r="D41" s="242" t="s">
        <v>106</v>
      </c>
      <c r="E41" s="242">
        <v>3.22</v>
      </c>
      <c r="F41" s="242" t="s">
        <v>216</v>
      </c>
      <c r="G41" s="242" t="s">
        <v>263</v>
      </c>
      <c r="H41" s="242" t="s">
        <v>234</v>
      </c>
      <c r="I41" s="247">
        <v>65</v>
      </c>
      <c r="J41" s="248">
        <v>9230.77</v>
      </c>
      <c r="K41" s="248">
        <v>0</v>
      </c>
      <c r="L41" s="248">
        <v>20224.02</v>
      </c>
      <c r="M41" s="248">
        <v>441.82</v>
      </c>
      <c r="N41" s="249">
        <f t="shared" si="9"/>
        <v>29896.61</v>
      </c>
      <c r="O41" s="249">
        <f t="shared" si="10"/>
        <v>12521.236039235051</v>
      </c>
      <c r="P41" s="249">
        <f t="shared" si="11"/>
        <v>0</v>
      </c>
      <c r="Q41" s="249">
        <f t="shared" si="12"/>
        <v>27433.218256137945</v>
      </c>
      <c r="R41" s="249">
        <f t="shared" si="13"/>
        <v>599.31430496641451</v>
      </c>
      <c r="S41" s="248">
        <v>40553.768600339412</v>
      </c>
      <c r="T41" s="250">
        <f t="shared" si="14"/>
        <v>1.3564671245448703</v>
      </c>
      <c r="U41" s="249">
        <f t="shared" si="15"/>
        <v>1943279.6500000001</v>
      </c>
      <c r="V41" s="249">
        <f t="shared" si="16"/>
        <v>2635994.9590220619</v>
      </c>
      <c r="W41" s="242" t="s">
        <v>240</v>
      </c>
      <c r="X41" s="242" t="s">
        <v>215</v>
      </c>
      <c r="Y41" s="251">
        <f>SUMIFS(Cert_App_Output!$G:$G,Cert_App_Output!$E:$E,$E41,Cert_App_Output!$K:$K,$X41)</f>
        <v>0</v>
      </c>
    </row>
    <row r="42" spans="1:25" x14ac:dyDescent="0.35">
      <c r="F42" s="242" t="s">
        <v>212</v>
      </c>
      <c r="G42" s="242" t="s">
        <v>264</v>
      </c>
      <c r="I42" s="243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5"/>
      <c r="U42" s="244"/>
      <c r="V42" s="244"/>
      <c r="W42" s="242" t="s">
        <v>265</v>
      </c>
      <c r="X42" s="242" t="s">
        <v>215</v>
      </c>
      <c r="Y42" s="246"/>
    </row>
    <row r="43" spans="1:25" x14ac:dyDescent="0.35">
      <c r="C43" s="242" t="s">
        <v>73</v>
      </c>
      <c r="E43" s="242">
        <v>24.01</v>
      </c>
      <c r="F43" s="242" t="s">
        <v>216</v>
      </c>
      <c r="G43" s="242" t="s">
        <v>266</v>
      </c>
      <c r="H43" s="242" t="s">
        <v>226</v>
      </c>
      <c r="I43" s="247">
        <v>10</v>
      </c>
      <c r="J43" s="248">
        <v>0</v>
      </c>
      <c r="K43" s="248">
        <v>806885.99</v>
      </c>
      <c r="L43" s="248">
        <v>0</v>
      </c>
      <c r="M43" s="248">
        <v>0</v>
      </c>
      <c r="N43" s="249">
        <f t="shared" ref="N43:N50" si="17">SUM(J43:M43)</f>
        <v>806885.99</v>
      </c>
      <c r="O43" s="249">
        <f t="shared" ref="O43:O50" si="18">IF($N43=0,$S43,J43/$N43*$S43)</f>
        <v>0</v>
      </c>
      <c r="P43" s="249">
        <f t="shared" ref="P43:R50" si="19">IF($N43=0,0,K43/$N43*$S43)</f>
        <v>1094514.3186908411</v>
      </c>
      <c r="Q43" s="249">
        <f t="shared" si="19"/>
        <v>0</v>
      </c>
      <c r="R43" s="249">
        <f t="shared" si="19"/>
        <v>0</v>
      </c>
      <c r="S43" s="248">
        <v>1094514.3186908411</v>
      </c>
      <c r="T43" s="250">
        <f t="shared" ref="T43:T50" si="20">IFERROR(S43/N43,"")</f>
        <v>1.3564671245448705</v>
      </c>
      <c r="U43" s="249">
        <f t="shared" ref="U43:U50" si="21">N43*I43</f>
        <v>8068859.9000000004</v>
      </c>
      <c r="V43" s="249">
        <f t="shared" ref="V43:V50" si="22">S43*I43</f>
        <v>10945143.186908411</v>
      </c>
      <c r="W43" s="242" t="s">
        <v>265</v>
      </c>
      <c r="X43" s="242" t="s">
        <v>215</v>
      </c>
      <c r="Y43" s="251">
        <f>SUMIFS(Cert_App_Output!$G:$G,Cert_App_Output!$E:$E,$E43,Cert_App_Output!$K:$K,$X43)</f>
        <v>0.2</v>
      </c>
    </row>
    <row r="44" spans="1:25" x14ac:dyDescent="0.35">
      <c r="C44" s="242" t="s">
        <v>69</v>
      </c>
      <c r="E44" s="242">
        <v>24.02</v>
      </c>
      <c r="F44" s="242" t="s">
        <v>216</v>
      </c>
      <c r="G44" s="242" t="s">
        <v>267</v>
      </c>
      <c r="H44" s="242" t="s">
        <v>226</v>
      </c>
      <c r="I44" s="247">
        <v>1</v>
      </c>
      <c r="J44" s="248">
        <v>0</v>
      </c>
      <c r="K44" s="248">
        <v>1623254.46</v>
      </c>
      <c r="L44" s="248">
        <v>0</v>
      </c>
      <c r="M44" s="248">
        <v>0</v>
      </c>
      <c r="N44" s="249">
        <f t="shared" si="17"/>
        <v>1623254.46</v>
      </c>
      <c r="O44" s="249">
        <f t="shared" si="18"/>
        <v>0</v>
      </c>
      <c r="P44" s="249">
        <f t="shared" si="19"/>
        <v>2201891.309760836</v>
      </c>
      <c r="Q44" s="249">
        <f t="shared" si="19"/>
        <v>0</v>
      </c>
      <c r="R44" s="249">
        <f t="shared" si="19"/>
        <v>0</v>
      </c>
      <c r="S44" s="248">
        <v>2201891.309760836</v>
      </c>
      <c r="T44" s="250">
        <f t="shared" si="20"/>
        <v>1.3564671245448703</v>
      </c>
      <c r="U44" s="249">
        <f t="shared" si="21"/>
        <v>1623254.46</v>
      </c>
      <c r="V44" s="249">
        <f t="shared" si="22"/>
        <v>2201891.309760836</v>
      </c>
      <c r="W44" s="242" t="s">
        <v>265</v>
      </c>
      <c r="X44" s="242" t="s">
        <v>215</v>
      </c>
      <c r="Y44" s="251">
        <f>SUMIFS(Cert_App_Output!$G:$G,Cert_App_Output!$E:$E,$E44,Cert_App_Output!$K:$K,$X44)</f>
        <v>0</v>
      </c>
    </row>
    <row r="45" spans="1:25" x14ac:dyDescent="0.35">
      <c r="C45" s="242" t="s">
        <v>69</v>
      </c>
      <c r="E45" s="242">
        <v>24.03</v>
      </c>
      <c r="F45" s="242" t="s">
        <v>216</v>
      </c>
      <c r="G45" s="242" t="s">
        <v>268</v>
      </c>
      <c r="H45" s="242" t="s">
        <v>226</v>
      </c>
      <c r="I45" s="247">
        <v>10</v>
      </c>
      <c r="J45" s="248">
        <v>0</v>
      </c>
      <c r="K45" s="248">
        <v>300000</v>
      </c>
      <c r="L45" s="248">
        <v>0</v>
      </c>
      <c r="M45" s="248">
        <v>0</v>
      </c>
      <c r="N45" s="249">
        <f t="shared" si="17"/>
        <v>300000</v>
      </c>
      <c r="O45" s="249">
        <f t="shared" si="18"/>
        <v>0</v>
      </c>
      <c r="P45" s="249">
        <f t="shared" si="19"/>
        <v>406940.13736346102</v>
      </c>
      <c r="Q45" s="249">
        <f t="shared" si="19"/>
        <v>0</v>
      </c>
      <c r="R45" s="249">
        <f t="shared" si="19"/>
        <v>0</v>
      </c>
      <c r="S45" s="248">
        <v>406940.13736346102</v>
      </c>
      <c r="T45" s="250">
        <f t="shared" si="20"/>
        <v>1.3564671245448701</v>
      </c>
      <c r="U45" s="249">
        <f t="shared" si="21"/>
        <v>3000000</v>
      </c>
      <c r="V45" s="249">
        <f t="shared" si="22"/>
        <v>4069401.3736346103</v>
      </c>
      <c r="W45" s="242" t="s">
        <v>265</v>
      </c>
      <c r="X45" s="242" t="s">
        <v>215</v>
      </c>
      <c r="Y45" s="251">
        <f>SUMIFS(Cert_App_Output!$G:$G,Cert_App_Output!$E:$E,$E45,Cert_App_Output!$K:$K,$X45)</f>
        <v>0.2</v>
      </c>
    </row>
    <row r="46" spans="1:25" x14ac:dyDescent="0.35">
      <c r="A46" s="242" t="s">
        <v>54</v>
      </c>
      <c r="C46" s="242" t="s">
        <v>106</v>
      </c>
      <c r="D46" s="242" t="s">
        <v>106</v>
      </c>
      <c r="E46" s="242">
        <v>24.04</v>
      </c>
      <c r="F46" s="242" t="s">
        <v>216</v>
      </c>
      <c r="G46" s="242" t="s">
        <v>269</v>
      </c>
      <c r="H46" s="242" t="s">
        <v>218</v>
      </c>
      <c r="I46" s="247">
        <v>1</v>
      </c>
      <c r="J46" s="248">
        <v>4076935.94</v>
      </c>
      <c r="K46" s="248">
        <v>600000</v>
      </c>
      <c r="L46" s="248">
        <v>4999453.47</v>
      </c>
      <c r="M46" s="248">
        <v>145145.84</v>
      </c>
      <c r="N46" s="249">
        <f t="shared" si="17"/>
        <v>9821535.25</v>
      </c>
      <c r="O46" s="249">
        <f t="shared" si="18"/>
        <v>5530229.5714854356</v>
      </c>
      <c r="P46" s="249">
        <f t="shared" si="19"/>
        <v>813880.27472692193</v>
      </c>
      <c r="Q46" s="249">
        <f t="shared" si="19"/>
        <v>6781594.2727467716</v>
      </c>
      <c r="R46" s="249">
        <f t="shared" si="19"/>
        <v>196885.56022444976</v>
      </c>
      <c r="S46" s="248">
        <v>13322589.67918358</v>
      </c>
      <c r="T46" s="250">
        <f t="shared" si="20"/>
        <v>1.3564671245448698</v>
      </c>
      <c r="U46" s="249">
        <f t="shared" si="21"/>
        <v>9821535.25</v>
      </c>
      <c r="V46" s="249">
        <f t="shared" si="22"/>
        <v>13322589.67918358</v>
      </c>
      <c r="W46" s="242" t="s">
        <v>265</v>
      </c>
      <c r="X46" s="242" t="s">
        <v>215</v>
      </c>
      <c r="Y46" s="251">
        <f>SUMIFS(Cert_App_Output!$G:$G,Cert_App_Output!$E:$E,$E46,Cert_App_Output!$K:$K,$X46)</f>
        <v>0</v>
      </c>
    </row>
    <row r="47" spans="1:25" x14ac:dyDescent="0.35">
      <c r="A47" s="242" t="s">
        <v>36</v>
      </c>
      <c r="D47" s="242" t="s">
        <v>73</v>
      </c>
      <c r="E47" s="242">
        <v>24.05</v>
      </c>
      <c r="F47" s="242" t="s">
        <v>216</v>
      </c>
      <c r="G47" s="242" t="s">
        <v>270</v>
      </c>
      <c r="H47" s="242" t="s">
        <v>226</v>
      </c>
      <c r="I47" s="247">
        <v>10</v>
      </c>
      <c r="J47" s="248">
        <v>50000</v>
      </c>
      <c r="K47" s="248">
        <v>0</v>
      </c>
      <c r="L47" s="248">
        <v>657280.53</v>
      </c>
      <c r="M47" s="248">
        <v>10609.21</v>
      </c>
      <c r="N47" s="249">
        <f t="shared" si="17"/>
        <v>717889.74</v>
      </c>
      <c r="O47" s="249">
        <f t="shared" si="18"/>
        <v>67823.356227243508</v>
      </c>
      <c r="P47" s="249">
        <f t="shared" si="19"/>
        <v>0</v>
      </c>
      <c r="Q47" s="249">
        <f t="shared" si="19"/>
        <v>891579.43054842832</v>
      </c>
      <c r="R47" s="249">
        <f t="shared" si="19"/>
        <v>14391.04458239268</v>
      </c>
      <c r="S47" s="248">
        <v>973793.83135806443</v>
      </c>
      <c r="T47" s="250">
        <f t="shared" si="20"/>
        <v>1.3564671245448701</v>
      </c>
      <c r="U47" s="249">
        <f t="shared" si="21"/>
        <v>7178897.4000000004</v>
      </c>
      <c r="V47" s="249">
        <f t="shared" si="22"/>
        <v>9737938.3135806434</v>
      </c>
      <c r="W47" s="242" t="s">
        <v>265</v>
      </c>
      <c r="X47" s="242" t="s">
        <v>215</v>
      </c>
      <c r="Y47" s="251">
        <f>SUMIFS(Cert_App_Output!$G:$G,Cert_App_Output!$E:$E,$E47,Cert_App_Output!$K:$K,$X47)</f>
        <v>0</v>
      </c>
    </row>
    <row r="48" spans="1:25" x14ac:dyDescent="0.35">
      <c r="A48" s="242" t="s">
        <v>36</v>
      </c>
      <c r="D48" s="242" t="s">
        <v>73</v>
      </c>
      <c r="E48" s="242">
        <v>24.06</v>
      </c>
      <c r="F48" s="242" t="s">
        <v>216</v>
      </c>
      <c r="G48" s="242" t="s">
        <v>271</v>
      </c>
      <c r="H48" s="242" t="s">
        <v>226</v>
      </c>
      <c r="I48" s="247">
        <v>10</v>
      </c>
      <c r="J48" s="248">
        <v>50000</v>
      </c>
      <c r="K48" s="248">
        <v>0</v>
      </c>
      <c r="L48" s="248">
        <v>591716.39</v>
      </c>
      <c r="M48" s="248">
        <v>9625.75</v>
      </c>
      <c r="N48" s="249">
        <f t="shared" si="17"/>
        <v>651342.14</v>
      </c>
      <c r="O48" s="249">
        <f t="shared" si="18"/>
        <v>67823.356227243494</v>
      </c>
      <c r="P48" s="249">
        <f t="shared" si="19"/>
        <v>0</v>
      </c>
      <c r="Q48" s="249">
        <f t="shared" si="19"/>
        <v>802643.83008937095</v>
      </c>
      <c r="R48" s="249">
        <f t="shared" si="19"/>
        <v>13057.013424087781</v>
      </c>
      <c r="S48" s="248">
        <v>883524.19974070217</v>
      </c>
      <c r="T48" s="250">
        <f t="shared" si="20"/>
        <v>1.3564671245448701</v>
      </c>
      <c r="U48" s="249">
        <f t="shared" si="21"/>
        <v>6513421.4000000004</v>
      </c>
      <c r="V48" s="249">
        <f t="shared" si="22"/>
        <v>8835241.997407021</v>
      </c>
      <c r="W48" s="242" t="s">
        <v>265</v>
      </c>
      <c r="X48" s="242" t="s">
        <v>215</v>
      </c>
      <c r="Y48" s="251">
        <f>SUMIFS(Cert_App_Output!$G:$G,Cert_App_Output!$E:$E,$E48,Cert_App_Output!$K:$K,$X48)</f>
        <v>0.1</v>
      </c>
    </row>
    <row r="49" spans="1:25" x14ac:dyDescent="0.35">
      <c r="C49" s="242" t="s">
        <v>62</v>
      </c>
      <c r="E49" s="242">
        <v>24.08</v>
      </c>
      <c r="F49" s="242" t="s">
        <v>216</v>
      </c>
      <c r="G49" s="242" t="s">
        <v>272</v>
      </c>
      <c r="H49" s="242" t="s">
        <v>226</v>
      </c>
      <c r="I49" s="247">
        <v>10</v>
      </c>
      <c r="J49" s="248">
        <v>0</v>
      </c>
      <c r="K49" s="248">
        <v>300000</v>
      </c>
      <c r="L49" s="248">
        <v>0</v>
      </c>
      <c r="M49" s="248">
        <v>0</v>
      </c>
      <c r="N49" s="249">
        <f t="shared" si="17"/>
        <v>300000</v>
      </c>
      <c r="O49" s="249">
        <f t="shared" si="18"/>
        <v>0</v>
      </c>
      <c r="P49" s="249">
        <f t="shared" si="19"/>
        <v>406940.13736346102</v>
      </c>
      <c r="Q49" s="249">
        <f t="shared" si="19"/>
        <v>0</v>
      </c>
      <c r="R49" s="249">
        <f t="shared" si="19"/>
        <v>0</v>
      </c>
      <c r="S49" s="248">
        <v>406940.13736346102</v>
      </c>
      <c r="T49" s="250">
        <f t="shared" si="20"/>
        <v>1.3564671245448701</v>
      </c>
      <c r="U49" s="249">
        <f t="shared" si="21"/>
        <v>3000000</v>
      </c>
      <c r="V49" s="249">
        <f t="shared" si="22"/>
        <v>4069401.3736346103</v>
      </c>
      <c r="W49" s="242" t="s">
        <v>265</v>
      </c>
      <c r="X49" s="242" t="s">
        <v>215</v>
      </c>
      <c r="Y49" s="251">
        <f>SUMIFS(Cert_App_Output!$G:$G,Cert_App_Output!$E:$E,$E49,Cert_App_Output!$K:$K,$X49)</f>
        <v>0</v>
      </c>
    </row>
    <row r="50" spans="1:25" x14ac:dyDescent="0.35">
      <c r="A50" s="242" t="s">
        <v>38</v>
      </c>
      <c r="D50" s="242" t="s">
        <v>38</v>
      </c>
      <c r="E50" s="242">
        <v>24.09</v>
      </c>
      <c r="F50" s="242" t="s">
        <v>216</v>
      </c>
      <c r="G50" s="242" t="s">
        <v>273</v>
      </c>
      <c r="H50" s="242" t="s">
        <v>226</v>
      </c>
      <c r="I50" s="247">
        <v>10</v>
      </c>
      <c r="J50" s="248">
        <v>200000</v>
      </c>
      <c r="K50" s="248">
        <v>0</v>
      </c>
      <c r="L50" s="248">
        <v>67240.5</v>
      </c>
      <c r="M50" s="248">
        <v>4008.61</v>
      </c>
      <c r="N50" s="249">
        <f t="shared" si="17"/>
        <v>271249.11</v>
      </c>
      <c r="O50" s="249">
        <f t="shared" si="18"/>
        <v>271293.42490897398</v>
      </c>
      <c r="P50" s="249">
        <f t="shared" si="19"/>
        <v>0</v>
      </c>
      <c r="Q50" s="249">
        <f t="shared" si="19"/>
        <v>91209.527687959315</v>
      </c>
      <c r="R50" s="249">
        <f t="shared" si="19"/>
        <v>5437.547680121811</v>
      </c>
      <c r="S50" s="248">
        <v>367940.50027705508</v>
      </c>
      <c r="T50" s="250">
        <f t="shared" si="20"/>
        <v>1.3564671245448698</v>
      </c>
      <c r="U50" s="249">
        <f t="shared" si="21"/>
        <v>2712491.0999999996</v>
      </c>
      <c r="V50" s="249">
        <f t="shared" si="22"/>
        <v>3679405.0027705505</v>
      </c>
      <c r="W50" s="242" t="s">
        <v>265</v>
      </c>
      <c r="X50" s="242" t="s">
        <v>215</v>
      </c>
      <c r="Y50" s="251">
        <f>SUMIFS(Cert_App_Output!$G:$G,Cert_App_Output!$E:$E,$E50,Cert_App_Output!$K:$K,$X50)</f>
        <v>0.2</v>
      </c>
    </row>
    <row r="51" spans="1:25" x14ac:dyDescent="0.35">
      <c r="F51" s="242" t="s">
        <v>212</v>
      </c>
      <c r="G51" s="242" t="s">
        <v>274</v>
      </c>
      <c r="I51" s="243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5"/>
      <c r="U51" s="244"/>
      <c r="V51" s="244"/>
      <c r="W51" s="242" t="s">
        <v>275</v>
      </c>
      <c r="X51" s="242" t="s">
        <v>215</v>
      </c>
      <c r="Y51" s="246"/>
    </row>
    <row r="52" spans="1:25" x14ac:dyDescent="0.35">
      <c r="C52" s="242" t="s">
        <v>276</v>
      </c>
      <c r="E52" s="242">
        <v>25.01</v>
      </c>
      <c r="F52" s="242" t="s">
        <v>216</v>
      </c>
      <c r="G52" s="242" t="s">
        <v>277</v>
      </c>
      <c r="H52" s="242" t="s">
        <v>226</v>
      </c>
      <c r="I52" s="247">
        <v>10</v>
      </c>
      <c r="J52" s="248">
        <v>0</v>
      </c>
      <c r="K52" s="248">
        <v>3246508.92</v>
      </c>
      <c r="L52" s="248">
        <v>0</v>
      </c>
      <c r="M52" s="248">
        <v>0</v>
      </c>
      <c r="N52" s="249">
        <f>SUM(J52:M52)</f>
        <v>3246508.92</v>
      </c>
      <c r="O52" s="249">
        <f>IF($N52=0,$S52,J52/$N52*$S52)</f>
        <v>0</v>
      </c>
      <c r="P52" s="249">
        <f t="shared" ref="P52:R53" si="23">IF($N52=0,0,K52/$N52*$S52)</f>
        <v>4403782.6195216719</v>
      </c>
      <c r="Q52" s="249">
        <f t="shared" si="23"/>
        <v>0</v>
      </c>
      <c r="R52" s="249">
        <f t="shared" si="23"/>
        <v>0</v>
      </c>
      <c r="S52" s="248">
        <v>4403782.6195216719</v>
      </c>
      <c r="T52" s="250">
        <f>IFERROR(S52/N52,"")</f>
        <v>1.3564671245448703</v>
      </c>
      <c r="U52" s="249">
        <f>N52*I52</f>
        <v>32465089.199999999</v>
      </c>
      <c r="V52" s="249">
        <f>S52*I52</f>
        <v>44037826.195216715</v>
      </c>
      <c r="W52" s="242" t="s">
        <v>275</v>
      </c>
      <c r="X52" s="242" t="s">
        <v>215</v>
      </c>
      <c r="Y52" s="251">
        <f>SUMIFS(Cert_App_Output!$G:$G,Cert_App_Output!$E:$E,$E52,Cert_App_Output!$K:$K,$X52)</f>
        <v>0.2</v>
      </c>
    </row>
    <row r="53" spans="1:25" x14ac:dyDescent="0.35">
      <c r="C53" s="242" t="s">
        <v>62</v>
      </c>
      <c r="E53" s="242">
        <v>25.02</v>
      </c>
      <c r="F53" s="242" t="s">
        <v>216</v>
      </c>
      <c r="G53" s="242" t="s">
        <v>278</v>
      </c>
      <c r="H53" s="242" t="s">
        <v>226</v>
      </c>
      <c r="I53" s="247">
        <v>10</v>
      </c>
      <c r="J53" s="248">
        <v>0</v>
      </c>
      <c r="K53" s="248">
        <v>500000</v>
      </c>
      <c r="L53" s="248">
        <v>0</v>
      </c>
      <c r="M53" s="248">
        <v>0</v>
      </c>
      <c r="N53" s="249">
        <f>SUM(J53:M53)</f>
        <v>500000</v>
      </c>
      <c r="O53" s="249">
        <f>IF($N53=0,$S53,J53/$N53*$S53)</f>
        <v>0</v>
      </c>
      <c r="P53" s="249">
        <f t="shared" si="23"/>
        <v>678233.56227243505</v>
      </c>
      <c r="Q53" s="249">
        <f t="shared" si="23"/>
        <v>0</v>
      </c>
      <c r="R53" s="249">
        <f t="shared" si="23"/>
        <v>0</v>
      </c>
      <c r="S53" s="248">
        <v>678233.56227243505</v>
      </c>
      <c r="T53" s="250">
        <f>IFERROR(S53/N53,"")</f>
        <v>1.3564671245448701</v>
      </c>
      <c r="U53" s="249">
        <f>N53*I53</f>
        <v>5000000</v>
      </c>
      <c r="V53" s="249">
        <f>S53*I53</f>
        <v>6782335.6227243505</v>
      </c>
      <c r="W53" s="242" t="s">
        <v>275</v>
      </c>
      <c r="X53" s="242" t="s">
        <v>215</v>
      </c>
      <c r="Y53" s="251">
        <f>SUMIFS(Cert_App_Output!$G:$G,Cert_App_Output!$E:$E,$E53,Cert_App_Output!$K:$K,$X53)</f>
        <v>0.2</v>
      </c>
    </row>
    <row r="54" spans="1:25" x14ac:dyDescent="0.35">
      <c r="F54" s="242" t="s">
        <v>212</v>
      </c>
      <c r="G54" s="242" t="s">
        <v>279</v>
      </c>
      <c r="I54" s="243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5"/>
      <c r="U54" s="244"/>
      <c r="V54" s="244"/>
      <c r="W54" s="242" t="s">
        <v>280</v>
      </c>
      <c r="X54" s="242" t="s">
        <v>281</v>
      </c>
      <c r="Y54" s="246"/>
    </row>
    <row r="55" spans="1:25" x14ac:dyDescent="0.35">
      <c r="A55" s="242" t="s">
        <v>36</v>
      </c>
      <c r="D55" s="242" t="s">
        <v>73</v>
      </c>
      <c r="E55" s="242">
        <v>4.01</v>
      </c>
      <c r="F55" s="242" t="s">
        <v>216</v>
      </c>
      <c r="G55" s="242" t="s">
        <v>282</v>
      </c>
      <c r="H55" s="242" t="s">
        <v>234</v>
      </c>
      <c r="I55" s="247">
        <v>437</v>
      </c>
      <c r="J55" s="248">
        <v>10053.790000000001</v>
      </c>
      <c r="K55" s="248">
        <v>0</v>
      </c>
      <c r="L55" s="248">
        <v>10761.18</v>
      </c>
      <c r="M55" s="248">
        <v>255.78</v>
      </c>
      <c r="N55" s="249">
        <f t="shared" ref="N55:N60" si="24">SUM(J55:M55)</f>
        <v>21070.75</v>
      </c>
      <c r="O55" s="249">
        <f t="shared" ref="O55:O60" si="25">IF($N55=0,$S55,J55/$N55*$S55)</f>
        <v>13637.635612077971</v>
      </c>
      <c r="P55" s="249">
        <f t="shared" ref="P55:R60" si="26">IF($N55=0,0,K55/$N55*$S55)</f>
        <v>0</v>
      </c>
      <c r="Q55" s="249">
        <f t="shared" si="26"/>
        <v>14597.186891309766</v>
      </c>
      <c r="R55" s="249">
        <f t="shared" si="26"/>
        <v>346.95716111608687</v>
      </c>
      <c r="S55" s="248">
        <v>28581.779664503822</v>
      </c>
      <c r="T55" s="250">
        <f t="shared" ref="T55:T60" si="27">IFERROR(S55/N55,"")</f>
        <v>1.3564671245448701</v>
      </c>
      <c r="U55" s="249">
        <f t="shared" ref="U55:U60" si="28">N55*I55</f>
        <v>9207917.75</v>
      </c>
      <c r="V55" s="249">
        <f t="shared" ref="V55:V60" si="29">S55*I55</f>
        <v>12490237.713388169</v>
      </c>
      <c r="W55" s="242" t="s">
        <v>280</v>
      </c>
      <c r="X55" s="242" t="s">
        <v>281</v>
      </c>
      <c r="Y55" s="251">
        <f>SUMIFS(Cert_App_Output!$G:$G,Cert_App_Output!$E:$E,$E55,Cert_App_Output!$K:$K,$X55)</f>
        <v>0</v>
      </c>
    </row>
    <row r="56" spans="1:25" x14ac:dyDescent="0.35">
      <c r="A56" s="242" t="s">
        <v>36</v>
      </c>
      <c r="D56" s="242" t="s">
        <v>73</v>
      </c>
      <c r="E56" s="242">
        <v>4.0199999999999996</v>
      </c>
      <c r="F56" s="242" t="s">
        <v>216</v>
      </c>
      <c r="G56" s="242" t="s">
        <v>283</v>
      </c>
      <c r="H56" s="242" t="s">
        <v>234</v>
      </c>
      <c r="I56" s="247">
        <v>723</v>
      </c>
      <c r="J56" s="248">
        <v>18207.259999999998</v>
      </c>
      <c r="K56" s="248">
        <v>0</v>
      </c>
      <c r="L56" s="248">
        <v>10761.18</v>
      </c>
      <c r="M56" s="248">
        <v>255.78</v>
      </c>
      <c r="N56" s="249">
        <f t="shared" si="24"/>
        <v>29224.219999999998</v>
      </c>
      <c r="O56" s="249">
        <f t="shared" si="25"/>
        <v>24697.54961804083</v>
      </c>
      <c r="P56" s="249">
        <f t="shared" si="26"/>
        <v>0</v>
      </c>
      <c r="Q56" s="249">
        <f t="shared" si="26"/>
        <v>14597.186891309764</v>
      </c>
      <c r="R56" s="249">
        <f t="shared" si="26"/>
        <v>346.95716111608692</v>
      </c>
      <c r="S56" s="248">
        <v>39641.69367046668</v>
      </c>
      <c r="T56" s="250">
        <f t="shared" si="27"/>
        <v>1.3564671245448701</v>
      </c>
      <c r="U56" s="249">
        <f t="shared" si="28"/>
        <v>21129111.059999999</v>
      </c>
      <c r="V56" s="249">
        <f t="shared" si="29"/>
        <v>28660944.523747411</v>
      </c>
      <c r="W56" s="242" t="s">
        <v>280</v>
      </c>
      <c r="X56" s="242" t="s">
        <v>281</v>
      </c>
      <c r="Y56" s="251">
        <f>SUMIFS(Cert_App_Output!$G:$G,Cert_App_Output!$E:$E,$E56,Cert_App_Output!$K:$K,$X56)</f>
        <v>0</v>
      </c>
    </row>
    <row r="57" spans="1:25" x14ac:dyDescent="0.35">
      <c r="A57" s="242" t="s">
        <v>36</v>
      </c>
      <c r="D57" s="242" t="s">
        <v>73</v>
      </c>
      <c r="E57" s="242">
        <v>4.03</v>
      </c>
      <c r="F57" s="242" t="s">
        <v>216</v>
      </c>
      <c r="G57" s="242" t="s">
        <v>284</v>
      </c>
      <c r="H57" s="242" t="s">
        <v>234</v>
      </c>
      <c r="I57" s="247">
        <v>1008</v>
      </c>
      <c r="J57" s="248">
        <v>12465.04</v>
      </c>
      <c r="K57" s="248">
        <v>0</v>
      </c>
      <c r="L57" s="248">
        <v>10761.18</v>
      </c>
      <c r="M57" s="248">
        <v>255.78</v>
      </c>
      <c r="N57" s="249">
        <f t="shared" si="24"/>
        <v>23482</v>
      </c>
      <c r="O57" s="249">
        <f t="shared" si="25"/>
        <v>16908.416966136789</v>
      </c>
      <c r="P57" s="249">
        <f t="shared" si="26"/>
        <v>0</v>
      </c>
      <c r="Q57" s="249">
        <f t="shared" si="26"/>
        <v>14597.186891309766</v>
      </c>
      <c r="R57" s="249">
        <f t="shared" si="26"/>
        <v>346.95716111608687</v>
      </c>
      <c r="S57" s="248">
        <v>31852.561018562639</v>
      </c>
      <c r="T57" s="250">
        <f t="shared" si="27"/>
        <v>1.3564671245448701</v>
      </c>
      <c r="U57" s="249">
        <f t="shared" si="28"/>
        <v>23669856</v>
      </c>
      <c r="V57" s="249">
        <f t="shared" si="29"/>
        <v>32107381.50671114</v>
      </c>
      <c r="W57" s="242" t="s">
        <v>280</v>
      </c>
      <c r="X57" s="242" t="s">
        <v>281</v>
      </c>
      <c r="Y57" s="251">
        <f>SUMIFS(Cert_App_Output!$G:$G,Cert_App_Output!$E:$E,$E57,Cert_App_Output!$K:$K,$X57)</f>
        <v>0</v>
      </c>
    </row>
    <row r="58" spans="1:25" x14ac:dyDescent="0.35">
      <c r="A58" s="242" t="s">
        <v>36</v>
      </c>
      <c r="D58" s="242" t="s">
        <v>73</v>
      </c>
      <c r="E58" s="242">
        <v>4.04</v>
      </c>
      <c r="F58" s="242" t="s">
        <v>216</v>
      </c>
      <c r="G58" s="242" t="s">
        <v>285</v>
      </c>
      <c r="H58" s="242" t="s">
        <v>234</v>
      </c>
      <c r="I58" s="247">
        <v>199</v>
      </c>
      <c r="J58" s="248">
        <v>6069.09</v>
      </c>
      <c r="K58" s="248">
        <v>0</v>
      </c>
      <c r="L58" s="248">
        <v>5380.59</v>
      </c>
      <c r="M58" s="248">
        <v>255.78</v>
      </c>
      <c r="N58" s="249">
        <f t="shared" si="24"/>
        <v>11705.460000000001</v>
      </c>
      <c r="O58" s="249">
        <f t="shared" si="25"/>
        <v>8232.5210609040278</v>
      </c>
      <c r="P58" s="249">
        <f t="shared" si="26"/>
        <v>0</v>
      </c>
      <c r="Q58" s="249">
        <f t="shared" si="26"/>
        <v>7298.5934456548839</v>
      </c>
      <c r="R58" s="249">
        <f t="shared" si="26"/>
        <v>346.95716111608698</v>
      </c>
      <c r="S58" s="248">
        <v>15878.071667675</v>
      </c>
      <c r="T58" s="250">
        <f t="shared" si="27"/>
        <v>1.3564671245448703</v>
      </c>
      <c r="U58" s="249">
        <f t="shared" si="28"/>
        <v>2329386.54</v>
      </c>
      <c r="V58" s="249">
        <f t="shared" si="29"/>
        <v>3159736.2618673248</v>
      </c>
      <c r="W58" s="242" t="s">
        <v>280</v>
      </c>
      <c r="X58" s="242" t="s">
        <v>281</v>
      </c>
      <c r="Y58" s="251">
        <f>SUMIFS(Cert_App_Output!$G:$G,Cert_App_Output!$E:$E,$E58,Cert_App_Output!$K:$K,$X58)</f>
        <v>0</v>
      </c>
    </row>
    <row r="59" spans="1:25" x14ac:dyDescent="0.35">
      <c r="A59" s="242" t="s">
        <v>36</v>
      </c>
      <c r="C59" s="242" t="s">
        <v>73</v>
      </c>
      <c r="E59" s="242">
        <v>4.05</v>
      </c>
      <c r="F59" s="242" t="s">
        <v>286</v>
      </c>
      <c r="G59" s="242" t="s">
        <v>287</v>
      </c>
      <c r="H59" s="242" t="s">
        <v>234</v>
      </c>
      <c r="I59" s="247">
        <v>34</v>
      </c>
      <c r="J59" s="248">
        <v>28944.11</v>
      </c>
      <c r="K59" s="248">
        <v>27718.21</v>
      </c>
      <c r="L59" s="248">
        <v>0</v>
      </c>
      <c r="M59" s="248">
        <v>441.16</v>
      </c>
      <c r="N59" s="249">
        <f t="shared" si="24"/>
        <v>57103.48</v>
      </c>
      <c r="O59" s="249">
        <f t="shared" si="25"/>
        <v>39261.73366421042</v>
      </c>
      <c r="P59" s="249">
        <f t="shared" si="26"/>
        <v>37598.84061623086</v>
      </c>
      <c r="Q59" s="249">
        <f t="shared" si="26"/>
        <v>0</v>
      </c>
      <c r="R59" s="249">
        <f t="shared" si="26"/>
        <v>598.4190366642149</v>
      </c>
      <c r="S59" s="248">
        <v>77458.993317105502</v>
      </c>
      <c r="T59" s="250">
        <f t="shared" si="27"/>
        <v>1.3564671245448701</v>
      </c>
      <c r="U59" s="249">
        <f t="shared" si="28"/>
        <v>1941518.32</v>
      </c>
      <c r="V59" s="249">
        <f t="shared" si="29"/>
        <v>2633605.7727815872</v>
      </c>
      <c r="W59" s="242" t="s">
        <v>280</v>
      </c>
      <c r="X59" s="242" t="s">
        <v>281</v>
      </c>
      <c r="Y59" s="251">
        <f>SUMIFS(Cert_App_Output!$G:$G,Cert_App_Output!$E:$E,$E59,Cert_App_Output!$K:$K,$X59)</f>
        <v>0</v>
      </c>
    </row>
    <row r="60" spans="1:25" x14ac:dyDescent="0.35">
      <c r="A60" s="242" t="s">
        <v>36</v>
      </c>
      <c r="D60" s="242" t="s">
        <v>73</v>
      </c>
      <c r="E60" s="242">
        <v>4.0599999999999996</v>
      </c>
      <c r="F60" s="242" t="s">
        <v>216</v>
      </c>
      <c r="G60" s="242" t="s">
        <v>288</v>
      </c>
      <c r="H60" s="242" t="s">
        <v>223</v>
      </c>
      <c r="I60" s="247">
        <v>24</v>
      </c>
      <c r="J60" s="248">
        <v>23405.01</v>
      </c>
      <c r="K60" s="248">
        <v>0</v>
      </c>
      <c r="L60" s="248">
        <v>36357.14</v>
      </c>
      <c r="M60" s="248">
        <v>896.43</v>
      </c>
      <c r="N60" s="249">
        <f t="shared" si="24"/>
        <v>60658.579999999994</v>
      </c>
      <c r="O60" s="249">
        <f t="shared" si="25"/>
        <v>31748.126614643927</v>
      </c>
      <c r="P60" s="249">
        <f t="shared" si="26"/>
        <v>0</v>
      </c>
      <c r="Q60" s="249">
        <f t="shared" si="26"/>
        <v>49317.265152475273</v>
      </c>
      <c r="R60" s="249">
        <f t="shared" si="26"/>
        <v>1215.9778244557576</v>
      </c>
      <c r="S60" s="248">
        <v>82281.369591574956</v>
      </c>
      <c r="T60" s="250">
        <f t="shared" si="27"/>
        <v>1.3564671245448701</v>
      </c>
      <c r="U60" s="249">
        <f t="shared" si="28"/>
        <v>1455805.92</v>
      </c>
      <c r="V60" s="249">
        <f t="shared" si="29"/>
        <v>1974752.8701977991</v>
      </c>
      <c r="W60" s="242" t="s">
        <v>280</v>
      </c>
      <c r="X60" s="242" t="s">
        <v>281</v>
      </c>
      <c r="Y60" s="251">
        <f>SUMIFS(Cert_App_Output!$G:$G,Cert_App_Output!$E:$E,$E60,Cert_App_Output!$K:$K,$X60)</f>
        <v>0</v>
      </c>
    </row>
    <row r="61" spans="1:25" x14ac:dyDescent="0.35">
      <c r="F61" s="242" t="s">
        <v>212</v>
      </c>
      <c r="G61" s="242" t="s">
        <v>289</v>
      </c>
      <c r="I61" s="243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5"/>
      <c r="U61" s="244"/>
      <c r="V61" s="244"/>
      <c r="W61" s="242" t="s">
        <v>290</v>
      </c>
      <c r="X61" s="242" t="s">
        <v>281</v>
      </c>
      <c r="Y61" s="246"/>
    </row>
    <row r="62" spans="1:25" x14ac:dyDescent="0.35">
      <c r="A62" s="242" t="s">
        <v>36</v>
      </c>
      <c r="C62" s="242" t="s">
        <v>73</v>
      </c>
      <c r="D62" s="242" t="s">
        <v>73</v>
      </c>
      <c r="E62" s="242">
        <v>5.01</v>
      </c>
      <c r="F62" s="242" t="s">
        <v>216</v>
      </c>
      <c r="G62" s="242" t="s">
        <v>291</v>
      </c>
      <c r="H62" s="242" t="s">
        <v>234</v>
      </c>
      <c r="I62" s="247">
        <v>79</v>
      </c>
      <c r="J62" s="248">
        <v>11767.71</v>
      </c>
      <c r="K62" s="248">
        <v>4471.47</v>
      </c>
      <c r="L62" s="248">
        <v>12775.62</v>
      </c>
      <c r="M62" s="248">
        <v>34.979999999999997</v>
      </c>
      <c r="N62" s="249">
        <f t="shared" ref="N62:N67" si="30">SUM(J62:M62)</f>
        <v>29049.780000000002</v>
      </c>
      <c r="O62" s="249">
        <f t="shared" ref="O62:O67" si="31">IF($N62=0,$S62,J62/$N62*$S62)</f>
        <v>15962.511746177912</v>
      </c>
      <c r="P62" s="249">
        <f t="shared" ref="P62:R67" si="32">IF($N62=0,0,K62/$N62*$S62)</f>
        <v>6065.4020533886514</v>
      </c>
      <c r="Q62" s="249">
        <f t="shared" si="32"/>
        <v>17329.708525677936</v>
      </c>
      <c r="R62" s="249">
        <f t="shared" si="32"/>
        <v>47.449220016579559</v>
      </c>
      <c r="S62" s="248">
        <v>39405.071545261082</v>
      </c>
      <c r="T62" s="250">
        <f t="shared" ref="T62:T67" si="33">IFERROR(S62/N62,"")</f>
        <v>1.3564671245448703</v>
      </c>
      <c r="U62" s="249">
        <f t="shared" ref="U62:U67" si="34">N62*I62</f>
        <v>2294932.62</v>
      </c>
      <c r="V62" s="249">
        <f t="shared" ref="V62:V67" si="35">S62*I62</f>
        <v>3113000.6520756255</v>
      </c>
      <c r="W62" s="242" t="s">
        <v>290</v>
      </c>
      <c r="X62" s="242" t="s">
        <v>281</v>
      </c>
      <c r="Y62" s="251">
        <f>SUMIFS(Cert_App_Output!$G:$G,Cert_App_Output!$E:$E,$E62,Cert_App_Output!$K:$K,$X62)</f>
        <v>0</v>
      </c>
    </row>
    <row r="63" spans="1:25" x14ac:dyDescent="0.35">
      <c r="A63" s="242" t="s">
        <v>36</v>
      </c>
      <c r="D63" s="242" t="s">
        <v>73</v>
      </c>
      <c r="E63" s="242">
        <v>5.0199999999999996</v>
      </c>
      <c r="F63" s="242" t="s">
        <v>216</v>
      </c>
      <c r="G63" s="242" t="s">
        <v>292</v>
      </c>
      <c r="H63" s="242" t="s">
        <v>223</v>
      </c>
      <c r="I63" s="247">
        <v>113</v>
      </c>
      <c r="J63" s="248">
        <v>827.28</v>
      </c>
      <c r="K63" s="248">
        <v>0</v>
      </c>
      <c r="L63" s="248">
        <v>4324.05</v>
      </c>
      <c r="M63" s="248">
        <v>137.03</v>
      </c>
      <c r="N63" s="249">
        <f t="shared" si="30"/>
        <v>5288.36</v>
      </c>
      <c r="O63" s="249">
        <f t="shared" si="31"/>
        <v>1122.17812279348</v>
      </c>
      <c r="P63" s="249">
        <f t="shared" si="32"/>
        <v>0</v>
      </c>
      <c r="Q63" s="249">
        <f t="shared" si="32"/>
        <v>5865.4316698882458</v>
      </c>
      <c r="R63" s="249">
        <f t="shared" si="32"/>
        <v>185.87669007638354</v>
      </c>
      <c r="S63" s="248">
        <v>7173.4864827581087</v>
      </c>
      <c r="T63" s="250">
        <f t="shared" si="33"/>
        <v>1.3564671245448701</v>
      </c>
      <c r="U63" s="249">
        <f t="shared" si="34"/>
        <v>597584.67999999993</v>
      </c>
      <c r="V63" s="249">
        <f t="shared" si="35"/>
        <v>810603.97255166632</v>
      </c>
      <c r="W63" s="242" t="s">
        <v>290</v>
      </c>
      <c r="X63" s="242" t="s">
        <v>281</v>
      </c>
      <c r="Y63" s="251">
        <f>SUMIFS(Cert_App_Output!$G:$G,Cert_App_Output!$E:$E,$E63,Cert_App_Output!$K:$K,$X63)</f>
        <v>0</v>
      </c>
    </row>
    <row r="64" spans="1:25" x14ac:dyDescent="0.35">
      <c r="A64" s="242" t="s">
        <v>36</v>
      </c>
      <c r="D64" s="242" t="s">
        <v>73</v>
      </c>
      <c r="E64" s="242">
        <v>5.03</v>
      </c>
      <c r="F64" s="242" t="s">
        <v>216</v>
      </c>
      <c r="G64" s="242" t="s">
        <v>293</v>
      </c>
      <c r="H64" s="242" t="s">
        <v>234</v>
      </c>
      <c r="I64" s="247">
        <v>207</v>
      </c>
      <c r="J64" s="248">
        <v>827.28</v>
      </c>
      <c r="K64" s="248">
        <v>0</v>
      </c>
      <c r="L64" s="248">
        <v>4324.05</v>
      </c>
      <c r="M64" s="248">
        <v>137.03</v>
      </c>
      <c r="N64" s="249">
        <f t="shared" si="30"/>
        <v>5288.36</v>
      </c>
      <c r="O64" s="249">
        <f t="shared" si="31"/>
        <v>1122.17812279348</v>
      </c>
      <c r="P64" s="249">
        <f t="shared" si="32"/>
        <v>0</v>
      </c>
      <c r="Q64" s="249">
        <f t="shared" si="32"/>
        <v>5865.4316698882458</v>
      </c>
      <c r="R64" s="249">
        <f t="shared" si="32"/>
        <v>185.87669007638354</v>
      </c>
      <c r="S64" s="248">
        <v>7173.4864827581087</v>
      </c>
      <c r="T64" s="250">
        <f t="shared" si="33"/>
        <v>1.3564671245448701</v>
      </c>
      <c r="U64" s="249">
        <f t="shared" si="34"/>
        <v>1094690.52</v>
      </c>
      <c r="V64" s="249">
        <f t="shared" si="35"/>
        <v>1484911.7019309285</v>
      </c>
      <c r="W64" s="242" t="s">
        <v>290</v>
      </c>
      <c r="X64" s="242" t="s">
        <v>281</v>
      </c>
      <c r="Y64" s="251">
        <f>SUMIFS(Cert_App_Output!$G:$G,Cert_App_Output!$E:$E,$E64,Cert_App_Output!$K:$K,$X64)</f>
        <v>0</v>
      </c>
    </row>
    <row r="65" spans="1:25" x14ac:dyDescent="0.35">
      <c r="A65" s="242" t="s">
        <v>36</v>
      </c>
      <c r="E65" s="242">
        <v>5.04</v>
      </c>
      <c r="F65" s="242" t="s">
        <v>216</v>
      </c>
      <c r="G65" s="242" t="s">
        <v>294</v>
      </c>
      <c r="H65" s="242" t="s">
        <v>234</v>
      </c>
      <c r="I65" s="247">
        <v>165</v>
      </c>
      <c r="J65" s="248">
        <v>3538.08</v>
      </c>
      <c r="K65" s="248">
        <v>0</v>
      </c>
      <c r="L65" s="248">
        <v>0</v>
      </c>
      <c r="M65" s="248">
        <v>0</v>
      </c>
      <c r="N65" s="249">
        <f t="shared" si="30"/>
        <v>3538.08</v>
      </c>
      <c r="O65" s="249">
        <f t="shared" si="31"/>
        <v>4799.289204009714</v>
      </c>
      <c r="P65" s="249">
        <f t="shared" si="32"/>
        <v>0</v>
      </c>
      <c r="Q65" s="249">
        <f t="shared" si="32"/>
        <v>0</v>
      </c>
      <c r="R65" s="249">
        <f t="shared" si="32"/>
        <v>0</v>
      </c>
      <c r="S65" s="248">
        <v>4799.289204009714</v>
      </c>
      <c r="T65" s="250">
        <f t="shared" si="33"/>
        <v>1.3564671245448701</v>
      </c>
      <c r="U65" s="249">
        <f t="shared" si="34"/>
        <v>583783.19999999995</v>
      </c>
      <c r="V65" s="249">
        <f t="shared" si="35"/>
        <v>791882.71866160282</v>
      </c>
      <c r="W65" s="242" t="s">
        <v>290</v>
      </c>
      <c r="X65" s="242" t="s">
        <v>281</v>
      </c>
      <c r="Y65" s="251">
        <f>SUMIFS(Cert_App_Output!$G:$G,Cert_App_Output!$E:$E,$E65,Cert_App_Output!$K:$K,$X65)</f>
        <v>0</v>
      </c>
    </row>
    <row r="66" spans="1:25" x14ac:dyDescent="0.35">
      <c r="A66" s="242" t="s">
        <v>36</v>
      </c>
      <c r="D66" s="242" t="s">
        <v>73</v>
      </c>
      <c r="E66" s="242">
        <v>5.05</v>
      </c>
      <c r="F66" s="242" t="s">
        <v>216</v>
      </c>
      <c r="G66" s="242" t="s">
        <v>295</v>
      </c>
      <c r="H66" s="242" t="s">
        <v>234</v>
      </c>
      <c r="I66" s="247">
        <v>165</v>
      </c>
      <c r="J66" s="248">
        <v>1392.61</v>
      </c>
      <c r="K66" s="248">
        <v>0</v>
      </c>
      <c r="L66" s="248">
        <v>2017.72</v>
      </c>
      <c r="M66" s="248">
        <v>10.93</v>
      </c>
      <c r="N66" s="249">
        <f t="shared" si="30"/>
        <v>3421.2599999999998</v>
      </c>
      <c r="O66" s="249">
        <f t="shared" si="31"/>
        <v>1889.0296823124313</v>
      </c>
      <c r="P66" s="249">
        <f t="shared" si="32"/>
        <v>0</v>
      </c>
      <c r="Q66" s="249">
        <f t="shared" si="32"/>
        <v>2736.9708465366753</v>
      </c>
      <c r="R66" s="249">
        <f t="shared" si="32"/>
        <v>14.826185671275429</v>
      </c>
      <c r="S66" s="248">
        <v>4640.8267145203818</v>
      </c>
      <c r="T66" s="250">
        <f t="shared" si="33"/>
        <v>1.3564671245448701</v>
      </c>
      <c r="U66" s="249">
        <f t="shared" si="34"/>
        <v>564507.89999999991</v>
      </c>
      <c r="V66" s="249">
        <f t="shared" si="35"/>
        <v>765736.40789586294</v>
      </c>
      <c r="W66" s="242" t="s">
        <v>290</v>
      </c>
      <c r="X66" s="242" t="s">
        <v>281</v>
      </c>
      <c r="Y66" s="251">
        <f>SUMIFS(Cert_App_Output!$G:$G,Cert_App_Output!$E:$E,$E66,Cert_App_Output!$K:$K,$X66)</f>
        <v>0</v>
      </c>
    </row>
    <row r="67" spans="1:25" x14ac:dyDescent="0.35">
      <c r="A67" s="242" t="s">
        <v>36</v>
      </c>
      <c r="C67" s="242" t="s">
        <v>73</v>
      </c>
      <c r="D67" s="242" t="s">
        <v>73</v>
      </c>
      <c r="E67" s="242">
        <v>5.0599999999999996</v>
      </c>
      <c r="F67" s="242" t="s">
        <v>216</v>
      </c>
      <c r="G67" s="242" t="s">
        <v>296</v>
      </c>
      <c r="H67" s="242" t="s">
        <v>234</v>
      </c>
      <c r="I67" s="247">
        <v>274</v>
      </c>
      <c r="J67" s="248">
        <v>10460.18</v>
      </c>
      <c r="K67" s="248">
        <v>2555.12</v>
      </c>
      <c r="L67" s="248">
        <v>12775.62</v>
      </c>
      <c r="M67" s="248">
        <v>34.979999999999997</v>
      </c>
      <c r="N67" s="249">
        <f t="shared" si="30"/>
        <v>25825.899999999998</v>
      </c>
      <c r="O67" s="249">
        <f t="shared" si="31"/>
        <v>14188.890286821759</v>
      </c>
      <c r="P67" s="249">
        <f t="shared" si="32"/>
        <v>3465.9362792670886</v>
      </c>
      <c r="Q67" s="249">
        <f t="shared" si="32"/>
        <v>17329.708525677936</v>
      </c>
      <c r="R67" s="249">
        <f t="shared" si="32"/>
        <v>47.449220016579552</v>
      </c>
      <c r="S67" s="248">
        <v>35031.984311783359</v>
      </c>
      <c r="T67" s="250">
        <f t="shared" si="33"/>
        <v>1.3564671245448701</v>
      </c>
      <c r="U67" s="249">
        <f t="shared" si="34"/>
        <v>7076296.5999999996</v>
      </c>
      <c r="V67" s="249">
        <f t="shared" si="35"/>
        <v>9598763.7014286406</v>
      </c>
      <c r="W67" s="242" t="s">
        <v>290</v>
      </c>
      <c r="X67" s="242" t="s">
        <v>281</v>
      </c>
      <c r="Y67" s="251">
        <f>SUMIFS(Cert_App_Output!$G:$G,Cert_App_Output!$E:$E,$E67,Cert_App_Output!$K:$K,$X67)</f>
        <v>0</v>
      </c>
    </row>
    <row r="68" spans="1:25" x14ac:dyDescent="0.35">
      <c r="F68" s="242" t="s">
        <v>212</v>
      </c>
      <c r="G68" s="242" t="s">
        <v>297</v>
      </c>
      <c r="I68" s="243"/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245"/>
      <c r="U68" s="244"/>
      <c r="V68" s="244"/>
      <c r="W68" s="242" t="s">
        <v>298</v>
      </c>
      <c r="X68" s="242" t="s">
        <v>281</v>
      </c>
      <c r="Y68" s="246"/>
    </row>
    <row r="69" spans="1:25" x14ac:dyDescent="0.35">
      <c r="A69" s="242" t="s">
        <v>36</v>
      </c>
      <c r="D69" s="242" t="s">
        <v>73</v>
      </c>
      <c r="E69" s="242">
        <v>6.01</v>
      </c>
      <c r="F69" s="242" t="s">
        <v>216</v>
      </c>
      <c r="G69" s="242" t="s">
        <v>299</v>
      </c>
      <c r="H69" s="242" t="s">
        <v>223</v>
      </c>
      <c r="I69" s="247">
        <v>44</v>
      </c>
      <c r="J69" s="248">
        <v>16295</v>
      </c>
      <c r="K69" s="248">
        <v>0</v>
      </c>
      <c r="L69" s="248">
        <v>8126.8</v>
      </c>
      <c r="M69" s="248">
        <v>366.33</v>
      </c>
      <c r="N69" s="249">
        <f>SUM(J69:M69)</f>
        <v>24788.13</v>
      </c>
      <c r="O69" s="249">
        <f>IF($N69=0,$S69,J69/$N69*$S69)</f>
        <v>22103.631794458655</v>
      </c>
      <c r="P69" s="249">
        <f>IF($N69=0,0,K69/$N69*$S69)</f>
        <v>0</v>
      </c>
      <c r="Q69" s="249">
        <f>IF($N69=0,0,L69/$N69*$S69)</f>
        <v>11023.737027751249</v>
      </c>
      <c r="R69" s="249">
        <f>IF($N69=0,0,M69/$N69*$S69)</f>
        <v>496.91460173452214</v>
      </c>
      <c r="S69" s="248">
        <v>33624.283423944427</v>
      </c>
      <c r="T69" s="250">
        <f>IFERROR(S69/N69,"")</f>
        <v>1.3564671245448698</v>
      </c>
      <c r="U69" s="249">
        <f>N69*I69</f>
        <v>1090677.72</v>
      </c>
      <c r="V69" s="249">
        <f>S69*I69</f>
        <v>1479468.4706535549</v>
      </c>
      <c r="W69" s="242" t="s">
        <v>298</v>
      </c>
      <c r="X69" s="242" t="s">
        <v>281</v>
      </c>
      <c r="Y69" s="251">
        <f>SUMIFS(Cert_App_Output!$G:$G,Cert_App_Output!$E:$E,$E69,Cert_App_Output!$K:$K,$X69)</f>
        <v>0</v>
      </c>
    </row>
    <row r="70" spans="1:25" x14ac:dyDescent="0.35">
      <c r="F70" s="242" t="s">
        <v>212</v>
      </c>
      <c r="G70" s="242" t="s">
        <v>300</v>
      </c>
      <c r="I70" s="243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5"/>
      <c r="U70" s="244"/>
      <c r="V70" s="244"/>
      <c r="W70" s="242" t="s">
        <v>301</v>
      </c>
      <c r="X70" s="242" t="s">
        <v>281</v>
      </c>
      <c r="Y70" s="246"/>
    </row>
    <row r="71" spans="1:25" x14ac:dyDescent="0.35">
      <c r="A71" s="242" t="s">
        <v>36</v>
      </c>
      <c r="D71" s="242" t="s">
        <v>73</v>
      </c>
      <c r="E71" s="242">
        <v>7.01</v>
      </c>
      <c r="F71" s="242" t="s">
        <v>216</v>
      </c>
      <c r="G71" s="242" t="s">
        <v>302</v>
      </c>
      <c r="H71" s="242" t="s">
        <v>234</v>
      </c>
      <c r="I71" s="247">
        <v>663</v>
      </c>
      <c r="J71" s="248">
        <v>4061.17</v>
      </c>
      <c r="K71" s="248">
        <v>0</v>
      </c>
      <c r="L71" s="248">
        <v>11697.52</v>
      </c>
      <c r="M71" s="248">
        <v>333.63</v>
      </c>
      <c r="N71" s="249">
        <f t="shared" ref="N71:N78" si="36">SUM(J71:M71)</f>
        <v>16092.32</v>
      </c>
      <c r="O71" s="249">
        <f t="shared" ref="O71:O78" si="37">IF($N71=0,$S71,J71/$N71*$S71)</f>
        <v>5508.84359218789</v>
      </c>
      <c r="P71" s="249">
        <f t="shared" ref="P71:R78" si="38">IF($N71=0,0,K71/$N71*$S71)</f>
        <v>0</v>
      </c>
      <c r="Q71" s="249">
        <f t="shared" si="38"/>
        <v>15867.30131870611</v>
      </c>
      <c r="R71" s="249">
        <f t="shared" si="38"/>
        <v>452.55812676190499</v>
      </c>
      <c r="S71" s="248">
        <v>21828.703037655901</v>
      </c>
      <c r="T71" s="250">
        <f t="shared" ref="T71:T78" si="39">IFERROR(S71/N71,"")</f>
        <v>1.3564671245448701</v>
      </c>
      <c r="U71" s="249">
        <f t="shared" ref="U71:U78" si="40">N71*I71</f>
        <v>10669208.16</v>
      </c>
      <c r="V71" s="249">
        <f t="shared" ref="V71:V78" si="41">S71*I71</f>
        <v>14472430.113965863</v>
      </c>
      <c r="W71" s="242" t="s">
        <v>301</v>
      </c>
      <c r="X71" s="242" t="s">
        <v>281</v>
      </c>
      <c r="Y71" s="251">
        <f>SUMIFS(Cert_App_Output!$G:$G,Cert_App_Output!$E:$E,$E71,Cert_App_Output!$K:$K,$X71)</f>
        <v>0</v>
      </c>
    </row>
    <row r="72" spans="1:25" x14ac:dyDescent="0.35">
      <c r="A72" s="242" t="s">
        <v>36</v>
      </c>
      <c r="D72" s="242" t="s">
        <v>73</v>
      </c>
      <c r="E72" s="242">
        <v>7.02</v>
      </c>
      <c r="F72" s="242" t="s">
        <v>216</v>
      </c>
      <c r="G72" s="242" t="s">
        <v>303</v>
      </c>
      <c r="H72" s="242" t="s">
        <v>234</v>
      </c>
      <c r="I72" s="247">
        <v>1164</v>
      </c>
      <c r="J72" s="248">
        <v>4061.17</v>
      </c>
      <c r="K72" s="248">
        <v>0</v>
      </c>
      <c r="L72" s="248">
        <v>16815.18</v>
      </c>
      <c r="M72" s="248">
        <v>863.36</v>
      </c>
      <c r="N72" s="249">
        <f t="shared" si="36"/>
        <v>21739.71</v>
      </c>
      <c r="O72" s="249">
        <f t="shared" si="37"/>
        <v>5508.8435921878909</v>
      </c>
      <c r="P72" s="249">
        <f t="shared" si="38"/>
        <v>0</v>
      </c>
      <c r="Q72" s="249">
        <f t="shared" si="38"/>
        <v>22809.238863304414</v>
      </c>
      <c r="R72" s="249">
        <f t="shared" si="38"/>
        <v>1171.1194566470592</v>
      </c>
      <c r="S72" s="248">
        <v>29489.201912139361</v>
      </c>
      <c r="T72" s="250">
        <f t="shared" si="39"/>
        <v>1.3564671245448703</v>
      </c>
      <c r="U72" s="249">
        <f t="shared" si="40"/>
        <v>25305022.439999998</v>
      </c>
      <c r="V72" s="249">
        <f t="shared" si="41"/>
        <v>34325431.025730215</v>
      </c>
      <c r="W72" s="242" t="s">
        <v>301</v>
      </c>
      <c r="X72" s="242" t="s">
        <v>281</v>
      </c>
      <c r="Y72" s="251">
        <f>SUMIFS(Cert_App_Output!$G:$G,Cert_App_Output!$E:$E,$E72,Cert_App_Output!$K:$K,$X72)</f>
        <v>0</v>
      </c>
    </row>
    <row r="73" spans="1:25" x14ac:dyDescent="0.35">
      <c r="C73" s="242" t="s">
        <v>73</v>
      </c>
      <c r="E73" s="242">
        <v>7.03</v>
      </c>
      <c r="F73" s="242" t="s">
        <v>216</v>
      </c>
      <c r="G73" s="242" t="s">
        <v>304</v>
      </c>
      <c r="H73" s="242" t="s">
        <v>223</v>
      </c>
      <c r="I73" s="247">
        <v>500</v>
      </c>
      <c r="J73" s="248">
        <v>0</v>
      </c>
      <c r="K73" s="248">
        <v>11122.34</v>
      </c>
      <c r="L73" s="248">
        <v>0</v>
      </c>
      <c r="M73" s="248">
        <v>0</v>
      </c>
      <c r="N73" s="249">
        <f t="shared" si="36"/>
        <v>11122.34</v>
      </c>
      <c r="O73" s="249">
        <f t="shared" si="37"/>
        <v>0</v>
      </c>
      <c r="P73" s="249">
        <f t="shared" si="38"/>
        <v>15087.08855801039</v>
      </c>
      <c r="Q73" s="249">
        <f t="shared" si="38"/>
        <v>0</v>
      </c>
      <c r="R73" s="249">
        <f t="shared" si="38"/>
        <v>0</v>
      </c>
      <c r="S73" s="248">
        <v>15087.08855801039</v>
      </c>
      <c r="T73" s="250">
        <f t="shared" si="39"/>
        <v>1.3564671245448701</v>
      </c>
      <c r="U73" s="249">
        <f t="shared" si="40"/>
        <v>5561170</v>
      </c>
      <c r="V73" s="249">
        <f t="shared" si="41"/>
        <v>7543544.279005195</v>
      </c>
      <c r="W73" s="242" t="s">
        <v>301</v>
      </c>
      <c r="X73" s="242" t="s">
        <v>281</v>
      </c>
      <c r="Y73" s="251">
        <f>SUMIFS(Cert_App_Output!$G:$G,Cert_App_Output!$E:$E,$E73,Cert_App_Output!$K:$K,$X73)</f>
        <v>0</v>
      </c>
    </row>
    <row r="74" spans="1:25" x14ac:dyDescent="0.35">
      <c r="A74" s="242" t="s">
        <v>36</v>
      </c>
      <c r="D74" s="242" t="s">
        <v>73</v>
      </c>
      <c r="E74" s="242">
        <v>7.04</v>
      </c>
      <c r="F74" s="242" t="s">
        <v>216</v>
      </c>
      <c r="G74" s="242" t="s">
        <v>305</v>
      </c>
      <c r="H74" s="242" t="s">
        <v>234</v>
      </c>
      <c r="I74" s="247">
        <v>521</v>
      </c>
      <c r="J74" s="248">
        <v>2891.22</v>
      </c>
      <c r="K74" s="248">
        <v>0</v>
      </c>
      <c r="L74" s="248">
        <v>22980.58</v>
      </c>
      <c r="M74" s="248">
        <v>639.45000000000005</v>
      </c>
      <c r="N74" s="249">
        <f t="shared" si="36"/>
        <v>26511.250000000004</v>
      </c>
      <c r="O74" s="249">
        <f t="shared" si="37"/>
        <v>3921.8448798266186</v>
      </c>
      <c r="P74" s="249">
        <f t="shared" si="38"/>
        <v>0</v>
      </c>
      <c r="Q74" s="249">
        <f t="shared" si="38"/>
        <v>31172.401272973348</v>
      </c>
      <c r="R74" s="249">
        <f t="shared" si="38"/>
        <v>867.39290279021714</v>
      </c>
      <c r="S74" s="248">
        <v>35961.639055590189</v>
      </c>
      <c r="T74" s="250">
        <f t="shared" si="39"/>
        <v>1.3564671245448701</v>
      </c>
      <c r="U74" s="249">
        <f t="shared" si="40"/>
        <v>13812361.250000002</v>
      </c>
      <c r="V74" s="249">
        <f t="shared" si="41"/>
        <v>18736013.947962489</v>
      </c>
      <c r="W74" s="242" t="s">
        <v>301</v>
      </c>
      <c r="X74" s="242" t="s">
        <v>281</v>
      </c>
      <c r="Y74" s="251">
        <f>SUMIFS(Cert_App_Output!$G:$G,Cert_App_Output!$E:$E,$E74,Cert_App_Output!$K:$K,$X74)</f>
        <v>0</v>
      </c>
    </row>
    <row r="75" spans="1:25" x14ac:dyDescent="0.35">
      <c r="A75" s="242" t="s">
        <v>306</v>
      </c>
      <c r="C75" s="242" t="s">
        <v>307</v>
      </c>
      <c r="E75" s="242">
        <v>7.05</v>
      </c>
      <c r="F75" s="242" t="s">
        <v>216</v>
      </c>
      <c r="G75" s="242" t="s">
        <v>308</v>
      </c>
      <c r="H75" s="242" t="s">
        <v>234</v>
      </c>
      <c r="I75" s="247">
        <v>2180</v>
      </c>
      <c r="J75" s="248">
        <v>5780.87</v>
      </c>
      <c r="K75" s="248">
        <v>12252.55</v>
      </c>
      <c r="L75" s="248">
        <v>0</v>
      </c>
      <c r="M75" s="248">
        <v>270.5</v>
      </c>
      <c r="N75" s="249">
        <f t="shared" si="36"/>
        <v>18303.919999999998</v>
      </c>
      <c r="O75" s="249">
        <f t="shared" si="37"/>
        <v>7841.5601062677051</v>
      </c>
      <c r="P75" s="249">
        <f t="shared" si="38"/>
        <v>16620.18126684225</v>
      </c>
      <c r="Q75" s="249">
        <f t="shared" si="38"/>
        <v>0</v>
      </c>
      <c r="R75" s="249">
        <f t="shared" si="38"/>
        <v>366.92435718938742</v>
      </c>
      <c r="S75" s="248">
        <v>24828.665730299341</v>
      </c>
      <c r="T75" s="250">
        <f t="shared" si="39"/>
        <v>1.3564671245448703</v>
      </c>
      <c r="U75" s="249">
        <f t="shared" si="40"/>
        <v>39902545.599999994</v>
      </c>
      <c r="V75" s="249">
        <f t="shared" si="41"/>
        <v>54126491.29205256</v>
      </c>
      <c r="W75" s="242" t="s">
        <v>301</v>
      </c>
      <c r="X75" s="242" t="s">
        <v>281</v>
      </c>
      <c r="Y75" s="251">
        <f>SUMIFS(Cert_App_Output!$G:$G,Cert_App_Output!$E:$E,$E75,Cert_App_Output!$K:$K,$X75)</f>
        <v>0</v>
      </c>
    </row>
    <row r="76" spans="1:25" x14ac:dyDescent="0.35">
      <c r="C76" s="242" t="s">
        <v>307</v>
      </c>
      <c r="E76" s="242">
        <v>7.06</v>
      </c>
      <c r="F76" s="242" t="s">
        <v>216</v>
      </c>
      <c r="G76" s="242" t="s">
        <v>309</v>
      </c>
      <c r="H76" s="242" t="s">
        <v>223</v>
      </c>
      <c r="I76" s="247">
        <v>255</v>
      </c>
      <c r="J76" s="248">
        <v>0</v>
      </c>
      <c r="K76" s="248">
        <v>13144.58</v>
      </c>
      <c r="L76" s="248">
        <v>0</v>
      </c>
      <c r="M76" s="248">
        <v>197.17</v>
      </c>
      <c r="N76" s="249">
        <f t="shared" si="36"/>
        <v>13341.75</v>
      </c>
      <c r="O76" s="249">
        <f t="shared" si="37"/>
        <v>0</v>
      </c>
      <c r="P76" s="249">
        <f t="shared" si="38"/>
        <v>17830.190635950006</v>
      </c>
      <c r="Q76" s="249">
        <f t="shared" si="38"/>
        <v>0</v>
      </c>
      <c r="R76" s="249">
        <f t="shared" si="38"/>
        <v>267.45462294651202</v>
      </c>
      <c r="S76" s="248">
        <v>18097.645258896518</v>
      </c>
      <c r="T76" s="250">
        <f t="shared" si="39"/>
        <v>1.3564671245448698</v>
      </c>
      <c r="U76" s="249">
        <f t="shared" si="40"/>
        <v>3402146.25</v>
      </c>
      <c r="V76" s="249">
        <f t="shared" si="41"/>
        <v>4614899.5410186127</v>
      </c>
      <c r="W76" s="242" t="s">
        <v>301</v>
      </c>
      <c r="X76" s="242" t="s">
        <v>281</v>
      </c>
      <c r="Y76" s="251">
        <f>SUMIFS(Cert_App_Output!$G:$G,Cert_App_Output!$E:$E,$E76,Cert_App_Output!$K:$K,$X76)</f>
        <v>0</v>
      </c>
    </row>
    <row r="77" spans="1:25" x14ac:dyDescent="0.35">
      <c r="A77" s="242" t="s">
        <v>306</v>
      </c>
      <c r="C77" s="242" t="s">
        <v>307</v>
      </c>
      <c r="E77" s="242">
        <v>7.07</v>
      </c>
      <c r="F77" s="242" t="s">
        <v>216</v>
      </c>
      <c r="G77" s="242" t="s">
        <v>310</v>
      </c>
      <c r="H77" s="242" t="s">
        <v>261</v>
      </c>
      <c r="I77" s="247">
        <v>102</v>
      </c>
      <c r="J77" s="248">
        <v>1658.12</v>
      </c>
      <c r="K77" s="248">
        <v>13917.79</v>
      </c>
      <c r="L77" s="248">
        <v>0</v>
      </c>
      <c r="M77" s="248">
        <v>233.64</v>
      </c>
      <c r="N77" s="249">
        <f t="shared" si="36"/>
        <v>15809.55</v>
      </c>
      <c r="O77" s="249">
        <f t="shared" si="37"/>
        <v>2249.1852685503395</v>
      </c>
      <c r="P77" s="249">
        <f t="shared" si="38"/>
        <v>18879.024581319347</v>
      </c>
      <c r="Q77" s="249">
        <f t="shared" si="38"/>
        <v>0</v>
      </c>
      <c r="R77" s="249">
        <f t="shared" si="38"/>
        <v>316.92497897866343</v>
      </c>
      <c r="S77" s="248">
        <v>21445.13482884835</v>
      </c>
      <c r="T77" s="250">
        <f t="shared" si="39"/>
        <v>1.3564671245448701</v>
      </c>
      <c r="U77" s="249">
        <f t="shared" si="40"/>
        <v>1612574.0999999999</v>
      </c>
      <c r="V77" s="249">
        <f t="shared" si="41"/>
        <v>2187403.7525425316</v>
      </c>
      <c r="W77" s="242" t="s">
        <v>301</v>
      </c>
      <c r="X77" s="242" t="s">
        <v>281</v>
      </c>
      <c r="Y77" s="251">
        <f>SUMIFS(Cert_App_Output!$G:$G,Cert_App_Output!$E:$E,$E77,Cert_App_Output!$K:$K,$X77)</f>
        <v>0</v>
      </c>
    </row>
    <row r="78" spans="1:25" x14ac:dyDescent="0.35">
      <c r="A78" s="242" t="s">
        <v>36</v>
      </c>
      <c r="D78" s="242" t="s">
        <v>73</v>
      </c>
      <c r="E78" s="242">
        <v>7.08</v>
      </c>
      <c r="F78" s="242" t="s">
        <v>216</v>
      </c>
      <c r="G78" s="242" t="s">
        <v>311</v>
      </c>
      <c r="H78" s="242" t="s">
        <v>234</v>
      </c>
      <c r="I78" s="247">
        <v>715</v>
      </c>
      <c r="J78" s="248">
        <v>4061.17</v>
      </c>
      <c r="K78" s="248">
        <v>0</v>
      </c>
      <c r="L78" s="248">
        <v>11697.52</v>
      </c>
      <c r="M78" s="248">
        <v>333.63</v>
      </c>
      <c r="N78" s="249">
        <f t="shared" si="36"/>
        <v>16092.32</v>
      </c>
      <c r="O78" s="249">
        <f t="shared" si="37"/>
        <v>5508.84359218789</v>
      </c>
      <c r="P78" s="249">
        <f t="shared" si="38"/>
        <v>0</v>
      </c>
      <c r="Q78" s="249">
        <f t="shared" si="38"/>
        <v>15867.30131870611</v>
      </c>
      <c r="R78" s="249">
        <f t="shared" si="38"/>
        <v>452.55812676190499</v>
      </c>
      <c r="S78" s="248">
        <v>21828.703037655901</v>
      </c>
      <c r="T78" s="250">
        <f t="shared" si="39"/>
        <v>1.3564671245448701</v>
      </c>
      <c r="U78" s="249">
        <f t="shared" si="40"/>
        <v>11506008.799999999</v>
      </c>
      <c r="V78" s="249">
        <f t="shared" si="41"/>
        <v>15607522.671923969</v>
      </c>
      <c r="W78" s="242" t="s">
        <v>301</v>
      </c>
      <c r="X78" s="242" t="s">
        <v>281</v>
      </c>
      <c r="Y78" s="251">
        <f>SUMIFS(Cert_App_Output!$G:$G,Cert_App_Output!$E:$E,$E78,Cert_App_Output!$K:$K,$X78)</f>
        <v>0</v>
      </c>
    </row>
    <row r="79" spans="1:25" x14ac:dyDescent="0.35">
      <c r="F79" s="242" t="s">
        <v>212</v>
      </c>
      <c r="G79" s="242" t="s">
        <v>312</v>
      </c>
      <c r="I79" s="243"/>
      <c r="J79" s="244"/>
      <c r="K79" s="244"/>
      <c r="L79" s="244"/>
      <c r="M79" s="244"/>
      <c r="N79" s="244"/>
      <c r="O79" s="244"/>
      <c r="P79" s="244"/>
      <c r="Q79" s="244"/>
      <c r="R79" s="244"/>
      <c r="S79" s="244"/>
      <c r="T79" s="245"/>
      <c r="U79" s="244"/>
      <c r="V79" s="244"/>
      <c r="W79" s="242" t="s">
        <v>313</v>
      </c>
      <c r="X79" s="242" t="s">
        <v>281</v>
      </c>
      <c r="Y79" s="246"/>
    </row>
    <row r="80" spans="1:25" x14ac:dyDescent="0.35">
      <c r="A80" s="242" t="s">
        <v>36</v>
      </c>
      <c r="D80" s="242" t="s">
        <v>73</v>
      </c>
      <c r="E80" s="242">
        <v>8.01</v>
      </c>
      <c r="F80" s="242" t="s">
        <v>216</v>
      </c>
      <c r="G80" s="242" t="s">
        <v>314</v>
      </c>
      <c r="H80" s="242" t="s">
        <v>234</v>
      </c>
      <c r="I80" s="247">
        <v>21</v>
      </c>
      <c r="J80" s="248">
        <v>13595.33</v>
      </c>
      <c r="K80" s="248">
        <v>0</v>
      </c>
      <c r="L80" s="248">
        <v>19696.189999999999</v>
      </c>
      <c r="M80" s="248">
        <v>503.76</v>
      </c>
      <c r="N80" s="249">
        <f t="shared" ref="N80:N87" si="42">SUM(J80:M80)</f>
        <v>33795.279999999999</v>
      </c>
      <c r="O80" s="249">
        <f t="shared" ref="O80:O87" si="43">IF($N80=0,$S80,J80/$N80*$S80)</f>
        <v>18441.618192338607</v>
      </c>
      <c r="P80" s="249">
        <f t="shared" ref="P80:R87" si="44">IF($N80=0,0,K80/$N80*$S80)</f>
        <v>0</v>
      </c>
      <c r="Q80" s="249">
        <f t="shared" si="44"/>
        <v>26717.234213789423</v>
      </c>
      <c r="R80" s="249">
        <f t="shared" si="44"/>
        <v>683.33387866072371</v>
      </c>
      <c r="S80" s="248">
        <v>45842.186284788753</v>
      </c>
      <c r="T80" s="250">
        <f t="shared" ref="T80:T87" si="45">IFERROR(S80/N80,"")</f>
        <v>1.3564671245448701</v>
      </c>
      <c r="U80" s="249">
        <f t="shared" ref="U80:U87" si="46">N80*I80</f>
        <v>709700.88</v>
      </c>
      <c r="V80" s="249">
        <f t="shared" ref="V80:V87" si="47">S80*I80</f>
        <v>962685.91198056377</v>
      </c>
      <c r="W80" s="242" t="s">
        <v>313</v>
      </c>
      <c r="X80" s="242" t="s">
        <v>281</v>
      </c>
      <c r="Y80" s="251">
        <f>SUMIFS(Cert_App_Output!$G:$G,Cert_App_Output!$E:$E,$E80,Cert_App_Output!$K:$K,$X80)</f>
        <v>0</v>
      </c>
    </row>
    <row r="81" spans="1:25" x14ac:dyDescent="0.35">
      <c r="A81" s="242" t="s">
        <v>36</v>
      </c>
      <c r="D81" s="242" t="s">
        <v>73</v>
      </c>
      <c r="E81" s="242">
        <v>8.02</v>
      </c>
      <c r="F81" s="242" t="s">
        <v>216</v>
      </c>
      <c r="G81" s="242" t="s">
        <v>315</v>
      </c>
      <c r="H81" s="242" t="s">
        <v>234</v>
      </c>
      <c r="I81" s="247">
        <v>201</v>
      </c>
      <c r="J81" s="248">
        <v>30954.75</v>
      </c>
      <c r="K81" s="248">
        <v>0</v>
      </c>
      <c r="L81" s="248">
        <v>8768.73</v>
      </c>
      <c r="M81" s="248">
        <v>595.85</v>
      </c>
      <c r="N81" s="249">
        <f t="shared" si="42"/>
        <v>40319.329999999994</v>
      </c>
      <c r="O81" s="249">
        <f t="shared" si="43"/>
        <v>41989.100723505318</v>
      </c>
      <c r="P81" s="249">
        <f t="shared" si="44"/>
        <v>0</v>
      </c>
      <c r="Q81" s="249">
        <f t="shared" si="44"/>
        <v>11894.493969010338</v>
      </c>
      <c r="R81" s="249">
        <f t="shared" si="44"/>
        <v>808.25093616006086</v>
      </c>
      <c r="S81" s="248">
        <v>54691.845628675706</v>
      </c>
      <c r="T81" s="250">
        <f t="shared" si="45"/>
        <v>1.3564671245448701</v>
      </c>
      <c r="U81" s="249">
        <f t="shared" si="46"/>
        <v>8104185.3299999991</v>
      </c>
      <c r="V81" s="249">
        <f t="shared" si="47"/>
        <v>10993060.971363816</v>
      </c>
      <c r="W81" s="242" t="s">
        <v>313</v>
      </c>
      <c r="X81" s="242" t="s">
        <v>281</v>
      </c>
      <c r="Y81" s="251">
        <f>SUMIFS(Cert_App_Output!$G:$G,Cert_App_Output!$E:$E,$E81,Cert_App_Output!$K:$K,$X81)</f>
        <v>0</v>
      </c>
    </row>
    <row r="82" spans="1:25" x14ac:dyDescent="0.35">
      <c r="A82" s="242" t="s">
        <v>36</v>
      </c>
      <c r="D82" s="242" t="s">
        <v>73</v>
      </c>
      <c r="E82" s="242">
        <v>8.0299999999999994</v>
      </c>
      <c r="F82" s="242" t="s">
        <v>216</v>
      </c>
      <c r="G82" s="242" t="s">
        <v>316</v>
      </c>
      <c r="H82" s="242" t="s">
        <v>234</v>
      </c>
      <c r="I82" s="247">
        <v>107</v>
      </c>
      <c r="J82" s="248">
        <v>13595.33</v>
      </c>
      <c r="K82" s="248">
        <v>0</v>
      </c>
      <c r="L82" s="248">
        <v>19696.189999999999</v>
      </c>
      <c r="M82" s="248">
        <v>503.76</v>
      </c>
      <c r="N82" s="249">
        <f t="shared" si="42"/>
        <v>33795.279999999999</v>
      </c>
      <c r="O82" s="249">
        <f t="shared" si="43"/>
        <v>18441.618192338607</v>
      </c>
      <c r="P82" s="249">
        <f t="shared" si="44"/>
        <v>0</v>
      </c>
      <c r="Q82" s="249">
        <f t="shared" si="44"/>
        <v>26717.234213789423</v>
      </c>
      <c r="R82" s="249">
        <f t="shared" si="44"/>
        <v>683.33387866072371</v>
      </c>
      <c r="S82" s="248">
        <v>45842.186284788753</v>
      </c>
      <c r="T82" s="250">
        <f t="shared" si="45"/>
        <v>1.3564671245448701</v>
      </c>
      <c r="U82" s="249">
        <f t="shared" si="46"/>
        <v>3616094.96</v>
      </c>
      <c r="V82" s="249">
        <f t="shared" si="47"/>
        <v>4905113.9324723966</v>
      </c>
      <c r="W82" s="242" t="s">
        <v>313</v>
      </c>
      <c r="X82" s="242" t="s">
        <v>281</v>
      </c>
      <c r="Y82" s="251">
        <f>SUMIFS(Cert_App_Output!$G:$G,Cert_App_Output!$E:$E,$E82,Cert_App_Output!$K:$K,$X82)</f>
        <v>0</v>
      </c>
    </row>
    <row r="83" spans="1:25" x14ac:dyDescent="0.35">
      <c r="A83" s="242" t="s">
        <v>36</v>
      </c>
      <c r="D83" s="242" t="s">
        <v>73</v>
      </c>
      <c r="E83" s="242">
        <v>8.0399999999999991</v>
      </c>
      <c r="F83" s="242" t="s">
        <v>216</v>
      </c>
      <c r="G83" s="242" t="s">
        <v>317</v>
      </c>
      <c r="H83" s="242" t="s">
        <v>234</v>
      </c>
      <c r="I83" s="247">
        <v>850</v>
      </c>
      <c r="J83" s="248">
        <v>6717.88</v>
      </c>
      <c r="K83" s="248">
        <v>0</v>
      </c>
      <c r="L83" s="248">
        <v>11145.02</v>
      </c>
      <c r="M83" s="248">
        <v>130.47999999999999</v>
      </c>
      <c r="N83" s="249">
        <f t="shared" si="42"/>
        <v>17993.38</v>
      </c>
      <c r="O83" s="249">
        <f t="shared" si="43"/>
        <v>9112.5833666374911</v>
      </c>
      <c r="P83" s="249">
        <f t="shared" si="44"/>
        <v>0</v>
      </c>
      <c r="Q83" s="249">
        <f t="shared" si="44"/>
        <v>15117.853232395066</v>
      </c>
      <c r="R83" s="249">
        <f t="shared" si="44"/>
        <v>176.9918304106146</v>
      </c>
      <c r="S83" s="248">
        <v>24407.428429443171</v>
      </c>
      <c r="T83" s="250">
        <f t="shared" si="45"/>
        <v>1.3564671245448698</v>
      </c>
      <c r="U83" s="249">
        <f t="shared" si="46"/>
        <v>15294373</v>
      </c>
      <c r="V83" s="249">
        <f t="shared" si="47"/>
        <v>20746314.165026695</v>
      </c>
      <c r="W83" s="242" t="s">
        <v>313</v>
      </c>
      <c r="X83" s="242" t="s">
        <v>281</v>
      </c>
      <c r="Y83" s="251">
        <f>SUMIFS(Cert_App_Output!$G:$G,Cert_App_Output!$E:$E,$E83,Cert_App_Output!$K:$K,$X83)</f>
        <v>0</v>
      </c>
    </row>
    <row r="84" spans="1:25" x14ac:dyDescent="0.35">
      <c r="A84" s="242" t="s">
        <v>36</v>
      </c>
      <c r="D84" s="242" t="s">
        <v>73</v>
      </c>
      <c r="E84" s="242">
        <v>8.0500000000000007</v>
      </c>
      <c r="F84" s="242" t="s">
        <v>216</v>
      </c>
      <c r="G84" s="242" t="s">
        <v>318</v>
      </c>
      <c r="H84" s="242" t="s">
        <v>234</v>
      </c>
      <c r="I84" s="247">
        <v>365</v>
      </c>
      <c r="J84" s="248">
        <v>3420.32</v>
      </c>
      <c r="K84" s="248">
        <v>0</v>
      </c>
      <c r="L84" s="248">
        <v>8295.69</v>
      </c>
      <c r="M84" s="248">
        <v>235.09</v>
      </c>
      <c r="N84" s="249">
        <f t="shared" si="42"/>
        <v>11951.1</v>
      </c>
      <c r="O84" s="249">
        <f t="shared" si="43"/>
        <v>4639.5516354233105</v>
      </c>
      <c r="P84" s="249">
        <f t="shared" si="44"/>
        <v>0</v>
      </c>
      <c r="Q84" s="249">
        <f t="shared" si="44"/>
        <v>11252.830760415636</v>
      </c>
      <c r="R84" s="249">
        <f t="shared" si="44"/>
        <v>318.89185630925357</v>
      </c>
      <c r="S84" s="248">
        <v>16211.2742521482</v>
      </c>
      <c r="T84" s="250">
        <f t="shared" si="45"/>
        <v>1.3564671245448703</v>
      </c>
      <c r="U84" s="249">
        <f t="shared" si="46"/>
        <v>4362151.5</v>
      </c>
      <c r="V84" s="249">
        <f t="shared" si="47"/>
        <v>5917115.1020340929</v>
      </c>
      <c r="W84" s="242" t="s">
        <v>313</v>
      </c>
      <c r="X84" s="242" t="s">
        <v>281</v>
      </c>
      <c r="Y84" s="251">
        <f>SUMIFS(Cert_App_Output!$G:$G,Cert_App_Output!$E:$E,$E84,Cert_App_Output!$K:$K,$X84)</f>
        <v>0</v>
      </c>
    </row>
    <row r="85" spans="1:25" x14ac:dyDescent="0.35">
      <c r="A85" s="242" t="s">
        <v>36</v>
      </c>
      <c r="D85" s="242" t="s">
        <v>73</v>
      </c>
      <c r="E85" s="242">
        <v>8.06</v>
      </c>
      <c r="F85" s="242" t="s">
        <v>216</v>
      </c>
      <c r="G85" s="242" t="s">
        <v>319</v>
      </c>
      <c r="H85" s="242" t="s">
        <v>234</v>
      </c>
      <c r="I85" s="247">
        <v>357</v>
      </c>
      <c r="J85" s="248">
        <v>3420.32</v>
      </c>
      <c r="K85" s="248">
        <v>0</v>
      </c>
      <c r="L85" s="248">
        <v>8295.69</v>
      </c>
      <c r="M85" s="248">
        <v>235.09</v>
      </c>
      <c r="N85" s="249">
        <f t="shared" si="42"/>
        <v>11951.1</v>
      </c>
      <c r="O85" s="249">
        <f t="shared" si="43"/>
        <v>4639.5516354233105</v>
      </c>
      <c r="P85" s="249">
        <f t="shared" si="44"/>
        <v>0</v>
      </c>
      <c r="Q85" s="249">
        <f t="shared" si="44"/>
        <v>11252.830760415636</v>
      </c>
      <c r="R85" s="249">
        <f t="shared" si="44"/>
        <v>318.89185630925357</v>
      </c>
      <c r="S85" s="248">
        <v>16211.2742521482</v>
      </c>
      <c r="T85" s="250">
        <f t="shared" si="45"/>
        <v>1.3564671245448703</v>
      </c>
      <c r="U85" s="249">
        <f t="shared" si="46"/>
        <v>4266542.7</v>
      </c>
      <c r="V85" s="249">
        <f t="shared" si="47"/>
        <v>5787424.9080169071</v>
      </c>
      <c r="W85" s="242" t="s">
        <v>313</v>
      </c>
      <c r="X85" s="242" t="s">
        <v>281</v>
      </c>
      <c r="Y85" s="251">
        <f>SUMIFS(Cert_App_Output!$G:$G,Cert_App_Output!$E:$E,$E85,Cert_App_Output!$K:$K,$X85)</f>
        <v>0</v>
      </c>
    </row>
    <row r="86" spans="1:25" x14ac:dyDescent="0.35">
      <c r="E86" s="242">
        <v>8.07</v>
      </c>
      <c r="F86" s="242" t="s">
        <v>320</v>
      </c>
      <c r="G86" s="242" t="s">
        <v>321</v>
      </c>
      <c r="H86" s="242" t="s">
        <v>218</v>
      </c>
      <c r="I86" s="247">
        <v>0</v>
      </c>
      <c r="J86" s="248">
        <v>0</v>
      </c>
      <c r="K86" s="248">
        <v>0</v>
      </c>
      <c r="L86" s="248">
        <v>0</v>
      </c>
      <c r="M86" s="248">
        <v>0</v>
      </c>
      <c r="N86" s="249">
        <f t="shared" si="42"/>
        <v>0</v>
      </c>
      <c r="O86" s="249">
        <f t="shared" si="43"/>
        <v>0</v>
      </c>
      <c r="P86" s="249">
        <f t="shared" si="44"/>
        <v>0</v>
      </c>
      <c r="Q86" s="249">
        <f t="shared" si="44"/>
        <v>0</v>
      </c>
      <c r="R86" s="249">
        <f t="shared" si="44"/>
        <v>0</v>
      </c>
      <c r="S86" s="248">
        <v>0</v>
      </c>
      <c r="T86" s="250" t="str">
        <f t="shared" si="45"/>
        <v/>
      </c>
      <c r="U86" s="249">
        <f t="shared" si="46"/>
        <v>0</v>
      </c>
      <c r="V86" s="249">
        <f t="shared" si="47"/>
        <v>0</v>
      </c>
      <c r="W86" s="242" t="s">
        <v>313</v>
      </c>
      <c r="X86" s="242" t="s">
        <v>281</v>
      </c>
      <c r="Y86" s="251">
        <f>SUMIFS(Cert_App_Output!$G:$G,Cert_App_Output!$E:$E,$E86,Cert_App_Output!$K:$K,$X86)</f>
        <v>0</v>
      </c>
    </row>
    <row r="87" spans="1:25" x14ac:dyDescent="0.35">
      <c r="A87" s="242" t="s">
        <v>36</v>
      </c>
      <c r="D87" s="242" t="s">
        <v>73</v>
      </c>
      <c r="E87" s="242">
        <v>8.08</v>
      </c>
      <c r="F87" s="242" t="s">
        <v>216</v>
      </c>
      <c r="G87" s="242" t="s">
        <v>322</v>
      </c>
      <c r="H87" s="242" t="s">
        <v>218</v>
      </c>
      <c r="I87" s="247">
        <v>1</v>
      </c>
      <c r="J87" s="248">
        <v>93485.02</v>
      </c>
      <c r="K87" s="248">
        <v>0</v>
      </c>
      <c r="L87" s="248">
        <v>303706.02</v>
      </c>
      <c r="M87" s="248">
        <v>5957.87</v>
      </c>
      <c r="N87" s="249">
        <f t="shared" si="42"/>
        <v>403148.91000000003</v>
      </c>
      <c r="O87" s="249">
        <f t="shared" si="43"/>
        <v>126809.35626741966</v>
      </c>
      <c r="P87" s="249">
        <f t="shared" si="44"/>
        <v>0</v>
      </c>
      <c r="Q87" s="249">
        <f t="shared" si="44"/>
        <v>411967.23165636678</v>
      </c>
      <c r="R87" s="249">
        <f t="shared" si="44"/>
        <v>8081.6547873121444</v>
      </c>
      <c r="S87" s="248">
        <v>546858.24271109863</v>
      </c>
      <c r="T87" s="250">
        <f t="shared" si="45"/>
        <v>1.3564671245448701</v>
      </c>
      <c r="U87" s="249">
        <f t="shared" si="46"/>
        <v>403148.91000000003</v>
      </c>
      <c r="V87" s="249">
        <f t="shared" si="47"/>
        <v>546858.24271109863</v>
      </c>
      <c r="W87" s="242" t="s">
        <v>313</v>
      </c>
      <c r="X87" s="242" t="s">
        <v>281</v>
      </c>
      <c r="Y87" s="251">
        <f>SUMIFS(Cert_App_Output!$G:$G,Cert_App_Output!$E:$E,$E87,Cert_App_Output!$K:$K,$X87)</f>
        <v>0</v>
      </c>
    </row>
    <row r="88" spans="1:25" x14ac:dyDescent="0.35">
      <c r="F88" s="242" t="s">
        <v>212</v>
      </c>
      <c r="G88" s="242" t="s">
        <v>323</v>
      </c>
      <c r="I88" s="243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245"/>
      <c r="U88" s="244"/>
      <c r="V88" s="244"/>
      <c r="W88" s="242" t="s">
        <v>324</v>
      </c>
      <c r="X88" s="242" t="s">
        <v>281</v>
      </c>
      <c r="Y88" s="246"/>
    </row>
    <row r="89" spans="1:25" x14ac:dyDescent="0.35">
      <c r="A89" s="242" t="s">
        <v>36</v>
      </c>
      <c r="D89" s="242" t="s">
        <v>73</v>
      </c>
      <c r="E89" s="242">
        <v>9.01</v>
      </c>
      <c r="F89" s="242" t="s">
        <v>216</v>
      </c>
      <c r="G89" s="242" t="s">
        <v>325</v>
      </c>
      <c r="H89" s="242" t="s">
        <v>218</v>
      </c>
      <c r="I89" s="247">
        <v>1</v>
      </c>
      <c r="J89" s="248">
        <v>427508.24</v>
      </c>
      <c r="K89" s="248">
        <v>0</v>
      </c>
      <c r="L89" s="248">
        <v>2044758.2</v>
      </c>
      <c r="M89" s="248">
        <v>37084</v>
      </c>
      <c r="N89" s="249">
        <f>SUM(J89:M89)</f>
        <v>2509350.44</v>
      </c>
      <c r="O89" s="249">
        <f>IF($N89=0,$S89,J89/$N89*$S89)</f>
        <v>579900.87303203833</v>
      </c>
      <c r="P89" s="249">
        <f t="shared" ref="P89:R91" si="48">IF($N89=0,0,K89/$N89*$S89)</f>
        <v>0</v>
      </c>
      <c r="Q89" s="249">
        <f t="shared" si="48"/>
        <v>2773647.2759435447</v>
      </c>
      <c r="R89" s="249">
        <f t="shared" si="48"/>
        <v>50303.226846621968</v>
      </c>
      <c r="S89" s="248">
        <v>3403851.3758222051</v>
      </c>
      <c r="T89" s="250">
        <f>IFERROR(S89/N89,"")</f>
        <v>1.3564671245448703</v>
      </c>
      <c r="U89" s="249">
        <f>N89*I89</f>
        <v>2509350.44</v>
      </c>
      <c r="V89" s="249">
        <f>S89*I89</f>
        <v>3403851.3758222051</v>
      </c>
      <c r="W89" s="242" t="s">
        <v>324</v>
      </c>
      <c r="X89" s="242" t="s">
        <v>281</v>
      </c>
      <c r="Y89" s="251">
        <f>SUMIFS(Cert_App_Output!$G:$G,Cert_App_Output!$E:$E,$E89,Cert_App_Output!$K:$K,$X89)</f>
        <v>0</v>
      </c>
    </row>
    <row r="90" spans="1:25" x14ac:dyDescent="0.35">
      <c r="A90" s="242" t="s">
        <v>36</v>
      </c>
      <c r="D90" s="242" t="s">
        <v>73</v>
      </c>
      <c r="E90" s="242">
        <v>9.02</v>
      </c>
      <c r="F90" s="242" t="s">
        <v>216</v>
      </c>
      <c r="G90" s="242" t="s">
        <v>326</v>
      </c>
      <c r="H90" s="242" t="s">
        <v>218</v>
      </c>
      <c r="I90" s="247">
        <v>1</v>
      </c>
      <c r="J90" s="248">
        <v>463902.77</v>
      </c>
      <c r="K90" s="248">
        <v>0</v>
      </c>
      <c r="L90" s="248">
        <v>1775796.2</v>
      </c>
      <c r="M90" s="248">
        <v>33595.480000000003</v>
      </c>
      <c r="N90" s="249">
        <f>SUM(J90:M90)</f>
        <v>2273294.4499999997</v>
      </c>
      <c r="O90" s="249">
        <f>IF($N90=0,$S90,J90/$N90*$S90)</f>
        <v>629268.85649030039</v>
      </c>
      <c r="P90" s="249">
        <f t="shared" si="48"/>
        <v>0</v>
      </c>
      <c r="Q90" s="249">
        <f t="shared" si="48"/>
        <v>2408809.1651917077</v>
      </c>
      <c r="R90" s="249">
        <f t="shared" si="48"/>
        <v>45571.164153304708</v>
      </c>
      <c r="S90" s="248">
        <v>3083649.1858353121</v>
      </c>
      <c r="T90" s="250">
        <f>IFERROR(S90/N90,"")</f>
        <v>1.3564671245448703</v>
      </c>
      <c r="U90" s="249">
        <f>N90*I90</f>
        <v>2273294.4499999997</v>
      </c>
      <c r="V90" s="249">
        <f>S90*I90</f>
        <v>3083649.1858353121</v>
      </c>
      <c r="W90" s="242" t="s">
        <v>324</v>
      </c>
      <c r="X90" s="242" t="s">
        <v>281</v>
      </c>
      <c r="Y90" s="251">
        <f>SUMIFS(Cert_App_Output!$G:$G,Cert_App_Output!$E:$E,$E90,Cert_App_Output!$K:$K,$X90)</f>
        <v>0</v>
      </c>
    </row>
    <row r="91" spans="1:25" x14ac:dyDescent="0.35">
      <c r="A91" s="242" t="s">
        <v>36</v>
      </c>
      <c r="C91" s="242" t="s">
        <v>73</v>
      </c>
      <c r="D91" s="242" t="s">
        <v>73</v>
      </c>
      <c r="E91" s="242">
        <v>9.0299999999999994</v>
      </c>
      <c r="F91" s="242" t="s">
        <v>216</v>
      </c>
      <c r="G91" s="242" t="s">
        <v>327</v>
      </c>
      <c r="H91" s="242" t="s">
        <v>223</v>
      </c>
      <c r="I91" s="247">
        <v>114</v>
      </c>
      <c r="J91" s="248">
        <v>827.28</v>
      </c>
      <c r="K91" s="248">
        <v>4324.05</v>
      </c>
      <c r="L91" s="248">
        <v>4324.05</v>
      </c>
      <c r="M91" s="248">
        <v>137.03</v>
      </c>
      <c r="N91" s="249">
        <f>SUM(J91:M91)</f>
        <v>9612.4100000000017</v>
      </c>
      <c r="O91" s="249">
        <f>IF($N91=0,$S91,J91/$N91*$S91)</f>
        <v>1122.1781227934803</v>
      </c>
      <c r="P91" s="249">
        <f t="shared" si="48"/>
        <v>5865.4316698882467</v>
      </c>
      <c r="Q91" s="249">
        <f t="shared" si="48"/>
        <v>5865.4316698882467</v>
      </c>
      <c r="R91" s="249">
        <f t="shared" si="48"/>
        <v>185.8766900763836</v>
      </c>
      <c r="S91" s="248">
        <v>13038.91815264636</v>
      </c>
      <c r="T91" s="250">
        <f>IFERROR(S91/N91,"")</f>
        <v>1.3564671245448703</v>
      </c>
      <c r="U91" s="249">
        <f>N91*I91</f>
        <v>1095814.7400000002</v>
      </c>
      <c r="V91" s="249">
        <f>S91*I91</f>
        <v>1486436.669401685</v>
      </c>
      <c r="W91" s="242" t="s">
        <v>324</v>
      </c>
      <c r="X91" s="242" t="s">
        <v>281</v>
      </c>
      <c r="Y91" s="251">
        <f>SUMIFS(Cert_App_Output!$G:$G,Cert_App_Output!$E:$E,$E91,Cert_App_Output!$K:$K,$X91)</f>
        <v>0</v>
      </c>
    </row>
    <row r="92" spans="1:25" x14ac:dyDescent="0.35">
      <c r="F92" s="242" t="s">
        <v>212</v>
      </c>
      <c r="G92" s="242" t="s">
        <v>328</v>
      </c>
      <c r="I92" s="243"/>
      <c r="J92" s="244"/>
      <c r="K92" s="244"/>
      <c r="L92" s="244"/>
      <c r="M92" s="244"/>
      <c r="N92" s="244"/>
      <c r="O92" s="244"/>
      <c r="P92" s="244"/>
      <c r="Q92" s="244"/>
      <c r="R92" s="244"/>
      <c r="S92" s="244"/>
      <c r="T92" s="245"/>
      <c r="U92" s="244"/>
      <c r="V92" s="244"/>
      <c r="W92" s="242" t="s">
        <v>329</v>
      </c>
      <c r="X92" s="242" t="s">
        <v>281</v>
      </c>
      <c r="Y92" s="246"/>
    </row>
    <row r="93" spans="1:25" x14ac:dyDescent="0.35">
      <c r="A93" s="242" t="s">
        <v>36</v>
      </c>
      <c r="D93" s="242" t="s">
        <v>73</v>
      </c>
      <c r="E93" s="242">
        <v>10.01</v>
      </c>
      <c r="F93" s="242" t="s">
        <v>216</v>
      </c>
      <c r="G93" s="242" t="s">
        <v>330</v>
      </c>
      <c r="H93" s="242" t="s">
        <v>218</v>
      </c>
      <c r="I93" s="247">
        <v>1</v>
      </c>
      <c r="J93" s="248">
        <v>250000</v>
      </c>
      <c r="K93" s="248">
        <v>0</v>
      </c>
      <c r="L93" s="248">
        <v>1663092.76</v>
      </c>
      <c r="M93" s="248">
        <v>28696.39</v>
      </c>
      <c r="N93" s="249">
        <f>SUM(J93:M93)</f>
        <v>1941789.15</v>
      </c>
      <c r="O93" s="249">
        <f>IF($N93=0,$S93,J93/$N93*$S93)</f>
        <v>339116.78113621747</v>
      </c>
      <c r="P93" s="249">
        <f t="shared" ref="P93:R95" si="49">IF($N93=0,0,K93/$N93*$S93)</f>
        <v>0</v>
      </c>
      <c r="Q93" s="249">
        <f t="shared" si="49"/>
        <v>2255930.6540085911</v>
      </c>
      <c r="R93" s="249">
        <f t="shared" si="49"/>
        <v>38925.709628118158</v>
      </c>
      <c r="S93" s="248">
        <v>2633973.1447729268</v>
      </c>
      <c r="T93" s="250">
        <f>IFERROR(S93/N93,"")</f>
        <v>1.3564671245448698</v>
      </c>
      <c r="U93" s="249">
        <f>N93*I93</f>
        <v>1941789.15</v>
      </c>
      <c r="V93" s="249">
        <f>S93*I93</f>
        <v>2633973.1447729268</v>
      </c>
      <c r="W93" s="242" t="s">
        <v>329</v>
      </c>
      <c r="X93" s="242" t="s">
        <v>281</v>
      </c>
      <c r="Y93" s="251">
        <f>SUMIFS(Cert_App_Output!$G:$G,Cert_App_Output!$E:$E,$E93,Cert_App_Output!$K:$K,$X93)</f>
        <v>0</v>
      </c>
    </row>
    <row r="94" spans="1:25" x14ac:dyDescent="0.35">
      <c r="A94" s="242" t="s">
        <v>36</v>
      </c>
      <c r="D94" s="242" t="s">
        <v>73</v>
      </c>
      <c r="E94" s="242">
        <v>10.02</v>
      </c>
      <c r="F94" s="242" t="s">
        <v>216</v>
      </c>
      <c r="G94" s="242" t="s">
        <v>331</v>
      </c>
      <c r="H94" s="242" t="s">
        <v>218</v>
      </c>
      <c r="I94" s="247">
        <v>1</v>
      </c>
      <c r="J94" s="248">
        <v>250000</v>
      </c>
      <c r="K94" s="248">
        <v>0</v>
      </c>
      <c r="L94" s="248">
        <v>1663092.76</v>
      </c>
      <c r="M94" s="248">
        <v>28696.39</v>
      </c>
      <c r="N94" s="249">
        <f>SUM(J94:M94)</f>
        <v>1941789.15</v>
      </c>
      <c r="O94" s="249">
        <f>IF($N94=0,$S94,J94/$N94*$S94)</f>
        <v>339116.78113621747</v>
      </c>
      <c r="P94" s="249">
        <f t="shared" si="49"/>
        <v>0</v>
      </c>
      <c r="Q94" s="249">
        <f t="shared" si="49"/>
        <v>2255930.6540085911</v>
      </c>
      <c r="R94" s="249">
        <f t="shared" si="49"/>
        <v>38925.709628118158</v>
      </c>
      <c r="S94" s="248">
        <v>2633973.1447729268</v>
      </c>
      <c r="T94" s="250">
        <f>IFERROR(S94/N94,"")</f>
        <v>1.3564671245448698</v>
      </c>
      <c r="U94" s="249">
        <f>N94*I94</f>
        <v>1941789.15</v>
      </c>
      <c r="V94" s="249">
        <f>S94*I94</f>
        <v>2633973.1447729268</v>
      </c>
      <c r="W94" s="242" t="s">
        <v>329</v>
      </c>
      <c r="X94" s="242" t="s">
        <v>281</v>
      </c>
      <c r="Y94" s="251">
        <f>SUMIFS(Cert_App_Output!$G:$G,Cert_App_Output!$E:$E,$E94,Cert_App_Output!$K:$K,$X94)</f>
        <v>0</v>
      </c>
    </row>
    <row r="95" spans="1:25" x14ac:dyDescent="0.35">
      <c r="A95" s="242" t="s">
        <v>36</v>
      </c>
      <c r="D95" s="242" t="s">
        <v>73</v>
      </c>
      <c r="E95" s="242">
        <v>10.029999999999999</v>
      </c>
      <c r="F95" s="242" t="s">
        <v>216</v>
      </c>
      <c r="G95" s="242" t="s">
        <v>332</v>
      </c>
      <c r="H95" s="242" t="s">
        <v>261</v>
      </c>
      <c r="I95" s="247">
        <v>7</v>
      </c>
      <c r="J95" s="248">
        <v>31772.28</v>
      </c>
      <c r="K95" s="248">
        <v>0</v>
      </c>
      <c r="L95" s="248">
        <v>95033.87</v>
      </c>
      <c r="M95" s="248">
        <v>1902.09</v>
      </c>
      <c r="N95" s="249">
        <f>SUM(J95:M95)</f>
        <v>128708.23999999999</v>
      </c>
      <c r="O95" s="249">
        <f>IF($N95=0,$S95,J95/$N95*$S95)</f>
        <v>43098.053291834483</v>
      </c>
      <c r="P95" s="249">
        <f t="shared" si="49"/>
        <v>0</v>
      </c>
      <c r="Q95" s="249">
        <f t="shared" si="49"/>
        <v>128910.32037327097</v>
      </c>
      <c r="R95" s="249">
        <f t="shared" si="49"/>
        <v>2580.1225529255516</v>
      </c>
      <c r="S95" s="248">
        <v>174588.49621803101</v>
      </c>
      <c r="T95" s="250">
        <f>IFERROR(S95/N95,"")</f>
        <v>1.3564671245448701</v>
      </c>
      <c r="U95" s="249">
        <f>N95*I95</f>
        <v>900957.67999999993</v>
      </c>
      <c r="V95" s="249">
        <f>S95*I95</f>
        <v>1222119.473526217</v>
      </c>
      <c r="W95" s="242" t="s">
        <v>329</v>
      </c>
      <c r="X95" s="242" t="s">
        <v>281</v>
      </c>
      <c r="Y95" s="251">
        <f>SUMIFS(Cert_App_Output!$G:$G,Cert_App_Output!$E:$E,$E95,Cert_App_Output!$K:$K,$X95)</f>
        <v>0</v>
      </c>
    </row>
    <row r="96" spans="1:25" x14ac:dyDescent="0.35">
      <c r="F96" s="242" t="s">
        <v>212</v>
      </c>
      <c r="G96" s="242" t="s">
        <v>333</v>
      </c>
      <c r="I96" s="243"/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245"/>
      <c r="U96" s="244"/>
      <c r="V96" s="244"/>
      <c r="W96" s="242" t="s">
        <v>334</v>
      </c>
      <c r="X96" s="242" t="s">
        <v>281</v>
      </c>
      <c r="Y96" s="246"/>
    </row>
    <row r="97" spans="1:25" x14ac:dyDescent="0.35">
      <c r="A97" s="242" t="s">
        <v>335</v>
      </c>
      <c r="D97" s="242" t="s">
        <v>336</v>
      </c>
      <c r="E97" s="242">
        <v>11.01</v>
      </c>
      <c r="F97" s="242" t="s">
        <v>216</v>
      </c>
      <c r="G97" s="242" t="s">
        <v>337</v>
      </c>
      <c r="H97" s="242" t="s">
        <v>234</v>
      </c>
      <c r="I97" s="247">
        <v>101</v>
      </c>
      <c r="J97" s="248">
        <v>6932.27</v>
      </c>
      <c r="K97" s="248">
        <v>0</v>
      </c>
      <c r="L97" s="248">
        <v>12793.02</v>
      </c>
      <c r="M97" s="248">
        <v>245.43</v>
      </c>
      <c r="N97" s="249">
        <f t="shared" ref="N97:N103" si="50">SUM(J97:M97)</f>
        <v>19970.72</v>
      </c>
      <c r="O97" s="249">
        <f t="shared" ref="O97:O103" si="51">IF($N97=0,$S97,J97/$N97*$S97)</f>
        <v>9403.3963534686682</v>
      </c>
      <c r="P97" s="249">
        <f t="shared" ref="P97:R103" si="52">IF($N97=0,0,K97/$N97*$S97)</f>
        <v>0</v>
      </c>
      <c r="Q97" s="249">
        <f t="shared" si="52"/>
        <v>17353.311053645011</v>
      </c>
      <c r="R97" s="249">
        <f t="shared" si="52"/>
        <v>332.91772637704747</v>
      </c>
      <c r="S97" s="248">
        <v>27089.625133490728</v>
      </c>
      <c r="T97" s="250">
        <f t="shared" ref="T97:T103" si="53">IFERROR(S97/N97,"")</f>
        <v>1.3564671245448701</v>
      </c>
      <c r="U97" s="249">
        <f t="shared" ref="U97:U103" si="54">N97*I97</f>
        <v>2017042.7200000002</v>
      </c>
      <c r="V97" s="249">
        <f t="shared" ref="V97:V103" si="55">S97*I97</f>
        <v>2736052.1384825637</v>
      </c>
      <c r="W97" s="242" t="s">
        <v>334</v>
      </c>
      <c r="X97" s="242" t="s">
        <v>281</v>
      </c>
      <c r="Y97" s="251">
        <f>SUMIFS(Cert_App_Output!$G:$G,Cert_App_Output!$E:$E,$E97,Cert_App_Output!$K:$K,$X97)</f>
        <v>0</v>
      </c>
    </row>
    <row r="98" spans="1:25" x14ac:dyDescent="0.35">
      <c r="A98" s="242" t="s">
        <v>335</v>
      </c>
      <c r="D98" s="242" t="s">
        <v>336</v>
      </c>
      <c r="E98" s="242">
        <v>11.02</v>
      </c>
      <c r="F98" s="242" t="s">
        <v>216</v>
      </c>
      <c r="G98" s="242" t="s">
        <v>338</v>
      </c>
      <c r="H98" s="242" t="s">
        <v>234</v>
      </c>
      <c r="I98" s="247">
        <v>898</v>
      </c>
      <c r="J98" s="248">
        <v>6932.27</v>
      </c>
      <c r="K98" s="248">
        <v>0</v>
      </c>
      <c r="L98" s="248">
        <v>12793.02</v>
      </c>
      <c r="M98" s="248">
        <v>245.43</v>
      </c>
      <c r="N98" s="249">
        <f t="shared" si="50"/>
        <v>19970.72</v>
      </c>
      <c r="O98" s="249">
        <f t="shared" si="51"/>
        <v>9403.3963534686682</v>
      </c>
      <c r="P98" s="249">
        <f t="shared" si="52"/>
        <v>0</v>
      </c>
      <c r="Q98" s="249">
        <f t="shared" si="52"/>
        <v>17353.311053645011</v>
      </c>
      <c r="R98" s="249">
        <f t="shared" si="52"/>
        <v>332.91772637704747</v>
      </c>
      <c r="S98" s="248">
        <v>27089.625133490728</v>
      </c>
      <c r="T98" s="250">
        <f t="shared" si="53"/>
        <v>1.3564671245448701</v>
      </c>
      <c r="U98" s="249">
        <f t="shared" si="54"/>
        <v>17933706.560000002</v>
      </c>
      <c r="V98" s="249">
        <f t="shared" si="55"/>
        <v>24326483.369874675</v>
      </c>
      <c r="W98" s="242" t="s">
        <v>334</v>
      </c>
      <c r="X98" s="242" t="s">
        <v>281</v>
      </c>
      <c r="Y98" s="251">
        <f>SUMIFS(Cert_App_Output!$G:$G,Cert_App_Output!$E:$E,$E98,Cert_App_Output!$K:$K,$X98)</f>
        <v>0</v>
      </c>
    </row>
    <row r="99" spans="1:25" x14ac:dyDescent="0.35">
      <c r="A99" s="242" t="s">
        <v>335</v>
      </c>
      <c r="D99" s="242" t="s">
        <v>336</v>
      </c>
      <c r="E99" s="242">
        <v>11.03</v>
      </c>
      <c r="F99" s="242" t="s">
        <v>216</v>
      </c>
      <c r="G99" s="242" t="s">
        <v>339</v>
      </c>
      <c r="H99" s="242" t="s">
        <v>234</v>
      </c>
      <c r="I99" s="247">
        <v>88</v>
      </c>
      <c r="J99" s="248">
        <v>6932.27</v>
      </c>
      <c r="K99" s="248">
        <v>0</v>
      </c>
      <c r="L99" s="248">
        <v>16630.93</v>
      </c>
      <c r="M99" s="248">
        <v>319.06</v>
      </c>
      <c r="N99" s="249">
        <f t="shared" si="50"/>
        <v>23882.260000000002</v>
      </c>
      <c r="O99" s="249">
        <f t="shared" si="51"/>
        <v>9403.3963534686682</v>
      </c>
      <c r="P99" s="249">
        <f t="shared" si="52"/>
        <v>0</v>
      </c>
      <c r="Q99" s="249">
        <f t="shared" si="52"/>
        <v>22559.309795607016</v>
      </c>
      <c r="R99" s="249">
        <f t="shared" si="52"/>
        <v>432.79440075728621</v>
      </c>
      <c r="S99" s="248">
        <v>32395.50054983297</v>
      </c>
      <c r="T99" s="250">
        <f t="shared" si="53"/>
        <v>1.3564671245448701</v>
      </c>
      <c r="U99" s="249">
        <f t="shared" si="54"/>
        <v>2101638.8800000004</v>
      </c>
      <c r="V99" s="249">
        <f t="shared" si="55"/>
        <v>2850804.0483853016</v>
      </c>
      <c r="W99" s="242" t="s">
        <v>334</v>
      </c>
      <c r="X99" s="242" t="s">
        <v>281</v>
      </c>
      <c r="Y99" s="251">
        <f>SUMIFS(Cert_App_Output!$G:$G,Cert_App_Output!$E:$E,$E99,Cert_App_Output!$K:$K,$X99)</f>
        <v>0</v>
      </c>
    </row>
    <row r="100" spans="1:25" x14ac:dyDescent="0.35">
      <c r="A100" s="242" t="s">
        <v>335</v>
      </c>
      <c r="D100" s="242" t="s">
        <v>336</v>
      </c>
      <c r="E100" s="242">
        <v>11.04</v>
      </c>
      <c r="F100" s="242" t="s">
        <v>216</v>
      </c>
      <c r="G100" s="242" t="s">
        <v>340</v>
      </c>
      <c r="H100" s="242" t="s">
        <v>234</v>
      </c>
      <c r="I100" s="247">
        <v>63</v>
      </c>
      <c r="J100" s="248">
        <v>6932.27</v>
      </c>
      <c r="K100" s="248">
        <v>0</v>
      </c>
      <c r="L100" s="248">
        <v>12793.02</v>
      </c>
      <c r="M100" s="248">
        <v>245.43</v>
      </c>
      <c r="N100" s="249">
        <f t="shared" si="50"/>
        <v>19970.72</v>
      </c>
      <c r="O100" s="249">
        <f t="shared" si="51"/>
        <v>9403.3963534686682</v>
      </c>
      <c r="P100" s="249">
        <f t="shared" si="52"/>
        <v>0</v>
      </c>
      <c r="Q100" s="249">
        <f t="shared" si="52"/>
        <v>17353.311053645011</v>
      </c>
      <c r="R100" s="249">
        <f t="shared" si="52"/>
        <v>332.91772637704747</v>
      </c>
      <c r="S100" s="248">
        <v>27089.625133490728</v>
      </c>
      <c r="T100" s="250">
        <f t="shared" si="53"/>
        <v>1.3564671245448701</v>
      </c>
      <c r="U100" s="249">
        <f t="shared" si="54"/>
        <v>1258155.3600000001</v>
      </c>
      <c r="V100" s="249">
        <f t="shared" si="55"/>
        <v>1706646.383409916</v>
      </c>
      <c r="W100" s="242" t="s">
        <v>334</v>
      </c>
      <c r="X100" s="242" t="s">
        <v>281</v>
      </c>
      <c r="Y100" s="251">
        <f>SUMIFS(Cert_App_Output!$G:$G,Cert_App_Output!$E:$E,$E100,Cert_App_Output!$K:$K,$X100)</f>
        <v>0</v>
      </c>
    </row>
    <row r="101" spans="1:25" x14ac:dyDescent="0.35">
      <c r="E101" s="242">
        <v>11.05</v>
      </c>
      <c r="F101" s="242" t="s">
        <v>216</v>
      </c>
      <c r="G101" s="242" t="s">
        <v>341</v>
      </c>
      <c r="H101" s="242" t="s">
        <v>234</v>
      </c>
      <c r="I101" s="247">
        <v>25</v>
      </c>
      <c r="J101" s="248">
        <v>0</v>
      </c>
      <c r="K101" s="248">
        <v>0</v>
      </c>
      <c r="L101" s="248">
        <v>0</v>
      </c>
      <c r="M101" s="248">
        <v>0</v>
      </c>
      <c r="N101" s="249">
        <f t="shared" si="50"/>
        <v>0</v>
      </c>
      <c r="O101" s="249">
        <f t="shared" si="51"/>
        <v>0</v>
      </c>
      <c r="P101" s="249">
        <f t="shared" si="52"/>
        <v>0</v>
      </c>
      <c r="Q101" s="249">
        <f t="shared" si="52"/>
        <v>0</v>
      </c>
      <c r="R101" s="249">
        <f t="shared" si="52"/>
        <v>0</v>
      </c>
      <c r="S101" s="248">
        <v>0</v>
      </c>
      <c r="T101" s="250" t="str">
        <f t="shared" si="53"/>
        <v/>
      </c>
      <c r="U101" s="249">
        <f t="shared" si="54"/>
        <v>0</v>
      </c>
      <c r="V101" s="249">
        <f t="shared" si="55"/>
        <v>0</v>
      </c>
      <c r="W101" s="242" t="s">
        <v>334</v>
      </c>
      <c r="X101" s="242" t="s">
        <v>281</v>
      </c>
      <c r="Y101" s="251">
        <f>SUMIFS(Cert_App_Output!$G:$G,Cert_App_Output!$E:$E,$E101,Cert_App_Output!$K:$K,$X101)</f>
        <v>0</v>
      </c>
    </row>
    <row r="102" spans="1:25" x14ac:dyDescent="0.35">
      <c r="A102" s="242" t="s">
        <v>335</v>
      </c>
      <c r="D102" s="242" t="s">
        <v>336</v>
      </c>
      <c r="E102" s="242">
        <v>11.06</v>
      </c>
      <c r="F102" s="242" t="s">
        <v>216</v>
      </c>
      <c r="G102" s="242" t="s">
        <v>342</v>
      </c>
      <c r="H102" s="242" t="s">
        <v>234</v>
      </c>
      <c r="I102" s="247">
        <v>27</v>
      </c>
      <c r="J102" s="248">
        <v>4104.38</v>
      </c>
      <c r="K102" s="248">
        <v>0</v>
      </c>
      <c r="L102" s="248">
        <v>11112.82</v>
      </c>
      <c r="M102" s="248">
        <v>306.63</v>
      </c>
      <c r="N102" s="249">
        <f t="shared" si="50"/>
        <v>15523.83</v>
      </c>
      <c r="O102" s="249">
        <f t="shared" si="51"/>
        <v>5567.4565366394736</v>
      </c>
      <c r="P102" s="249">
        <f t="shared" si="52"/>
        <v>0</v>
      </c>
      <c r="Q102" s="249">
        <f t="shared" si="52"/>
        <v>15074.174990984724</v>
      </c>
      <c r="R102" s="249">
        <f t="shared" si="52"/>
        <v>415.93351439919354</v>
      </c>
      <c r="S102" s="248">
        <v>21057.565042023391</v>
      </c>
      <c r="T102" s="250">
        <f t="shared" si="53"/>
        <v>1.3564671245448701</v>
      </c>
      <c r="U102" s="249">
        <f t="shared" si="54"/>
        <v>419143.41</v>
      </c>
      <c r="V102" s="249">
        <f t="shared" si="55"/>
        <v>568554.25613463158</v>
      </c>
      <c r="W102" s="242" t="s">
        <v>334</v>
      </c>
      <c r="X102" s="242" t="s">
        <v>281</v>
      </c>
      <c r="Y102" s="251">
        <f>SUMIFS(Cert_App_Output!$G:$G,Cert_App_Output!$E:$E,$E102,Cert_App_Output!$K:$K,$X102)</f>
        <v>0</v>
      </c>
    </row>
    <row r="103" spans="1:25" x14ac:dyDescent="0.35">
      <c r="A103" s="242" t="s">
        <v>335</v>
      </c>
      <c r="D103" s="242" t="s">
        <v>336</v>
      </c>
      <c r="E103" s="242">
        <v>11.07</v>
      </c>
      <c r="F103" s="242" t="s">
        <v>216</v>
      </c>
      <c r="G103" s="242" t="s">
        <v>343</v>
      </c>
      <c r="H103" s="242" t="s">
        <v>234</v>
      </c>
      <c r="I103" s="247">
        <v>180</v>
      </c>
      <c r="J103" s="248">
        <v>6932.27</v>
      </c>
      <c r="K103" s="248">
        <v>0</v>
      </c>
      <c r="L103" s="248">
        <v>12793.02</v>
      </c>
      <c r="M103" s="248">
        <v>245.43</v>
      </c>
      <c r="N103" s="249">
        <f t="shared" si="50"/>
        <v>19970.72</v>
      </c>
      <c r="O103" s="249">
        <f t="shared" si="51"/>
        <v>9403.3963534686682</v>
      </c>
      <c r="P103" s="249">
        <f t="shared" si="52"/>
        <v>0</v>
      </c>
      <c r="Q103" s="249">
        <f t="shared" si="52"/>
        <v>17353.311053645011</v>
      </c>
      <c r="R103" s="249">
        <f t="shared" si="52"/>
        <v>332.91772637704747</v>
      </c>
      <c r="S103" s="248">
        <v>27089.625133490728</v>
      </c>
      <c r="T103" s="250">
        <f t="shared" si="53"/>
        <v>1.3564671245448701</v>
      </c>
      <c r="U103" s="249">
        <f t="shared" si="54"/>
        <v>3594729.6</v>
      </c>
      <c r="V103" s="249">
        <f t="shared" si="55"/>
        <v>4876132.524028331</v>
      </c>
      <c r="W103" s="242" t="s">
        <v>334</v>
      </c>
      <c r="X103" s="242" t="s">
        <v>281</v>
      </c>
      <c r="Y103" s="251">
        <f>SUMIFS(Cert_App_Output!$G:$G,Cert_App_Output!$E:$E,$E103,Cert_App_Output!$K:$K,$X103)</f>
        <v>0</v>
      </c>
    </row>
    <row r="104" spans="1:25" x14ac:dyDescent="0.35">
      <c r="F104" s="242" t="s">
        <v>212</v>
      </c>
      <c r="G104" s="242" t="s">
        <v>344</v>
      </c>
      <c r="I104" s="243"/>
      <c r="J104" s="244"/>
      <c r="K104" s="244"/>
      <c r="L104" s="244"/>
      <c r="M104" s="244"/>
      <c r="N104" s="244"/>
      <c r="O104" s="244"/>
      <c r="P104" s="244"/>
      <c r="Q104" s="244"/>
      <c r="R104" s="244"/>
      <c r="S104" s="244"/>
      <c r="T104" s="245"/>
      <c r="U104" s="244"/>
      <c r="V104" s="244"/>
      <c r="W104" s="242" t="s">
        <v>345</v>
      </c>
      <c r="X104" s="242" t="s">
        <v>281</v>
      </c>
      <c r="Y104" s="246"/>
    </row>
    <row r="105" spans="1:25" x14ac:dyDescent="0.35">
      <c r="A105" s="242" t="s">
        <v>335</v>
      </c>
      <c r="D105" s="242" t="s">
        <v>336</v>
      </c>
      <c r="E105" s="242">
        <v>12.01</v>
      </c>
      <c r="F105" s="242" t="s">
        <v>216</v>
      </c>
      <c r="G105" s="242" t="s">
        <v>346</v>
      </c>
      <c r="H105" s="242" t="s">
        <v>223</v>
      </c>
      <c r="I105" s="247">
        <v>792</v>
      </c>
      <c r="J105" s="248">
        <v>4349.99</v>
      </c>
      <c r="K105" s="248">
        <v>0</v>
      </c>
      <c r="L105" s="248">
        <v>5122.3599999999997</v>
      </c>
      <c r="M105" s="248">
        <v>142.09</v>
      </c>
      <c r="N105" s="249">
        <f>SUM(J105:M105)</f>
        <v>9614.4399999999987</v>
      </c>
      <c r="O105" s="249">
        <f>IF($N105=0,$S105,J105/$N105*$S105)</f>
        <v>5900.6184270989397</v>
      </c>
      <c r="P105" s="249">
        <f t="shared" ref="P105:R108" si="56">IF($N105=0,0,K105/$N105*$S105)</f>
        <v>0</v>
      </c>
      <c r="Q105" s="249">
        <f t="shared" si="56"/>
        <v>6948.3129400836615</v>
      </c>
      <c r="R105" s="249">
        <f t="shared" si="56"/>
        <v>192.74041372658061</v>
      </c>
      <c r="S105" s="248">
        <v>13041.671780909181</v>
      </c>
      <c r="T105" s="250">
        <f>IFERROR(S105/N105,"")</f>
        <v>1.3564671245448703</v>
      </c>
      <c r="U105" s="249">
        <f>N105*I105</f>
        <v>7614636.4799999986</v>
      </c>
      <c r="V105" s="249">
        <f>S105*I105</f>
        <v>10329004.050480071</v>
      </c>
      <c r="W105" s="242" t="s">
        <v>345</v>
      </c>
      <c r="X105" s="242" t="s">
        <v>281</v>
      </c>
      <c r="Y105" s="251">
        <f>SUMIFS(Cert_App_Output!$G:$G,Cert_App_Output!$E:$E,$E105,Cert_App_Output!$K:$K,$X105)</f>
        <v>0</v>
      </c>
    </row>
    <row r="106" spans="1:25" x14ac:dyDescent="0.35">
      <c r="A106" s="242" t="s">
        <v>335</v>
      </c>
      <c r="D106" s="242" t="s">
        <v>336</v>
      </c>
      <c r="E106" s="242">
        <v>12.02</v>
      </c>
      <c r="F106" s="242" t="s">
        <v>216</v>
      </c>
      <c r="G106" s="242" t="s">
        <v>347</v>
      </c>
      <c r="H106" s="242" t="s">
        <v>223</v>
      </c>
      <c r="I106" s="247">
        <v>282</v>
      </c>
      <c r="J106" s="248">
        <v>1001.5</v>
      </c>
      <c r="K106" s="248">
        <v>0</v>
      </c>
      <c r="L106" s="248">
        <v>5543.64</v>
      </c>
      <c r="M106" s="248">
        <v>106.35</v>
      </c>
      <c r="N106" s="249">
        <f>SUM(J106:M106)</f>
        <v>6651.4900000000007</v>
      </c>
      <c r="O106" s="249">
        <f>IF($N106=0,$S106,J106/$N106*$S106)</f>
        <v>1358.5018252316875</v>
      </c>
      <c r="P106" s="249">
        <f t="shared" si="56"/>
        <v>0</v>
      </c>
      <c r="Q106" s="249">
        <f t="shared" si="56"/>
        <v>7519.765410311923</v>
      </c>
      <c r="R106" s="249">
        <f t="shared" si="56"/>
        <v>144.2602786953469</v>
      </c>
      <c r="S106" s="248">
        <v>9022.5275142389582</v>
      </c>
      <c r="T106" s="250">
        <f>IFERROR(S106/N106,"")</f>
        <v>1.3564671245448701</v>
      </c>
      <c r="U106" s="249">
        <f>N106*I106</f>
        <v>1875720.1800000002</v>
      </c>
      <c r="V106" s="249">
        <f>S106*I106</f>
        <v>2544352.759015386</v>
      </c>
      <c r="W106" s="242" t="s">
        <v>345</v>
      </c>
      <c r="X106" s="242" t="s">
        <v>281</v>
      </c>
      <c r="Y106" s="251">
        <f>SUMIFS(Cert_App_Output!$G:$G,Cert_App_Output!$E:$E,$E106,Cert_App_Output!$K:$K,$X106)</f>
        <v>0</v>
      </c>
    </row>
    <row r="107" spans="1:25" x14ac:dyDescent="0.35">
      <c r="A107" s="242" t="s">
        <v>335</v>
      </c>
      <c r="D107" s="242" t="s">
        <v>336</v>
      </c>
      <c r="E107" s="242">
        <v>12.03</v>
      </c>
      <c r="F107" s="242" t="s">
        <v>216</v>
      </c>
      <c r="G107" s="242" t="s">
        <v>348</v>
      </c>
      <c r="H107" s="242" t="s">
        <v>223</v>
      </c>
      <c r="I107" s="247">
        <v>263</v>
      </c>
      <c r="J107" s="248">
        <v>1001.5</v>
      </c>
      <c r="K107" s="248">
        <v>0</v>
      </c>
      <c r="L107" s="248">
        <v>5543.64</v>
      </c>
      <c r="M107" s="248">
        <v>106.35</v>
      </c>
      <c r="N107" s="249">
        <f>SUM(J107:M107)</f>
        <v>6651.4900000000007</v>
      </c>
      <c r="O107" s="249">
        <f>IF($N107=0,$S107,J107/$N107*$S107)</f>
        <v>1358.5018252316875</v>
      </c>
      <c r="P107" s="249">
        <f t="shared" si="56"/>
        <v>0</v>
      </c>
      <c r="Q107" s="249">
        <f t="shared" si="56"/>
        <v>7519.765410311923</v>
      </c>
      <c r="R107" s="249">
        <f t="shared" si="56"/>
        <v>144.2602786953469</v>
      </c>
      <c r="S107" s="248">
        <v>9022.5275142389582</v>
      </c>
      <c r="T107" s="250">
        <f>IFERROR(S107/N107,"")</f>
        <v>1.3564671245448701</v>
      </c>
      <c r="U107" s="249">
        <f>N107*I107</f>
        <v>1749341.87</v>
      </c>
      <c r="V107" s="249">
        <f>S107*I107</f>
        <v>2372924.7362448461</v>
      </c>
      <c r="W107" s="242" t="s">
        <v>345</v>
      </c>
      <c r="X107" s="242" t="s">
        <v>281</v>
      </c>
      <c r="Y107" s="251">
        <f>SUMIFS(Cert_App_Output!$G:$G,Cert_App_Output!$E:$E,$E107,Cert_App_Output!$K:$K,$X107)</f>
        <v>0</v>
      </c>
    </row>
    <row r="108" spans="1:25" x14ac:dyDescent="0.35">
      <c r="A108" s="242" t="s">
        <v>335</v>
      </c>
      <c r="D108" s="242" t="s">
        <v>336</v>
      </c>
      <c r="E108" s="242">
        <v>12.04</v>
      </c>
      <c r="F108" s="242" t="s">
        <v>216</v>
      </c>
      <c r="G108" s="242" t="s">
        <v>349</v>
      </c>
      <c r="H108" s="242" t="s">
        <v>223</v>
      </c>
      <c r="I108" s="247">
        <v>25</v>
      </c>
      <c r="J108" s="248">
        <v>1001.5</v>
      </c>
      <c r="K108" s="248">
        <v>0</v>
      </c>
      <c r="L108" s="248">
        <v>5543.64</v>
      </c>
      <c r="M108" s="248">
        <v>106.35</v>
      </c>
      <c r="N108" s="249">
        <f>SUM(J108:M108)</f>
        <v>6651.4900000000007</v>
      </c>
      <c r="O108" s="249">
        <f>IF($N108=0,$S108,J108/$N108*$S108)</f>
        <v>1358.5018252316875</v>
      </c>
      <c r="P108" s="249">
        <f t="shared" si="56"/>
        <v>0</v>
      </c>
      <c r="Q108" s="249">
        <f t="shared" si="56"/>
        <v>7519.765410311923</v>
      </c>
      <c r="R108" s="249">
        <f t="shared" si="56"/>
        <v>144.2602786953469</v>
      </c>
      <c r="S108" s="248">
        <v>9022.5275142389582</v>
      </c>
      <c r="T108" s="250">
        <f>IFERROR(S108/N108,"")</f>
        <v>1.3564671245448701</v>
      </c>
      <c r="U108" s="249">
        <f>N108*I108</f>
        <v>166287.25000000003</v>
      </c>
      <c r="V108" s="249">
        <f>S108*I108</f>
        <v>225563.18785597396</v>
      </c>
      <c r="W108" s="242" t="s">
        <v>345</v>
      </c>
      <c r="X108" s="242" t="s">
        <v>281</v>
      </c>
      <c r="Y108" s="251">
        <f>SUMIFS(Cert_App_Output!$G:$G,Cert_App_Output!$E:$E,$E108,Cert_App_Output!$K:$K,$X108)</f>
        <v>0</v>
      </c>
    </row>
    <row r="109" spans="1:25" x14ac:dyDescent="0.35">
      <c r="F109" s="242" t="s">
        <v>212</v>
      </c>
      <c r="G109" s="242" t="s">
        <v>350</v>
      </c>
      <c r="I109" s="243"/>
      <c r="J109" s="244"/>
      <c r="K109" s="244"/>
      <c r="L109" s="244"/>
      <c r="M109" s="244"/>
      <c r="N109" s="244"/>
      <c r="O109" s="244"/>
      <c r="P109" s="244"/>
      <c r="Q109" s="244"/>
      <c r="R109" s="244"/>
      <c r="S109" s="244"/>
      <c r="T109" s="245"/>
      <c r="U109" s="244"/>
      <c r="V109" s="244"/>
      <c r="W109" s="242" t="s">
        <v>351</v>
      </c>
      <c r="X109" s="242" t="s">
        <v>281</v>
      </c>
      <c r="Y109" s="246"/>
    </row>
    <row r="110" spans="1:25" x14ac:dyDescent="0.35">
      <c r="A110" s="242" t="s">
        <v>335</v>
      </c>
      <c r="D110" s="242" t="s">
        <v>336</v>
      </c>
      <c r="E110" s="242">
        <v>13.01</v>
      </c>
      <c r="F110" s="242" t="s">
        <v>216</v>
      </c>
      <c r="G110" s="242" t="s">
        <v>352</v>
      </c>
      <c r="H110" s="242" t="s">
        <v>234</v>
      </c>
      <c r="I110" s="247">
        <v>493</v>
      </c>
      <c r="J110" s="248">
        <v>6932.27</v>
      </c>
      <c r="K110" s="248">
        <v>0</v>
      </c>
      <c r="L110" s="248">
        <v>16630.93</v>
      </c>
      <c r="M110" s="248">
        <v>319.06</v>
      </c>
      <c r="N110" s="249">
        <f>SUM(J110:M110)</f>
        <v>23882.260000000002</v>
      </c>
      <c r="O110" s="249">
        <f>IF($N110=0,$S110,J110/$N110*$S110)</f>
        <v>9403.3963534686682</v>
      </c>
      <c r="P110" s="249">
        <f t="shared" ref="P110:R112" si="57">IF($N110=0,0,K110/$N110*$S110)</f>
        <v>0</v>
      </c>
      <c r="Q110" s="249">
        <f t="shared" si="57"/>
        <v>22559.309795607016</v>
      </c>
      <c r="R110" s="249">
        <f t="shared" si="57"/>
        <v>432.79440075728621</v>
      </c>
      <c r="S110" s="248">
        <v>32395.50054983297</v>
      </c>
      <c r="T110" s="250">
        <f>IFERROR(S110/N110,"")</f>
        <v>1.3564671245448701</v>
      </c>
      <c r="U110" s="249">
        <f>N110*I110</f>
        <v>11773954.180000002</v>
      </c>
      <c r="V110" s="249">
        <f>S110*I110</f>
        <v>15970981.771067655</v>
      </c>
      <c r="W110" s="242" t="s">
        <v>351</v>
      </c>
      <c r="X110" s="242" t="s">
        <v>281</v>
      </c>
      <c r="Y110" s="251">
        <f>SUMIFS(Cert_App_Output!$G:$G,Cert_App_Output!$E:$E,$E110,Cert_App_Output!$K:$K,$X110)</f>
        <v>0</v>
      </c>
    </row>
    <row r="111" spans="1:25" x14ac:dyDescent="0.35">
      <c r="A111" s="242" t="s">
        <v>335</v>
      </c>
      <c r="D111" s="242" t="s">
        <v>336</v>
      </c>
      <c r="E111" s="242">
        <v>13.02</v>
      </c>
      <c r="F111" s="242" t="s">
        <v>216</v>
      </c>
      <c r="G111" s="242" t="s">
        <v>353</v>
      </c>
      <c r="H111" s="242" t="s">
        <v>234</v>
      </c>
      <c r="I111" s="247">
        <v>82</v>
      </c>
      <c r="J111" s="248">
        <v>6932.27</v>
      </c>
      <c r="K111" s="248">
        <v>0</v>
      </c>
      <c r="L111" s="248">
        <v>16630.93</v>
      </c>
      <c r="M111" s="248">
        <v>319.06</v>
      </c>
      <c r="N111" s="249">
        <f>SUM(J111:M111)</f>
        <v>23882.260000000002</v>
      </c>
      <c r="O111" s="249">
        <f>IF($N111=0,$S111,J111/$N111*$S111)</f>
        <v>9403.3963534686682</v>
      </c>
      <c r="P111" s="249">
        <f t="shared" si="57"/>
        <v>0</v>
      </c>
      <c r="Q111" s="249">
        <f t="shared" si="57"/>
        <v>22559.309795607016</v>
      </c>
      <c r="R111" s="249">
        <f t="shared" si="57"/>
        <v>432.79440075728621</v>
      </c>
      <c r="S111" s="248">
        <v>32395.50054983297</v>
      </c>
      <c r="T111" s="250">
        <f>IFERROR(S111/N111,"")</f>
        <v>1.3564671245448701</v>
      </c>
      <c r="U111" s="249">
        <f>N111*I111</f>
        <v>1958345.32</v>
      </c>
      <c r="V111" s="249">
        <f>S111*I111</f>
        <v>2656431.0450863037</v>
      </c>
      <c r="W111" s="242" t="s">
        <v>351</v>
      </c>
      <c r="X111" s="242" t="s">
        <v>281</v>
      </c>
      <c r="Y111" s="251">
        <f>SUMIFS(Cert_App_Output!$G:$G,Cert_App_Output!$E:$E,$E111,Cert_App_Output!$K:$K,$X111)</f>
        <v>0</v>
      </c>
    </row>
    <row r="112" spans="1:25" x14ac:dyDescent="0.35">
      <c r="A112" s="242" t="s">
        <v>335</v>
      </c>
      <c r="D112" s="242" t="s">
        <v>336</v>
      </c>
      <c r="E112" s="242">
        <v>13.03</v>
      </c>
      <c r="F112" s="242" t="s">
        <v>216</v>
      </c>
      <c r="G112" s="242" t="s">
        <v>354</v>
      </c>
      <c r="H112" s="242" t="s">
        <v>223</v>
      </c>
      <c r="I112" s="247">
        <v>152</v>
      </c>
      <c r="J112" s="248">
        <v>1001.5</v>
      </c>
      <c r="K112" s="248">
        <v>0</v>
      </c>
      <c r="L112" s="248">
        <v>5543.64</v>
      </c>
      <c r="M112" s="248">
        <v>106.35</v>
      </c>
      <c r="N112" s="249">
        <f>SUM(J112:M112)</f>
        <v>6651.4900000000007</v>
      </c>
      <c r="O112" s="249">
        <f>IF($N112=0,$S112,J112/$N112*$S112)</f>
        <v>1358.5018252316875</v>
      </c>
      <c r="P112" s="249">
        <f t="shared" si="57"/>
        <v>0</v>
      </c>
      <c r="Q112" s="249">
        <f t="shared" si="57"/>
        <v>7519.765410311923</v>
      </c>
      <c r="R112" s="249">
        <f t="shared" si="57"/>
        <v>144.2602786953469</v>
      </c>
      <c r="S112" s="248">
        <v>9022.5275142389582</v>
      </c>
      <c r="T112" s="250">
        <f>IFERROR(S112/N112,"")</f>
        <v>1.3564671245448701</v>
      </c>
      <c r="U112" s="249">
        <f>N112*I112</f>
        <v>1011026.4800000001</v>
      </c>
      <c r="V112" s="249">
        <f>S112*I112</f>
        <v>1371424.1821643217</v>
      </c>
      <c r="W112" s="242" t="s">
        <v>351</v>
      </c>
      <c r="X112" s="242" t="s">
        <v>281</v>
      </c>
      <c r="Y112" s="251">
        <f>SUMIFS(Cert_App_Output!$G:$G,Cert_App_Output!$E:$E,$E112,Cert_App_Output!$K:$K,$X112)</f>
        <v>0</v>
      </c>
    </row>
    <row r="113" spans="1:25" x14ac:dyDescent="0.35">
      <c r="F113" s="242" t="s">
        <v>212</v>
      </c>
      <c r="G113" s="242" t="s">
        <v>355</v>
      </c>
      <c r="I113" s="243"/>
      <c r="J113" s="244"/>
      <c r="K113" s="244"/>
      <c r="L113" s="244"/>
      <c r="M113" s="244"/>
      <c r="N113" s="244"/>
      <c r="O113" s="244"/>
      <c r="P113" s="244"/>
      <c r="Q113" s="244"/>
      <c r="R113" s="244"/>
      <c r="S113" s="244"/>
      <c r="T113" s="245"/>
      <c r="U113" s="244"/>
      <c r="V113" s="244"/>
      <c r="W113" s="242" t="s">
        <v>356</v>
      </c>
      <c r="X113" s="242" t="s">
        <v>281</v>
      </c>
      <c r="Y113" s="246"/>
    </row>
    <row r="114" spans="1:25" x14ac:dyDescent="0.35">
      <c r="A114" s="242" t="s">
        <v>306</v>
      </c>
      <c r="C114" s="242" t="s">
        <v>307</v>
      </c>
      <c r="E114" s="242">
        <v>14.01</v>
      </c>
      <c r="F114" s="242" t="s">
        <v>216</v>
      </c>
      <c r="G114" s="242" t="s">
        <v>357</v>
      </c>
      <c r="H114" s="242" t="s">
        <v>234</v>
      </c>
      <c r="I114" s="247">
        <v>146</v>
      </c>
      <c r="J114" s="248">
        <v>10667.04</v>
      </c>
      <c r="K114" s="248">
        <v>17506.240000000002</v>
      </c>
      <c r="L114" s="248">
        <v>0</v>
      </c>
      <c r="M114" s="248">
        <v>286.64999999999998</v>
      </c>
      <c r="N114" s="249">
        <f t="shared" ref="N114:N121" si="58">SUM(J114:M114)</f>
        <v>28459.930000000004</v>
      </c>
      <c r="O114" s="249">
        <f t="shared" ref="O114:O121" si="59">IF($N114=0,$S114,J114/$N114*$S114)</f>
        <v>14469.489076205115</v>
      </c>
      <c r="P114" s="249">
        <f t="shared" ref="P114:R121" si="60">IF($N114=0,0,K114/$N114*$S114)</f>
        <v>23746.639034392389</v>
      </c>
      <c r="Q114" s="249">
        <f t="shared" si="60"/>
        <v>0</v>
      </c>
      <c r="R114" s="249">
        <f t="shared" si="60"/>
        <v>388.83130125078702</v>
      </c>
      <c r="S114" s="248">
        <v>38604.959411848293</v>
      </c>
      <c r="T114" s="250">
        <f t="shared" ref="T114:T121" si="61">IFERROR(S114/N114,"")</f>
        <v>1.3564671245448703</v>
      </c>
      <c r="U114" s="249">
        <f t="shared" ref="U114:U121" si="62">N114*I114</f>
        <v>4155149.7800000007</v>
      </c>
      <c r="V114" s="249">
        <f t="shared" ref="V114:V121" si="63">S114*I114</f>
        <v>5636324.0741298506</v>
      </c>
      <c r="W114" s="242" t="s">
        <v>356</v>
      </c>
      <c r="X114" s="242" t="s">
        <v>281</v>
      </c>
      <c r="Y114" s="251">
        <f>SUMIFS(Cert_App_Output!$G:$G,Cert_App_Output!$E:$E,$E114,Cert_App_Output!$K:$K,$X114)</f>
        <v>0</v>
      </c>
    </row>
    <row r="115" spans="1:25" x14ac:dyDescent="0.35">
      <c r="A115" s="242" t="s">
        <v>306</v>
      </c>
      <c r="C115" s="242" t="s">
        <v>307</v>
      </c>
      <c r="E115" s="242">
        <v>14.02</v>
      </c>
      <c r="F115" s="242" t="s">
        <v>216</v>
      </c>
      <c r="G115" s="242" t="s">
        <v>358</v>
      </c>
      <c r="H115" s="242" t="s">
        <v>234</v>
      </c>
      <c r="I115" s="247">
        <v>89</v>
      </c>
      <c r="J115" s="248">
        <v>14748.7</v>
      </c>
      <c r="K115" s="248">
        <v>17506.240000000002</v>
      </c>
      <c r="L115" s="248">
        <v>0</v>
      </c>
      <c r="M115" s="248">
        <v>286.64999999999998</v>
      </c>
      <c r="N115" s="249">
        <f t="shared" si="58"/>
        <v>32541.590000000004</v>
      </c>
      <c r="O115" s="249">
        <f t="shared" si="59"/>
        <v>20006.12667977493</v>
      </c>
      <c r="P115" s="249">
        <f t="shared" si="60"/>
        <v>23746.639034392396</v>
      </c>
      <c r="Q115" s="249">
        <f t="shared" si="60"/>
        <v>0</v>
      </c>
      <c r="R115" s="249">
        <f t="shared" si="60"/>
        <v>388.83130125078708</v>
      </c>
      <c r="S115" s="248">
        <v>44141.597015418112</v>
      </c>
      <c r="T115" s="250">
        <f t="shared" si="61"/>
        <v>1.3564671245448703</v>
      </c>
      <c r="U115" s="249">
        <f t="shared" si="62"/>
        <v>2896201.5100000002</v>
      </c>
      <c r="V115" s="249">
        <f t="shared" si="63"/>
        <v>3928602.134372212</v>
      </c>
      <c r="W115" s="242" t="s">
        <v>356</v>
      </c>
      <c r="X115" s="242" t="s">
        <v>281</v>
      </c>
      <c r="Y115" s="251">
        <f>SUMIFS(Cert_App_Output!$G:$G,Cert_App_Output!$E:$E,$E115,Cert_App_Output!$K:$K,$X115)</f>
        <v>0</v>
      </c>
    </row>
    <row r="116" spans="1:25" x14ac:dyDescent="0.35">
      <c r="A116" s="242" t="s">
        <v>306</v>
      </c>
      <c r="C116" s="242" t="s">
        <v>307</v>
      </c>
      <c r="D116" s="242" t="s">
        <v>307</v>
      </c>
      <c r="E116" s="242">
        <v>14.03</v>
      </c>
      <c r="F116" s="242" t="s">
        <v>216</v>
      </c>
      <c r="G116" s="242" t="s">
        <v>359</v>
      </c>
      <c r="H116" s="242" t="s">
        <v>223</v>
      </c>
      <c r="I116" s="247">
        <v>62</v>
      </c>
      <c r="J116" s="248">
        <v>11654.22</v>
      </c>
      <c r="K116" s="248">
        <v>17506.240000000002</v>
      </c>
      <c r="L116" s="248">
        <v>6278.48</v>
      </c>
      <c r="M116" s="248">
        <v>468.19</v>
      </c>
      <c r="N116" s="249">
        <f t="shared" si="58"/>
        <v>35907.130000000005</v>
      </c>
      <c r="O116" s="249">
        <f t="shared" si="59"/>
        <v>15808.566292213311</v>
      </c>
      <c r="P116" s="249">
        <f t="shared" si="60"/>
        <v>23746.639034392381</v>
      </c>
      <c r="Q116" s="249">
        <f t="shared" si="60"/>
        <v>8516.551712112474</v>
      </c>
      <c r="R116" s="249">
        <f t="shared" si="60"/>
        <v>635.08434304066259</v>
      </c>
      <c r="S116" s="248">
        <v>48706.841381758837</v>
      </c>
      <c r="T116" s="250">
        <f t="shared" si="61"/>
        <v>1.3564671245448698</v>
      </c>
      <c r="U116" s="249">
        <f t="shared" si="62"/>
        <v>2226242.0600000005</v>
      </c>
      <c r="V116" s="249">
        <f t="shared" si="63"/>
        <v>3019824.1656690477</v>
      </c>
      <c r="W116" s="242" t="s">
        <v>356</v>
      </c>
      <c r="X116" s="242" t="s">
        <v>281</v>
      </c>
      <c r="Y116" s="251">
        <f>SUMIFS(Cert_App_Output!$G:$G,Cert_App_Output!$E:$E,$E116,Cert_App_Output!$K:$K,$X116)</f>
        <v>0</v>
      </c>
    </row>
    <row r="117" spans="1:25" x14ac:dyDescent="0.35">
      <c r="A117" s="242" t="s">
        <v>306</v>
      </c>
      <c r="C117" s="242" t="s">
        <v>307</v>
      </c>
      <c r="E117" s="242">
        <v>14.04</v>
      </c>
      <c r="F117" s="242" t="s">
        <v>216</v>
      </c>
      <c r="G117" s="242" t="s">
        <v>360</v>
      </c>
      <c r="H117" s="242" t="s">
        <v>223</v>
      </c>
      <c r="I117" s="247">
        <v>689</v>
      </c>
      <c r="J117" s="248">
        <v>987.17</v>
      </c>
      <c r="K117" s="248">
        <v>6278.48</v>
      </c>
      <c r="L117" s="248">
        <v>0</v>
      </c>
      <c r="M117" s="248">
        <v>181.54</v>
      </c>
      <c r="N117" s="249">
        <f t="shared" si="58"/>
        <v>7447.19</v>
      </c>
      <c r="O117" s="249">
        <f t="shared" si="59"/>
        <v>1339.0636513369591</v>
      </c>
      <c r="P117" s="249">
        <f t="shared" si="60"/>
        <v>8516.551712112474</v>
      </c>
      <c r="Q117" s="249">
        <f t="shared" si="60"/>
        <v>0</v>
      </c>
      <c r="R117" s="249">
        <f t="shared" si="60"/>
        <v>246.25304178987565</v>
      </c>
      <c r="S117" s="248">
        <v>10101.868405239309</v>
      </c>
      <c r="T117" s="250">
        <f t="shared" si="61"/>
        <v>1.3564671245448698</v>
      </c>
      <c r="U117" s="249">
        <f t="shared" si="62"/>
        <v>5131113.91</v>
      </c>
      <c r="V117" s="249">
        <f t="shared" si="63"/>
        <v>6960187.331209884</v>
      </c>
      <c r="W117" s="242" t="s">
        <v>356</v>
      </c>
      <c r="X117" s="242" t="s">
        <v>281</v>
      </c>
      <c r="Y117" s="251">
        <f>SUMIFS(Cert_App_Output!$G:$G,Cert_App_Output!$E:$E,$E117,Cert_App_Output!$K:$K,$X117)</f>
        <v>0</v>
      </c>
    </row>
    <row r="118" spans="1:25" x14ac:dyDescent="0.35">
      <c r="A118" s="242" t="s">
        <v>306</v>
      </c>
      <c r="C118" s="242" t="s">
        <v>307</v>
      </c>
      <c r="E118" s="242">
        <v>14.05</v>
      </c>
      <c r="F118" s="242" t="s">
        <v>216</v>
      </c>
      <c r="G118" s="242" t="s">
        <v>361</v>
      </c>
      <c r="H118" s="242" t="s">
        <v>234</v>
      </c>
      <c r="I118" s="247">
        <v>668</v>
      </c>
      <c r="J118" s="248">
        <v>6515.41</v>
      </c>
      <c r="K118" s="248">
        <v>12252.55</v>
      </c>
      <c r="L118" s="248">
        <v>0</v>
      </c>
      <c r="M118" s="248">
        <v>281.52</v>
      </c>
      <c r="N118" s="249">
        <f t="shared" si="58"/>
        <v>19049.48</v>
      </c>
      <c r="O118" s="249">
        <f t="shared" si="59"/>
        <v>8837.9394679308916</v>
      </c>
      <c r="P118" s="249">
        <f t="shared" si="60"/>
        <v>16620.181266842246</v>
      </c>
      <c r="Q118" s="249">
        <f t="shared" si="60"/>
        <v>0</v>
      </c>
      <c r="R118" s="249">
        <f t="shared" si="60"/>
        <v>381.87262490187175</v>
      </c>
      <c r="S118" s="248">
        <v>25839.993359675009</v>
      </c>
      <c r="T118" s="250">
        <f t="shared" si="61"/>
        <v>1.3564671245448701</v>
      </c>
      <c r="U118" s="249">
        <f t="shared" si="62"/>
        <v>12725052.640000001</v>
      </c>
      <c r="V118" s="249">
        <f t="shared" si="63"/>
        <v>17261115.564262904</v>
      </c>
      <c r="W118" s="242" t="s">
        <v>356</v>
      </c>
      <c r="X118" s="242" t="s">
        <v>281</v>
      </c>
      <c r="Y118" s="251">
        <f>SUMIFS(Cert_App_Output!$G:$G,Cert_App_Output!$E:$E,$E118,Cert_App_Output!$K:$K,$X118)</f>
        <v>0</v>
      </c>
    </row>
    <row r="119" spans="1:25" x14ac:dyDescent="0.35">
      <c r="C119" s="242" t="s">
        <v>307</v>
      </c>
      <c r="E119" s="242">
        <v>14.06</v>
      </c>
      <c r="F119" s="242" t="s">
        <v>216</v>
      </c>
      <c r="G119" s="242" t="s">
        <v>362</v>
      </c>
      <c r="H119" s="242" t="s">
        <v>223</v>
      </c>
      <c r="I119" s="247">
        <v>446</v>
      </c>
      <c r="J119" s="248">
        <v>0</v>
      </c>
      <c r="K119" s="248">
        <v>13144.58</v>
      </c>
      <c r="L119" s="248">
        <v>0</v>
      </c>
      <c r="M119" s="248">
        <v>197.17</v>
      </c>
      <c r="N119" s="249">
        <f t="shared" si="58"/>
        <v>13341.75</v>
      </c>
      <c r="O119" s="249">
        <f t="shared" si="59"/>
        <v>0</v>
      </c>
      <c r="P119" s="249">
        <f t="shared" si="60"/>
        <v>17830.190635950006</v>
      </c>
      <c r="Q119" s="249">
        <f t="shared" si="60"/>
        <v>0</v>
      </c>
      <c r="R119" s="249">
        <f t="shared" si="60"/>
        <v>267.45462294651202</v>
      </c>
      <c r="S119" s="248">
        <v>18097.645258896518</v>
      </c>
      <c r="T119" s="250">
        <f t="shared" si="61"/>
        <v>1.3564671245448698</v>
      </c>
      <c r="U119" s="249">
        <f t="shared" si="62"/>
        <v>5950420.5</v>
      </c>
      <c r="V119" s="249">
        <f t="shared" si="63"/>
        <v>8071549.7854678473</v>
      </c>
      <c r="W119" s="242" t="s">
        <v>356</v>
      </c>
      <c r="X119" s="242" t="s">
        <v>281</v>
      </c>
      <c r="Y119" s="251">
        <f>SUMIFS(Cert_App_Output!$G:$G,Cert_App_Output!$E:$E,$E119,Cert_App_Output!$K:$K,$X119)</f>
        <v>0</v>
      </c>
    </row>
    <row r="120" spans="1:25" x14ac:dyDescent="0.35">
      <c r="C120" s="242" t="s">
        <v>307</v>
      </c>
      <c r="E120" s="242">
        <v>14.07</v>
      </c>
      <c r="F120" s="242" t="s">
        <v>216</v>
      </c>
      <c r="G120" s="242" t="s">
        <v>309</v>
      </c>
      <c r="H120" s="242" t="s">
        <v>223</v>
      </c>
      <c r="I120" s="247">
        <v>2</v>
      </c>
      <c r="J120" s="248">
        <v>0</v>
      </c>
      <c r="K120" s="248">
        <v>13144.58</v>
      </c>
      <c r="L120" s="248">
        <v>0</v>
      </c>
      <c r="M120" s="248">
        <v>0</v>
      </c>
      <c r="N120" s="249">
        <f t="shared" si="58"/>
        <v>13144.58</v>
      </c>
      <c r="O120" s="249">
        <f t="shared" si="59"/>
        <v>0</v>
      </c>
      <c r="P120" s="249">
        <f t="shared" si="60"/>
        <v>17830.19063595001</v>
      </c>
      <c r="Q120" s="249">
        <f t="shared" si="60"/>
        <v>0</v>
      </c>
      <c r="R120" s="249">
        <f t="shared" si="60"/>
        <v>0</v>
      </c>
      <c r="S120" s="248">
        <v>17830.19063595001</v>
      </c>
      <c r="T120" s="250">
        <f t="shared" si="61"/>
        <v>1.3564671245448703</v>
      </c>
      <c r="U120" s="249">
        <f t="shared" si="62"/>
        <v>26289.16</v>
      </c>
      <c r="V120" s="249">
        <f t="shared" si="63"/>
        <v>35660.38127190002</v>
      </c>
      <c r="W120" s="242" t="s">
        <v>356</v>
      </c>
      <c r="X120" s="242" t="s">
        <v>281</v>
      </c>
      <c r="Y120" s="251">
        <f>SUMIFS(Cert_App_Output!$G:$G,Cert_App_Output!$E:$E,$E120,Cert_App_Output!$K:$K,$X120)</f>
        <v>0</v>
      </c>
    </row>
    <row r="121" spans="1:25" x14ac:dyDescent="0.35">
      <c r="A121" s="242" t="s">
        <v>36</v>
      </c>
      <c r="D121" s="242" t="s">
        <v>73</v>
      </c>
      <c r="E121" s="242">
        <v>14.08</v>
      </c>
      <c r="F121" s="242" t="s">
        <v>216</v>
      </c>
      <c r="G121" s="242" t="s">
        <v>363</v>
      </c>
      <c r="H121" s="242" t="s">
        <v>234</v>
      </c>
      <c r="I121" s="247">
        <v>370</v>
      </c>
      <c r="J121" s="248">
        <v>1351.35</v>
      </c>
      <c r="K121" s="248">
        <v>0</v>
      </c>
      <c r="L121" s="248">
        <v>4362.6400000000003</v>
      </c>
      <c r="M121" s="248">
        <v>85.71</v>
      </c>
      <c r="N121" s="249">
        <f t="shared" si="58"/>
        <v>5799.7</v>
      </c>
      <c r="O121" s="249">
        <f t="shared" si="59"/>
        <v>1833.0618487537101</v>
      </c>
      <c r="P121" s="249">
        <f t="shared" si="60"/>
        <v>0</v>
      </c>
      <c r="Q121" s="249">
        <f t="shared" si="60"/>
        <v>5917.7777362244324</v>
      </c>
      <c r="R121" s="249">
        <f t="shared" si="60"/>
        <v>116.26279724474081</v>
      </c>
      <c r="S121" s="248">
        <v>7867.1023822228826</v>
      </c>
      <c r="T121" s="250">
        <f t="shared" si="61"/>
        <v>1.3564671245448701</v>
      </c>
      <c r="U121" s="249">
        <f t="shared" si="62"/>
        <v>2145889</v>
      </c>
      <c r="V121" s="249">
        <f t="shared" si="63"/>
        <v>2910827.8814224666</v>
      </c>
      <c r="W121" s="242" t="s">
        <v>356</v>
      </c>
      <c r="X121" s="242" t="s">
        <v>281</v>
      </c>
      <c r="Y121" s="251">
        <f>SUMIFS(Cert_App_Output!$G:$G,Cert_App_Output!$E:$E,$E121,Cert_App_Output!$K:$K,$X121)</f>
        <v>0</v>
      </c>
    </row>
    <row r="122" spans="1:25" x14ac:dyDescent="0.35">
      <c r="F122" s="242" t="s">
        <v>212</v>
      </c>
      <c r="G122" s="242" t="s">
        <v>364</v>
      </c>
      <c r="I122" s="243"/>
      <c r="J122" s="244"/>
      <c r="K122" s="244"/>
      <c r="L122" s="244"/>
      <c r="M122" s="244"/>
      <c r="N122" s="244"/>
      <c r="O122" s="244"/>
      <c r="P122" s="244"/>
      <c r="Q122" s="244"/>
      <c r="R122" s="244"/>
      <c r="S122" s="244"/>
      <c r="T122" s="245"/>
      <c r="U122" s="244"/>
      <c r="V122" s="244"/>
      <c r="W122" s="242" t="s">
        <v>365</v>
      </c>
      <c r="X122" s="242" t="s">
        <v>281</v>
      </c>
      <c r="Y122" s="246"/>
    </row>
    <row r="123" spans="1:25" x14ac:dyDescent="0.35">
      <c r="A123" s="242" t="s">
        <v>366</v>
      </c>
      <c r="C123" s="242" t="s">
        <v>367</v>
      </c>
      <c r="E123" s="242">
        <v>15.01</v>
      </c>
      <c r="F123" s="242" t="s">
        <v>216</v>
      </c>
      <c r="G123" s="242" t="s">
        <v>368</v>
      </c>
      <c r="H123" s="242" t="s">
        <v>234</v>
      </c>
      <c r="I123" s="247">
        <v>2180</v>
      </c>
      <c r="J123" s="248">
        <v>2880.16</v>
      </c>
      <c r="K123" s="248">
        <v>4708.8599999999997</v>
      </c>
      <c r="L123" s="248">
        <v>0</v>
      </c>
      <c r="M123" s="248">
        <v>104.55</v>
      </c>
      <c r="N123" s="249">
        <f t="shared" ref="N123:N134" si="64">SUM(J123:M123)</f>
        <v>7693.57</v>
      </c>
      <c r="O123" s="249">
        <f t="shared" ref="O123:O134" si="65">IF($N123=0,$S123,J123/$N123*$S123)</f>
        <v>3906.8423534291546</v>
      </c>
      <c r="P123" s="249">
        <f t="shared" ref="P123:P134" si="66">IF($N123=0,0,K123/$N123*$S123)</f>
        <v>6387.4137840843605</v>
      </c>
      <c r="Q123" s="249">
        <f t="shared" ref="Q123:Q134" si="67">IF($N123=0,0,L123/$N123*$S123)</f>
        <v>0</v>
      </c>
      <c r="R123" s="249">
        <f t="shared" ref="R123:R134" si="68">IF($N123=0,0,M123/$N123*$S123)</f>
        <v>141.81863787116623</v>
      </c>
      <c r="S123" s="248">
        <v>10436.074775384681</v>
      </c>
      <c r="T123" s="250">
        <f t="shared" ref="T123:T134" si="69">IFERROR(S123/N123,"")</f>
        <v>1.3564671245448707</v>
      </c>
      <c r="U123" s="249">
        <f t="shared" ref="U123:U134" si="70">N123*I123</f>
        <v>16771982.6</v>
      </c>
      <c r="V123" s="249">
        <f t="shared" ref="V123:V134" si="71">S123*I123</f>
        <v>22750643.010338604</v>
      </c>
      <c r="W123" s="242" t="s">
        <v>365</v>
      </c>
      <c r="X123" s="242" t="s">
        <v>281</v>
      </c>
      <c r="Y123" s="251">
        <f>SUMIFS(Cert_App_Output!$G:$G,Cert_App_Output!$E:$E,$E123,Cert_App_Output!$K:$K,$X123)</f>
        <v>0</v>
      </c>
    </row>
    <row r="124" spans="1:25" x14ac:dyDescent="0.35">
      <c r="A124" s="242" t="s">
        <v>366</v>
      </c>
      <c r="C124" s="242" t="s">
        <v>367</v>
      </c>
      <c r="E124" s="242">
        <v>15.02</v>
      </c>
      <c r="F124" s="242" t="s">
        <v>216</v>
      </c>
      <c r="G124" s="242" t="s">
        <v>369</v>
      </c>
      <c r="H124" s="242" t="s">
        <v>234</v>
      </c>
      <c r="I124" s="247">
        <v>525</v>
      </c>
      <c r="J124" s="248">
        <v>2664.57</v>
      </c>
      <c r="K124" s="248">
        <v>3767.09</v>
      </c>
      <c r="L124" s="248">
        <v>0</v>
      </c>
      <c r="M124" s="248">
        <v>83.64</v>
      </c>
      <c r="N124" s="249">
        <f t="shared" si="64"/>
        <v>6515.3</v>
      </c>
      <c r="O124" s="249">
        <f t="shared" si="65"/>
        <v>3614.4016060485251</v>
      </c>
      <c r="P124" s="249">
        <f t="shared" si="66"/>
        <v>5109.9337402017345</v>
      </c>
      <c r="Q124" s="249">
        <f t="shared" si="67"/>
        <v>0</v>
      </c>
      <c r="R124" s="249">
        <f t="shared" si="68"/>
        <v>113.45491029693294</v>
      </c>
      <c r="S124" s="248">
        <v>8837.7902565471923</v>
      </c>
      <c r="T124" s="250">
        <f t="shared" si="69"/>
        <v>1.3564671245448701</v>
      </c>
      <c r="U124" s="249">
        <f t="shared" si="70"/>
        <v>3420532.5</v>
      </c>
      <c r="V124" s="249">
        <f t="shared" si="71"/>
        <v>4639839.8846872756</v>
      </c>
      <c r="W124" s="242" t="s">
        <v>365</v>
      </c>
      <c r="X124" s="242" t="s">
        <v>281</v>
      </c>
      <c r="Y124" s="251">
        <f>SUMIFS(Cert_App_Output!$G:$G,Cert_App_Output!$E:$E,$E124,Cert_App_Output!$K:$K,$X124)</f>
        <v>0</v>
      </c>
    </row>
    <row r="125" spans="1:25" x14ac:dyDescent="0.35">
      <c r="A125" s="242" t="s">
        <v>366</v>
      </c>
      <c r="C125" s="242" t="s">
        <v>367</v>
      </c>
      <c r="E125" s="242">
        <v>15.03</v>
      </c>
      <c r="F125" s="242" t="s">
        <v>216</v>
      </c>
      <c r="G125" s="242" t="s">
        <v>370</v>
      </c>
      <c r="H125" s="242" t="s">
        <v>234</v>
      </c>
      <c r="I125" s="247">
        <v>136</v>
      </c>
      <c r="J125" s="248">
        <v>4251.3999999999996</v>
      </c>
      <c r="K125" s="248">
        <v>9503.39</v>
      </c>
      <c r="L125" s="248">
        <v>0</v>
      </c>
      <c r="M125" s="248">
        <v>262.01</v>
      </c>
      <c r="N125" s="249">
        <f t="shared" si="64"/>
        <v>14016.8</v>
      </c>
      <c r="O125" s="249">
        <f t="shared" si="65"/>
        <v>5766.8843332900587</v>
      </c>
      <c r="P125" s="249">
        <f t="shared" si="66"/>
        <v>12891.03610672847</v>
      </c>
      <c r="Q125" s="249">
        <f t="shared" si="67"/>
        <v>0</v>
      </c>
      <c r="R125" s="249">
        <f t="shared" si="68"/>
        <v>355.40795130200132</v>
      </c>
      <c r="S125" s="248">
        <v>19013.32839132053</v>
      </c>
      <c r="T125" s="250">
        <f t="shared" si="69"/>
        <v>1.3564671245448698</v>
      </c>
      <c r="U125" s="249">
        <f t="shared" si="70"/>
        <v>1906284.7999999998</v>
      </c>
      <c r="V125" s="249">
        <f t="shared" si="71"/>
        <v>2585812.6612195922</v>
      </c>
      <c r="W125" s="242" t="s">
        <v>365</v>
      </c>
      <c r="X125" s="242" t="s">
        <v>281</v>
      </c>
      <c r="Y125" s="251">
        <f>SUMIFS(Cert_App_Output!$G:$G,Cert_App_Output!$E:$E,$E125,Cert_App_Output!$K:$K,$X125)</f>
        <v>0</v>
      </c>
    </row>
    <row r="126" spans="1:25" x14ac:dyDescent="0.35">
      <c r="A126" s="242" t="s">
        <v>366</v>
      </c>
      <c r="C126" s="242" t="s">
        <v>367</v>
      </c>
      <c r="E126" s="242">
        <v>15.04</v>
      </c>
      <c r="F126" s="242" t="s">
        <v>216</v>
      </c>
      <c r="G126" s="242" t="s">
        <v>371</v>
      </c>
      <c r="H126" s="242" t="s">
        <v>234</v>
      </c>
      <c r="I126" s="247">
        <v>296</v>
      </c>
      <c r="J126" s="248">
        <v>4251.3999999999996</v>
      </c>
      <c r="K126" s="248">
        <v>9503.39</v>
      </c>
      <c r="L126" s="248">
        <v>0</v>
      </c>
      <c r="M126" s="248">
        <v>262.01</v>
      </c>
      <c r="N126" s="249">
        <f t="shared" si="64"/>
        <v>14016.8</v>
      </c>
      <c r="O126" s="249">
        <f t="shared" si="65"/>
        <v>5766.8843332900587</v>
      </c>
      <c r="P126" s="249">
        <f t="shared" si="66"/>
        <v>12891.03610672847</v>
      </c>
      <c r="Q126" s="249">
        <f t="shared" si="67"/>
        <v>0</v>
      </c>
      <c r="R126" s="249">
        <f t="shared" si="68"/>
        <v>355.40795130200132</v>
      </c>
      <c r="S126" s="248">
        <v>19013.32839132053</v>
      </c>
      <c r="T126" s="250">
        <f t="shared" si="69"/>
        <v>1.3564671245448698</v>
      </c>
      <c r="U126" s="249">
        <f t="shared" si="70"/>
        <v>4148972.8</v>
      </c>
      <c r="V126" s="249">
        <f t="shared" si="71"/>
        <v>5627945.2038308773</v>
      </c>
      <c r="W126" s="242" t="s">
        <v>365</v>
      </c>
      <c r="X126" s="242" t="s">
        <v>281</v>
      </c>
      <c r="Y126" s="251">
        <f>SUMIFS(Cert_App_Output!$G:$G,Cert_App_Output!$E:$E,$E126,Cert_App_Output!$K:$K,$X126)</f>
        <v>0</v>
      </c>
    </row>
    <row r="127" spans="1:25" x14ac:dyDescent="0.35">
      <c r="A127" s="242" t="s">
        <v>366</v>
      </c>
      <c r="C127" s="242" t="s">
        <v>367</v>
      </c>
      <c r="E127" s="242">
        <v>15.05</v>
      </c>
      <c r="F127" s="242" t="s">
        <v>216</v>
      </c>
      <c r="G127" s="242" t="s">
        <v>372</v>
      </c>
      <c r="H127" s="242" t="s">
        <v>234</v>
      </c>
      <c r="I127" s="247">
        <v>668</v>
      </c>
      <c r="J127" s="248">
        <v>2880.16</v>
      </c>
      <c r="K127" s="248">
        <v>4708.8599999999997</v>
      </c>
      <c r="L127" s="248">
        <v>0</v>
      </c>
      <c r="M127" s="248">
        <v>104.55</v>
      </c>
      <c r="N127" s="249">
        <f t="shared" si="64"/>
        <v>7693.57</v>
      </c>
      <c r="O127" s="249">
        <f t="shared" si="65"/>
        <v>3906.8423534291546</v>
      </c>
      <c r="P127" s="249">
        <f t="shared" si="66"/>
        <v>6387.4137840843605</v>
      </c>
      <c r="Q127" s="249">
        <f t="shared" si="67"/>
        <v>0</v>
      </c>
      <c r="R127" s="249">
        <f t="shared" si="68"/>
        <v>141.81863787116623</v>
      </c>
      <c r="S127" s="248">
        <v>10436.074775384681</v>
      </c>
      <c r="T127" s="250">
        <f t="shared" si="69"/>
        <v>1.3564671245448707</v>
      </c>
      <c r="U127" s="249">
        <f t="shared" si="70"/>
        <v>5139304.76</v>
      </c>
      <c r="V127" s="249">
        <f t="shared" si="71"/>
        <v>6971297.9499569666</v>
      </c>
      <c r="W127" s="242" t="s">
        <v>365</v>
      </c>
      <c r="X127" s="242" t="s">
        <v>281</v>
      </c>
      <c r="Y127" s="251">
        <f>SUMIFS(Cert_App_Output!$G:$G,Cert_App_Output!$E:$E,$E127,Cert_App_Output!$K:$K,$X127)</f>
        <v>0</v>
      </c>
    </row>
    <row r="128" spans="1:25" x14ac:dyDescent="0.35">
      <c r="A128" s="242" t="s">
        <v>366</v>
      </c>
      <c r="C128" s="242" t="s">
        <v>367</v>
      </c>
      <c r="E128" s="242">
        <v>15.06</v>
      </c>
      <c r="F128" s="242" t="s">
        <v>216</v>
      </c>
      <c r="G128" s="242" t="s">
        <v>373</v>
      </c>
      <c r="H128" s="242" t="s">
        <v>234</v>
      </c>
      <c r="I128" s="247">
        <v>281</v>
      </c>
      <c r="J128" s="248">
        <v>2664.57</v>
      </c>
      <c r="K128" s="248">
        <v>3767.09</v>
      </c>
      <c r="L128" s="248">
        <v>0</v>
      </c>
      <c r="M128" s="248">
        <v>83.64</v>
      </c>
      <c r="N128" s="249">
        <f t="shared" si="64"/>
        <v>6515.3</v>
      </c>
      <c r="O128" s="249">
        <f t="shared" si="65"/>
        <v>3614.4016060485251</v>
      </c>
      <c r="P128" s="249">
        <f t="shared" si="66"/>
        <v>5109.9337402017345</v>
      </c>
      <c r="Q128" s="249">
        <f t="shared" si="67"/>
        <v>0</v>
      </c>
      <c r="R128" s="249">
        <f t="shared" si="68"/>
        <v>113.45491029693294</v>
      </c>
      <c r="S128" s="248">
        <v>8837.7902565471923</v>
      </c>
      <c r="T128" s="250">
        <f t="shared" si="69"/>
        <v>1.3564671245448701</v>
      </c>
      <c r="U128" s="249">
        <f t="shared" si="70"/>
        <v>1830799.3</v>
      </c>
      <c r="V128" s="249">
        <f t="shared" si="71"/>
        <v>2483419.0620897613</v>
      </c>
      <c r="W128" s="242" t="s">
        <v>365</v>
      </c>
      <c r="X128" s="242" t="s">
        <v>281</v>
      </c>
      <c r="Y128" s="251">
        <f>SUMIFS(Cert_App_Output!$G:$G,Cert_App_Output!$E:$E,$E128,Cert_App_Output!$K:$K,$X128)</f>
        <v>0</v>
      </c>
    </row>
    <row r="129" spans="1:25" x14ac:dyDescent="0.35">
      <c r="A129" s="242" t="s">
        <v>366</v>
      </c>
      <c r="C129" s="242" t="s">
        <v>367</v>
      </c>
      <c r="E129" s="242">
        <v>15.07</v>
      </c>
      <c r="F129" s="242" t="s">
        <v>216</v>
      </c>
      <c r="G129" s="242" t="s">
        <v>374</v>
      </c>
      <c r="H129" s="242" t="s">
        <v>234</v>
      </c>
      <c r="I129" s="247">
        <v>752</v>
      </c>
      <c r="J129" s="248">
        <v>6929.18</v>
      </c>
      <c r="K129" s="248">
        <v>12350.9</v>
      </c>
      <c r="L129" s="248">
        <v>0</v>
      </c>
      <c r="M129" s="248">
        <v>197.48</v>
      </c>
      <c r="N129" s="249">
        <f t="shared" si="64"/>
        <v>19477.560000000001</v>
      </c>
      <c r="O129" s="249">
        <f t="shared" si="65"/>
        <v>9399.2048700538217</v>
      </c>
      <c r="P129" s="249">
        <f t="shared" si="66"/>
        <v>16753.589808541234</v>
      </c>
      <c r="Q129" s="249">
        <f t="shared" si="67"/>
        <v>0</v>
      </c>
      <c r="R129" s="249">
        <f t="shared" si="68"/>
        <v>267.8751277551209</v>
      </c>
      <c r="S129" s="248">
        <v>26420.669806350179</v>
      </c>
      <c r="T129" s="250">
        <f t="shared" si="69"/>
        <v>1.3564671245448701</v>
      </c>
      <c r="U129" s="249">
        <f t="shared" si="70"/>
        <v>14647125.120000001</v>
      </c>
      <c r="V129" s="249">
        <f t="shared" si="71"/>
        <v>19868343.694375336</v>
      </c>
      <c r="W129" s="242" t="s">
        <v>365</v>
      </c>
      <c r="X129" s="242" t="s">
        <v>281</v>
      </c>
      <c r="Y129" s="251">
        <f>SUMIFS(Cert_App_Output!$G:$G,Cert_App_Output!$E:$E,$E129,Cert_App_Output!$K:$K,$X129)</f>
        <v>0</v>
      </c>
    </row>
    <row r="130" spans="1:25" x14ac:dyDescent="0.35">
      <c r="A130" s="242" t="s">
        <v>366</v>
      </c>
      <c r="C130" s="242" t="s">
        <v>367</v>
      </c>
      <c r="D130" s="242" t="s">
        <v>367</v>
      </c>
      <c r="E130" s="242">
        <v>15.08</v>
      </c>
      <c r="F130" s="242" t="s">
        <v>216</v>
      </c>
      <c r="G130" s="242" t="s">
        <v>375</v>
      </c>
      <c r="H130" s="242" t="s">
        <v>234</v>
      </c>
      <c r="I130" s="247">
        <v>433</v>
      </c>
      <c r="J130" s="248">
        <v>6929.18</v>
      </c>
      <c r="K130" s="248">
        <v>12350.9</v>
      </c>
      <c r="L130" s="248">
        <v>4940.3599999999997</v>
      </c>
      <c r="M130" s="248">
        <v>197.48</v>
      </c>
      <c r="N130" s="249">
        <f t="shared" si="64"/>
        <v>24417.920000000002</v>
      </c>
      <c r="O130" s="249">
        <f t="shared" si="65"/>
        <v>9399.2048700538235</v>
      </c>
      <c r="P130" s="249">
        <f t="shared" si="66"/>
        <v>16753.589808541237</v>
      </c>
      <c r="Q130" s="249">
        <f t="shared" si="67"/>
        <v>6701.435923416494</v>
      </c>
      <c r="R130" s="249">
        <f t="shared" si="68"/>
        <v>267.8751277551209</v>
      </c>
      <c r="S130" s="248">
        <v>33122.105729766678</v>
      </c>
      <c r="T130" s="250">
        <f t="shared" si="69"/>
        <v>1.3564671245448701</v>
      </c>
      <c r="U130" s="249">
        <f t="shared" si="70"/>
        <v>10572959.360000001</v>
      </c>
      <c r="V130" s="249">
        <f t="shared" si="71"/>
        <v>14341871.780988971</v>
      </c>
      <c r="W130" s="242" t="s">
        <v>365</v>
      </c>
      <c r="X130" s="242" t="s">
        <v>281</v>
      </c>
      <c r="Y130" s="251">
        <f>SUMIFS(Cert_App_Output!$G:$G,Cert_App_Output!$E:$E,$E130,Cert_App_Output!$K:$K,$X130)</f>
        <v>0</v>
      </c>
    </row>
    <row r="131" spans="1:25" x14ac:dyDescent="0.35">
      <c r="A131" s="242" t="s">
        <v>366</v>
      </c>
      <c r="D131" s="242" t="s">
        <v>367</v>
      </c>
      <c r="E131" s="242">
        <v>15.09</v>
      </c>
      <c r="F131" s="242" t="s">
        <v>216</v>
      </c>
      <c r="G131" s="242" t="s">
        <v>376</v>
      </c>
      <c r="H131" s="242" t="s">
        <v>234</v>
      </c>
      <c r="I131" s="247">
        <v>219</v>
      </c>
      <c r="J131" s="248">
        <v>11872.15</v>
      </c>
      <c r="K131" s="248">
        <v>0</v>
      </c>
      <c r="L131" s="248">
        <v>9112.84</v>
      </c>
      <c r="M131" s="248">
        <v>314.77</v>
      </c>
      <c r="N131" s="249">
        <f t="shared" si="64"/>
        <v>21299.759999999998</v>
      </c>
      <c r="O131" s="249">
        <f t="shared" si="65"/>
        <v>16104.18117266538</v>
      </c>
      <c r="P131" s="249">
        <f t="shared" si="66"/>
        <v>0</v>
      </c>
      <c r="Q131" s="249">
        <f t="shared" si="67"/>
        <v>12361.267871237475</v>
      </c>
      <c r="R131" s="249">
        <f t="shared" si="68"/>
        <v>426.97515679298874</v>
      </c>
      <c r="S131" s="248">
        <v>28892.424200695841</v>
      </c>
      <c r="T131" s="250">
        <f t="shared" si="69"/>
        <v>1.3564671245448701</v>
      </c>
      <c r="U131" s="249">
        <f t="shared" si="70"/>
        <v>4664647.4399999995</v>
      </c>
      <c r="V131" s="249">
        <f t="shared" si="71"/>
        <v>6327440.8999523893</v>
      </c>
      <c r="W131" s="242" t="s">
        <v>365</v>
      </c>
      <c r="X131" s="242" t="s">
        <v>281</v>
      </c>
      <c r="Y131" s="251">
        <f>SUMIFS(Cert_App_Output!$G:$G,Cert_App_Output!$E:$E,$E131,Cert_App_Output!$K:$K,$X131)</f>
        <v>0</v>
      </c>
    </row>
    <row r="132" spans="1:25" x14ac:dyDescent="0.35">
      <c r="A132" s="242" t="s">
        <v>366</v>
      </c>
      <c r="C132" s="242" t="s">
        <v>367</v>
      </c>
      <c r="E132" s="242">
        <v>15.1</v>
      </c>
      <c r="F132" s="242" t="s">
        <v>216</v>
      </c>
      <c r="G132" s="242" t="s">
        <v>377</v>
      </c>
      <c r="H132" s="242" t="s">
        <v>234</v>
      </c>
      <c r="I132" s="247">
        <v>861</v>
      </c>
      <c r="J132" s="248">
        <v>3455.52</v>
      </c>
      <c r="K132" s="248">
        <v>9286.81</v>
      </c>
      <c r="L132" s="248">
        <v>0</v>
      </c>
      <c r="M132" s="248">
        <v>191.14</v>
      </c>
      <c r="N132" s="249">
        <f t="shared" si="64"/>
        <v>12933.47</v>
      </c>
      <c r="O132" s="249">
        <f t="shared" si="65"/>
        <v>4687.2992782072897</v>
      </c>
      <c r="P132" s="249">
        <f t="shared" si="66"/>
        <v>12597.252456894545</v>
      </c>
      <c r="Q132" s="249">
        <f t="shared" si="67"/>
        <v>0</v>
      </c>
      <c r="R132" s="249">
        <f t="shared" si="68"/>
        <v>259.27512618550645</v>
      </c>
      <c r="S132" s="248">
        <v>17543.82686128734</v>
      </c>
      <c r="T132" s="250">
        <f t="shared" si="69"/>
        <v>1.3564671245448701</v>
      </c>
      <c r="U132" s="249">
        <f t="shared" si="70"/>
        <v>11135717.67</v>
      </c>
      <c r="V132" s="249">
        <f t="shared" si="71"/>
        <v>15105234.9275684</v>
      </c>
      <c r="W132" s="242" t="s">
        <v>365</v>
      </c>
      <c r="X132" s="242" t="s">
        <v>281</v>
      </c>
      <c r="Y132" s="251">
        <f>SUMIFS(Cert_App_Output!$G:$G,Cert_App_Output!$E:$E,$E132,Cert_App_Output!$K:$K,$X132)</f>
        <v>0</v>
      </c>
    </row>
    <row r="133" spans="1:25" x14ac:dyDescent="0.35">
      <c r="A133" s="242" t="s">
        <v>366</v>
      </c>
      <c r="C133" s="242" t="s">
        <v>367</v>
      </c>
      <c r="D133" s="242" t="s">
        <v>367</v>
      </c>
      <c r="E133" s="242">
        <v>15.11</v>
      </c>
      <c r="F133" s="242" t="s">
        <v>216</v>
      </c>
      <c r="G133" s="242" t="s">
        <v>378</v>
      </c>
      <c r="H133" s="242" t="s">
        <v>220</v>
      </c>
      <c r="I133" s="247">
        <v>88</v>
      </c>
      <c r="J133" s="248">
        <v>25797.3</v>
      </c>
      <c r="K133" s="248">
        <v>67446.39</v>
      </c>
      <c r="L133" s="248">
        <v>13753.74</v>
      </c>
      <c r="M133" s="248">
        <v>1604.96</v>
      </c>
      <c r="N133" s="249">
        <f t="shared" si="64"/>
        <v>108602.39000000001</v>
      </c>
      <c r="O133" s="249">
        <f t="shared" si="65"/>
        <v>34993.189352021378</v>
      </c>
      <c r="P133" s="249">
        <f t="shared" si="66"/>
        <v>91488.810704231888</v>
      </c>
      <c r="Q133" s="249">
        <f t="shared" si="67"/>
        <v>18656.496149537765</v>
      </c>
      <c r="R133" s="249">
        <f t="shared" si="68"/>
        <v>2177.0754762095348</v>
      </c>
      <c r="S133" s="248">
        <v>147315.57168200059</v>
      </c>
      <c r="T133" s="250">
        <f t="shared" si="69"/>
        <v>1.3564671245448703</v>
      </c>
      <c r="U133" s="249">
        <f t="shared" si="70"/>
        <v>9557010.3200000003</v>
      </c>
      <c r="V133" s="249">
        <f t="shared" si="71"/>
        <v>12963770.308016052</v>
      </c>
      <c r="W133" s="242" t="s">
        <v>365</v>
      </c>
      <c r="X133" s="242" t="s">
        <v>281</v>
      </c>
      <c r="Y133" s="251">
        <f>SUMIFS(Cert_App_Output!$G:$G,Cert_App_Output!$E:$E,$E133,Cert_App_Output!$K:$K,$X133)</f>
        <v>0</v>
      </c>
    </row>
    <row r="134" spans="1:25" x14ac:dyDescent="0.35">
      <c r="A134" s="242" t="s">
        <v>366</v>
      </c>
      <c r="C134" s="242" t="s">
        <v>367</v>
      </c>
      <c r="E134" s="242">
        <v>15.12</v>
      </c>
      <c r="F134" s="242" t="s">
        <v>216</v>
      </c>
      <c r="G134" s="242" t="s">
        <v>379</v>
      </c>
      <c r="H134" s="242" t="s">
        <v>218</v>
      </c>
      <c r="I134" s="247">
        <v>1</v>
      </c>
      <c r="J134" s="248">
        <v>1266522.92</v>
      </c>
      <c r="K134" s="248">
        <v>5694407.71</v>
      </c>
      <c r="L134" s="248">
        <v>0</v>
      </c>
      <c r="M134" s="248">
        <v>104413.96</v>
      </c>
      <c r="N134" s="249">
        <f t="shared" si="64"/>
        <v>7065344.5899999999</v>
      </c>
      <c r="O134" s="249">
        <f t="shared" si="65"/>
        <v>1717996.7034625723</v>
      </c>
      <c r="P134" s="249">
        <f t="shared" si="66"/>
        <v>7724276.8523698384</v>
      </c>
      <c r="Q134" s="249">
        <f t="shared" si="67"/>
        <v>0</v>
      </c>
      <c r="R134" s="249">
        <f t="shared" si="68"/>
        <v>141634.10408354309</v>
      </c>
      <c r="S134" s="248">
        <v>9583907.6599159539</v>
      </c>
      <c r="T134" s="250">
        <f t="shared" si="69"/>
        <v>1.3564671245448701</v>
      </c>
      <c r="U134" s="249">
        <f t="shared" si="70"/>
        <v>7065344.5899999999</v>
      </c>
      <c r="V134" s="249">
        <f t="shared" si="71"/>
        <v>9583907.6599159539</v>
      </c>
      <c r="W134" s="242" t="s">
        <v>365</v>
      </c>
      <c r="X134" s="242" t="s">
        <v>281</v>
      </c>
      <c r="Y134" s="251">
        <f>SUMIFS(Cert_App_Output!$G:$G,Cert_App_Output!$E:$E,$E134,Cert_App_Output!$K:$K,$X134)</f>
        <v>0</v>
      </c>
    </row>
    <row r="135" spans="1:25" x14ac:dyDescent="0.35">
      <c r="F135" s="242" t="s">
        <v>212</v>
      </c>
      <c r="G135" s="242" t="s">
        <v>380</v>
      </c>
      <c r="I135" s="243"/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5"/>
      <c r="U135" s="244"/>
      <c r="V135" s="244"/>
      <c r="W135" s="242" t="s">
        <v>381</v>
      </c>
      <c r="X135" s="242" t="s">
        <v>281</v>
      </c>
      <c r="Y135" s="246"/>
    </row>
    <row r="136" spans="1:25" x14ac:dyDescent="0.35">
      <c r="F136" s="242" t="s">
        <v>212</v>
      </c>
      <c r="G136" s="242" t="s">
        <v>382</v>
      </c>
      <c r="I136" s="243"/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5"/>
      <c r="U136" s="244"/>
      <c r="V136" s="244"/>
      <c r="W136" s="242" t="s">
        <v>383</v>
      </c>
      <c r="X136" s="242" t="s">
        <v>281</v>
      </c>
      <c r="Y136" s="246"/>
    </row>
    <row r="137" spans="1:25" x14ac:dyDescent="0.35">
      <c r="A137" s="242" t="s">
        <v>36</v>
      </c>
      <c r="D137" s="242" t="s">
        <v>73</v>
      </c>
      <c r="E137" s="242">
        <v>17.010000000000002</v>
      </c>
      <c r="F137" s="242" t="s">
        <v>216</v>
      </c>
      <c r="G137" s="242" t="s">
        <v>384</v>
      </c>
      <c r="H137" s="242" t="s">
        <v>261</v>
      </c>
      <c r="I137" s="247">
        <v>43</v>
      </c>
      <c r="J137" s="248">
        <v>4104.38</v>
      </c>
      <c r="K137" s="248">
        <v>0</v>
      </c>
      <c r="L137" s="248">
        <v>60531.61</v>
      </c>
      <c r="M137" s="248">
        <v>440.79</v>
      </c>
      <c r="N137" s="249">
        <f>SUM(J137:M137)</f>
        <v>65076.78</v>
      </c>
      <c r="O137" s="249">
        <f>IF($N137=0,$S137,J137/$N137*$S137)</f>
        <v>5567.4565366394745</v>
      </c>
      <c r="P137" s="249">
        <f t="shared" ref="P137:R140" si="72">IF($N137=0,0,K137/$N137*$S137)</f>
        <v>0</v>
      </c>
      <c r="Q137" s="249">
        <f t="shared" si="72"/>
        <v>82109.138960771495</v>
      </c>
      <c r="R137" s="249">
        <f t="shared" si="72"/>
        <v>597.91714382813325</v>
      </c>
      <c r="S137" s="248">
        <v>88274.512641239111</v>
      </c>
      <c r="T137" s="250">
        <f>IFERROR(S137/N137,"")</f>
        <v>1.3564671245448701</v>
      </c>
      <c r="U137" s="249">
        <f>N137*I137</f>
        <v>2798301.54</v>
      </c>
      <c r="V137" s="249">
        <f>S137*I137</f>
        <v>3795804.0435732817</v>
      </c>
      <c r="W137" s="242" t="s">
        <v>383</v>
      </c>
      <c r="X137" s="242" t="s">
        <v>281</v>
      </c>
      <c r="Y137" s="251">
        <f>SUMIFS(Cert_App_Output!$G:$G,Cert_App_Output!$E:$E,$E137,Cert_App_Output!$K:$K,$X137)</f>
        <v>0</v>
      </c>
    </row>
    <row r="138" spans="1:25" x14ac:dyDescent="0.35">
      <c r="A138" s="242" t="s">
        <v>36</v>
      </c>
      <c r="D138" s="242" t="s">
        <v>73</v>
      </c>
      <c r="E138" s="242">
        <v>17.02</v>
      </c>
      <c r="F138" s="242" t="s">
        <v>216</v>
      </c>
      <c r="G138" s="242" t="s">
        <v>385</v>
      </c>
      <c r="H138" s="242" t="s">
        <v>261</v>
      </c>
      <c r="I138" s="247">
        <v>38</v>
      </c>
      <c r="J138" s="248">
        <v>4104.38</v>
      </c>
      <c r="K138" s="248">
        <v>0</v>
      </c>
      <c r="L138" s="248">
        <v>60531.61</v>
      </c>
      <c r="M138" s="248">
        <v>440.79</v>
      </c>
      <c r="N138" s="249">
        <f>SUM(J138:M138)</f>
        <v>65076.78</v>
      </c>
      <c r="O138" s="249">
        <f>IF($N138=0,$S138,J138/$N138*$S138)</f>
        <v>5567.4565366394745</v>
      </c>
      <c r="P138" s="249">
        <f t="shared" si="72"/>
        <v>0</v>
      </c>
      <c r="Q138" s="249">
        <f t="shared" si="72"/>
        <v>82109.138960771495</v>
      </c>
      <c r="R138" s="249">
        <f t="shared" si="72"/>
        <v>597.91714382813325</v>
      </c>
      <c r="S138" s="248">
        <v>88274.512641239111</v>
      </c>
      <c r="T138" s="250">
        <f>IFERROR(S138/N138,"")</f>
        <v>1.3564671245448701</v>
      </c>
      <c r="U138" s="249">
        <f>N138*I138</f>
        <v>2472917.64</v>
      </c>
      <c r="V138" s="249">
        <f>S138*I138</f>
        <v>3354431.4803670864</v>
      </c>
      <c r="W138" s="242" t="s">
        <v>383</v>
      </c>
      <c r="X138" s="242" t="s">
        <v>281</v>
      </c>
      <c r="Y138" s="251">
        <f>SUMIFS(Cert_App_Output!$G:$G,Cert_App_Output!$E:$E,$E138,Cert_App_Output!$K:$K,$X138)</f>
        <v>0</v>
      </c>
    </row>
    <row r="139" spans="1:25" x14ac:dyDescent="0.35">
      <c r="A139" s="242" t="s">
        <v>36</v>
      </c>
      <c r="D139" s="242" t="s">
        <v>73</v>
      </c>
      <c r="E139" s="242">
        <v>17.03</v>
      </c>
      <c r="F139" s="242" t="s">
        <v>216</v>
      </c>
      <c r="G139" s="242" t="s">
        <v>386</v>
      </c>
      <c r="H139" s="242" t="s">
        <v>261</v>
      </c>
      <c r="I139" s="247">
        <v>72</v>
      </c>
      <c r="J139" s="248">
        <v>1501.83</v>
      </c>
      <c r="K139" s="248">
        <v>0</v>
      </c>
      <c r="L139" s="248">
        <v>40354.410000000003</v>
      </c>
      <c r="M139" s="248">
        <v>220.39</v>
      </c>
      <c r="N139" s="249">
        <f>SUM(J139:M139)</f>
        <v>42076.630000000005</v>
      </c>
      <c r="O139" s="249">
        <f>IF($N139=0,$S139,J139/$N139*$S139)</f>
        <v>2037.1830216552228</v>
      </c>
      <c r="P139" s="249">
        <f t="shared" si="72"/>
        <v>0</v>
      </c>
      <c r="Q139" s="249">
        <f t="shared" si="72"/>
        <v>54739.430495404762</v>
      </c>
      <c r="R139" s="249">
        <f t="shared" si="72"/>
        <v>298.95178957844394</v>
      </c>
      <c r="S139" s="248">
        <v>57075.565306638433</v>
      </c>
      <c r="T139" s="250">
        <f>IFERROR(S139/N139,"")</f>
        <v>1.3564671245448703</v>
      </c>
      <c r="U139" s="249">
        <f>N139*I139</f>
        <v>3029517.3600000003</v>
      </c>
      <c r="V139" s="249">
        <f>S139*I139</f>
        <v>4109440.7020779671</v>
      </c>
      <c r="W139" s="242" t="s">
        <v>383</v>
      </c>
      <c r="X139" s="242" t="s">
        <v>281</v>
      </c>
      <c r="Y139" s="251">
        <f>SUMIFS(Cert_App_Output!$G:$G,Cert_App_Output!$E:$E,$E139,Cert_App_Output!$K:$K,$X139)</f>
        <v>0</v>
      </c>
    </row>
    <row r="140" spans="1:25" x14ac:dyDescent="0.35">
      <c r="A140" s="242" t="s">
        <v>36</v>
      </c>
      <c r="C140" s="242" t="s">
        <v>73</v>
      </c>
      <c r="D140" s="242" t="s">
        <v>73</v>
      </c>
      <c r="E140" s="242">
        <v>17.04</v>
      </c>
      <c r="F140" s="242" t="s">
        <v>216</v>
      </c>
      <c r="G140" s="242" t="s">
        <v>387</v>
      </c>
      <c r="H140" s="242" t="s">
        <v>261</v>
      </c>
      <c r="I140" s="247">
        <v>8</v>
      </c>
      <c r="J140" s="248">
        <v>4104.38</v>
      </c>
      <c r="K140" s="248">
        <v>30265.81</v>
      </c>
      <c r="L140" s="248">
        <v>60531.61</v>
      </c>
      <c r="M140" s="248">
        <v>440.79</v>
      </c>
      <c r="N140" s="249">
        <f>SUM(J140:M140)</f>
        <v>95342.59</v>
      </c>
      <c r="O140" s="249">
        <f>IF($N140=0,$S140,J140/$N140*$S140)</f>
        <v>5567.4565366394754</v>
      </c>
      <c r="P140" s="249">
        <f t="shared" si="72"/>
        <v>41054.576262721377</v>
      </c>
      <c r="Q140" s="249">
        <f t="shared" si="72"/>
        <v>82109.13896077151</v>
      </c>
      <c r="R140" s="249">
        <f t="shared" si="72"/>
        <v>597.91714382813336</v>
      </c>
      <c r="S140" s="248">
        <v>129329.0889039605</v>
      </c>
      <c r="T140" s="250">
        <f>IFERROR(S140/N140,"")</f>
        <v>1.3564671245448703</v>
      </c>
      <c r="U140" s="249">
        <f>N140*I140</f>
        <v>762740.72</v>
      </c>
      <c r="V140" s="249">
        <f>S140*I140</f>
        <v>1034632.711231684</v>
      </c>
      <c r="W140" s="242" t="s">
        <v>383</v>
      </c>
      <c r="X140" s="242" t="s">
        <v>281</v>
      </c>
      <c r="Y140" s="251">
        <f>SUMIFS(Cert_App_Output!$G:$G,Cert_App_Output!$E:$E,$E140,Cert_App_Output!$K:$K,$X140)</f>
        <v>0</v>
      </c>
    </row>
    <row r="141" spans="1:25" x14ac:dyDescent="0.35">
      <c r="F141" s="242" t="s">
        <v>212</v>
      </c>
      <c r="G141" s="242" t="s">
        <v>388</v>
      </c>
      <c r="I141" s="243"/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5"/>
      <c r="U141" s="244"/>
      <c r="V141" s="244"/>
      <c r="W141" s="242" t="s">
        <v>389</v>
      </c>
      <c r="X141" s="242" t="s">
        <v>281</v>
      </c>
      <c r="Y141" s="246"/>
    </row>
    <row r="142" spans="1:25" x14ac:dyDescent="0.35">
      <c r="A142" s="242" t="s">
        <v>390</v>
      </c>
      <c r="C142" s="242" t="s">
        <v>132</v>
      </c>
      <c r="E142" s="242">
        <v>18.010000000000002</v>
      </c>
      <c r="F142" s="242" t="s">
        <v>216</v>
      </c>
      <c r="G142" s="242" t="s">
        <v>391</v>
      </c>
      <c r="H142" s="242" t="s">
        <v>261</v>
      </c>
      <c r="I142" s="247">
        <v>222</v>
      </c>
      <c r="J142" s="248">
        <v>18798.89</v>
      </c>
      <c r="K142" s="248">
        <v>49666.97</v>
      </c>
      <c r="L142" s="248">
        <v>0</v>
      </c>
      <c r="M142" s="248">
        <v>1812.2</v>
      </c>
      <c r="N142" s="249">
        <f t="shared" ref="N142:N168" si="73">SUM(J142:M142)</f>
        <v>70278.06</v>
      </c>
      <c r="O142" s="249">
        <f t="shared" ref="O142:O168" si="74">IF($N142=0,$S142,J142/$N142*$S142)</f>
        <v>25500.076262935308</v>
      </c>
      <c r="P142" s="249">
        <f t="shared" ref="P142:P168" si="75">IF($N142=0,0,K142/$N142*$S142)</f>
        <v>67371.611980756323</v>
      </c>
      <c r="Q142" s="249">
        <f t="shared" ref="Q142:Q168" si="76">IF($N142=0,0,L142/$N142*$S142)</f>
        <v>0</v>
      </c>
      <c r="R142" s="249">
        <f t="shared" ref="R142:R168" si="77">IF($N142=0,0,M142/$N142*$S142)</f>
        <v>2458.1897231002135</v>
      </c>
      <c r="S142" s="248">
        <v>95329.877966791842</v>
      </c>
      <c r="T142" s="250">
        <f t="shared" ref="T142:T168" si="78">IFERROR(S142/N142,"")</f>
        <v>1.3564671245448701</v>
      </c>
      <c r="U142" s="249">
        <f t="shared" ref="U142:U168" si="79">N142*I142</f>
        <v>15601729.32</v>
      </c>
      <c r="V142" s="249">
        <f t="shared" ref="V142:V168" si="80">S142*I142</f>
        <v>21163232.908627789</v>
      </c>
      <c r="W142" s="242" t="s">
        <v>389</v>
      </c>
      <c r="X142" s="242" t="s">
        <v>281</v>
      </c>
      <c r="Y142" s="251">
        <f>SUMIFS(Cert_App_Output!$G:$G,Cert_App_Output!$E:$E,$E142,Cert_App_Output!$K:$K,$X142)</f>
        <v>0</v>
      </c>
    </row>
    <row r="143" spans="1:25" x14ac:dyDescent="0.35">
      <c r="A143" s="242" t="s">
        <v>390</v>
      </c>
      <c r="C143" s="242" t="s">
        <v>132</v>
      </c>
      <c r="E143" s="242">
        <v>18.02</v>
      </c>
      <c r="F143" s="242" t="s">
        <v>216</v>
      </c>
      <c r="G143" s="242" t="s">
        <v>392</v>
      </c>
      <c r="H143" s="242" t="s">
        <v>261</v>
      </c>
      <c r="I143" s="247">
        <v>67</v>
      </c>
      <c r="J143" s="248">
        <v>17610.21</v>
      </c>
      <c r="K143" s="248">
        <v>49666.97</v>
      </c>
      <c r="L143" s="248">
        <v>0</v>
      </c>
      <c r="M143" s="248">
        <v>1812.2</v>
      </c>
      <c r="N143" s="249">
        <f t="shared" si="73"/>
        <v>69089.37999999999</v>
      </c>
      <c r="O143" s="249">
        <f t="shared" si="74"/>
        <v>23887.670921331319</v>
      </c>
      <c r="P143" s="249">
        <f t="shared" si="75"/>
        <v>67371.611980756337</v>
      </c>
      <c r="Q143" s="249">
        <f t="shared" si="76"/>
        <v>0</v>
      </c>
      <c r="R143" s="249">
        <f t="shared" si="77"/>
        <v>2458.189723100214</v>
      </c>
      <c r="S143" s="248">
        <v>93717.472625187846</v>
      </c>
      <c r="T143" s="250">
        <f t="shared" si="78"/>
        <v>1.3564671245448701</v>
      </c>
      <c r="U143" s="249">
        <f t="shared" si="79"/>
        <v>4628988.459999999</v>
      </c>
      <c r="V143" s="249">
        <f t="shared" si="80"/>
        <v>6279070.6658875858</v>
      </c>
      <c r="W143" s="242" t="s">
        <v>389</v>
      </c>
      <c r="X143" s="242" t="s">
        <v>281</v>
      </c>
      <c r="Y143" s="251">
        <f>SUMIFS(Cert_App_Output!$G:$G,Cert_App_Output!$E:$E,$E143,Cert_App_Output!$K:$K,$X143)</f>
        <v>0</v>
      </c>
    </row>
    <row r="144" spans="1:25" x14ac:dyDescent="0.35">
      <c r="A144" s="242" t="s">
        <v>390</v>
      </c>
      <c r="C144" s="242" t="s">
        <v>132</v>
      </c>
      <c r="E144" s="242">
        <v>18.03</v>
      </c>
      <c r="F144" s="242" t="s">
        <v>216</v>
      </c>
      <c r="G144" s="242" t="s">
        <v>393</v>
      </c>
      <c r="H144" s="242" t="s">
        <v>261</v>
      </c>
      <c r="I144" s="247">
        <v>23</v>
      </c>
      <c r="J144" s="248">
        <v>17610.21</v>
      </c>
      <c r="K144" s="248">
        <v>49666.97</v>
      </c>
      <c r="L144" s="248">
        <v>0</v>
      </c>
      <c r="M144" s="248">
        <v>1812.2</v>
      </c>
      <c r="N144" s="249">
        <f t="shared" si="73"/>
        <v>69089.37999999999</v>
      </c>
      <c r="O144" s="249">
        <f t="shared" si="74"/>
        <v>23887.670921331319</v>
      </c>
      <c r="P144" s="249">
        <f t="shared" si="75"/>
        <v>67371.611980756337</v>
      </c>
      <c r="Q144" s="249">
        <f t="shared" si="76"/>
        <v>0</v>
      </c>
      <c r="R144" s="249">
        <f t="shared" si="77"/>
        <v>2458.189723100214</v>
      </c>
      <c r="S144" s="248">
        <v>93717.472625187846</v>
      </c>
      <c r="T144" s="250">
        <f t="shared" si="78"/>
        <v>1.3564671245448701</v>
      </c>
      <c r="U144" s="249">
        <f t="shared" si="79"/>
        <v>1589055.7399999998</v>
      </c>
      <c r="V144" s="249">
        <f t="shared" si="80"/>
        <v>2155501.8703793203</v>
      </c>
      <c r="W144" s="242" t="s">
        <v>389</v>
      </c>
      <c r="X144" s="242" t="s">
        <v>281</v>
      </c>
      <c r="Y144" s="251">
        <f>SUMIFS(Cert_App_Output!$G:$G,Cert_App_Output!$E:$E,$E144,Cert_App_Output!$K:$K,$X144)</f>
        <v>0</v>
      </c>
    </row>
    <row r="145" spans="1:25" x14ac:dyDescent="0.35">
      <c r="A145" s="242" t="s">
        <v>390</v>
      </c>
      <c r="C145" s="242" t="s">
        <v>132</v>
      </c>
      <c r="E145" s="242">
        <v>18.04</v>
      </c>
      <c r="F145" s="242" t="s">
        <v>216</v>
      </c>
      <c r="G145" s="242" t="s">
        <v>394</v>
      </c>
      <c r="H145" s="242" t="s">
        <v>261</v>
      </c>
      <c r="I145" s="247">
        <v>11</v>
      </c>
      <c r="J145" s="248">
        <v>17610.21</v>
      </c>
      <c r="K145" s="248">
        <v>49666.97</v>
      </c>
      <c r="L145" s="248">
        <v>0</v>
      </c>
      <c r="M145" s="248">
        <v>1812.2</v>
      </c>
      <c r="N145" s="249">
        <f t="shared" si="73"/>
        <v>69089.37999999999</v>
      </c>
      <c r="O145" s="249">
        <f t="shared" si="74"/>
        <v>23887.670921331319</v>
      </c>
      <c r="P145" s="249">
        <f t="shared" si="75"/>
        <v>67371.611980756337</v>
      </c>
      <c r="Q145" s="249">
        <f t="shared" si="76"/>
        <v>0</v>
      </c>
      <c r="R145" s="249">
        <f t="shared" si="77"/>
        <v>2458.189723100214</v>
      </c>
      <c r="S145" s="248">
        <v>93717.472625187846</v>
      </c>
      <c r="T145" s="250">
        <f t="shared" si="78"/>
        <v>1.3564671245448701</v>
      </c>
      <c r="U145" s="249">
        <f t="shared" si="79"/>
        <v>759983.17999999993</v>
      </c>
      <c r="V145" s="249">
        <f t="shared" si="80"/>
        <v>1030892.1988770663</v>
      </c>
      <c r="W145" s="242" t="s">
        <v>389</v>
      </c>
      <c r="X145" s="242" t="s">
        <v>281</v>
      </c>
      <c r="Y145" s="251">
        <f>SUMIFS(Cert_App_Output!$G:$G,Cert_App_Output!$E:$E,$E145,Cert_App_Output!$K:$K,$X145)</f>
        <v>0</v>
      </c>
    </row>
    <row r="146" spans="1:25" x14ac:dyDescent="0.35">
      <c r="A146" s="242" t="s">
        <v>390</v>
      </c>
      <c r="C146" s="242" t="s">
        <v>132</v>
      </c>
      <c r="E146" s="242">
        <v>18.05</v>
      </c>
      <c r="F146" s="242" t="s">
        <v>216</v>
      </c>
      <c r="G146" s="242" t="s">
        <v>395</v>
      </c>
      <c r="H146" s="242" t="s">
        <v>261</v>
      </c>
      <c r="I146" s="247">
        <v>313</v>
      </c>
      <c r="J146" s="248">
        <v>15896.43</v>
      </c>
      <c r="K146" s="248">
        <v>49666.97</v>
      </c>
      <c r="L146" s="248">
        <v>0</v>
      </c>
      <c r="M146" s="248">
        <v>1812.2</v>
      </c>
      <c r="N146" s="249">
        <f t="shared" si="73"/>
        <v>67375.599999999991</v>
      </c>
      <c r="O146" s="249">
        <f t="shared" si="74"/>
        <v>21562.984692628808</v>
      </c>
      <c r="P146" s="249">
        <f t="shared" si="75"/>
        <v>67371.611980756323</v>
      </c>
      <c r="Q146" s="249">
        <f t="shared" si="76"/>
        <v>0</v>
      </c>
      <c r="R146" s="249">
        <f t="shared" si="77"/>
        <v>2458.1897231002135</v>
      </c>
      <c r="S146" s="248">
        <v>91392.786396485331</v>
      </c>
      <c r="T146" s="250">
        <f t="shared" si="78"/>
        <v>1.3564671245448701</v>
      </c>
      <c r="U146" s="249">
        <f t="shared" si="79"/>
        <v>21088562.799999997</v>
      </c>
      <c r="V146" s="249">
        <f t="shared" si="80"/>
        <v>28605942.142099909</v>
      </c>
      <c r="W146" s="242" t="s">
        <v>389</v>
      </c>
      <c r="X146" s="242" t="s">
        <v>281</v>
      </c>
      <c r="Y146" s="251">
        <f>SUMIFS(Cert_App_Output!$G:$G,Cert_App_Output!$E:$E,$E146,Cert_App_Output!$K:$K,$X146)</f>
        <v>0</v>
      </c>
    </row>
    <row r="147" spans="1:25" x14ac:dyDescent="0.35">
      <c r="A147" s="242" t="s">
        <v>390</v>
      </c>
      <c r="C147" s="242" t="s">
        <v>132</v>
      </c>
      <c r="E147" s="242">
        <v>18.059999999999999</v>
      </c>
      <c r="F147" s="242" t="s">
        <v>216</v>
      </c>
      <c r="G147" s="242" t="s">
        <v>396</v>
      </c>
      <c r="H147" s="242" t="s">
        <v>261</v>
      </c>
      <c r="I147" s="247">
        <v>40</v>
      </c>
      <c r="J147" s="248">
        <v>34095</v>
      </c>
      <c r="K147" s="248">
        <v>49666.97</v>
      </c>
      <c r="L147" s="248">
        <v>0</v>
      </c>
      <c r="M147" s="248">
        <v>1812.2</v>
      </c>
      <c r="N147" s="249">
        <f t="shared" si="73"/>
        <v>85574.17</v>
      </c>
      <c r="O147" s="249">
        <f t="shared" si="74"/>
        <v>46248.746611357354</v>
      </c>
      <c r="P147" s="249">
        <f t="shared" si="75"/>
        <v>67371.611980756337</v>
      </c>
      <c r="Q147" s="249">
        <f t="shared" si="76"/>
        <v>0</v>
      </c>
      <c r="R147" s="249">
        <f t="shared" si="77"/>
        <v>2458.189723100214</v>
      </c>
      <c r="S147" s="248">
        <v>116078.54831521391</v>
      </c>
      <c r="T147" s="250">
        <f t="shared" si="78"/>
        <v>1.3564671245448703</v>
      </c>
      <c r="U147" s="249">
        <f t="shared" si="79"/>
        <v>3422966.8</v>
      </c>
      <c r="V147" s="249">
        <f t="shared" si="80"/>
        <v>4643141.932608556</v>
      </c>
      <c r="W147" s="242" t="s">
        <v>389</v>
      </c>
      <c r="X147" s="242" t="s">
        <v>281</v>
      </c>
      <c r="Y147" s="251">
        <f>SUMIFS(Cert_App_Output!$G:$G,Cert_App_Output!$E:$E,$E147,Cert_App_Output!$K:$K,$X147)</f>
        <v>0</v>
      </c>
    </row>
    <row r="148" spans="1:25" x14ac:dyDescent="0.35">
      <c r="A148" s="242" t="s">
        <v>390</v>
      </c>
      <c r="C148" s="242" t="s">
        <v>132</v>
      </c>
      <c r="E148" s="242">
        <v>18.07</v>
      </c>
      <c r="F148" s="242" t="s">
        <v>216</v>
      </c>
      <c r="G148" s="242" t="s">
        <v>397</v>
      </c>
      <c r="H148" s="242" t="s">
        <v>261</v>
      </c>
      <c r="I148" s="247">
        <v>50</v>
      </c>
      <c r="J148" s="248">
        <v>34095</v>
      </c>
      <c r="K148" s="248">
        <v>49666.97</v>
      </c>
      <c r="L148" s="248">
        <v>0</v>
      </c>
      <c r="M148" s="248">
        <v>1812.2</v>
      </c>
      <c r="N148" s="249">
        <f t="shared" si="73"/>
        <v>85574.17</v>
      </c>
      <c r="O148" s="249">
        <f t="shared" si="74"/>
        <v>46248.746611357354</v>
      </c>
      <c r="P148" s="249">
        <f t="shared" si="75"/>
        <v>67371.611980756337</v>
      </c>
      <c r="Q148" s="249">
        <f t="shared" si="76"/>
        <v>0</v>
      </c>
      <c r="R148" s="249">
        <f t="shared" si="77"/>
        <v>2458.189723100214</v>
      </c>
      <c r="S148" s="248">
        <v>116078.54831521391</v>
      </c>
      <c r="T148" s="250">
        <f t="shared" si="78"/>
        <v>1.3564671245448703</v>
      </c>
      <c r="U148" s="249">
        <f t="shared" si="79"/>
        <v>4278708.5</v>
      </c>
      <c r="V148" s="249">
        <f t="shared" si="80"/>
        <v>5803927.415760695</v>
      </c>
      <c r="W148" s="242" t="s">
        <v>389</v>
      </c>
      <c r="X148" s="242" t="s">
        <v>281</v>
      </c>
      <c r="Y148" s="251">
        <f>SUMIFS(Cert_App_Output!$G:$G,Cert_App_Output!$E:$E,$E148,Cert_App_Output!$K:$K,$X148)</f>
        <v>0</v>
      </c>
    </row>
    <row r="149" spans="1:25" x14ac:dyDescent="0.35">
      <c r="E149" s="242">
        <v>18.079999999999998</v>
      </c>
      <c r="F149" s="242" t="s">
        <v>216</v>
      </c>
      <c r="G149" s="242" t="s">
        <v>398</v>
      </c>
      <c r="H149" s="242" t="s">
        <v>261</v>
      </c>
      <c r="I149" s="247">
        <v>0</v>
      </c>
      <c r="J149" s="248">
        <v>0</v>
      </c>
      <c r="K149" s="248">
        <v>0</v>
      </c>
      <c r="L149" s="248">
        <v>0</v>
      </c>
      <c r="M149" s="248">
        <v>0</v>
      </c>
      <c r="N149" s="249">
        <f t="shared" si="73"/>
        <v>0</v>
      </c>
      <c r="O149" s="249">
        <f t="shared" si="74"/>
        <v>0</v>
      </c>
      <c r="P149" s="249">
        <f t="shared" si="75"/>
        <v>0</v>
      </c>
      <c r="Q149" s="249">
        <f t="shared" si="76"/>
        <v>0</v>
      </c>
      <c r="R149" s="249">
        <f t="shared" si="77"/>
        <v>0</v>
      </c>
      <c r="S149" s="248">
        <v>0</v>
      </c>
      <c r="T149" s="250" t="str">
        <f t="shared" si="78"/>
        <v/>
      </c>
      <c r="U149" s="249">
        <f t="shared" si="79"/>
        <v>0</v>
      </c>
      <c r="V149" s="249">
        <f t="shared" si="80"/>
        <v>0</v>
      </c>
      <c r="W149" s="242" t="s">
        <v>389</v>
      </c>
      <c r="X149" s="242" t="s">
        <v>281</v>
      </c>
      <c r="Y149" s="251">
        <f>SUMIFS(Cert_App_Output!$G:$G,Cert_App_Output!$E:$E,$E149,Cert_App_Output!$K:$K,$X149)</f>
        <v>0</v>
      </c>
    </row>
    <row r="150" spans="1:25" x14ac:dyDescent="0.35">
      <c r="A150" s="242" t="s">
        <v>390</v>
      </c>
      <c r="C150" s="242" t="s">
        <v>132</v>
      </c>
      <c r="E150" s="242">
        <v>18.09</v>
      </c>
      <c r="F150" s="242" t="s">
        <v>216</v>
      </c>
      <c r="G150" s="242" t="s">
        <v>399</v>
      </c>
      <c r="H150" s="242" t="s">
        <v>261</v>
      </c>
      <c r="I150" s="247">
        <v>40</v>
      </c>
      <c r="J150" s="248">
        <v>10558</v>
      </c>
      <c r="K150" s="248">
        <v>32283.53</v>
      </c>
      <c r="L150" s="248">
        <v>0</v>
      </c>
      <c r="M150" s="248">
        <v>1177.93</v>
      </c>
      <c r="N150" s="249">
        <f t="shared" si="73"/>
        <v>44019.46</v>
      </c>
      <c r="O150" s="249">
        <f t="shared" si="74"/>
        <v>14321.579900944738</v>
      </c>
      <c r="P150" s="249">
        <f t="shared" si="75"/>
        <v>43791.547109258048</v>
      </c>
      <c r="Q150" s="249">
        <f t="shared" si="76"/>
        <v>0</v>
      </c>
      <c r="R150" s="249">
        <f t="shared" si="77"/>
        <v>1597.8233200151387</v>
      </c>
      <c r="S150" s="248">
        <v>59710.950330217922</v>
      </c>
      <c r="T150" s="250">
        <f t="shared" si="78"/>
        <v>1.3564671245448701</v>
      </c>
      <c r="U150" s="249">
        <f t="shared" si="79"/>
        <v>1760778.4</v>
      </c>
      <c r="V150" s="249">
        <f t="shared" si="80"/>
        <v>2388438.0132087171</v>
      </c>
      <c r="W150" s="242" t="s">
        <v>389</v>
      </c>
      <c r="X150" s="242" t="s">
        <v>281</v>
      </c>
      <c r="Y150" s="251">
        <f>SUMIFS(Cert_App_Output!$G:$G,Cert_App_Output!$E:$E,$E150,Cert_App_Output!$K:$K,$X150)</f>
        <v>0</v>
      </c>
    </row>
    <row r="151" spans="1:25" x14ac:dyDescent="0.35">
      <c r="E151" s="242">
        <v>18.100000000000001</v>
      </c>
      <c r="F151" s="242" t="s">
        <v>216</v>
      </c>
      <c r="G151" s="242" t="s">
        <v>400</v>
      </c>
      <c r="H151" s="242" t="s">
        <v>261</v>
      </c>
      <c r="I151" s="247">
        <v>0</v>
      </c>
      <c r="J151" s="248">
        <v>0</v>
      </c>
      <c r="K151" s="248">
        <v>0</v>
      </c>
      <c r="L151" s="248">
        <v>0</v>
      </c>
      <c r="M151" s="248">
        <v>0</v>
      </c>
      <c r="N151" s="249">
        <f t="shared" si="73"/>
        <v>0</v>
      </c>
      <c r="O151" s="249">
        <f t="shared" si="74"/>
        <v>0</v>
      </c>
      <c r="P151" s="249">
        <f t="shared" si="75"/>
        <v>0</v>
      </c>
      <c r="Q151" s="249">
        <f t="shared" si="76"/>
        <v>0</v>
      </c>
      <c r="R151" s="249">
        <f t="shared" si="77"/>
        <v>0</v>
      </c>
      <c r="S151" s="248">
        <v>0</v>
      </c>
      <c r="T151" s="250" t="str">
        <f t="shared" si="78"/>
        <v/>
      </c>
      <c r="U151" s="249">
        <f t="shared" si="79"/>
        <v>0</v>
      </c>
      <c r="V151" s="249">
        <f t="shared" si="80"/>
        <v>0</v>
      </c>
      <c r="W151" s="242" t="s">
        <v>389</v>
      </c>
      <c r="X151" s="242" t="s">
        <v>281</v>
      </c>
      <c r="Y151" s="251">
        <f>SUMIFS(Cert_App_Output!$G:$G,Cert_App_Output!$E:$E,$E151,Cert_App_Output!$K:$K,$X151)</f>
        <v>0</v>
      </c>
    </row>
    <row r="152" spans="1:25" x14ac:dyDescent="0.35">
      <c r="A152" s="242" t="s">
        <v>390</v>
      </c>
      <c r="C152" s="242" t="s">
        <v>132</v>
      </c>
      <c r="E152" s="242">
        <v>18.11</v>
      </c>
      <c r="F152" s="242" t="s">
        <v>216</v>
      </c>
      <c r="G152" s="242" t="s">
        <v>401</v>
      </c>
      <c r="H152" s="242" t="s">
        <v>261</v>
      </c>
      <c r="I152" s="247">
        <v>1</v>
      </c>
      <c r="J152" s="248">
        <v>1409151.08</v>
      </c>
      <c r="K152" s="248">
        <v>434240.1</v>
      </c>
      <c r="L152" s="248">
        <v>0</v>
      </c>
      <c r="M152" s="248">
        <v>27650.87</v>
      </c>
      <c r="N152" s="249">
        <f t="shared" si="73"/>
        <v>1871042.0500000003</v>
      </c>
      <c r="O152" s="249">
        <f t="shared" si="74"/>
        <v>1911467.1135368987</v>
      </c>
      <c r="P152" s="249">
        <f t="shared" si="75"/>
        <v>589032.41980907694</v>
      </c>
      <c r="Q152" s="249">
        <f t="shared" si="76"/>
        <v>0</v>
      </c>
      <c r="R152" s="249">
        <f t="shared" si="77"/>
        <v>37507.496120064017</v>
      </c>
      <c r="S152" s="248">
        <v>2538007.02946604</v>
      </c>
      <c r="T152" s="250">
        <f t="shared" si="78"/>
        <v>1.3564671245448703</v>
      </c>
      <c r="U152" s="249">
        <f t="shared" si="79"/>
        <v>1871042.0500000003</v>
      </c>
      <c r="V152" s="249">
        <f t="shared" si="80"/>
        <v>2538007.02946604</v>
      </c>
      <c r="W152" s="242" t="s">
        <v>389</v>
      </c>
      <c r="X152" s="242" t="s">
        <v>281</v>
      </c>
      <c r="Y152" s="251">
        <f>SUMIFS(Cert_App_Output!$G:$G,Cert_App_Output!$E:$E,$E152,Cert_App_Output!$K:$K,$X152)</f>
        <v>0</v>
      </c>
    </row>
    <row r="153" spans="1:25" x14ac:dyDescent="0.35">
      <c r="A153" s="242" t="s">
        <v>390</v>
      </c>
      <c r="C153" s="242" t="s">
        <v>132</v>
      </c>
      <c r="E153" s="242">
        <v>18.12</v>
      </c>
      <c r="F153" s="242" t="s">
        <v>216</v>
      </c>
      <c r="G153" s="242" t="s">
        <v>402</v>
      </c>
      <c r="H153" s="242" t="s">
        <v>261</v>
      </c>
      <c r="I153" s="247">
        <v>1</v>
      </c>
      <c r="J153" s="248">
        <v>610540.34</v>
      </c>
      <c r="K153" s="248">
        <v>289506.59999999998</v>
      </c>
      <c r="L153" s="248">
        <v>0</v>
      </c>
      <c r="M153" s="248">
        <v>13500.7</v>
      </c>
      <c r="N153" s="249">
        <f t="shared" si="73"/>
        <v>913547.6399999999</v>
      </c>
      <c r="O153" s="249">
        <f t="shared" si="74"/>
        <v>828177.8994184474</v>
      </c>
      <c r="P153" s="249">
        <f t="shared" si="75"/>
        <v>392706.18523876189</v>
      </c>
      <c r="Q153" s="249">
        <f t="shared" si="76"/>
        <v>0</v>
      </c>
      <c r="R153" s="249">
        <f t="shared" si="77"/>
        <v>18313.255708342931</v>
      </c>
      <c r="S153" s="248">
        <v>1239197.3403655521</v>
      </c>
      <c r="T153" s="250">
        <f t="shared" si="78"/>
        <v>1.3564671245448703</v>
      </c>
      <c r="U153" s="249">
        <f t="shared" si="79"/>
        <v>913547.6399999999</v>
      </c>
      <c r="V153" s="249">
        <f t="shared" si="80"/>
        <v>1239197.3403655521</v>
      </c>
      <c r="W153" s="242" t="s">
        <v>389</v>
      </c>
      <c r="X153" s="242" t="s">
        <v>281</v>
      </c>
      <c r="Y153" s="251">
        <f>SUMIFS(Cert_App_Output!$G:$G,Cert_App_Output!$E:$E,$E153,Cert_App_Output!$K:$K,$X153)</f>
        <v>0</v>
      </c>
    </row>
    <row r="154" spans="1:25" x14ac:dyDescent="0.35">
      <c r="A154" s="242" t="s">
        <v>390</v>
      </c>
      <c r="C154" s="242" t="s">
        <v>132</v>
      </c>
      <c r="E154" s="242">
        <v>18.13</v>
      </c>
      <c r="F154" s="242" t="s">
        <v>216</v>
      </c>
      <c r="G154" s="242" t="s">
        <v>403</v>
      </c>
      <c r="H154" s="242" t="s">
        <v>261</v>
      </c>
      <c r="I154" s="247">
        <v>1</v>
      </c>
      <c r="J154" s="248">
        <v>290880</v>
      </c>
      <c r="K154" s="248">
        <v>289506.59999999998</v>
      </c>
      <c r="L154" s="248">
        <v>0</v>
      </c>
      <c r="M154" s="248">
        <v>8705.7999999999993</v>
      </c>
      <c r="N154" s="249">
        <f t="shared" si="73"/>
        <v>589092.4</v>
      </c>
      <c r="O154" s="249">
        <f t="shared" si="74"/>
        <v>394569.1571876118</v>
      </c>
      <c r="P154" s="249">
        <f t="shared" si="75"/>
        <v>392706.18523876189</v>
      </c>
      <c r="Q154" s="249">
        <f t="shared" si="76"/>
        <v>0</v>
      </c>
      <c r="R154" s="249">
        <f t="shared" si="77"/>
        <v>11809.131492862729</v>
      </c>
      <c r="S154" s="248">
        <v>799084.47391923645</v>
      </c>
      <c r="T154" s="250">
        <f t="shared" si="78"/>
        <v>1.3564671245448701</v>
      </c>
      <c r="U154" s="249">
        <f t="shared" si="79"/>
        <v>589092.4</v>
      </c>
      <c r="V154" s="249">
        <f t="shared" si="80"/>
        <v>799084.47391923645</v>
      </c>
      <c r="W154" s="242" t="s">
        <v>389</v>
      </c>
      <c r="X154" s="242" t="s">
        <v>281</v>
      </c>
      <c r="Y154" s="251">
        <f>SUMIFS(Cert_App_Output!$G:$G,Cert_App_Output!$E:$E,$E154,Cert_App_Output!$K:$K,$X154)</f>
        <v>0</v>
      </c>
    </row>
    <row r="155" spans="1:25" x14ac:dyDescent="0.35">
      <c r="A155" s="242" t="s">
        <v>390</v>
      </c>
      <c r="C155" s="242" t="s">
        <v>132</v>
      </c>
      <c r="E155" s="242">
        <v>18.14</v>
      </c>
      <c r="F155" s="242" t="s">
        <v>216</v>
      </c>
      <c r="G155" s="242" t="s">
        <v>404</v>
      </c>
      <c r="H155" s="242" t="s">
        <v>261</v>
      </c>
      <c r="I155" s="247">
        <v>1</v>
      </c>
      <c r="J155" s="248">
        <v>502957.67</v>
      </c>
      <c r="K155" s="248">
        <v>289506.59999999998</v>
      </c>
      <c r="L155" s="248">
        <v>0</v>
      </c>
      <c r="M155" s="248">
        <v>11886.96</v>
      </c>
      <c r="N155" s="249">
        <f t="shared" si="73"/>
        <v>804351.23</v>
      </c>
      <c r="O155" s="249">
        <f t="shared" si="74"/>
        <v>682245.54439268738</v>
      </c>
      <c r="P155" s="249">
        <f t="shared" si="75"/>
        <v>392706.18523876171</v>
      </c>
      <c r="Q155" s="249">
        <f t="shared" si="76"/>
        <v>0</v>
      </c>
      <c r="R155" s="249">
        <f t="shared" si="77"/>
        <v>16124.270450779881</v>
      </c>
      <c r="S155" s="248">
        <v>1091076.000082229</v>
      </c>
      <c r="T155" s="250">
        <f t="shared" si="78"/>
        <v>1.3564671245448696</v>
      </c>
      <c r="U155" s="249">
        <f t="shared" si="79"/>
        <v>804351.23</v>
      </c>
      <c r="V155" s="249">
        <f t="shared" si="80"/>
        <v>1091076.000082229</v>
      </c>
      <c r="W155" s="242" t="s">
        <v>389</v>
      </c>
      <c r="X155" s="242" t="s">
        <v>281</v>
      </c>
      <c r="Y155" s="251">
        <f>SUMIFS(Cert_App_Output!$G:$G,Cert_App_Output!$E:$E,$E155,Cert_App_Output!$K:$K,$X155)</f>
        <v>0</v>
      </c>
    </row>
    <row r="156" spans="1:25" x14ac:dyDescent="0.35">
      <c r="A156" s="242" t="s">
        <v>390</v>
      </c>
      <c r="C156" s="242" t="s">
        <v>132</v>
      </c>
      <c r="E156" s="242">
        <v>18.149999999999999</v>
      </c>
      <c r="F156" s="242" t="s">
        <v>216</v>
      </c>
      <c r="G156" s="242" t="s">
        <v>405</v>
      </c>
      <c r="H156" s="242" t="s">
        <v>261</v>
      </c>
      <c r="I156" s="247">
        <v>11</v>
      </c>
      <c r="J156" s="248">
        <v>136527.37</v>
      </c>
      <c r="K156" s="248">
        <v>289506.59999999998</v>
      </c>
      <c r="L156" s="248">
        <v>0</v>
      </c>
      <c r="M156" s="248">
        <v>6390.51</v>
      </c>
      <c r="N156" s="249">
        <f t="shared" si="73"/>
        <v>432424.48</v>
      </c>
      <c r="O156" s="249">
        <f t="shared" si="74"/>
        <v>185194.88900557355</v>
      </c>
      <c r="P156" s="249">
        <f t="shared" si="75"/>
        <v>392706.18523876183</v>
      </c>
      <c r="Q156" s="249">
        <f t="shared" si="76"/>
        <v>0</v>
      </c>
      <c r="R156" s="249">
        <f t="shared" si="77"/>
        <v>8668.516724075238</v>
      </c>
      <c r="S156" s="248">
        <v>586569.5909684106</v>
      </c>
      <c r="T156" s="250">
        <f t="shared" si="78"/>
        <v>1.3564671245448701</v>
      </c>
      <c r="U156" s="249">
        <f t="shared" si="79"/>
        <v>4756669.2799999993</v>
      </c>
      <c r="V156" s="249">
        <f t="shared" si="80"/>
        <v>6452265.5006525163</v>
      </c>
      <c r="W156" s="242" t="s">
        <v>389</v>
      </c>
      <c r="X156" s="242" t="s">
        <v>281</v>
      </c>
      <c r="Y156" s="251">
        <f>SUMIFS(Cert_App_Output!$G:$G,Cert_App_Output!$E:$E,$E156,Cert_App_Output!$K:$K,$X156)</f>
        <v>0</v>
      </c>
    </row>
    <row r="157" spans="1:25" x14ac:dyDescent="0.35">
      <c r="A157" s="242" t="s">
        <v>390</v>
      </c>
      <c r="C157" s="242" t="s">
        <v>132</v>
      </c>
      <c r="E157" s="242">
        <v>18.16</v>
      </c>
      <c r="F157" s="242" t="s">
        <v>216</v>
      </c>
      <c r="G157" s="242" t="s">
        <v>406</v>
      </c>
      <c r="H157" s="242" t="s">
        <v>261</v>
      </c>
      <c r="I157" s="247">
        <v>14</v>
      </c>
      <c r="J157" s="248">
        <v>210979.28</v>
      </c>
      <c r="K157" s="248">
        <v>289506.59999999998</v>
      </c>
      <c r="L157" s="248">
        <v>0</v>
      </c>
      <c r="M157" s="248">
        <v>7507.29</v>
      </c>
      <c r="N157" s="249">
        <f t="shared" si="73"/>
        <v>507993.17</v>
      </c>
      <c r="O157" s="249">
        <f t="shared" si="74"/>
        <v>286186.45728014701</v>
      </c>
      <c r="P157" s="249">
        <f t="shared" si="75"/>
        <v>392706.18523876183</v>
      </c>
      <c r="Q157" s="249">
        <f t="shared" si="76"/>
        <v>0</v>
      </c>
      <c r="R157" s="249">
        <f t="shared" si="77"/>
        <v>10183.392079424457</v>
      </c>
      <c r="S157" s="248">
        <v>689076.0345983333</v>
      </c>
      <c r="T157" s="250">
        <f t="shared" si="78"/>
        <v>1.3564671245448701</v>
      </c>
      <c r="U157" s="249">
        <f t="shared" si="79"/>
        <v>7111904.3799999999</v>
      </c>
      <c r="V157" s="249">
        <f t="shared" si="80"/>
        <v>9647064.4843766652</v>
      </c>
      <c r="W157" s="242" t="s">
        <v>389</v>
      </c>
      <c r="X157" s="242" t="s">
        <v>281</v>
      </c>
      <c r="Y157" s="251">
        <f>SUMIFS(Cert_App_Output!$G:$G,Cert_App_Output!$E:$E,$E157,Cert_App_Output!$K:$K,$X157)</f>
        <v>0</v>
      </c>
    </row>
    <row r="158" spans="1:25" x14ac:dyDescent="0.35">
      <c r="A158" s="242" t="s">
        <v>390</v>
      </c>
      <c r="D158" s="242" t="s">
        <v>132</v>
      </c>
      <c r="E158" s="242">
        <v>18.170000000000002</v>
      </c>
      <c r="F158" s="242" t="s">
        <v>216</v>
      </c>
      <c r="G158" s="242" t="s">
        <v>407</v>
      </c>
      <c r="H158" s="242" t="s">
        <v>218</v>
      </c>
      <c r="I158" s="247">
        <v>1</v>
      </c>
      <c r="J158" s="248">
        <v>6941648.2800000003</v>
      </c>
      <c r="K158" s="248">
        <v>0</v>
      </c>
      <c r="L158" s="248">
        <v>3269696.85</v>
      </c>
      <c r="M158" s="248">
        <v>153170.18</v>
      </c>
      <c r="N158" s="249">
        <f t="shared" si="73"/>
        <v>10364515.310000001</v>
      </c>
      <c r="O158" s="249">
        <f t="shared" si="74"/>
        <v>9416117.6819734406</v>
      </c>
      <c r="P158" s="249">
        <f t="shared" si="75"/>
        <v>0</v>
      </c>
      <c r="Q158" s="249">
        <f t="shared" si="76"/>
        <v>4435236.2842529183</v>
      </c>
      <c r="R158" s="249">
        <f t="shared" si="77"/>
        <v>207770.3136306201</v>
      </c>
      <c r="S158" s="248">
        <v>14059124.27985698</v>
      </c>
      <c r="T158" s="250">
        <f t="shared" si="78"/>
        <v>1.3564671245448698</v>
      </c>
      <c r="U158" s="249">
        <f t="shared" si="79"/>
        <v>10364515.310000001</v>
      </c>
      <c r="V158" s="249">
        <f t="shared" si="80"/>
        <v>14059124.27985698</v>
      </c>
      <c r="W158" s="242" t="s">
        <v>389</v>
      </c>
      <c r="X158" s="242" t="s">
        <v>281</v>
      </c>
      <c r="Y158" s="251">
        <f>SUMIFS(Cert_App_Output!$G:$G,Cert_App_Output!$E:$E,$E158,Cert_App_Output!$K:$K,$X158)</f>
        <v>0</v>
      </c>
    </row>
    <row r="159" spans="1:25" x14ac:dyDescent="0.35">
      <c r="A159" s="242" t="s">
        <v>390</v>
      </c>
      <c r="D159" s="242" t="s">
        <v>132</v>
      </c>
      <c r="E159" s="242">
        <v>18.18</v>
      </c>
      <c r="F159" s="242" t="s">
        <v>216</v>
      </c>
      <c r="G159" s="242" t="s">
        <v>408</v>
      </c>
      <c r="H159" s="242" t="s">
        <v>218</v>
      </c>
      <c r="I159" s="247">
        <v>1</v>
      </c>
      <c r="J159" s="248">
        <v>896755.59</v>
      </c>
      <c r="K159" s="248">
        <v>0</v>
      </c>
      <c r="L159" s="248">
        <v>1634848.43</v>
      </c>
      <c r="M159" s="248">
        <v>37974.06</v>
      </c>
      <c r="N159" s="249">
        <f t="shared" si="73"/>
        <v>2569578.08</v>
      </c>
      <c r="O159" s="249">
        <f t="shared" si="74"/>
        <v>1216419.4765868383</v>
      </c>
      <c r="P159" s="249">
        <f t="shared" si="75"/>
        <v>0</v>
      </c>
      <c r="Q159" s="249">
        <f t="shared" si="76"/>
        <v>2217618.1489087949</v>
      </c>
      <c r="R159" s="249">
        <f t="shared" si="77"/>
        <v>51510.563975494362</v>
      </c>
      <c r="S159" s="248">
        <v>3485548.1894711279</v>
      </c>
      <c r="T159" s="250">
        <f t="shared" si="78"/>
        <v>1.3564671245448701</v>
      </c>
      <c r="U159" s="249">
        <f t="shared" si="79"/>
        <v>2569578.08</v>
      </c>
      <c r="V159" s="249">
        <f t="shared" si="80"/>
        <v>3485548.1894711279</v>
      </c>
      <c r="W159" s="242" t="s">
        <v>389</v>
      </c>
      <c r="X159" s="242" t="s">
        <v>281</v>
      </c>
      <c r="Y159" s="251">
        <f>SUMIFS(Cert_App_Output!$G:$G,Cert_App_Output!$E:$E,$E159,Cert_App_Output!$K:$K,$X159)</f>
        <v>0</v>
      </c>
    </row>
    <row r="160" spans="1:25" x14ac:dyDescent="0.35">
      <c r="E160" s="242">
        <v>18.190000000000001</v>
      </c>
      <c r="F160" s="242" t="s">
        <v>216</v>
      </c>
      <c r="G160" s="242" t="s">
        <v>409</v>
      </c>
      <c r="H160" s="242" t="s">
        <v>218</v>
      </c>
      <c r="I160" s="247">
        <v>0</v>
      </c>
      <c r="J160" s="248">
        <v>0</v>
      </c>
      <c r="K160" s="248">
        <v>0</v>
      </c>
      <c r="L160" s="248">
        <v>0</v>
      </c>
      <c r="M160" s="248">
        <v>0</v>
      </c>
      <c r="N160" s="249">
        <f t="shared" si="73"/>
        <v>0</v>
      </c>
      <c r="O160" s="249">
        <f t="shared" si="74"/>
        <v>0</v>
      </c>
      <c r="P160" s="249">
        <f t="shared" si="75"/>
        <v>0</v>
      </c>
      <c r="Q160" s="249">
        <f t="shared" si="76"/>
        <v>0</v>
      </c>
      <c r="R160" s="249">
        <f t="shared" si="77"/>
        <v>0</v>
      </c>
      <c r="S160" s="248">
        <v>0</v>
      </c>
      <c r="T160" s="250" t="str">
        <f t="shared" si="78"/>
        <v/>
      </c>
      <c r="U160" s="249">
        <f t="shared" si="79"/>
        <v>0</v>
      </c>
      <c r="V160" s="249">
        <f t="shared" si="80"/>
        <v>0</v>
      </c>
      <c r="W160" s="242" t="s">
        <v>389</v>
      </c>
      <c r="X160" s="242" t="s">
        <v>281</v>
      </c>
      <c r="Y160" s="251">
        <f>SUMIFS(Cert_App_Output!$G:$G,Cert_App_Output!$E:$E,$E160,Cert_App_Output!$K:$K,$X160)</f>
        <v>0</v>
      </c>
    </row>
    <row r="161" spans="1:25" x14ac:dyDescent="0.35">
      <c r="C161" s="242" t="s">
        <v>132</v>
      </c>
      <c r="E161" s="242">
        <v>18.2</v>
      </c>
      <c r="F161" s="242" t="s">
        <v>216</v>
      </c>
      <c r="G161" s="242" t="s">
        <v>410</v>
      </c>
      <c r="H161" s="242" t="s">
        <v>261</v>
      </c>
      <c r="I161" s="247">
        <v>119</v>
      </c>
      <c r="J161" s="248">
        <v>0</v>
      </c>
      <c r="K161" s="248">
        <v>9575.2999999999993</v>
      </c>
      <c r="L161" s="248">
        <v>0</v>
      </c>
      <c r="M161" s="248">
        <v>143.63</v>
      </c>
      <c r="N161" s="249">
        <f t="shared" si="73"/>
        <v>9718.9299999999985</v>
      </c>
      <c r="O161" s="249">
        <f t="shared" si="74"/>
        <v>0</v>
      </c>
      <c r="P161" s="249">
        <f t="shared" si="75"/>
        <v>12988.579657654491</v>
      </c>
      <c r="Q161" s="249">
        <f t="shared" si="76"/>
        <v>0</v>
      </c>
      <c r="R161" s="249">
        <f t="shared" si="77"/>
        <v>194.82937309837965</v>
      </c>
      <c r="S161" s="248">
        <v>13183.40903075287</v>
      </c>
      <c r="T161" s="250">
        <f t="shared" si="78"/>
        <v>1.3564671245448698</v>
      </c>
      <c r="U161" s="249">
        <f t="shared" si="79"/>
        <v>1156552.67</v>
      </c>
      <c r="V161" s="249">
        <f t="shared" si="80"/>
        <v>1568825.6746595914</v>
      </c>
      <c r="W161" s="242" t="s">
        <v>389</v>
      </c>
      <c r="X161" s="242" t="s">
        <v>281</v>
      </c>
      <c r="Y161" s="251">
        <f>SUMIFS(Cert_App_Output!$G:$G,Cert_App_Output!$E:$E,$E161,Cert_App_Output!$K:$K,$X161)</f>
        <v>0</v>
      </c>
    </row>
    <row r="162" spans="1:25" x14ac:dyDescent="0.35">
      <c r="C162" s="242" t="s">
        <v>132</v>
      </c>
      <c r="E162" s="242">
        <v>18.21</v>
      </c>
      <c r="F162" s="242" t="s">
        <v>216</v>
      </c>
      <c r="G162" s="242" t="s">
        <v>411</v>
      </c>
      <c r="H162" s="242" t="s">
        <v>261</v>
      </c>
      <c r="I162" s="247">
        <v>16</v>
      </c>
      <c r="J162" s="248">
        <v>0</v>
      </c>
      <c r="K162" s="248">
        <v>9575.2999999999993</v>
      </c>
      <c r="L162" s="248">
        <v>0</v>
      </c>
      <c r="M162" s="248">
        <v>143.63</v>
      </c>
      <c r="N162" s="249">
        <f t="shared" si="73"/>
        <v>9718.9299999999985</v>
      </c>
      <c r="O162" s="249">
        <f t="shared" si="74"/>
        <v>0</v>
      </c>
      <c r="P162" s="249">
        <f t="shared" si="75"/>
        <v>12988.579657654491</v>
      </c>
      <c r="Q162" s="249">
        <f t="shared" si="76"/>
        <v>0</v>
      </c>
      <c r="R162" s="249">
        <f t="shared" si="77"/>
        <v>194.82937309837965</v>
      </c>
      <c r="S162" s="248">
        <v>13183.40903075287</v>
      </c>
      <c r="T162" s="250">
        <f t="shared" si="78"/>
        <v>1.3564671245448698</v>
      </c>
      <c r="U162" s="249">
        <f t="shared" si="79"/>
        <v>155502.87999999998</v>
      </c>
      <c r="V162" s="249">
        <f t="shared" si="80"/>
        <v>210934.54449204591</v>
      </c>
      <c r="W162" s="242" t="s">
        <v>389</v>
      </c>
      <c r="X162" s="242" t="s">
        <v>281</v>
      </c>
      <c r="Y162" s="251">
        <f>SUMIFS(Cert_App_Output!$G:$G,Cert_App_Output!$E:$E,$E162,Cert_App_Output!$K:$K,$X162)</f>
        <v>0</v>
      </c>
    </row>
    <row r="163" spans="1:25" x14ac:dyDescent="0.35">
      <c r="C163" s="242" t="s">
        <v>132</v>
      </c>
      <c r="E163" s="242">
        <v>18.22</v>
      </c>
      <c r="F163" s="242" t="s">
        <v>216</v>
      </c>
      <c r="G163" s="242" t="s">
        <v>412</v>
      </c>
      <c r="H163" s="242" t="s">
        <v>261</v>
      </c>
      <c r="I163" s="247">
        <v>363</v>
      </c>
      <c r="J163" s="248">
        <v>0</v>
      </c>
      <c r="K163" s="248">
        <v>9575.2999999999993</v>
      </c>
      <c r="L163" s="248">
        <v>0</v>
      </c>
      <c r="M163" s="248">
        <v>143.63</v>
      </c>
      <c r="N163" s="249">
        <f t="shared" si="73"/>
        <v>9718.9299999999985</v>
      </c>
      <c r="O163" s="249">
        <f t="shared" si="74"/>
        <v>0</v>
      </c>
      <c r="P163" s="249">
        <f t="shared" si="75"/>
        <v>12988.579657654491</v>
      </c>
      <c r="Q163" s="249">
        <f t="shared" si="76"/>
        <v>0</v>
      </c>
      <c r="R163" s="249">
        <f t="shared" si="77"/>
        <v>194.82937309837965</v>
      </c>
      <c r="S163" s="248">
        <v>13183.40903075287</v>
      </c>
      <c r="T163" s="250">
        <f t="shared" si="78"/>
        <v>1.3564671245448698</v>
      </c>
      <c r="U163" s="249">
        <f t="shared" si="79"/>
        <v>3527971.5899999994</v>
      </c>
      <c r="V163" s="249">
        <f t="shared" si="80"/>
        <v>4785577.4781632917</v>
      </c>
      <c r="W163" s="242" t="s">
        <v>389</v>
      </c>
      <c r="X163" s="242" t="s">
        <v>281</v>
      </c>
      <c r="Y163" s="251">
        <f>SUMIFS(Cert_App_Output!$G:$G,Cert_App_Output!$E:$E,$E163,Cert_App_Output!$K:$K,$X163)</f>
        <v>0</v>
      </c>
    </row>
    <row r="164" spans="1:25" x14ac:dyDescent="0.35">
      <c r="C164" s="242" t="s">
        <v>132</v>
      </c>
      <c r="E164" s="242">
        <v>18.23</v>
      </c>
      <c r="F164" s="242" t="s">
        <v>216</v>
      </c>
      <c r="G164" s="242" t="s">
        <v>413</v>
      </c>
      <c r="H164" s="242" t="s">
        <v>261</v>
      </c>
      <c r="I164" s="247">
        <v>119</v>
      </c>
      <c r="J164" s="248">
        <v>0</v>
      </c>
      <c r="K164" s="248">
        <v>14693.7</v>
      </c>
      <c r="L164" s="248">
        <v>0</v>
      </c>
      <c r="M164" s="248">
        <v>220.41</v>
      </c>
      <c r="N164" s="249">
        <f t="shared" si="73"/>
        <v>14914.11</v>
      </c>
      <c r="O164" s="249">
        <f t="shared" si="74"/>
        <v>0</v>
      </c>
      <c r="P164" s="249">
        <f t="shared" si="75"/>
        <v>19931.520987924956</v>
      </c>
      <c r="Q164" s="249">
        <f t="shared" si="76"/>
        <v>0</v>
      </c>
      <c r="R164" s="249">
        <f t="shared" si="77"/>
        <v>298.97891892093475</v>
      </c>
      <c r="S164" s="248">
        <v>20230.499906845889</v>
      </c>
      <c r="T164" s="250">
        <f t="shared" si="78"/>
        <v>1.3564671245448698</v>
      </c>
      <c r="U164" s="249">
        <f t="shared" si="79"/>
        <v>1774779.09</v>
      </c>
      <c r="V164" s="249">
        <f t="shared" si="80"/>
        <v>2407429.4889146606</v>
      </c>
      <c r="W164" s="242" t="s">
        <v>389</v>
      </c>
      <c r="X164" s="242" t="s">
        <v>281</v>
      </c>
      <c r="Y164" s="251">
        <f>SUMIFS(Cert_App_Output!$G:$G,Cert_App_Output!$E:$E,$E164,Cert_App_Output!$K:$K,$X164)</f>
        <v>0</v>
      </c>
    </row>
    <row r="165" spans="1:25" x14ac:dyDescent="0.35">
      <c r="C165" s="242" t="s">
        <v>132</v>
      </c>
      <c r="E165" s="242">
        <v>18.239999999999998</v>
      </c>
      <c r="F165" s="242" t="s">
        <v>216</v>
      </c>
      <c r="G165" s="242" t="s">
        <v>414</v>
      </c>
      <c r="H165" s="242" t="s">
        <v>261</v>
      </c>
      <c r="I165" s="247">
        <v>25</v>
      </c>
      <c r="J165" s="248">
        <v>0</v>
      </c>
      <c r="K165" s="248">
        <v>14693.7</v>
      </c>
      <c r="L165" s="248">
        <v>0</v>
      </c>
      <c r="M165" s="248">
        <v>220.41</v>
      </c>
      <c r="N165" s="249">
        <f t="shared" si="73"/>
        <v>14914.11</v>
      </c>
      <c r="O165" s="249">
        <f t="shared" si="74"/>
        <v>0</v>
      </c>
      <c r="P165" s="249">
        <f t="shared" si="75"/>
        <v>19931.520987924956</v>
      </c>
      <c r="Q165" s="249">
        <f t="shared" si="76"/>
        <v>0</v>
      </c>
      <c r="R165" s="249">
        <f t="shared" si="77"/>
        <v>298.97891892093475</v>
      </c>
      <c r="S165" s="248">
        <v>20230.499906845889</v>
      </c>
      <c r="T165" s="250">
        <f t="shared" si="78"/>
        <v>1.3564671245448698</v>
      </c>
      <c r="U165" s="249">
        <f t="shared" si="79"/>
        <v>372852.75</v>
      </c>
      <c r="V165" s="249">
        <f t="shared" si="80"/>
        <v>505762.49767114723</v>
      </c>
      <c r="W165" s="242" t="s">
        <v>389</v>
      </c>
      <c r="X165" s="242" t="s">
        <v>281</v>
      </c>
      <c r="Y165" s="251">
        <f>SUMIFS(Cert_App_Output!$G:$G,Cert_App_Output!$E:$E,$E165,Cert_App_Output!$K:$K,$X165)</f>
        <v>0</v>
      </c>
    </row>
    <row r="166" spans="1:25" x14ac:dyDescent="0.35">
      <c r="A166" s="242" t="s">
        <v>390</v>
      </c>
      <c r="C166" s="242" t="s">
        <v>132</v>
      </c>
      <c r="E166" s="242">
        <v>18.25</v>
      </c>
      <c r="F166" s="242" t="s">
        <v>216</v>
      </c>
      <c r="G166" s="242" t="s">
        <v>415</v>
      </c>
      <c r="H166" s="242" t="s">
        <v>218</v>
      </c>
      <c r="I166" s="247">
        <v>1</v>
      </c>
      <c r="J166" s="248">
        <v>6991302.4299999997</v>
      </c>
      <c r="K166" s="248">
        <v>3242733.2</v>
      </c>
      <c r="L166" s="248">
        <v>0</v>
      </c>
      <c r="M166" s="248">
        <v>153510.53</v>
      </c>
      <c r="N166" s="249">
        <f t="shared" si="73"/>
        <v>10387546.159999998</v>
      </c>
      <c r="O166" s="249">
        <f t="shared" si="74"/>
        <v>9483471.90404566</v>
      </c>
      <c r="P166" s="249">
        <f t="shared" si="75"/>
        <v>4398660.9794701841</v>
      </c>
      <c r="Q166" s="249">
        <f t="shared" si="76"/>
        <v>0</v>
      </c>
      <c r="R166" s="249">
        <f t="shared" si="77"/>
        <v>208231.98721645895</v>
      </c>
      <c r="S166" s="248">
        <v>14090364.8707323</v>
      </c>
      <c r="T166" s="250">
        <f t="shared" si="78"/>
        <v>1.3564671245448696</v>
      </c>
      <c r="U166" s="249">
        <f t="shared" si="79"/>
        <v>10387546.159999998</v>
      </c>
      <c r="V166" s="249">
        <f t="shared" si="80"/>
        <v>14090364.8707323</v>
      </c>
      <c r="W166" s="242" t="s">
        <v>389</v>
      </c>
      <c r="X166" s="242" t="s">
        <v>281</v>
      </c>
      <c r="Y166" s="251">
        <f>SUMIFS(Cert_App_Output!$G:$G,Cert_App_Output!$E:$E,$E166,Cert_App_Output!$K:$K,$X166)</f>
        <v>0</v>
      </c>
    </row>
    <row r="167" spans="1:25" x14ac:dyDescent="0.35">
      <c r="A167" s="242" t="s">
        <v>390</v>
      </c>
      <c r="C167" s="242" t="s">
        <v>132</v>
      </c>
      <c r="E167" s="242">
        <v>18.260000000000002</v>
      </c>
      <c r="F167" s="242" t="s">
        <v>216</v>
      </c>
      <c r="G167" s="242" t="s">
        <v>416</v>
      </c>
      <c r="H167" s="242" t="s">
        <v>218</v>
      </c>
      <c r="I167" s="247">
        <v>1</v>
      </c>
      <c r="J167" s="248">
        <v>1057994.98</v>
      </c>
      <c r="K167" s="248">
        <v>401985.5</v>
      </c>
      <c r="L167" s="248">
        <v>0</v>
      </c>
      <c r="M167" s="248">
        <v>21899.71</v>
      </c>
      <c r="N167" s="249">
        <f t="shared" si="73"/>
        <v>1481880.19</v>
      </c>
      <c r="O167" s="249">
        <f t="shared" si="74"/>
        <v>1435135.4083035074</v>
      </c>
      <c r="P167" s="249">
        <f t="shared" si="75"/>
        <v>545280.11529373191</v>
      </c>
      <c r="Q167" s="249">
        <f t="shared" si="76"/>
        <v>0</v>
      </c>
      <c r="R167" s="249">
        <f t="shared" si="77"/>
        <v>29706.236652066542</v>
      </c>
      <c r="S167" s="248">
        <v>2010121.760249306</v>
      </c>
      <c r="T167" s="250">
        <f t="shared" si="78"/>
        <v>1.3564671245448703</v>
      </c>
      <c r="U167" s="249">
        <f t="shared" si="79"/>
        <v>1481880.19</v>
      </c>
      <c r="V167" s="249">
        <f t="shared" si="80"/>
        <v>2010121.760249306</v>
      </c>
      <c r="W167" s="242" t="s">
        <v>389</v>
      </c>
      <c r="X167" s="242" t="s">
        <v>281</v>
      </c>
      <c r="Y167" s="251">
        <f>SUMIFS(Cert_App_Output!$G:$G,Cert_App_Output!$E:$E,$E167,Cert_App_Output!$K:$K,$X167)</f>
        <v>0</v>
      </c>
    </row>
    <row r="168" spans="1:25" x14ac:dyDescent="0.35">
      <c r="C168" s="242" t="s">
        <v>132</v>
      </c>
      <c r="E168" s="242">
        <v>18.27</v>
      </c>
      <c r="F168" s="242" t="s">
        <v>216</v>
      </c>
      <c r="G168" s="242" t="s">
        <v>417</v>
      </c>
      <c r="H168" s="242" t="s">
        <v>218</v>
      </c>
      <c r="I168" s="247">
        <v>1</v>
      </c>
      <c r="J168" s="248">
        <v>0</v>
      </c>
      <c r="K168" s="248">
        <v>113275.77</v>
      </c>
      <c r="L168" s="248">
        <v>0</v>
      </c>
      <c r="M168" s="248">
        <v>0</v>
      </c>
      <c r="N168" s="249">
        <f t="shared" si="73"/>
        <v>113275.77</v>
      </c>
      <c r="O168" s="249">
        <f t="shared" si="74"/>
        <v>0</v>
      </c>
      <c r="P168" s="249">
        <f t="shared" si="75"/>
        <v>153654.8580125061</v>
      </c>
      <c r="Q168" s="249">
        <f t="shared" si="76"/>
        <v>0</v>
      </c>
      <c r="R168" s="249">
        <f t="shared" si="77"/>
        <v>0</v>
      </c>
      <c r="S168" s="248">
        <v>153654.8580125061</v>
      </c>
      <c r="T168" s="250">
        <f t="shared" si="78"/>
        <v>1.3564671245448703</v>
      </c>
      <c r="U168" s="249">
        <f t="shared" si="79"/>
        <v>113275.77</v>
      </c>
      <c r="V168" s="249">
        <f t="shared" si="80"/>
        <v>153654.8580125061</v>
      </c>
      <c r="W168" s="242" t="s">
        <v>389</v>
      </c>
      <c r="X168" s="242" t="s">
        <v>281</v>
      </c>
      <c r="Y168" s="251">
        <f>SUMIFS(Cert_App_Output!$G:$G,Cert_App_Output!$E:$E,$E168,Cert_App_Output!$K:$K,$X168)</f>
        <v>0</v>
      </c>
    </row>
    <row r="169" spans="1:25" x14ac:dyDescent="0.35">
      <c r="F169" s="242" t="s">
        <v>212</v>
      </c>
      <c r="G169" s="242" t="s">
        <v>418</v>
      </c>
      <c r="I169" s="243"/>
      <c r="J169" s="244"/>
      <c r="K169" s="244"/>
      <c r="L169" s="244"/>
      <c r="M169" s="244"/>
      <c r="N169" s="244"/>
      <c r="O169" s="244"/>
      <c r="P169" s="244"/>
      <c r="Q169" s="244"/>
      <c r="R169" s="244"/>
      <c r="S169" s="244"/>
      <c r="T169" s="245"/>
      <c r="U169" s="244"/>
      <c r="V169" s="244"/>
      <c r="W169" s="242" t="s">
        <v>419</v>
      </c>
      <c r="X169" s="242" t="s">
        <v>281</v>
      </c>
      <c r="Y169" s="246"/>
    </row>
    <row r="170" spans="1:25" x14ac:dyDescent="0.35">
      <c r="A170" s="242" t="s">
        <v>58</v>
      </c>
      <c r="C170" s="242" t="s">
        <v>420</v>
      </c>
      <c r="E170" s="242">
        <v>19.010000000000002</v>
      </c>
      <c r="F170" s="242" t="s">
        <v>216</v>
      </c>
      <c r="G170" s="242" t="s">
        <v>421</v>
      </c>
      <c r="H170" s="242" t="s">
        <v>218</v>
      </c>
      <c r="I170" s="247">
        <v>1</v>
      </c>
      <c r="J170" s="248">
        <v>559930.44999999995</v>
      </c>
      <c r="K170" s="248">
        <v>931720.66</v>
      </c>
      <c r="L170" s="248">
        <v>0</v>
      </c>
      <c r="M170" s="248">
        <v>22374.77</v>
      </c>
      <c r="N170" s="249">
        <f t="shared" ref="N170:N188" si="81">SUM(J170:M170)</f>
        <v>1514025.88</v>
      </c>
      <c r="O170" s="249">
        <f t="shared" ref="O170:O188" si="82">IF($N170=0,$S170,J170/$N170*$S170)</f>
        <v>759527.24745661498</v>
      </c>
      <c r="P170" s="249">
        <f t="shared" ref="P170:P188" si="83">IF($N170=0,0,K170/$N170*$S170)</f>
        <v>1263848.4445492483</v>
      </c>
      <c r="Q170" s="249">
        <f t="shared" ref="Q170:Q188" si="84">IF($N170=0,0,L170/$N170*$S170)</f>
        <v>0</v>
      </c>
      <c r="R170" s="249">
        <f t="shared" ref="R170:R188" si="85">IF($N170=0,0,M170/$N170*$S170)</f>
        <v>30350.63992425282</v>
      </c>
      <c r="S170" s="248">
        <v>2053726.3319301161</v>
      </c>
      <c r="T170" s="250">
        <f t="shared" ref="T170:T188" si="86">IFERROR(S170/N170,"")</f>
        <v>1.3564671245448698</v>
      </c>
      <c r="U170" s="249">
        <f t="shared" ref="U170:U188" si="87">N170*I170</f>
        <v>1514025.88</v>
      </c>
      <c r="V170" s="249">
        <f t="shared" ref="V170:V188" si="88">S170*I170</f>
        <v>2053726.3319301161</v>
      </c>
      <c r="W170" s="242" t="s">
        <v>419</v>
      </c>
      <c r="X170" s="242" t="s">
        <v>281</v>
      </c>
      <c r="Y170" s="251">
        <f>SUMIFS(Cert_App_Output!$G:$G,Cert_App_Output!$E:$E,$E170,Cert_App_Output!$K:$K,$X170)</f>
        <v>0</v>
      </c>
    </row>
    <row r="171" spans="1:25" x14ac:dyDescent="0.35">
      <c r="A171" s="242" t="s">
        <v>58</v>
      </c>
      <c r="C171" s="242" t="s">
        <v>420</v>
      </c>
      <c r="E171" s="242">
        <v>19.02</v>
      </c>
      <c r="F171" s="242" t="s">
        <v>216</v>
      </c>
      <c r="G171" s="242" t="s">
        <v>422</v>
      </c>
      <c r="H171" s="242" t="s">
        <v>218</v>
      </c>
      <c r="I171" s="247">
        <v>1</v>
      </c>
      <c r="J171" s="248">
        <v>4309627.8600000003</v>
      </c>
      <c r="K171" s="248">
        <v>7439542.8700000001</v>
      </c>
      <c r="L171" s="248">
        <v>0</v>
      </c>
      <c r="M171" s="248">
        <v>176237.56</v>
      </c>
      <c r="N171" s="249">
        <f t="shared" si="81"/>
        <v>11925408.290000001</v>
      </c>
      <c r="O171" s="249">
        <f t="shared" si="82"/>
        <v>5845868.511112663</v>
      </c>
      <c r="P171" s="249">
        <f t="shared" si="83"/>
        <v>10091495.324797193</v>
      </c>
      <c r="Q171" s="249">
        <f t="shared" si="84"/>
        <v>0</v>
      </c>
      <c r="R171" s="249">
        <f t="shared" si="85"/>
        <v>239060.45625000403</v>
      </c>
      <c r="S171" s="248">
        <v>16176424.292159859</v>
      </c>
      <c r="T171" s="250">
        <f t="shared" si="86"/>
        <v>1.3564671245448703</v>
      </c>
      <c r="U171" s="249">
        <f t="shared" si="87"/>
        <v>11925408.290000001</v>
      </c>
      <c r="V171" s="249">
        <f t="shared" si="88"/>
        <v>16176424.292159859</v>
      </c>
      <c r="W171" s="242" t="s">
        <v>419</v>
      </c>
      <c r="X171" s="242" t="s">
        <v>281</v>
      </c>
      <c r="Y171" s="251">
        <f>SUMIFS(Cert_App_Output!$G:$G,Cert_App_Output!$E:$E,$E171,Cert_App_Output!$K:$K,$X171)</f>
        <v>0</v>
      </c>
    </row>
    <row r="172" spans="1:25" x14ac:dyDescent="0.35">
      <c r="A172" s="242" t="s">
        <v>58</v>
      </c>
      <c r="C172" s="242" t="s">
        <v>420</v>
      </c>
      <c r="E172" s="242">
        <v>19.03</v>
      </c>
      <c r="F172" s="242" t="s">
        <v>216</v>
      </c>
      <c r="G172" s="242" t="s">
        <v>423</v>
      </c>
      <c r="H172" s="242" t="s">
        <v>218</v>
      </c>
      <c r="I172" s="247">
        <v>1</v>
      </c>
      <c r="J172" s="248">
        <v>1446561.65</v>
      </c>
      <c r="K172" s="248">
        <v>2179040.23</v>
      </c>
      <c r="L172" s="248">
        <v>0</v>
      </c>
      <c r="M172" s="248">
        <v>54384.03</v>
      </c>
      <c r="N172" s="249">
        <f t="shared" si="81"/>
        <v>3679985.9099999997</v>
      </c>
      <c r="O172" s="249">
        <f t="shared" si="82"/>
        <v>1962213.3218523827</v>
      </c>
      <c r="P172" s="249">
        <f t="shared" si="83"/>
        <v>2955796.4350556922</v>
      </c>
      <c r="Q172" s="249">
        <f t="shared" si="84"/>
        <v>0</v>
      </c>
      <c r="R172" s="249">
        <f t="shared" si="85"/>
        <v>73770.14879526195</v>
      </c>
      <c r="S172" s="248">
        <v>4991779.9057033369</v>
      </c>
      <c r="T172" s="250">
        <f t="shared" si="86"/>
        <v>1.3564671245448701</v>
      </c>
      <c r="U172" s="249">
        <f t="shared" si="87"/>
        <v>3679985.9099999997</v>
      </c>
      <c r="V172" s="249">
        <f t="shared" si="88"/>
        <v>4991779.9057033369</v>
      </c>
      <c r="W172" s="242" t="s">
        <v>419</v>
      </c>
      <c r="X172" s="242" t="s">
        <v>281</v>
      </c>
      <c r="Y172" s="251">
        <f>SUMIFS(Cert_App_Output!$G:$G,Cert_App_Output!$E:$E,$E172,Cert_App_Output!$K:$K,$X172)</f>
        <v>0</v>
      </c>
    </row>
    <row r="173" spans="1:25" x14ac:dyDescent="0.35">
      <c r="A173" s="242" t="s">
        <v>58</v>
      </c>
      <c r="C173" s="242" t="s">
        <v>420</v>
      </c>
      <c r="E173" s="242">
        <v>19.04</v>
      </c>
      <c r="F173" s="242" t="s">
        <v>216</v>
      </c>
      <c r="G173" s="242" t="s">
        <v>424</v>
      </c>
      <c r="H173" s="242" t="s">
        <v>218</v>
      </c>
      <c r="I173" s="247">
        <v>1</v>
      </c>
      <c r="J173" s="248">
        <v>460664.74</v>
      </c>
      <c r="K173" s="248">
        <v>931720.66</v>
      </c>
      <c r="L173" s="248">
        <v>0</v>
      </c>
      <c r="M173" s="248">
        <v>20885.78</v>
      </c>
      <c r="N173" s="249">
        <f t="shared" si="81"/>
        <v>1413271.18</v>
      </c>
      <c r="O173" s="249">
        <f t="shared" si="82"/>
        <v>624876.57524700998</v>
      </c>
      <c r="P173" s="249">
        <f t="shared" si="83"/>
        <v>1263848.4445492483</v>
      </c>
      <c r="Q173" s="249">
        <f t="shared" si="84"/>
        <v>0</v>
      </c>
      <c r="R173" s="249">
        <f t="shared" si="85"/>
        <v>28330.873940476748</v>
      </c>
      <c r="S173" s="248">
        <v>1917055.893736735</v>
      </c>
      <c r="T173" s="250">
        <f t="shared" si="86"/>
        <v>1.3564671245448698</v>
      </c>
      <c r="U173" s="249">
        <f t="shared" si="87"/>
        <v>1413271.18</v>
      </c>
      <c r="V173" s="249">
        <f t="shared" si="88"/>
        <v>1917055.893736735</v>
      </c>
      <c r="W173" s="242" t="s">
        <v>419</v>
      </c>
      <c r="X173" s="242" t="s">
        <v>281</v>
      </c>
      <c r="Y173" s="251">
        <f>SUMIFS(Cert_App_Output!$G:$G,Cert_App_Output!$E:$E,$E173,Cert_App_Output!$K:$K,$X173)</f>
        <v>0</v>
      </c>
    </row>
    <row r="174" spans="1:25" x14ac:dyDescent="0.35">
      <c r="A174" s="242" t="s">
        <v>58</v>
      </c>
      <c r="C174" s="242" t="s">
        <v>420</v>
      </c>
      <c r="E174" s="242">
        <v>19.05</v>
      </c>
      <c r="F174" s="242" t="s">
        <v>216</v>
      </c>
      <c r="G174" s="242" t="s">
        <v>425</v>
      </c>
      <c r="H174" s="242" t="s">
        <v>218</v>
      </c>
      <c r="I174" s="247">
        <v>1</v>
      </c>
      <c r="J174" s="248">
        <v>2104760.56</v>
      </c>
      <c r="K174" s="248">
        <v>3537598.2</v>
      </c>
      <c r="L174" s="248">
        <v>0</v>
      </c>
      <c r="M174" s="248">
        <v>84635.38</v>
      </c>
      <c r="N174" s="249">
        <f t="shared" si="81"/>
        <v>5726994.1399999997</v>
      </c>
      <c r="O174" s="249">
        <f t="shared" si="82"/>
        <v>2855038.5046786508</v>
      </c>
      <c r="P174" s="249">
        <f t="shared" si="83"/>
        <v>4798635.6581491083</v>
      </c>
      <c r="Q174" s="249">
        <f t="shared" si="84"/>
        <v>0</v>
      </c>
      <c r="R174" s="249">
        <f t="shared" si="85"/>
        <v>114805.11054336242</v>
      </c>
      <c r="S174" s="248">
        <v>7768479.2733711209</v>
      </c>
      <c r="T174" s="250">
        <f t="shared" si="86"/>
        <v>1.3564671245448701</v>
      </c>
      <c r="U174" s="249">
        <f t="shared" si="87"/>
        <v>5726994.1399999997</v>
      </c>
      <c r="V174" s="249">
        <f t="shared" si="88"/>
        <v>7768479.2733711209</v>
      </c>
      <c r="W174" s="242" t="s">
        <v>419</v>
      </c>
      <c r="X174" s="242" t="s">
        <v>281</v>
      </c>
      <c r="Y174" s="251">
        <f>SUMIFS(Cert_App_Output!$G:$G,Cert_App_Output!$E:$E,$E174,Cert_App_Output!$K:$K,$X174)</f>
        <v>0</v>
      </c>
    </row>
    <row r="175" spans="1:25" x14ac:dyDescent="0.35">
      <c r="A175" s="242" t="s">
        <v>58</v>
      </c>
      <c r="C175" s="242" t="s">
        <v>420</v>
      </c>
      <c r="E175" s="242">
        <v>19.059999999999999</v>
      </c>
      <c r="F175" s="242" t="s">
        <v>216</v>
      </c>
      <c r="G175" s="242" t="s">
        <v>426</v>
      </c>
      <c r="H175" s="242" t="s">
        <v>218</v>
      </c>
      <c r="I175" s="247">
        <v>1</v>
      </c>
      <c r="J175" s="248">
        <v>809170.18</v>
      </c>
      <c r="K175" s="248">
        <v>1746247.4</v>
      </c>
      <c r="L175" s="248">
        <v>0</v>
      </c>
      <c r="M175" s="248">
        <v>38331.26</v>
      </c>
      <c r="N175" s="249">
        <f t="shared" si="81"/>
        <v>2593748.84</v>
      </c>
      <c r="O175" s="249">
        <f t="shared" si="82"/>
        <v>1097612.7473320549</v>
      </c>
      <c r="P175" s="249">
        <f t="shared" si="83"/>
        <v>2368727.189421955</v>
      </c>
      <c r="Q175" s="249">
        <f t="shared" si="84"/>
        <v>0</v>
      </c>
      <c r="R175" s="249">
        <f t="shared" si="85"/>
        <v>51995.094032381799</v>
      </c>
      <c r="S175" s="248">
        <v>3518335.0307863918</v>
      </c>
      <c r="T175" s="250">
        <f t="shared" si="86"/>
        <v>1.3564671245448701</v>
      </c>
      <c r="U175" s="249">
        <f t="shared" si="87"/>
        <v>2593748.84</v>
      </c>
      <c r="V175" s="249">
        <f t="shared" si="88"/>
        <v>3518335.0307863918</v>
      </c>
      <c r="W175" s="242" t="s">
        <v>419</v>
      </c>
      <c r="X175" s="242" t="s">
        <v>281</v>
      </c>
      <c r="Y175" s="251">
        <f>SUMIFS(Cert_App_Output!$G:$G,Cert_App_Output!$E:$E,$E175,Cert_App_Output!$K:$K,$X175)</f>
        <v>0</v>
      </c>
    </row>
    <row r="176" spans="1:25" x14ac:dyDescent="0.35">
      <c r="A176" s="242" t="s">
        <v>58</v>
      </c>
      <c r="C176" s="242" t="s">
        <v>420</v>
      </c>
      <c r="E176" s="242">
        <v>19.07</v>
      </c>
      <c r="F176" s="242" t="s">
        <v>216</v>
      </c>
      <c r="G176" s="242" t="s">
        <v>427</v>
      </c>
      <c r="H176" s="242" t="s">
        <v>218</v>
      </c>
      <c r="I176" s="247">
        <v>1</v>
      </c>
      <c r="J176" s="248">
        <v>1906561.77</v>
      </c>
      <c r="K176" s="248">
        <v>3598731.46</v>
      </c>
      <c r="L176" s="248">
        <v>0</v>
      </c>
      <c r="M176" s="248">
        <v>82579.399999999994</v>
      </c>
      <c r="N176" s="249">
        <f t="shared" si="81"/>
        <v>5587872.6300000008</v>
      </c>
      <c r="O176" s="249">
        <f t="shared" si="82"/>
        <v>2586188.361919078</v>
      </c>
      <c r="P176" s="249">
        <f t="shared" si="83"/>
        <v>4881560.9155553626</v>
      </c>
      <c r="Q176" s="249">
        <f t="shared" si="84"/>
        <v>0</v>
      </c>
      <c r="R176" s="249">
        <f t="shared" si="85"/>
        <v>112016.24126464063</v>
      </c>
      <c r="S176" s="248">
        <v>7579765.5187390819</v>
      </c>
      <c r="T176" s="250">
        <f t="shared" si="86"/>
        <v>1.3564671245448701</v>
      </c>
      <c r="U176" s="249">
        <f t="shared" si="87"/>
        <v>5587872.6300000008</v>
      </c>
      <c r="V176" s="249">
        <f t="shared" si="88"/>
        <v>7579765.5187390819</v>
      </c>
      <c r="W176" s="242" t="s">
        <v>419</v>
      </c>
      <c r="X176" s="242" t="s">
        <v>281</v>
      </c>
      <c r="Y176" s="251">
        <f>SUMIFS(Cert_App_Output!$G:$G,Cert_App_Output!$E:$E,$E176,Cert_App_Output!$K:$K,$X176)</f>
        <v>0</v>
      </c>
    </row>
    <row r="177" spans="1:25" x14ac:dyDescent="0.35">
      <c r="A177" s="242" t="s">
        <v>58</v>
      </c>
      <c r="C177" s="242" t="s">
        <v>420</v>
      </c>
      <c r="E177" s="242">
        <v>19.079999999999998</v>
      </c>
      <c r="F177" s="242" t="s">
        <v>216</v>
      </c>
      <c r="G177" s="242" t="s">
        <v>428</v>
      </c>
      <c r="H177" s="242" t="s">
        <v>218</v>
      </c>
      <c r="I177" s="247">
        <v>1</v>
      </c>
      <c r="J177" s="248">
        <v>1435578.06</v>
      </c>
      <c r="K177" s="248">
        <v>2500015.06</v>
      </c>
      <c r="L177" s="248">
        <v>0</v>
      </c>
      <c r="M177" s="248">
        <v>59033.9</v>
      </c>
      <c r="N177" s="249">
        <f t="shared" si="81"/>
        <v>3994627.02</v>
      </c>
      <c r="O177" s="249">
        <f t="shared" si="82"/>
        <v>1947314.443107903</v>
      </c>
      <c r="P177" s="249">
        <f t="shared" si="83"/>
        <v>3391188.2397570708</v>
      </c>
      <c r="Q177" s="249">
        <f t="shared" si="84"/>
        <v>0</v>
      </c>
      <c r="R177" s="249">
        <f t="shared" si="85"/>
        <v>80077.544583669413</v>
      </c>
      <c r="S177" s="248">
        <v>5418580.2274486432</v>
      </c>
      <c r="T177" s="250">
        <f t="shared" si="86"/>
        <v>1.3564671245448701</v>
      </c>
      <c r="U177" s="249">
        <f t="shared" si="87"/>
        <v>3994627.02</v>
      </c>
      <c r="V177" s="249">
        <f t="shared" si="88"/>
        <v>5418580.2274486432</v>
      </c>
      <c r="W177" s="242" t="s">
        <v>419</v>
      </c>
      <c r="X177" s="242" t="s">
        <v>281</v>
      </c>
      <c r="Y177" s="251">
        <f>SUMIFS(Cert_App_Output!$G:$G,Cert_App_Output!$E:$E,$E177,Cert_App_Output!$K:$K,$X177)</f>
        <v>0</v>
      </c>
    </row>
    <row r="178" spans="1:25" x14ac:dyDescent="0.35">
      <c r="A178" s="242" t="s">
        <v>58</v>
      </c>
      <c r="C178" s="242" t="s">
        <v>420</v>
      </c>
      <c r="E178" s="242">
        <v>19.09</v>
      </c>
      <c r="F178" s="242" t="s">
        <v>216</v>
      </c>
      <c r="G178" s="242" t="s">
        <v>429</v>
      </c>
      <c r="H178" s="242" t="s">
        <v>218</v>
      </c>
      <c r="I178" s="247">
        <v>1</v>
      </c>
      <c r="J178" s="248">
        <v>609036.01</v>
      </c>
      <c r="K178" s="248">
        <v>1199577.1499999999</v>
      </c>
      <c r="L178" s="248">
        <v>0</v>
      </c>
      <c r="M178" s="248">
        <v>27129.200000000001</v>
      </c>
      <c r="N178" s="249">
        <f t="shared" si="81"/>
        <v>1835742.3599999999</v>
      </c>
      <c r="O178" s="249">
        <f t="shared" si="82"/>
        <v>826137.32522898086</v>
      </c>
      <c r="P178" s="249">
        <f t="shared" si="83"/>
        <v>1627186.9673302304</v>
      </c>
      <c r="Q178" s="249">
        <f t="shared" si="84"/>
        <v>0</v>
      </c>
      <c r="R178" s="249">
        <f t="shared" si="85"/>
        <v>36799.867915202696</v>
      </c>
      <c r="S178" s="248">
        <v>2490124.160474414</v>
      </c>
      <c r="T178" s="250">
        <f t="shared" si="86"/>
        <v>1.3564671245448703</v>
      </c>
      <c r="U178" s="249">
        <f t="shared" si="87"/>
        <v>1835742.3599999999</v>
      </c>
      <c r="V178" s="249">
        <f t="shared" si="88"/>
        <v>2490124.160474414</v>
      </c>
      <c r="W178" s="242" t="s">
        <v>419</v>
      </c>
      <c r="X178" s="242" t="s">
        <v>281</v>
      </c>
      <c r="Y178" s="251">
        <f>SUMIFS(Cert_App_Output!$G:$G,Cert_App_Output!$E:$E,$E178,Cert_App_Output!$K:$K,$X178)</f>
        <v>0</v>
      </c>
    </row>
    <row r="179" spans="1:25" x14ac:dyDescent="0.35">
      <c r="A179" s="242" t="s">
        <v>58</v>
      </c>
      <c r="C179" s="242" t="s">
        <v>420</v>
      </c>
      <c r="E179" s="242">
        <v>19.100000000000001</v>
      </c>
      <c r="F179" s="242" t="s">
        <v>216</v>
      </c>
      <c r="G179" s="242" t="s">
        <v>430</v>
      </c>
      <c r="H179" s="242" t="s">
        <v>218</v>
      </c>
      <c r="I179" s="247">
        <v>1</v>
      </c>
      <c r="J179" s="248">
        <v>2840582.81</v>
      </c>
      <c r="K179" s="248">
        <v>9188039.1999999993</v>
      </c>
      <c r="L179" s="248">
        <v>0</v>
      </c>
      <c r="M179" s="248">
        <v>180429.33</v>
      </c>
      <c r="N179" s="249">
        <f t="shared" si="81"/>
        <v>12209051.34</v>
      </c>
      <c r="O179" s="249">
        <f t="shared" si="82"/>
        <v>3853157.1963122864</v>
      </c>
      <c r="P179" s="249">
        <f t="shared" si="83"/>
        <v>12463273.113829546</v>
      </c>
      <c r="Q179" s="249">
        <f t="shared" si="84"/>
        <v>0</v>
      </c>
      <c r="R179" s="249">
        <f t="shared" si="85"/>
        <v>244746.45444865743</v>
      </c>
      <c r="S179" s="248">
        <v>16561176.764590491</v>
      </c>
      <c r="T179" s="250">
        <f t="shared" si="86"/>
        <v>1.3564671245448698</v>
      </c>
      <c r="U179" s="249">
        <f t="shared" si="87"/>
        <v>12209051.34</v>
      </c>
      <c r="V179" s="249">
        <f t="shared" si="88"/>
        <v>16561176.764590491</v>
      </c>
      <c r="W179" s="242" t="s">
        <v>419</v>
      </c>
      <c r="X179" s="242" t="s">
        <v>281</v>
      </c>
      <c r="Y179" s="251">
        <f>SUMIFS(Cert_App_Output!$G:$G,Cert_App_Output!$E:$E,$E179,Cert_App_Output!$K:$K,$X179)</f>
        <v>0</v>
      </c>
    </row>
    <row r="180" spans="1:25" x14ac:dyDescent="0.35">
      <c r="E180" s="242">
        <v>19.11</v>
      </c>
      <c r="F180" s="242" t="s">
        <v>216</v>
      </c>
      <c r="G180" s="242" t="s">
        <v>431</v>
      </c>
      <c r="H180" s="242" t="s">
        <v>218</v>
      </c>
      <c r="I180" s="247">
        <v>0</v>
      </c>
      <c r="J180" s="248">
        <v>0</v>
      </c>
      <c r="K180" s="248">
        <v>0</v>
      </c>
      <c r="L180" s="248">
        <v>0</v>
      </c>
      <c r="M180" s="248">
        <v>0</v>
      </c>
      <c r="N180" s="249">
        <f t="shared" si="81"/>
        <v>0</v>
      </c>
      <c r="O180" s="249">
        <f t="shared" si="82"/>
        <v>0</v>
      </c>
      <c r="P180" s="249">
        <f t="shared" si="83"/>
        <v>0</v>
      </c>
      <c r="Q180" s="249">
        <f t="shared" si="84"/>
        <v>0</v>
      </c>
      <c r="R180" s="249">
        <f t="shared" si="85"/>
        <v>0</v>
      </c>
      <c r="S180" s="248">
        <v>0</v>
      </c>
      <c r="T180" s="250" t="str">
        <f t="shared" si="86"/>
        <v/>
      </c>
      <c r="U180" s="249">
        <f t="shared" si="87"/>
        <v>0</v>
      </c>
      <c r="V180" s="249">
        <f t="shared" si="88"/>
        <v>0</v>
      </c>
      <c r="W180" s="242" t="s">
        <v>419</v>
      </c>
      <c r="X180" s="242" t="s">
        <v>281</v>
      </c>
      <c r="Y180" s="251">
        <f>SUMIFS(Cert_App_Output!$G:$G,Cert_App_Output!$E:$E,$E180,Cert_App_Output!$K:$K,$X180)</f>
        <v>0</v>
      </c>
    </row>
    <row r="181" spans="1:25" x14ac:dyDescent="0.35">
      <c r="A181" s="242" t="s">
        <v>58</v>
      </c>
      <c r="C181" s="242" t="s">
        <v>420</v>
      </c>
      <c r="E181" s="242">
        <v>19.12</v>
      </c>
      <c r="F181" s="242" t="s">
        <v>216</v>
      </c>
      <c r="G181" s="242" t="s">
        <v>432</v>
      </c>
      <c r="H181" s="242" t="s">
        <v>218</v>
      </c>
      <c r="I181" s="247">
        <v>1</v>
      </c>
      <c r="J181" s="248">
        <v>2501139.9300000002</v>
      </c>
      <c r="K181" s="248">
        <v>5079485.08</v>
      </c>
      <c r="L181" s="248">
        <v>0</v>
      </c>
      <c r="M181" s="248">
        <v>113709.38</v>
      </c>
      <c r="N181" s="249">
        <f t="shared" si="81"/>
        <v>7694334.3899999997</v>
      </c>
      <c r="O181" s="249">
        <f t="shared" si="82"/>
        <v>3392714.0889314585</v>
      </c>
      <c r="P181" s="249">
        <f t="shared" si="83"/>
        <v>6890154.5206361711</v>
      </c>
      <c r="Q181" s="249">
        <f t="shared" si="84"/>
        <v>0</v>
      </c>
      <c r="R181" s="249">
        <f t="shared" si="85"/>
        <v>154243.03572238001</v>
      </c>
      <c r="S181" s="248">
        <v>10437111.64529001</v>
      </c>
      <c r="T181" s="250">
        <f t="shared" si="86"/>
        <v>1.3564671245448705</v>
      </c>
      <c r="U181" s="249">
        <f t="shared" si="87"/>
        <v>7694334.3899999997</v>
      </c>
      <c r="V181" s="249">
        <f t="shared" si="88"/>
        <v>10437111.64529001</v>
      </c>
      <c r="W181" s="242" t="s">
        <v>419</v>
      </c>
      <c r="X181" s="242" t="s">
        <v>281</v>
      </c>
      <c r="Y181" s="251">
        <f>SUMIFS(Cert_App_Output!$G:$G,Cert_App_Output!$E:$E,$E181,Cert_App_Output!$K:$K,$X181)</f>
        <v>0</v>
      </c>
    </row>
    <row r="182" spans="1:25" x14ac:dyDescent="0.35">
      <c r="A182" s="242" t="s">
        <v>58</v>
      </c>
      <c r="C182" s="242" t="s">
        <v>420</v>
      </c>
      <c r="E182" s="242">
        <v>19.13</v>
      </c>
      <c r="F182" s="242" t="s">
        <v>286</v>
      </c>
      <c r="G182" s="242" t="s">
        <v>433</v>
      </c>
      <c r="H182" s="242" t="s">
        <v>218</v>
      </c>
      <c r="I182" s="247">
        <v>1</v>
      </c>
      <c r="J182" s="248">
        <v>358894.52</v>
      </c>
      <c r="K182" s="248">
        <v>625003.76</v>
      </c>
      <c r="L182" s="248">
        <v>0</v>
      </c>
      <c r="M182" s="248">
        <v>14758.47</v>
      </c>
      <c r="N182" s="249">
        <f t="shared" si="81"/>
        <v>998656.75</v>
      </c>
      <c r="O182" s="249">
        <f t="shared" si="82"/>
        <v>486828.61755931139</v>
      </c>
      <c r="P182" s="249">
        <f t="shared" si="83"/>
        <v>847797.053156932</v>
      </c>
      <c r="Q182" s="249">
        <f t="shared" si="84"/>
        <v>0</v>
      </c>
      <c r="R182" s="249">
        <f t="shared" si="85"/>
        <v>20019.379363581727</v>
      </c>
      <c r="S182" s="248">
        <v>1354645.0500798251</v>
      </c>
      <c r="T182" s="250">
        <f t="shared" si="86"/>
        <v>1.3564671245448701</v>
      </c>
      <c r="U182" s="249">
        <f t="shared" si="87"/>
        <v>998656.75</v>
      </c>
      <c r="V182" s="249">
        <f t="shared" si="88"/>
        <v>1354645.0500798251</v>
      </c>
      <c r="W182" s="242" t="s">
        <v>419</v>
      </c>
      <c r="X182" s="242" t="s">
        <v>281</v>
      </c>
      <c r="Y182" s="251">
        <f>SUMIFS(Cert_App_Output!$G:$G,Cert_App_Output!$E:$E,$E182,Cert_App_Output!$K:$K,$X182)</f>
        <v>0</v>
      </c>
    </row>
    <row r="183" spans="1:25" x14ac:dyDescent="0.35">
      <c r="A183" s="242" t="s">
        <v>58</v>
      </c>
      <c r="C183" s="242" t="s">
        <v>420</v>
      </c>
      <c r="E183" s="242">
        <v>19.14</v>
      </c>
      <c r="F183" s="242" t="s">
        <v>216</v>
      </c>
      <c r="G183" s="242" t="s">
        <v>434</v>
      </c>
      <c r="H183" s="242" t="s">
        <v>218</v>
      </c>
      <c r="I183" s="247">
        <v>1</v>
      </c>
      <c r="J183" s="248">
        <v>638103.51</v>
      </c>
      <c r="K183" s="248">
        <v>1746247.4</v>
      </c>
      <c r="L183" s="248">
        <v>0</v>
      </c>
      <c r="M183" s="248">
        <v>35765.26</v>
      </c>
      <c r="N183" s="249">
        <f t="shared" si="81"/>
        <v>2420116.17</v>
      </c>
      <c r="O183" s="249">
        <f t="shared" si="82"/>
        <v>865566.43337168882</v>
      </c>
      <c r="P183" s="249">
        <f t="shared" si="83"/>
        <v>2368727.1894219555</v>
      </c>
      <c r="Q183" s="249">
        <f t="shared" si="84"/>
        <v>0</v>
      </c>
      <c r="R183" s="249">
        <f t="shared" si="85"/>
        <v>48514.39939079967</v>
      </c>
      <c r="S183" s="248">
        <v>3282808.0221844441</v>
      </c>
      <c r="T183" s="250">
        <f t="shared" si="86"/>
        <v>1.3564671245448703</v>
      </c>
      <c r="U183" s="249">
        <f t="shared" si="87"/>
        <v>2420116.17</v>
      </c>
      <c r="V183" s="249">
        <f t="shared" si="88"/>
        <v>3282808.0221844441</v>
      </c>
      <c r="W183" s="242" t="s">
        <v>419</v>
      </c>
      <c r="X183" s="242" t="s">
        <v>281</v>
      </c>
      <c r="Y183" s="251">
        <f>SUMIFS(Cert_App_Output!$G:$G,Cert_App_Output!$E:$E,$E183,Cert_App_Output!$K:$K,$X183)</f>
        <v>0</v>
      </c>
    </row>
    <row r="184" spans="1:25" x14ac:dyDescent="0.35">
      <c r="A184" s="242" t="s">
        <v>58</v>
      </c>
      <c r="C184" s="242" t="s">
        <v>420</v>
      </c>
      <c r="E184" s="242">
        <v>19.149999999999999</v>
      </c>
      <c r="F184" s="242" t="s">
        <v>216</v>
      </c>
      <c r="G184" s="242" t="s">
        <v>435</v>
      </c>
      <c r="H184" s="242" t="s">
        <v>218</v>
      </c>
      <c r="I184" s="247">
        <v>1</v>
      </c>
      <c r="J184" s="248">
        <v>3702330.11</v>
      </c>
      <c r="K184" s="248">
        <v>3490533.25</v>
      </c>
      <c r="L184" s="248">
        <v>0</v>
      </c>
      <c r="M184" s="248">
        <v>107892.95</v>
      </c>
      <c r="N184" s="249">
        <f t="shared" si="81"/>
        <v>7300756.3099999996</v>
      </c>
      <c r="O184" s="249">
        <f t="shared" si="82"/>
        <v>5022089.0784275923</v>
      </c>
      <c r="P184" s="249">
        <f t="shared" si="83"/>
        <v>4734793.6007557595</v>
      </c>
      <c r="Q184" s="249">
        <f t="shared" si="84"/>
        <v>0</v>
      </c>
      <c r="R184" s="249">
        <f t="shared" si="85"/>
        <v>146353.23964516344</v>
      </c>
      <c r="S184" s="248">
        <v>9903235.9188285153</v>
      </c>
      <c r="T184" s="250">
        <f t="shared" si="86"/>
        <v>1.3564671245448701</v>
      </c>
      <c r="U184" s="249">
        <f t="shared" si="87"/>
        <v>7300756.3099999996</v>
      </c>
      <c r="V184" s="249">
        <f t="shared" si="88"/>
        <v>9903235.9188285153</v>
      </c>
      <c r="W184" s="242" t="s">
        <v>419</v>
      </c>
      <c r="X184" s="242" t="s">
        <v>281</v>
      </c>
      <c r="Y184" s="251">
        <f>SUMIFS(Cert_App_Output!$G:$G,Cert_App_Output!$E:$E,$E184,Cert_App_Output!$K:$K,$X184)</f>
        <v>0</v>
      </c>
    </row>
    <row r="185" spans="1:25" x14ac:dyDescent="0.35">
      <c r="A185" s="242" t="s">
        <v>58</v>
      </c>
      <c r="C185" s="242" t="s">
        <v>420</v>
      </c>
      <c r="E185" s="242">
        <v>19.16</v>
      </c>
      <c r="F185" s="242" t="s">
        <v>216</v>
      </c>
      <c r="G185" s="242" t="s">
        <v>436</v>
      </c>
      <c r="H185" s="242" t="s">
        <v>218</v>
      </c>
      <c r="I185" s="247">
        <v>1</v>
      </c>
      <c r="J185" s="248">
        <v>1540056.27</v>
      </c>
      <c r="K185" s="248">
        <v>4970416.6399999997</v>
      </c>
      <c r="L185" s="248">
        <v>0</v>
      </c>
      <c r="M185" s="248">
        <v>97657.09</v>
      </c>
      <c r="N185" s="249">
        <f t="shared" si="81"/>
        <v>6608130</v>
      </c>
      <c r="O185" s="249">
        <f t="shared" si="82"/>
        <v>2089035.700204198</v>
      </c>
      <c r="P185" s="249">
        <f t="shared" si="83"/>
        <v>6742206.7674507741</v>
      </c>
      <c r="Q185" s="249">
        <f t="shared" si="84"/>
        <v>0</v>
      </c>
      <c r="R185" s="249">
        <f t="shared" si="85"/>
        <v>132468.63206371956</v>
      </c>
      <c r="S185" s="248">
        <v>8963711.0997186918</v>
      </c>
      <c r="T185" s="250">
        <f t="shared" si="86"/>
        <v>1.3564671245448701</v>
      </c>
      <c r="U185" s="249">
        <f t="shared" si="87"/>
        <v>6608130</v>
      </c>
      <c r="V185" s="249">
        <f t="shared" si="88"/>
        <v>8963711.0997186918</v>
      </c>
      <c r="W185" s="242" t="s">
        <v>419</v>
      </c>
      <c r="X185" s="242" t="s">
        <v>281</v>
      </c>
      <c r="Y185" s="251">
        <f>SUMIFS(Cert_App_Output!$G:$G,Cert_App_Output!$E:$E,$E185,Cert_App_Output!$K:$K,$X185)</f>
        <v>0</v>
      </c>
    </row>
    <row r="186" spans="1:25" x14ac:dyDescent="0.35">
      <c r="A186" s="242" t="s">
        <v>58</v>
      </c>
      <c r="C186" s="242" t="s">
        <v>420</v>
      </c>
      <c r="E186" s="242">
        <v>19.170000000000002</v>
      </c>
      <c r="F186" s="242" t="s">
        <v>216</v>
      </c>
      <c r="G186" s="242" t="s">
        <v>437</v>
      </c>
      <c r="H186" s="242" t="s">
        <v>218</v>
      </c>
      <c r="I186" s="247">
        <v>1</v>
      </c>
      <c r="J186" s="248">
        <v>43707.03</v>
      </c>
      <c r="K186" s="248">
        <v>498927.83</v>
      </c>
      <c r="L186" s="248">
        <v>0</v>
      </c>
      <c r="M186" s="248">
        <v>8139.52</v>
      </c>
      <c r="N186" s="249">
        <f t="shared" si="81"/>
        <v>550774.38</v>
      </c>
      <c r="O186" s="249">
        <f t="shared" si="82"/>
        <v>59287.149306496365</v>
      </c>
      <c r="P186" s="249">
        <f t="shared" si="83"/>
        <v>676779.19891551172</v>
      </c>
      <c r="Q186" s="249">
        <f t="shared" si="84"/>
        <v>0</v>
      </c>
      <c r="R186" s="249">
        <f t="shared" si="85"/>
        <v>11040.991289575461</v>
      </c>
      <c r="S186" s="248">
        <v>747107.33951158356</v>
      </c>
      <c r="T186" s="250">
        <f t="shared" si="86"/>
        <v>1.3564671245448701</v>
      </c>
      <c r="U186" s="249">
        <f t="shared" si="87"/>
        <v>550774.38</v>
      </c>
      <c r="V186" s="249">
        <f t="shared" si="88"/>
        <v>747107.33951158356</v>
      </c>
      <c r="W186" s="242" t="s">
        <v>419</v>
      </c>
      <c r="X186" s="242" t="s">
        <v>281</v>
      </c>
      <c r="Y186" s="251">
        <f>SUMIFS(Cert_App_Output!$G:$G,Cert_App_Output!$E:$E,$E186,Cert_App_Output!$K:$K,$X186)</f>
        <v>0</v>
      </c>
    </row>
    <row r="187" spans="1:25" x14ac:dyDescent="0.35">
      <c r="C187" s="242" t="s">
        <v>420</v>
      </c>
      <c r="E187" s="242">
        <v>19.18</v>
      </c>
      <c r="F187" s="242" t="s">
        <v>216</v>
      </c>
      <c r="G187" s="242" t="s">
        <v>438</v>
      </c>
      <c r="H187" s="242" t="s">
        <v>218</v>
      </c>
      <c r="I187" s="247">
        <v>1</v>
      </c>
      <c r="J187" s="248">
        <v>0</v>
      </c>
      <c r="K187" s="248">
        <v>1400000</v>
      </c>
      <c r="L187" s="248">
        <v>0</v>
      </c>
      <c r="M187" s="248">
        <v>0</v>
      </c>
      <c r="N187" s="249">
        <f t="shared" si="81"/>
        <v>1400000</v>
      </c>
      <c r="O187" s="249">
        <f t="shared" si="82"/>
        <v>0</v>
      </c>
      <c r="P187" s="249">
        <f t="shared" si="83"/>
        <v>1899053.9743628181</v>
      </c>
      <c r="Q187" s="249">
        <f t="shared" si="84"/>
        <v>0</v>
      </c>
      <c r="R187" s="249">
        <f t="shared" si="85"/>
        <v>0</v>
      </c>
      <c r="S187" s="248">
        <v>1899053.9743628181</v>
      </c>
      <c r="T187" s="250">
        <f t="shared" si="86"/>
        <v>1.3564671245448701</v>
      </c>
      <c r="U187" s="249">
        <f t="shared" si="87"/>
        <v>1400000</v>
      </c>
      <c r="V187" s="249">
        <f t="shared" si="88"/>
        <v>1899053.9743628181</v>
      </c>
      <c r="W187" s="242" t="s">
        <v>419</v>
      </c>
      <c r="X187" s="242" t="s">
        <v>281</v>
      </c>
      <c r="Y187" s="251">
        <f>SUMIFS(Cert_App_Output!$G:$G,Cert_App_Output!$E:$E,$E187,Cert_App_Output!$K:$K,$X187)</f>
        <v>0</v>
      </c>
    </row>
    <row r="188" spans="1:25" x14ac:dyDescent="0.35">
      <c r="C188" s="242" t="s">
        <v>420</v>
      </c>
      <c r="E188" s="242">
        <v>19.190000000000001</v>
      </c>
      <c r="F188" s="242" t="s">
        <v>286</v>
      </c>
      <c r="G188" s="242" t="s">
        <v>439</v>
      </c>
      <c r="H188" s="242" t="s">
        <v>218</v>
      </c>
      <c r="I188" s="247">
        <v>1</v>
      </c>
      <c r="J188" s="248">
        <v>0</v>
      </c>
      <c r="K188" s="248">
        <v>1400000</v>
      </c>
      <c r="L188" s="248">
        <v>0</v>
      </c>
      <c r="M188" s="248">
        <v>0</v>
      </c>
      <c r="N188" s="249">
        <f t="shared" si="81"/>
        <v>1400000</v>
      </c>
      <c r="O188" s="249">
        <f t="shared" si="82"/>
        <v>0</v>
      </c>
      <c r="P188" s="249">
        <f t="shared" si="83"/>
        <v>1899053.9743628181</v>
      </c>
      <c r="Q188" s="249">
        <f t="shared" si="84"/>
        <v>0</v>
      </c>
      <c r="R188" s="249">
        <f t="shared" si="85"/>
        <v>0</v>
      </c>
      <c r="S188" s="248">
        <v>1899053.9743628181</v>
      </c>
      <c r="T188" s="250">
        <f t="shared" si="86"/>
        <v>1.3564671245448701</v>
      </c>
      <c r="U188" s="249">
        <f t="shared" si="87"/>
        <v>1400000</v>
      </c>
      <c r="V188" s="249">
        <f t="shared" si="88"/>
        <v>1899053.9743628181</v>
      </c>
      <c r="W188" s="242" t="s">
        <v>419</v>
      </c>
      <c r="X188" s="242" t="s">
        <v>281</v>
      </c>
      <c r="Y188" s="251">
        <f>SUMIFS(Cert_App_Output!$G:$G,Cert_App_Output!$E:$E,$E188,Cert_App_Output!$K:$K,$X188)</f>
        <v>0</v>
      </c>
    </row>
    <row r="189" spans="1:25" x14ac:dyDescent="0.35">
      <c r="F189" s="242" t="s">
        <v>212</v>
      </c>
      <c r="G189" s="242" t="s">
        <v>440</v>
      </c>
      <c r="I189" s="243"/>
      <c r="J189" s="244"/>
      <c r="K189" s="244"/>
      <c r="L189" s="244"/>
      <c r="M189" s="244"/>
      <c r="N189" s="244"/>
      <c r="O189" s="244"/>
      <c r="P189" s="244"/>
      <c r="Q189" s="244"/>
      <c r="R189" s="244"/>
      <c r="S189" s="244"/>
      <c r="T189" s="245"/>
      <c r="U189" s="244"/>
      <c r="V189" s="244"/>
      <c r="W189" s="242" t="s">
        <v>441</v>
      </c>
      <c r="X189" s="242" t="s">
        <v>281</v>
      </c>
      <c r="Y189" s="246"/>
    </row>
    <row r="190" spans="1:25" x14ac:dyDescent="0.35">
      <c r="A190" s="242" t="s">
        <v>442</v>
      </c>
      <c r="C190" s="242" t="s">
        <v>443</v>
      </c>
      <c r="E190" s="242">
        <v>20.010000000000002</v>
      </c>
      <c r="F190" s="242" t="s">
        <v>216</v>
      </c>
      <c r="G190" s="242" t="s">
        <v>444</v>
      </c>
      <c r="H190" s="242" t="s">
        <v>261</v>
      </c>
      <c r="I190" s="247">
        <v>40</v>
      </c>
      <c r="J190" s="248">
        <v>247500</v>
      </c>
      <c r="K190" s="248">
        <v>230000</v>
      </c>
      <c r="L190" s="248">
        <v>0</v>
      </c>
      <c r="M190" s="248">
        <v>0</v>
      </c>
      <c r="N190" s="249">
        <f>SUM(J190:M190)</f>
        <v>477500</v>
      </c>
      <c r="O190" s="249">
        <f>IF($N190=0,$S190,J190/$N190*$S190)</f>
        <v>335725.6133248554</v>
      </c>
      <c r="P190" s="249">
        <f t="shared" ref="P190:R191" si="89">IF($N190=0,0,K190/$N190*$S190)</f>
        <v>311987.43864532013</v>
      </c>
      <c r="Q190" s="249">
        <f t="shared" si="89"/>
        <v>0</v>
      </c>
      <c r="R190" s="249">
        <f t="shared" si="89"/>
        <v>0</v>
      </c>
      <c r="S190" s="248">
        <v>647713.05197017547</v>
      </c>
      <c r="T190" s="250">
        <f>IFERROR(S190/N190,"")</f>
        <v>1.3564671245448701</v>
      </c>
      <c r="U190" s="249">
        <f>N190*I190</f>
        <v>19100000</v>
      </c>
      <c r="V190" s="249">
        <f>S190*I190</f>
        <v>25908522.078807019</v>
      </c>
      <c r="W190" s="242" t="s">
        <v>441</v>
      </c>
      <c r="X190" s="242" t="s">
        <v>281</v>
      </c>
      <c r="Y190" s="251">
        <f>SUMIFS(Cert_App_Output!$G:$G,Cert_App_Output!$E:$E,$E190,Cert_App_Output!$K:$K,$X190)</f>
        <v>0</v>
      </c>
    </row>
    <row r="191" spans="1:25" x14ac:dyDescent="0.35">
      <c r="E191" s="242">
        <v>20.02</v>
      </c>
      <c r="F191" s="242" t="s">
        <v>216</v>
      </c>
      <c r="G191" s="242" t="s">
        <v>445</v>
      </c>
      <c r="H191" s="242" t="s">
        <v>261</v>
      </c>
      <c r="I191" s="247">
        <v>0</v>
      </c>
      <c r="J191" s="248">
        <v>0</v>
      </c>
      <c r="K191" s="248">
        <v>0</v>
      </c>
      <c r="L191" s="248">
        <v>0</v>
      </c>
      <c r="M191" s="248">
        <v>0</v>
      </c>
      <c r="N191" s="249">
        <f>SUM(J191:M191)</f>
        <v>0</v>
      </c>
      <c r="O191" s="249">
        <f>IF($N191=0,$S191,J191/$N191*$S191)</f>
        <v>0</v>
      </c>
      <c r="P191" s="249">
        <f t="shared" si="89"/>
        <v>0</v>
      </c>
      <c r="Q191" s="249">
        <f t="shared" si="89"/>
        <v>0</v>
      </c>
      <c r="R191" s="249">
        <f t="shared" si="89"/>
        <v>0</v>
      </c>
      <c r="S191" s="248">
        <v>0</v>
      </c>
      <c r="T191" s="250" t="str">
        <f>IFERROR(S191/N191,"")</f>
        <v/>
      </c>
      <c r="U191" s="249">
        <f>N191*I191</f>
        <v>0</v>
      </c>
      <c r="V191" s="249">
        <f>S191*I191</f>
        <v>0</v>
      </c>
      <c r="W191" s="242" t="s">
        <v>441</v>
      </c>
      <c r="X191" s="242" t="s">
        <v>281</v>
      </c>
      <c r="Y191" s="251">
        <f>SUMIFS(Cert_App_Output!$G:$G,Cert_App_Output!$E:$E,$E191,Cert_App_Output!$K:$K,$X191)</f>
        <v>0</v>
      </c>
    </row>
    <row r="192" spans="1:25" x14ac:dyDescent="0.35">
      <c r="F192" s="242" t="s">
        <v>212</v>
      </c>
      <c r="G192" s="242" t="s">
        <v>446</v>
      </c>
      <c r="I192" s="243"/>
      <c r="J192" s="244"/>
      <c r="K192" s="244"/>
      <c r="L192" s="244"/>
      <c r="M192" s="244"/>
      <c r="N192" s="244"/>
      <c r="O192" s="244"/>
      <c r="P192" s="244"/>
      <c r="Q192" s="244"/>
      <c r="R192" s="244"/>
      <c r="S192" s="244"/>
      <c r="T192" s="245"/>
      <c r="U192" s="244"/>
      <c r="V192" s="244"/>
      <c r="W192" s="242" t="s">
        <v>447</v>
      </c>
      <c r="X192" s="242" t="s">
        <v>281</v>
      </c>
      <c r="Y192" s="246"/>
    </row>
    <row r="193" spans="1:25" x14ac:dyDescent="0.35">
      <c r="E193" s="242">
        <v>21.01</v>
      </c>
      <c r="F193" s="242" t="s">
        <v>216</v>
      </c>
      <c r="G193" s="242" t="s">
        <v>448</v>
      </c>
      <c r="H193" s="242" t="s">
        <v>218</v>
      </c>
      <c r="I193" s="247">
        <v>0</v>
      </c>
      <c r="J193" s="248">
        <v>0</v>
      </c>
      <c r="K193" s="248">
        <v>0</v>
      </c>
      <c r="L193" s="248">
        <v>0</v>
      </c>
      <c r="M193" s="248">
        <v>0</v>
      </c>
      <c r="N193" s="249">
        <f>SUM(J193:M193)</f>
        <v>0</v>
      </c>
      <c r="O193" s="249">
        <f>IF($N193=0,$S193,J193/$N193*$S193)</f>
        <v>0</v>
      </c>
      <c r="P193" s="249">
        <f>IF($N193=0,0,K193/$N193*$S193)</f>
        <v>0</v>
      </c>
      <c r="Q193" s="249">
        <f>IF($N193=0,0,L193/$N193*$S193)</f>
        <v>0</v>
      </c>
      <c r="R193" s="249">
        <f>IF($N193=0,0,M193/$N193*$S193)</f>
        <v>0</v>
      </c>
      <c r="S193" s="248">
        <v>0</v>
      </c>
      <c r="T193" s="250" t="str">
        <f>IFERROR(S193/N193,"")</f>
        <v/>
      </c>
      <c r="U193" s="249">
        <f>N193*I193</f>
        <v>0</v>
      </c>
      <c r="V193" s="249">
        <f>S193*I193</f>
        <v>0</v>
      </c>
      <c r="W193" s="242" t="s">
        <v>447</v>
      </c>
      <c r="X193" s="242" t="s">
        <v>281</v>
      </c>
      <c r="Y193" s="251">
        <f>SUMIFS(Cert_App_Output!$G:$G,Cert_App_Output!$E:$E,$E193,Cert_App_Output!$K:$K,$X193)</f>
        <v>0</v>
      </c>
    </row>
    <row r="194" spans="1:25" x14ac:dyDescent="0.35">
      <c r="F194" s="242" t="s">
        <v>212</v>
      </c>
      <c r="G194" s="242" t="s">
        <v>449</v>
      </c>
      <c r="I194" s="243"/>
      <c r="J194" s="244"/>
      <c r="K194" s="244"/>
      <c r="L194" s="244"/>
      <c r="M194" s="244"/>
      <c r="N194" s="244"/>
      <c r="O194" s="244"/>
      <c r="P194" s="244"/>
      <c r="Q194" s="244"/>
      <c r="R194" s="244"/>
      <c r="S194" s="244"/>
      <c r="T194" s="245"/>
      <c r="U194" s="244"/>
      <c r="V194" s="244"/>
      <c r="W194" s="242" t="s">
        <v>450</v>
      </c>
      <c r="X194" s="242" t="s">
        <v>281</v>
      </c>
      <c r="Y194" s="246"/>
    </row>
    <row r="195" spans="1:25" x14ac:dyDescent="0.35">
      <c r="C195" s="242" t="s">
        <v>132</v>
      </c>
      <c r="E195" s="242">
        <v>22.01</v>
      </c>
      <c r="F195" s="242" t="s">
        <v>216</v>
      </c>
      <c r="G195" s="242" t="s">
        <v>451</v>
      </c>
      <c r="H195" s="242" t="s">
        <v>261</v>
      </c>
      <c r="I195" s="247">
        <v>50</v>
      </c>
      <c r="J195" s="248">
        <v>0</v>
      </c>
      <c r="K195" s="248">
        <v>59550</v>
      </c>
      <c r="L195" s="248">
        <v>0</v>
      </c>
      <c r="M195" s="248">
        <v>0</v>
      </c>
      <c r="N195" s="249">
        <f>SUM(J195:M195)</f>
        <v>59550</v>
      </c>
      <c r="O195" s="249">
        <f>IF($N195=0,$S195,J195/$N195*$S195)</f>
        <v>0</v>
      </c>
      <c r="P195" s="249">
        <f t="shared" ref="P195:R196" si="90">IF($N195=0,0,K195/$N195*$S195)</f>
        <v>80777.617266647008</v>
      </c>
      <c r="Q195" s="249">
        <f t="shared" si="90"/>
        <v>0</v>
      </c>
      <c r="R195" s="249">
        <f t="shared" si="90"/>
        <v>0</v>
      </c>
      <c r="S195" s="248">
        <v>80777.617266647008</v>
      </c>
      <c r="T195" s="250">
        <f>IFERROR(S195/N195,"")</f>
        <v>1.3564671245448701</v>
      </c>
      <c r="U195" s="249">
        <f>N195*I195</f>
        <v>2977500</v>
      </c>
      <c r="V195" s="249">
        <f>S195*I195</f>
        <v>4038880.8633323503</v>
      </c>
      <c r="W195" s="242" t="s">
        <v>450</v>
      </c>
      <c r="X195" s="242" t="s">
        <v>281</v>
      </c>
      <c r="Y195" s="251">
        <f>SUMIFS(Cert_App_Output!$G:$G,Cert_App_Output!$E:$E,$E195,Cert_App_Output!$K:$K,$X195)</f>
        <v>0</v>
      </c>
    </row>
    <row r="196" spans="1:25" x14ac:dyDescent="0.35">
      <c r="E196" s="242">
        <v>22.02</v>
      </c>
      <c r="F196" s="242" t="s">
        <v>216</v>
      </c>
      <c r="G196" s="242" t="s">
        <v>452</v>
      </c>
      <c r="H196" s="242" t="s">
        <v>261</v>
      </c>
      <c r="I196" s="247">
        <v>0</v>
      </c>
      <c r="J196" s="248">
        <v>0</v>
      </c>
      <c r="K196" s="248">
        <v>0</v>
      </c>
      <c r="L196" s="248">
        <v>0</v>
      </c>
      <c r="M196" s="248">
        <v>0</v>
      </c>
      <c r="N196" s="249">
        <f>SUM(J196:M196)</f>
        <v>0</v>
      </c>
      <c r="O196" s="249">
        <f>IF($N196=0,$S196,J196/$N196*$S196)</f>
        <v>0</v>
      </c>
      <c r="P196" s="249">
        <f t="shared" si="90"/>
        <v>0</v>
      </c>
      <c r="Q196" s="249">
        <f t="shared" si="90"/>
        <v>0</v>
      </c>
      <c r="R196" s="249">
        <f t="shared" si="90"/>
        <v>0</v>
      </c>
      <c r="S196" s="248">
        <v>0</v>
      </c>
      <c r="T196" s="250" t="str">
        <f>IFERROR(S196/N196,"")</f>
        <v/>
      </c>
      <c r="U196" s="249">
        <f>N196*I196</f>
        <v>0</v>
      </c>
      <c r="V196" s="249">
        <f>S196*I196</f>
        <v>0</v>
      </c>
      <c r="W196" s="242" t="s">
        <v>450</v>
      </c>
      <c r="X196" s="242" t="s">
        <v>281</v>
      </c>
      <c r="Y196" s="251">
        <f>SUMIFS(Cert_App_Output!$G:$G,Cert_App_Output!$E:$E,$E196,Cert_App_Output!$K:$K,$X196)</f>
        <v>0</v>
      </c>
    </row>
    <row r="197" spans="1:25" x14ac:dyDescent="0.35">
      <c r="F197" s="242" t="s">
        <v>212</v>
      </c>
      <c r="G197" s="242" t="s">
        <v>453</v>
      </c>
      <c r="I197" s="243"/>
      <c r="J197" s="244"/>
      <c r="K197" s="244"/>
      <c r="L197" s="244"/>
      <c r="M197" s="244"/>
      <c r="N197" s="244"/>
      <c r="O197" s="244"/>
      <c r="P197" s="244"/>
      <c r="Q197" s="244"/>
      <c r="R197" s="244"/>
      <c r="S197" s="244"/>
      <c r="T197" s="245"/>
      <c r="U197" s="244"/>
      <c r="V197" s="244"/>
      <c r="W197" s="242" t="s">
        <v>454</v>
      </c>
      <c r="X197" s="242" t="s">
        <v>281</v>
      </c>
      <c r="Y197" s="246"/>
    </row>
    <row r="198" spans="1:25" x14ac:dyDescent="0.35">
      <c r="A198" s="242" t="s">
        <v>36</v>
      </c>
      <c r="C198" s="242" t="s">
        <v>73</v>
      </c>
      <c r="D198" s="242" t="s">
        <v>73</v>
      </c>
      <c r="E198" s="242">
        <v>23.01</v>
      </c>
      <c r="F198" s="242" t="s">
        <v>216</v>
      </c>
      <c r="G198" s="242" t="s">
        <v>455</v>
      </c>
      <c r="H198" s="242" t="s">
        <v>261</v>
      </c>
      <c r="I198" s="247">
        <v>8</v>
      </c>
      <c r="J198" s="248">
        <v>25000</v>
      </c>
      <c r="K198" s="248">
        <v>20000</v>
      </c>
      <c r="L198" s="248">
        <v>150902.35999999999</v>
      </c>
      <c r="M198" s="248">
        <v>2938.54</v>
      </c>
      <c r="N198" s="249">
        <f>SUM(J198:M198)</f>
        <v>198840.9</v>
      </c>
      <c r="O198" s="249">
        <f>IF($N198=0,$S198,J198/$N198*$S198)</f>
        <v>33911.678113621747</v>
      </c>
      <c r="P198" s="249">
        <f t="shared" ref="P198:R200" si="91">IF($N198=0,0,K198/$N198*$S198)</f>
        <v>27129.342490897398</v>
      </c>
      <c r="Q198" s="249">
        <f t="shared" si="91"/>
        <v>204694.09035623478</v>
      </c>
      <c r="R198" s="249">
        <f t="shared" si="91"/>
        <v>3986.0329041600821</v>
      </c>
      <c r="S198" s="248">
        <v>269721.14386491402</v>
      </c>
      <c r="T198" s="250">
        <f>IFERROR(S198/N198,"")</f>
        <v>1.3564671245448698</v>
      </c>
      <c r="U198" s="249">
        <f>N198*I198</f>
        <v>1590727.2</v>
      </c>
      <c r="V198" s="249">
        <f>S198*I198</f>
        <v>2157769.1509193121</v>
      </c>
      <c r="W198" s="242" t="s">
        <v>454</v>
      </c>
      <c r="X198" s="242" t="s">
        <v>281</v>
      </c>
      <c r="Y198" s="251">
        <f>SUMIFS(Cert_App_Output!$G:$G,Cert_App_Output!$E:$E,$E198,Cert_App_Output!$K:$K,$X198)</f>
        <v>0</v>
      </c>
    </row>
    <row r="199" spans="1:25" x14ac:dyDescent="0.35">
      <c r="A199" s="242" t="s">
        <v>36</v>
      </c>
      <c r="D199" s="242" t="s">
        <v>73</v>
      </c>
      <c r="E199" s="242">
        <v>23.02</v>
      </c>
      <c r="F199" s="242" t="s">
        <v>286</v>
      </c>
      <c r="G199" s="242" t="s">
        <v>456</v>
      </c>
      <c r="H199" s="242" t="s">
        <v>218</v>
      </c>
      <c r="I199" s="247">
        <v>1</v>
      </c>
      <c r="J199" s="248">
        <v>60000</v>
      </c>
      <c r="K199" s="248">
        <v>0</v>
      </c>
      <c r="L199" s="248">
        <v>383392.16</v>
      </c>
      <c r="M199" s="248">
        <v>6650.88</v>
      </c>
      <c r="N199" s="249">
        <f>SUM(J199:M199)</f>
        <v>450043.04</v>
      </c>
      <c r="O199" s="249">
        <f>IF($N199=0,$S199,J199/$N199*$S199)</f>
        <v>81388.027472692222</v>
      </c>
      <c r="P199" s="249">
        <f t="shared" si="91"/>
        <v>0</v>
      </c>
      <c r="Q199" s="249">
        <f t="shared" si="91"/>
        <v>520058.86084824672</v>
      </c>
      <c r="R199" s="249">
        <f t="shared" si="91"/>
        <v>9021.7000692929869</v>
      </c>
      <c r="S199" s="248">
        <v>610468.58839023195</v>
      </c>
      <c r="T199" s="250">
        <f>IFERROR(S199/N199,"")</f>
        <v>1.3564671245448701</v>
      </c>
      <c r="U199" s="249">
        <f>N199*I199</f>
        <v>450043.04</v>
      </c>
      <c r="V199" s="249">
        <f>S199*I199</f>
        <v>610468.58839023195</v>
      </c>
      <c r="W199" s="242" t="s">
        <v>454</v>
      </c>
      <c r="X199" s="242" t="s">
        <v>281</v>
      </c>
      <c r="Y199" s="251">
        <f>SUMIFS(Cert_App_Output!$G:$G,Cert_App_Output!$E:$E,$E199,Cert_App_Output!$K:$K,$X199)</f>
        <v>0</v>
      </c>
    </row>
    <row r="200" spans="1:25" x14ac:dyDescent="0.35">
      <c r="C200" s="242" t="s">
        <v>73</v>
      </c>
      <c r="E200" s="242">
        <v>23.03</v>
      </c>
      <c r="F200" s="242" t="s">
        <v>286</v>
      </c>
      <c r="G200" s="242" t="s">
        <v>457</v>
      </c>
      <c r="H200" s="242" t="s">
        <v>218</v>
      </c>
      <c r="I200" s="247">
        <v>1</v>
      </c>
      <c r="J200" s="248">
        <v>0</v>
      </c>
      <c r="K200" s="248">
        <v>2357500</v>
      </c>
      <c r="L200" s="248">
        <v>0</v>
      </c>
      <c r="M200" s="248">
        <v>35362.5</v>
      </c>
      <c r="N200" s="249">
        <f>SUM(J200:M200)</f>
        <v>2392862.5</v>
      </c>
      <c r="O200" s="249">
        <f>IF($N200=0,$S200,J200/$N200*$S200)</f>
        <v>0</v>
      </c>
      <c r="P200" s="249">
        <f t="shared" si="91"/>
        <v>3197871.2461145311</v>
      </c>
      <c r="Q200" s="249">
        <f t="shared" si="91"/>
        <v>0</v>
      </c>
      <c r="R200" s="249">
        <f t="shared" si="91"/>
        <v>47968.068691717963</v>
      </c>
      <c r="S200" s="248">
        <v>3245839.314806249</v>
      </c>
      <c r="T200" s="250">
        <f>IFERROR(S200/N200,"")</f>
        <v>1.3564671245448701</v>
      </c>
      <c r="U200" s="249">
        <f>N200*I200</f>
        <v>2392862.5</v>
      </c>
      <c r="V200" s="249">
        <f>S200*I200</f>
        <v>3245839.314806249</v>
      </c>
      <c r="W200" s="242" t="s">
        <v>454</v>
      </c>
      <c r="X200" s="242" t="s">
        <v>281</v>
      </c>
      <c r="Y200" s="251">
        <f>SUMIFS(Cert_App_Output!$G:$G,Cert_App_Output!$E:$E,$E200,Cert_App_Output!$K:$K,$X200)</f>
        <v>0</v>
      </c>
    </row>
    <row r="201" spans="1:25" x14ac:dyDescent="0.35">
      <c r="F201" s="242" t="s">
        <v>212</v>
      </c>
      <c r="G201" s="242" t="s">
        <v>264</v>
      </c>
      <c r="I201" s="243"/>
      <c r="J201" s="244"/>
      <c r="K201" s="244"/>
      <c r="L201" s="244"/>
      <c r="M201" s="244"/>
      <c r="N201" s="244"/>
      <c r="O201" s="244"/>
      <c r="P201" s="244"/>
      <c r="Q201" s="244"/>
      <c r="R201" s="244"/>
      <c r="S201" s="244"/>
      <c r="T201" s="245"/>
      <c r="U201" s="244"/>
      <c r="V201" s="244"/>
      <c r="W201" s="242" t="s">
        <v>265</v>
      </c>
      <c r="X201" s="242" t="s">
        <v>281</v>
      </c>
      <c r="Y201" s="246"/>
    </row>
    <row r="202" spans="1:25" x14ac:dyDescent="0.35">
      <c r="C202" s="242" t="s">
        <v>73</v>
      </c>
      <c r="E202" s="242">
        <v>24.01</v>
      </c>
      <c r="F202" s="242" t="s">
        <v>216</v>
      </c>
      <c r="G202" s="242" t="s">
        <v>266</v>
      </c>
      <c r="H202" s="242" t="s">
        <v>226</v>
      </c>
      <c r="I202" s="247">
        <v>9</v>
      </c>
      <c r="J202" s="248">
        <v>0</v>
      </c>
      <c r="K202" s="248">
        <v>806885.99</v>
      </c>
      <c r="L202" s="248">
        <v>0</v>
      </c>
      <c r="M202" s="248">
        <v>0</v>
      </c>
      <c r="N202" s="249">
        <f t="shared" ref="N202:N208" si="92">SUM(J202:M202)</f>
        <v>806885.99</v>
      </c>
      <c r="O202" s="249">
        <f t="shared" ref="O202:O208" si="93">IF($N202=0,$S202,J202/$N202*$S202)</f>
        <v>0</v>
      </c>
      <c r="P202" s="249">
        <f t="shared" ref="P202:R208" si="94">IF($N202=0,0,K202/$N202*$S202)</f>
        <v>1094514.3186908411</v>
      </c>
      <c r="Q202" s="249">
        <f t="shared" si="94"/>
        <v>0</v>
      </c>
      <c r="R202" s="249">
        <f t="shared" si="94"/>
        <v>0</v>
      </c>
      <c r="S202" s="248">
        <v>1094514.3186908411</v>
      </c>
      <c r="T202" s="250">
        <f t="shared" ref="T202:T208" si="95">IFERROR(S202/N202,"")</f>
        <v>1.3564671245448705</v>
      </c>
      <c r="U202" s="249">
        <f t="shared" ref="U202:U208" si="96">N202*I202</f>
        <v>7261973.9100000001</v>
      </c>
      <c r="V202" s="249">
        <f t="shared" ref="V202:V208" si="97">S202*I202</f>
        <v>9850628.8682175688</v>
      </c>
      <c r="W202" s="242" t="s">
        <v>265</v>
      </c>
      <c r="X202" s="242" t="s">
        <v>281</v>
      </c>
      <c r="Y202" s="251">
        <f>SUMIFS(Cert_App_Output!$G:$G,Cert_App_Output!$E:$E,$E202,Cert_App_Output!$K:$K,$X202)</f>
        <v>0</v>
      </c>
    </row>
    <row r="203" spans="1:25" x14ac:dyDescent="0.35">
      <c r="C203" s="242" t="s">
        <v>69</v>
      </c>
      <c r="E203" s="242">
        <v>24.03</v>
      </c>
      <c r="F203" s="242" t="s">
        <v>216</v>
      </c>
      <c r="G203" s="242" t="s">
        <v>268</v>
      </c>
      <c r="H203" s="242" t="s">
        <v>226</v>
      </c>
      <c r="I203" s="247">
        <v>9</v>
      </c>
      <c r="J203" s="248">
        <v>0</v>
      </c>
      <c r="K203" s="248">
        <v>300000</v>
      </c>
      <c r="L203" s="248">
        <v>0</v>
      </c>
      <c r="M203" s="248">
        <v>0</v>
      </c>
      <c r="N203" s="249">
        <f t="shared" si="92"/>
        <v>300000</v>
      </c>
      <c r="O203" s="249">
        <f t="shared" si="93"/>
        <v>0</v>
      </c>
      <c r="P203" s="249">
        <f t="shared" si="94"/>
        <v>406940.13736346102</v>
      </c>
      <c r="Q203" s="249">
        <f t="shared" si="94"/>
        <v>0</v>
      </c>
      <c r="R203" s="249">
        <f t="shared" si="94"/>
        <v>0</v>
      </c>
      <c r="S203" s="248">
        <v>406940.13736346102</v>
      </c>
      <c r="T203" s="250">
        <f t="shared" si="95"/>
        <v>1.3564671245448701</v>
      </c>
      <c r="U203" s="249">
        <f t="shared" si="96"/>
        <v>2700000</v>
      </c>
      <c r="V203" s="249">
        <f t="shared" si="97"/>
        <v>3662461.236271149</v>
      </c>
      <c r="W203" s="242" t="s">
        <v>265</v>
      </c>
      <c r="X203" s="242" t="s">
        <v>281</v>
      </c>
      <c r="Y203" s="251">
        <f>SUMIFS(Cert_App_Output!$G:$G,Cert_App_Output!$E:$E,$E203,Cert_App_Output!$K:$K,$X203)</f>
        <v>0</v>
      </c>
    </row>
    <row r="204" spans="1:25" x14ac:dyDescent="0.35">
      <c r="A204" s="242" t="s">
        <v>36</v>
      </c>
      <c r="D204" s="242" t="s">
        <v>73</v>
      </c>
      <c r="E204" s="242">
        <v>24.05</v>
      </c>
      <c r="F204" s="242" t="s">
        <v>216</v>
      </c>
      <c r="G204" s="242" t="s">
        <v>270</v>
      </c>
      <c r="H204" s="242" t="s">
        <v>226</v>
      </c>
      <c r="I204" s="247">
        <v>9</v>
      </c>
      <c r="J204" s="248">
        <v>50000</v>
      </c>
      <c r="K204" s="248">
        <v>0</v>
      </c>
      <c r="L204" s="248">
        <v>657280.53</v>
      </c>
      <c r="M204" s="248">
        <v>10609.21</v>
      </c>
      <c r="N204" s="249">
        <f t="shared" si="92"/>
        <v>717889.74</v>
      </c>
      <c r="O204" s="249">
        <f t="shared" si="93"/>
        <v>67823.356227243508</v>
      </c>
      <c r="P204" s="249">
        <f t="shared" si="94"/>
        <v>0</v>
      </c>
      <c r="Q204" s="249">
        <f t="shared" si="94"/>
        <v>891579.43054842832</v>
      </c>
      <c r="R204" s="249">
        <f t="shared" si="94"/>
        <v>14391.04458239268</v>
      </c>
      <c r="S204" s="248">
        <v>973793.83135806443</v>
      </c>
      <c r="T204" s="250">
        <f t="shared" si="95"/>
        <v>1.3564671245448701</v>
      </c>
      <c r="U204" s="249">
        <f t="shared" si="96"/>
        <v>6461007.6600000001</v>
      </c>
      <c r="V204" s="249">
        <f t="shared" si="97"/>
        <v>8764144.4822225794</v>
      </c>
      <c r="W204" s="242" t="s">
        <v>265</v>
      </c>
      <c r="X204" s="242" t="s">
        <v>281</v>
      </c>
      <c r="Y204" s="251">
        <f>SUMIFS(Cert_App_Output!$G:$G,Cert_App_Output!$E:$E,$E204,Cert_App_Output!$K:$K,$X204)</f>
        <v>0</v>
      </c>
    </row>
    <row r="205" spans="1:25" x14ac:dyDescent="0.35">
      <c r="A205" s="242" t="s">
        <v>36</v>
      </c>
      <c r="D205" s="242" t="s">
        <v>73</v>
      </c>
      <c r="E205" s="242">
        <v>24.06</v>
      </c>
      <c r="F205" s="242" t="s">
        <v>216</v>
      </c>
      <c r="G205" s="242" t="s">
        <v>271</v>
      </c>
      <c r="H205" s="242" t="s">
        <v>226</v>
      </c>
      <c r="I205" s="247">
        <v>9</v>
      </c>
      <c r="J205" s="248">
        <v>50000</v>
      </c>
      <c r="K205" s="248">
        <v>0</v>
      </c>
      <c r="L205" s="248">
        <v>591716.39</v>
      </c>
      <c r="M205" s="248">
        <v>9625.75</v>
      </c>
      <c r="N205" s="249">
        <f t="shared" si="92"/>
        <v>651342.14</v>
      </c>
      <c r="O205" s="249">
        <f t="shared" si="93"/>
        <v>67823.356227243494</v>
      </c>
      <c r="P205" s="249">
        <f t="shared" si="94"/>
        <v>0</v>
      </c>
      <c r="Q205" s="249">
        <f t="shared" si="94"/>
        <v>802643.83008937095</v>
      </c>
      <c r="R205" s="249">
        <f t="shared" si="94"/>
        <v>13057.013424087781</v>
      </c>
      <c r="S205" s="248">
        <v>883524.19974070217</v>
      </c>
      <c r="T205" s="250">
        <f t="shared" si="95"/>
        <v>1.3564671245448701</v>
      </c>
      <c r="U205" s="249">
        <f t="shared" si="96"/>
        <v>5862079.2599999998</v>
      </c>
      <c r="V205" s="249">
        <f t="shared" si="97"/>
        <v>7951717.7976663196</v>
      </c>
      <c r="W205" s="242" t="s">
        <v>265</v>
      </c>
      <c r="X205" s="242" t="s">
        <v>281</v>
      </c>
      <c r="Y205" s="251">
        <f>SUMIFS(Cert_App_Output!$G:$G,Cert_App_Output!$E:$E,$E205,Cert_App_Output!$K:$K,$X205)</f>
        <v>0</v>
      </c>
    </row>
    <row r="206" spans="1:25" x14ac:dyDescent="0.35">
      <c r="A206" s="242" t="s">
        <v>36</v>
      </c>
      <c r="D206" s="242" t="s">
        <v>73</v>
      </c>
      <c r="E206" s="242">
        <v>24.07</v>
      </c>
      <c r="F206" s="242" t="s">
        <v>216</v>
      </c>
      <c r="G206" s="242" t="s">
        <v>458</v>
      </c>
      <c r="H206" s="242" t="s">
        <v>218</v>
      </c>
      <c r="I206" s="247">
        <v>1</v>
      </c>
      <c r="J206" s="248">
        <v>500000</v>
      </c>
      <c r="K206" s="248">
        <v>0</v>
      </c>
      <c r="L206" s="248">
        <v>4034429.93</v>
      </c>
      <c r="M206" s="248">
        <v>68016.45</v>
      </c>
      <c r="N206" s="249">
        <f t="shared" si="92"/>
        <v>4602446.38</v>
      </c>
      <c r="O206" s="249">
        <f t="shared" si="93"/>
        <v>678233.56227243505</v>
      </c>
      <c r="P206" s="249">
        <f t="shared" si="94"/>
        <v>0</v>
      </c>
      <c r="Q206" s="249">
        <f t="shared" si="94"/>
        <v>5472571.5663248617</v>
      </c>
      <c r="R206" s="249">
        <f t="shared" si="94"/>
        <v>92262.078353249919</v>
      </c>
      <c r="S206" s="248">
        <v>6243067.2069505462</v>
      </c>
      <c r="T206" s="250">
        <f t="shared" si="95"/>
        <v>1.3564671245448701</v>
      </c>
      <c r="U206" s="249">
        <f t="shared" si="96"/>
        <v>4602446.38</v>
      </c>
      <c r="V206" s="249">
        <f t="shared" si="97"/>
        <v>6243067.2069505462</v>
      </c>
      <c r="W206" s="242" t="s">
        <v>265</v>
      </c>
      <c r="X206" s="242" t="s">
        <v>281</v>
      </c>
      <c r="Y206" s="251">
        <f>SUMIFS(Cert_App_Output!$G:$G,Cert_App_Output!$E:$E,$E206,Cert_App_Output!$K:$K,$X206)</f>
        <v>0</v>
      </c>
    </row>
    <row r="207" spans="1:25" x14ac:dyDescent="0.35">
      <c r="C207" s="242" t="s">
        <v>62</v>
      </c>
      <c r="E207" s="242">
        <v>24.08</v>
      </c>
      <c r="F207" s="242" t="s">
        <v>216</v>
      </c>
      <c r="G207" s="242" t="s">
        <v>272</v>
      </c>
      <c r="H207" s="242" t="s">
        <v>226</v>
      </c>
      <c r="I207" s="247">
        <v>9</v>
      </c>
      <c r="J207" s="248">
        <v>0</v>
      </c>
      <c r="K207" s="248">
        <v>300000</v>
      </c>
      <c r="L207" s="248">
        <v>0</v>
      </c>
      <c r="M207" s="248">
        <v>0</v>
      </c>
      <c r="N207" s="249">
        <f t="shared" si="92"/>
        <v>300000</v>
      </c>
      <c r="O207" s="249">
        <f t="shared" si="93"/>
        <v>0</v>
      </c>
      <c r="P207" s="249">
        <f t="shared" si="94"/>
        <v>406940.13736346102</v>
      </c>
      <c r="Q207" s="249">
        <f t="shared" si="94"/>
        <v>0</v>
      </c>
      <c r="R207" s="249">
        <f t="shared" si="94"/>
        <v>0</v>
      </c>
      <c r="S207" s="248">
        <v>406940.13736346102</v>
      </c>
      <c r="T207" s="250">
        <f t="shared" si="95"/>
        <v>1.3564671245448701</v>
      </c>
      <c r="U207" s="249">
        <f t="shared" si="96"/>
        <v>2700000</v>
      </c>
      <c r="V207" s="249">
        <f t="shared" si="97"/>
        <v>3662461.236271149</v>
      </c>
      <c r="W207" s="242" t="s">
        <v>265</v>
      </c>
      <c r="X207" s="242" t="s">
        <v>281</v>
      </c>
      <c r="Y207" s="251">
        <f>SUMIFS(Cert_App_Output!$G:$G,Cert_App_Output!$E:$E,$E207,Cert_App_Output!$K:$K,$X207)</f>
        <v>0</v>
      </c>
    </row>
    <row r="208" spans="1:25" x14ac:dyDescent="0.35">
      <c r="A208" s="242" t="s">
        <v>38</v>
      </c>
      <c r="D208" s="242" t="s">
        <v>38</v>
      </c>
      <c r="E208" s="242">
        <v>24.09</v>
      </c>
      <c r="F208" s="242" t="s">
        <v>216</v>
      </c>
      <c r="G208" s="242" t="s">
        <v>273</v>
      </c>
      <c r="H208" s="242" t="s">
        <v>226</v>
      </c>
      <c r="I208" s="247">
        <v>9</v>
      </c>
      <c r="J208" s="248">
        <v>200000</v>
      </c>
      <c r="K208" s="248">
        <v>0</v>
      </c>
      <c r="L208" s="248">
        <v>67240.5</v>
      </c>
      <c r="M208" s="248">
        <v>4008.61</v>
      </c>
      <c r="N208" s="249">
        <f t="shared" si="92"/>
        <v>271249.11</v>
      </c>
      <c r="O208" s="249">
        <f t="shared" si="93"/>
        <v>271293.42490897398</v>
      </c>
      <c r="P208" s="249">
        <f t="shared" si="94"/>
        <v>0</v>
      </c>
      <c r="Q208" s="249">
        <f t="shared" si="94"/>
        <v>91209.527687959315</v>
      </c>
      <c r="R208" s="249">
        <f t="shared" si="94"/>
        <v>5437.547680121811</v>
      </c>
      <c r="S208" s="248">
        <v>367940.50027705508</v>
      </c>
      <c r="T208" s="250">
        <f t="shared" si="95"/>
        <v>1.3564671245448698</v>
      </c>
      <c r="U208" s="249">
        <f t="shared" si="96"/>
        <v>2441241.9899999998</v>
      </c>
      <c r="V208" s="249">
        <f t="shared" si="97"/>
        <v>3311464.5024934956</v>
      </c>
      <c r="W208" s="242" t="s">
        <v>265</v>
      </c>
      <c r="X208" s="242" t="s">
        <v>281</v>
      </c>
      <c r="Y208" s="251">
        <f>SUMIFS(Cert_App_Output!$G:$G,Cert_App_Output!$E:$E,$E208,Cert_App_Output!$K:$K,$X208)</f>
        <v>0</v>
      </c>
    </row>
    <row r="209" spans="3:25" x14ac:dyDescent="0.35">
      <c r="F209" s="242" t="s">
        <v>212</v>
      </c>
      <c r="G209" s="242" t="s">
        <v>274</v>
      </c>
      <c r="I209" s="243"/>
      <c r="J209" s="244"/>
      <c r="K209" s="244"/>
      <c r="L209" s="244"/>
      <c r="M209" s="244"/>
      <c r="N209" s="244"/>
      <c r="O209" s="244"/>
      <c r="P209" s="244"/>
      <c r="Q209" s="244"/>
      <c r="R209" s="244"/>
      <c r="S209" s="244"/>
      <c r="T209" s="245"/>
      <c r="U209" s="244"/>
      <c r="V209" s="244"/>
      <c r="W209" s="242" t="s">
        <v>275</v>
      </c>
      <c r="X209" s="242" t="s">
        <v>281</v>
      </c>
      <c r="Y209" s="246"/>
    </row>
    <row r="210" spans="3:25" x14ac:dyDescent="0.35">
      <c r="C210" s="242" t="s">
        <v>276</v>
      </c>
      <c r="E210" s="242">
        <v>25.01</v>
      </c>
      <c r="F210" s="242" t="s">
        <v>216</v>
      </c>
      <c r="G210" s="242" t="s">
        <v>277</v>
      </c>
      <c r="H210" s="242" t="s">
        <v>226</v>
      </c>
      <c r="I210" s="247">
        <v>9</v>
      </c>
      <c r="J210" s="248">
        <v>0</v>
      </c>
      <c r="K210" s="248">
        <v>3246508.92</v>
      </c>
      <c r="L210" s="248">
        <v>0</v>
      </c>
      <c r="M210" s="248">
        <v>0</v>
      </c>
      <c r="N210" s="249">
        <f>SUM(J210:M210)</f>
        <v>3246508.92</v>
      </c>
      <c r="O210" s="249">
        <f>IF($N210=0,$S210,J210/$N210*$S210)</f>
        <v>0</v>
      </c>
      <c r="P210" s="249">
        <f t="shared" ref="P210:R211" si="98">IF($N210=0,0,K210/$N210*$S210)</f>
        <v>4403782.6195216719</v>
      </c>
      <c r="Q210" s="249">
        <f t="shared" si="98"/>
        <v>0</v>
      </c>
      <c r="R210" s="249">
        <f t="shared" si="98"/>
        <v>0</v>
      </c>
      <c r="S210" s="248">
        <v>4403782.6195216719</v>
      </c>
      <c r="T210" s="250">
        <f>IFERROR(S210/N210,"")</f>
        <v>1.3564671245448703</v>
      </c>
      <c r="U210" s="249">
        <f>N210*I210</f>
        <v>29218580.280000001</v>
      </c>
      <c r="V210" s="249">
        <f>S210*I210</f>
        <v>39634043.575695045</v>
      </c>
      <c r="W210" s="242" t="s">
        <v>275</v>
      </c>
      <c r="X210" s="242" t="s">
        <v>281</v>
      </c>
      <c r="Y210" s="251">
        <f>SUMIFS(Cert_App_Output!$G:$G,Cert_App_Output!$E:$E,$E210,Cert_App_Output!$K:$K,$X210)</f>
        <v>0</v>
      </c>
    </row>
    <row r="211" spans="3:25" x14ac:dyDescent="0.35">
      <c r="C211" s="242" t="s">
        <v>62</v>
      </c>
      <c r="E211" s="242">
        <v>25.02</v>
      </c>
      <c r="F211" s="242" t="s">
        <v>216</v>
      </c>
      <c r="G211" s="242" t="s">
        <v>278</v>
      </c>
      <c r="H211" s="242" t="s">
        <v>226</v>
      </c>
      <c r="I211" s="247">
        <v>9</v>
      </c>
      <c r="J211" s="248">
        <v>0</v>
      </c>
      <c r="K211" s="248">
        <v>500000</v>
      </c>
      <c r="L211" s="248">
        <v>0</v>
      </c>
      <c r="M211" s="248">
        <v>0</v>
      </c>
      <c r="N211" s="249">
        <f>SUM(J211:M211)</f>
        <v>500000</v>
      </c>
      <c r="O211" s="249">
        <f>IF($N211=0,$S211,J211/$N211*$S211)</f>
        <v>0</v>
      </c>
      <c r="P211" s="249">
        <f t="shared" si="98"/>
        <v>678233.56227243505</v>
      </c>
      <c r="Q211" s="249">
        <f t="shared" si="98"/>
        <v>0</v>
      </c>
      <c r="R211" s="249">
        <f t="shared" si="98"/>
        <v>0</v>
      </c>
      <c r="S211" s="248">
        <v>678233.56227243505</v>
      </c>
      <c r="T211" s="250">
        <f>IFERROR(S211/N211,"")</f>
        <v>1.3564671245448701</v>
      </c>
      <c r="U211" s="249">
        <f>N211*I211</f>
        <v>4500000</v>
      </c>
      <c r="V211" s="249">
        <f>S211*I211</f>
        <v>6104102.0604519155</v>
      </c>
      <c r="W211" s="242" t="s">
        <v>275</v>
      </c>
      <c r="X211" s="242" t="s">
        <v>281</v>
      </c>
      <c r="Y211" s="251">
        <f>SUMIFS(Cert_App_Output!$G:$G,Cert_App_Output!$E:$E,$E211,Cert_App_Output!$K:$K,$X211)</f>
        <v>0</v>
      </c>
    </row>
    <row r="212" spans="3:25" x14ac:dyDescent="0.35">
      <c r="G212" s="252" t="s">
        <v>459</v>
      </c>
      <c r="I212" s="243"/>
      <c r="J212" s="244"/>
      <c r="K212" s="244"/>
      <c r="L212" s="244"/>
      <c r="M212" s="244"/>
      <c r="N212" s="244"/>
      <c r="O212" s="244"/>
      <c r="P212" s="244"/>
      <c r="Q212" s="244"/>
      <c r="R212" s="244"/>
      <c r="S212" s="244"/>
      <c r="T212" s="245"/>
      <c r="U212" s="253">
        <f>SUM(U5:U211)</f>
        <v>1135751904.0499997</v>
      </c>
      <c r="V212" s="253">
        <f>SUM(V5:V211)</f>
        <v>1540610119.4830639</v>
      </c>
      <c r="Y212" s="24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A1:S1865"/>
  <sheetViews>
    <sheetView showGridLines="0" zoomScaleNormal="100" workbookViewId="0">
      <pane ySplit="1" topLeftCell="A646" activePane="bottomLeft" state="frozen"/>
      <selection pane="bottomLeft"/>
    </sheetView>
  </sheetViews>
  <sheetFormatPr defaultColWidth="8.6328125" defaultRowHeight="14.5" x14ac:dyDescent="0.35"/>
  <cols>
    <col min="1" max="1" width="10.36328125" customWidth="1"/>
    <col min="2" max="2" width="5.81640625" customWidth="1"/>
    <col min="3" max="3" width="6.54296875" customWidth="1"/>
    <col min="4" max="4" width="10" customWidth="1"/>
    <col min="5" max="5" width="17.6328125" customWidth="1"/>
    <col min="6" max="6" width="12.26953125" customWidth="1"/>
    <col min="7" max="7" width="8.7265625" customWidth="1"/>
    <col min="8" max="8" width="10.1796875" customWidth="1"/>
    <col min="9" max="9" width="9.81640625" customWidth="1"/>
    <col min="10" max="10" width="9.54296875" customWidth="1"/>
    <col min="11" max="11" width="5.90625" customWidth="1"/>
    <col min="12" max="12" width="5.1796875" customWidth="1"/>
    <col min="13" max="13" width="8.6328125" customWidth="1"/>
    <col min="14" max="14" width="8.54296875" customWidth="1"/>
    <col min="15" max="15" width="9.81640625" customWidth="1"/>
    <col min="16" max="16" width="8.54296875" customWidth="1"/>
    <col min="17" max="17" width="9.7265625" customWidth="1"/>
    <col min="18" max="18" width="9.453125" customWidth="1"/>
    <col min="19" max="19" width="11" customWidth="1"/>
    <col min="20" max="20" width="8.6328125" customWidth="1"/>
  </cols>
  <sheetData>
    <row r="1" spans="1:19" ht="26" customHeight="1" x14ac:dyDescent="0.35">
      <c r="A1" s="13" t="s">
        <v>460</v>
      </c>
      <c r="B1" s="13" t="s">
        <v>461</v>
      </c>
      <c r="C1" s="13" t="s">
        <v>462</v>
      </c>
      <c r="D1" s="13" t="s">
        <v>463</v>
      </c>
      <c r="E1" s="13" t="s">
        <v>197</v>
      </c>
      <c r="F1" s="13" t="s">
        <v>464</v>
      </c>
      <c r="G1" s="27" t="s">
        <v>199</v>
      </c>
      <c r="H1" s="28" t="s">
        <v>465</v>
      </c>
      <c r="I1" s="28" t="s">
        <v>466</v>
      </c>
      <c r="J1" s="29" t="s">
        <v>467</v>
      </c>
      <c r="K1" s="13" t="s">
        <v>468</v>
      </c>
      <c r="L1" s="13" t="s">
        <v>469</v>
      </c>
      <c r="M1" s="13" t="s">
        <v>470</v>
      </c>
      <c r="N1" s="13" t="s">
        <v>471</v>
      </c>
      <c r="O1" s="30" t="s">
        <v>472</v>
      </c>
      <c r="P1" s="30" t="s">
        <v>473</v>
      </c>
      <c r="Q1" s="30" t="s">
        <v>474</v>
      </c>
      <c r="R1" s="30" t="s">
        <v>475</v>
      </c>
      <c r="S1" s="180" t="s">
        <v>476</v>
      </c>
    </row>
    <row r="2" spans="1:19" x14ac:dyDescent="0.35">
      <c r="A2" s="31" t="s">
        <v>477</v>
      </c>
      <c r="B2" s="31" t="s">
        <v>478</v>
      </c>
      <c r="C2" s="31" t="s">
        <v>479</v>
      </c>
      <c r="D2" s="31" t="s">
        <v>480</v>
      </c>
      <c r="E2" s="31" t="s">
        <v>183</v>
      </c>
      <c r="F2" s="31" t="s">
        <v>481</v>
      </c>
      <c r="G2" s="32">
        <v>1</v>
      </c>
      <c r="H2" s="33">
        <v>0</v>
      </c>
      <c r="I2" s="34">
        <v>94177.137883538904</v>
      </c>
      <c r="J2" s="34">
        <v>94177.137883538904</v>
      </c>
      <c r="K2" s="31" t="s">
        <v>482</v>
      </c>
      <c r="L2" s="31">
        <v>1</v>
      </c>
      <c r="M2" s="31" t="s">
        <v>483</v>
      </c>
      <c r="N2" s="34">
        <v>1</v>
      </c>
      <c r="O2" s="35">
        <v>1</v>
      </c>
      <c r="P2" s="35" t="s">
        <v>212</v>
      </c>
      <c r="Q2" s="35">
        <v>0</v>
      </c>
      <c r="R2" s="36" t="s">
        <v>212</v>
      </c>
      <c r="S2" s="37" t="str">
        <f>IFERROR(_xlfn.XLOOKUP(R2,'1_Presupuesto'!$E:$E,'1_Presupuesto'!$D:$D),"")</f>
        <v/>
      </c>
    </row>
    <row r="3" spans="1:19" x14ac:dyDescent="0.35">
      <c r="A3" s="31" t="s">
        <v>477</v>
      </c>
      <c r="B3" s="31" t="s">
        <v>478</v>
      </c>
      <c r="C3" s="31" t="s">
        <v>479</v>
      </c>
      <c r="D3" s="31" t="s">
        <v>484</v>
      </c>
      <c r="E3" s="31" t="s">
        <v>186</v>
      </c>
      <c r="F3" s="31" t="s">
        <v>481</v>
      </c>
      <c r="G3" s="32">
        <v>1</v>
      </c>
      <c r="H3" s="33">
        <v>0</v>
      </c>
      <c r="I3" s="34">
        <v>67240.498860267602</v>
      </c>
      <c r="J3" s="34">
        <v>67240.498860267602</v>
      </c>
      <c r="K3" s="31" t="s">
        <v>482</v>
      </c>
      <c r="L3" s="31">
        <v>2</v>
      </c>
      <c r="M3" s="31" t="s">
        <v>485</v>
      </c>
      <c r="N3" s="34">
        <v>1</v>
      </c>
      <c r="O3" s="35">
        <v>1</v>
      </c>
      <c r="P3" s="35" t="s">
        <v>212</v>
      </c>
      <c r="Q3" s="35">
        <v>0</v>
      </c>
      <c r="R3" s="36" t="s">
        <v>212</v>
      </c>
      <c r="S3" s="37" t="str">
        <f>IFERROR(_xlfn.XLOOKUP(R3,'1_Presupuesto'!$E:$E,'1_Presupuesto'!$D:$D),"")</f>
        <v/>
      </c>
    </row>
    <row r="4" spans="1:19" x14ac:dyDescent="0.35">
      <c r="A4" s="31" t="s">
        <v>486</v>
      </c>
      <c r="B4" s="31" t="s">
        <v>478</v>
      </c>
      <c r="C4" s="31" t="s">
        <v>479</v>
      </c>
      <c r="D4" s="31" t="s">
        <v>480</v>
      </c>
      <c r="E4" s="31" t="s">
        <v>183</v>
      </c>
      <c r="F4" s="31" t="s">
        <v>481</v>
      </c>
      <c r="G4" s="32">
        <v>1</v>
      </c>
      <c r="H4" s="33">
        <v>0</v>
      </c>
      <c r="I4" s="34">
        <v>94177.137883538904</v>
      </c>
      <c r="J4" s="34">
        <v>94177.137883538904</v>
      </c>
      <c r="K4" s="31" t="s">
        <v>487</v>
      </c>
      <c r="L4" s="31">
        <v>1</v>
      </c>
      <c r="M4" s="31" t="s">
        <v>488</v>
      </c>
      <c r="N4" s="34">
        <v>3.8</v>
      </c>
      <c r="O4" s="35">
        <v>0.26315789473684198</v>
      </c>
      <c r="P4" s="35" t="s">
        <v>212</v>
      </c>
      <c r="Q4" s="35">
        <v>0</v>
      </c>
      <c r="R4" s="36" t="s">
        <v>212</v>
      </c>
      <c r="S4" s="37" t="str">
        <f>IFERROR(_xlfn.XLOOKUP(R4,'1_Presupuesto'!$E:$E,'1_Presupuesto'!$D:$D),"")</f>
        <v/>
      </c>
    </row>
    <row r="5" spans="1:19" x14ac:dyDescent="0.35">
      <c r="A5" s="31" t="s">
        <v>486</v>
      </c>
      <c r="B5" s="31" t="s">
        <v>478</v>
      </c>
      <c r="C5" s="31" t="s">
        <v>479</v>
      </c>
      <c r="D5" s="31" t="s">
        <v>484</v>
      </c>
      <c r="E5" s="31" t="s">
        <v>186</v>
      </c>
      <c r="F5" s="31" t="s">
        <v>481</v>
      </c>
      <c r="G5" s="32">
        <v>1</v>
      </c>
      <c r="H5" s="33">
        <v>0</v>
      </c>
      <c r="I5" s="34">
        <v>67240.498860267602</v>
      </c>
      <c r="J5" s="34">
        <v>67240.498860267602</v>
      </c>
      <c r="K5" s="31" t="s">
        <v>487</v>
      </c>
      <c r="L5" s="31">
        <v>2</v>
      </c>
      <c r="M5" s="31" t="s">
        <v>489</v>
      </c>
      <c r="N5" s="34">
        <v>3.8</v>
      </c>
      <c r="O5" s="35">
        <v>0.26315789473684198</v>
      </c>
      <c r="P5" s="35" t="s">
        <v>212</v>
      </c>
      <c r="Q5" s="35">
        <v>0</v>
      </c>
      <c r="R5" s="36" t="s">
        <v>212</v>
      </c>
      <c r="S5" s="37" t="str">
        <f>IFERROR(_xlfn.XLOOKUP(R5,'1_Presupuesto'!$E:$E,'1_Presupuesto'!$D:$D),"")</f>
        <v/>
      </c>
    </row>
    <row r="6" spans="1:19" x14ac:dyDescent="0.35">
      <c r="A6" s="31" t="s">
        <v>490</v>
      </c>
      <c r="B6" s="31" t="s">
        <v>478</v>
      </c>
      <c r="C6" s="31" t="s">
        <v>479</v>
      </c>
      <c r="D6" s="31" t="s">
        <v>480</v>
      </c>
      <c r="E6" s="31" t="s">
        <v>183</v>
      </c>
      <c r="F6" s="31" t="s">
        <v>481</v>
      </c>
      <c r="G6" s="32">
        <v>1</v>
      </c>
      <c r="H6" s="33">
        <v>0</v>
      </c>
      <c r="I6" s="34">
        <v>94177.137883538904</v>
      </c>
      <c r="J6" s="34">
        <v>94177.137883538904</v>
      </c>
      <c r="K6" s="31" t="s">
        <v>491</v>
      </c>
      <c r="L6" s="31">
        <v>1</v>
      </c>
      <c r="M6" s="31" t="s">
        <v>492</v>
      </c>
      <c r="N6" s="34">
        <v>36</v>
      </c>
      <c r="O6" s="35">
        <v>2.7777777777777801E-2</v>
      </c>
      <c r="P6" s="35" t="s">
        <v>212</v>
      </c>
      <c r="Q6" s="35">
        <v>0</v>
      </c>
      <c r="R6" s="36" t="s">
        <v>212</v>
      </c>
      <c r="S6" s="37" t="str">
        <f>IFERROR(_xlfn.XLOOKUP(R6,'1_Presupuesto'!$E:$E,'1_Presupuesto'!$D:$D),"")</f>
        <v/>
      </c>
    </row>
    <row r="7" spans="1:19" x14ac:dyDescent="0.35">
      <c r="A7" s="31" t="s">
        <v>490</v>
      </c>
      <c r="B7" s="31" t="s">
        <v>478</v>
      </c>
      <c r="C7" s="31" t="s">
        <v>479</v>
      </c>
      <c r="D7" s="31" t="s">
        <v>484</v>
      </c>
      <c r="E7" s="31" t="s">
        <v>186</v>
      </c>
      <c r="F7" s="31" t="s">
        <v>481</v>
      </c>
      <c r="G7" s="32">
        <v>2</v>
      </c>
      <c r="H7" s="33">
        <v>0</v>
      </c>
      <c r="I7" s="34">
        <v>67240.498860267602</v>
      </c>
      <c r="J7" s="34">
        <v>134480.997720535</v>
      </c>
      <c r="K7" s="31" t="s">
        <v>491</v>
      </c>
      <c r="L7" s="31">
        <v>2</v>
      </c>
      <c r="M7" s="31" t="s">
        <v>493</v>
      </c>
      <c r="N7" s="34">
        <v>36</v>
      </c>
      <c r="O7" s="35">
        <v>5.5555555555555601E-2</v>
      </c>
      <c r="P7" s="35" t="s">
        <v>212</v>
      </c>
      <c r="Q7" s="35">
        <v>0</v>
      </c>
      <c r="R7" s="36" t="s">
        <v>212</v>
      </c>
      <c r="S7" s="37" t="str">
        <f>IFERROR(_xlfn.XLOOKUP(R7,'1_Presupuesto'!$E:$E,'1_Presupuesto'!$D:$D),"")</f>
        <v/>
      </c>
    </row>
    <row r="8" spans="1:19" x14ac:dyDescent="0.35">
      <c r="A8" s="31" t="s">
        <v>490</v>
      </c>
      <c r="B8" s="31" t="s">
        <v>478</v>
      </c>
      <c r="C8" s="31" t="s">
        <v>479</v>
      </c>
      <c r="D8" s="31" t="s">
        <v>494</v>
      </c>
      <c r="E8" s="31" t="s">
        <v>185</v>
      </c>
      <c r="F8" s="31" t="s">
        <v>481</v>
      </c>
      <c r="G8" s="32">
        <v>5</v>
      </c>
      <c r="H8" s="33">
        <v>0</v>
      </c>
      <c r="I8" s="34">
        <v>72132.138365590101</v>
      </c>
      <c r="J8" s="34">
        <v>360660.691827951</v>
      </c>
      <c r="K8" s="31" t="s">
        <v>491</v>
      </c>
      <c r="L8" s="31">
        <v>3</v>
      </c>
      <c r="M8" s="31" t="s">
        <v>495</v>
      </c>
      <c r="N8" s="34">
        <v>36</v>
      </c>
      <c r="O8" s="35">
        <v>0.13888888888888901</v>
      </c>
      <c r="P8" s="35" t="s">
        <v>212</v>
      </c>
      <c r="Q8" s="35">
        <v>0</v>
      </c>
      <c r="R8" s="36" t="s">
        <v>212</v>
      </c>
      <c r="S8" s="37" t="str">
        <f>IFERROR(_xlfn.XLOOKUP(R8,'1_Presupuesto'!$E:$E,'1_Presupuesto'!$D:$D),"")</f>
        <v/>
      </c>
    </row>
    <row r="9" spans="1:19" x14ac:dyDescent="0.35">
      <c r="A9" s="31" t="s">
        <v>496</v>
      </c>
      <c r="B9" s="31" t="s">
        <v>497</v>
      </c>
      <c r="C9" s="31" t="s">
        <v>498</v>
      </c>
      <c r="D9" s="31" t="s">
        <v>499</v>
      </c>
      <c r="E9" s="31" t="s">
        <v>500</v>
      </c>
      <c r="F9" s="31">
        <v>0</v>
      </c>
      <c r="G9" s="32">
        <v>2.7799999999999998E-2</v>
      </c>
      <c r="H9" s="33">
        <v>0.1</v>
      </c>
      <c r="I9" s="34">
        <v>35525.949999999997</v>
      </c>
      <c r="J9" s="34">
        <v>1086.3835509999999</v>
      </c>
      <c r="K9" s="31" t="s">
        <v>501</v>
      </c>
      <c r="L9" s="31">
        <v>1</v>
      </c>
      <c r="M9" s="31" t="s">
        <v>502</v>
      </c>
      <c r="N9" s="34">
        <v>80</v>
      </c>
      <c r="O9" s="35">
        <v>0</v>
      </c>
      <c r="P9" s="35" t="s">
        <v>212</v>
      </c>
      <c r="Q9" s="35">
        <v>0</v>
      </c>
      <c r="R9" s="36" t="s">
        <v>212</v>
      </c>
      <c r="S9" s="37" t="str">
        <f>IFERROR(_xlfn.XLOOKUP(R9,'1_Presupuesto'!$E:$E,'1_Presupuesto'!$D:$D),"")</f>
        <v/>
      </c>
    </row>
    <row r="10" spans="1:19" x14ac:dyDescent="0.35">
      <c r="A10" s="31" t="s">
        <v>496</v>
      </c>
      <c r="B10" s="31" t="s">
        <v>497</v>
      </c>
      <c r="C10" s="31" t="s">
        <v>498</v>
      </c>
      <c r="D10" s="31" t="s">
        <v>503</v>
      </c>
      <c r="E10" s="31" t="s">
        <v>504</v>
      </c>
      <c r="F10" s="31" t="s">
        <v>261</v>
      </c>
      <c r="G10" s="32">
        <v>0.01</v>
      </c>
      <c r="H10" s="33">
        <v>0.05</v>
      </c>
      <c r="I10" s="34">
        <v>6442.15</v>
      </c>
      <c r="J10" s="34">
        <v>67.642574999999994</v>
      </c>
      <c r="K10" s="31" t="s">
        <v>501</v>
      </c>
      <c r="L10" s="31">
        <v>2</v>
      </c>
      <c r="M10" s="31" t="s">
        <v>505</v>
      </c>
      <c r="N10" s="34">
        <v>80</v>
      </c>
      <c r="O10" s="35">
        <v>0</v>
      </c>
      <c r="P10" s="35" t="s">
        <v>212</v>
      </c>
      <c r="Q10" s="35">
        <v>0</v>
      </c>
      <c r="R10" s="36" t="s">
        <v>212</v>
      </c>
      <c r="S10" s="37" t="str">
        <f>IFERROR(_xlfn.XLOOKUP(R10,'1_Presupuesto'!$E:$E,'1_Presupuesto'!$D:$D),"")</f>
        <v/>
      </c>
    </row>
    <row r="11" spans="1:19" x14ac:dyDescent="0.35">
      <c r="A11" s="31" t="s">
        <v>496</v>
      </c>
      <c r="B11" s="31" t="s">
        <v>497</v>
      </c>
      <c r="C11" s="31" t="s">
        <v>498</v>
      </c>
      <c r="D11" s="31" t="s">
        <v>506</v>
      </c>
      <c r="E11" s="31" t="s">
        <v>507</v>
      </c>
      <c r="F11" s="31" t="s">
        <v>261</v>
      </c>
      <c r="G11" s="32">
        <v>0.02</v>
      </c>
      <c r="H11" s="33">
        <v>0.05</v>
      </c>
      <c r="I11" s="34">
        <v>4418.1818181818198</v>
      </c>
      <c r="J11" s="34">
        <v>92.781818181818196</v>
      </c>
      <c r="K11" s="31" t="s">
        <v>501</v>
      </c>
      <c r="L11" s="31">
        <v>3</v>
      </c>
      <c r="M11" s="31" t="s">
        <v>508</v>
      </c>
      <c r="N11" s="34">
        <v>80</v>
      </c>
      <c r="O11" s="35">
        <v>0</v>
      </c>
      <c r="P11" s="35" t="s">
        <v>212</v>
      </c>
      <c r="Q11" s="35">
        <v>0</v>
      </c>
      <c r="R11" s="36" t="s">
        <v>212</v>
      </c>
      <c r="S11" s="37" t="str">
        <f>IFERROR(_xlfn.XLOOKUP(R11,'1_Presupuesto'!$E:$E,'1_Presupuesto'!$D:$D),"")</f>
        <v/>
      </c>
    </row>
    <row r="12" spans="1:19" x14ac:dyDescent="0.35">
      <c r="A12" s="31" t="s">
        <v>496</v>
      </c>
      <c r="B12" s="31" t="s">
        <v>497</v>
      </c>
      <c r="C12" s="31" t="s">
        <v>498</v>
      </c>
      <c r="D12" s="31" t="s">
        <v>509</v>
      </c>
      <c r="E12" s="31" t="s">
        <v>510</v>
      </c>
      <c r="F12" s="31">
        <v>0</v>
      </c>
      <c r="G12" s="32">
        <v>2E-3</v>
      </c>
      <c r="H12" s="33">
        <v>0.05</v>
      </c>
      <c r="I12" s="34">
        <v>58016.528925619801</v>
      </c>
      <c r="J12" s="34">
        <v>121.83471074380201</v>
      </c>
      <c r="K12" s="31" t="s">
        <v>501</v>
      </c>
      <c r="L12" s="31">
        <v>4</v>
      </c>
      <c r="M12" s="31" t="s">
        <v>511</v>
      </c>
      <c r="N12" s="34">
        <v>80</v>
      </c>
      <c r="O12" s="35">
        <v>0</v>
      </c>
      <c r="P12" s="35" t="s">
        <v>212</v>
      </c>
      <c r="Q12" s="35">
        <v>0</v>
      </c>
      <c r="R12" s="36" t="s">
        <v>212</v>
      </c>
      <c r="S12" s="37" t="str">
        <f>IFERROR(_xlfn.XLOOKUP(R12,'1_Presupuesto'!$E:$E,'1_Presupuesto'!$D:$D),"")</f>
        <v/>
      </c>
    </row>
    <row r="13" spans="1:19" x14ac:dyDescent="0.35">
      <c r="A13" s="31" t="s">
        <v>496</v>
      </c>
      <c r="B13" s="31" t="s">
        <v>497</v>
      </c>
      <c r="C13" s="31" t="s">
        <v>498</v>
      </c>
      <c r="D13" s="31" t="s">
        <v>512</v>
      </c>
      <c r="E13" s="31" t="s">
        <v>513</v>
      </c>
      <c r="F13" s="31">
        <v>0</v>
      </c>
      <c r="G13" s="32">
        <v>0.02</v>
      </c>
      <c r="H13" s="33">
        <v>0.05</v>
      </c>
      <c r="I13" s="34">
        <v>1182.6446280991699</v>
      </c>
      <c r="J13" s="34">
        <v>24.835537190082601</v>
      </c>
      <c r="K13" s="31" t="s">
        <v>501</v>
      </c>
      <c r="L13" s="31">
        <v>5</v>
      </c>
      <c r="M13" s="31" t="s">
        <v>514</v>
      </c>
      <c r="N13" s="34">
        <v>80</v>
      </c>
      <c r="O13" s="35">
        <v>0</v>
      </c>
      <c r="P13" s="35" t="s">
        <v>212</v>
      </c>
      <c r="Q13" s="35">
        <v>0</v>
      </c>
      <c r="R13" s="36" t="s">
        <v>212</v>
      </c>
      <c r="S13" s="37" t="str">
        <f>IFERROR(_xlfn.XLOOKUP(R13,'1_Presupuesto'!$E:$E,'1_Presupuesto'!$D:$D),"")</f>
        <v/>
      </c>
    </row>
    <row r="14" spans="1:19" x14ac:dyDescent="0.35">
      <c r="A14" s="31" t="s">
        <v>496</v>
      </c>
      <c r="B14" s="31" t="s">
        <v>203</v>
      </c>
      <c r="C14" s="31"/>
      <c r="D14" s="31" t="s">
        <v>515</v>
      </c>
      <c r="E14" s="31" t="s">
        <v>516</v>
      </c>
      <c r="F14" s="31"/>
      <c r="G14" s="32">
        <v>1</v>
      </c>
      <c r="H14" s="33">
        <v>0</v>
      </c>
      <c r="I14" s="34">
        <v>874.41130614484598</v>
      </c>
      <c r="J14" s="34">
        <v>874.41130614484598</v>
      </c>
      <c r="K14" s="31" t="s">
        <v>517</v>
      </c>
      <c r="L14" s="31">
        <v>1</v>
      </c>
      <c r="M14" s="31" t="s">
        <v>518</v>
      </c>
      <c r="N14" s="34">
        <v>80</v>
      </c>
      <c r="O14" s="35">
        <v>0</v>
      </c>
      <c r="P14" s="35" t="s">
        <v>212</v>
      </c>
      <c r="Q14" s="35">
        <v>0</v>
      </c>
      <c r="R14" s="36" t="s">
        <v>212</v>
      </c>
      <c r="S14" s="37" t="str">
        <f>IFERROR(_xlfn.XLOOKUP(R14,'1_Presupuesto'!$E:$E,'1_Presupuesto'!$D:$D),"")</f>
        <v/>
      </c>
    </row>
    <row r="15" spans="1:19" x14ac:dyDescent="0.35">
      <c r="A15" s="31" t="s">
        <v>496</v>
      </c>
      <c r="B15" s="31" t="s">
        <v>478</v>
      </c>
      <c r="C15" s="31" t="s">
        <v>479</v>
      </c>
      <c r="D15" s="31" t="s">
        <v>484</v>
      </c>
      <c r="E15" s="31" t="s">
        <v>186</v>
      </c>
      <c r="F15" s="31" t="s">
        <v>481</v>
      </c>
      <c r="G15" s="32">
        <v>1</v>
      </c>
      <c r="H15" s="33">
        <v>0</v>
      </c>
      <c r="I15" s="34">
        <v>67240.498860267602</v>
      </c>
      <c r="J15" s="34">
        <v>67240.498860267602</v>
      </c>
      <c r="K15" s="31" t="s">
        <v>519</v>
      </c>
      <c r="L15" s="31">
        <v>1</v>
      </c>
      <c r="M15" s="31" t="s">
        <v>520</v>
      </c>
      <c r="N15" s="34">
        <v>80</v>
      </c>
      <c r="O15" s="35">
        <v>1.2500000000000001E-2</v>
      </c>
      <c r="P15" s="35" t="s">
        <v>212</v>
      </c>
      <c r="Q15" s="35">
        <v>0</v>
      </c>
      <c r="R15" s="36" t="s">
        <v>212</v>
      </c>
      <c r="S15" s="37" t="str">
        <f>IFERROR(_xlfn.XLOOKUP(R15,'1_Presupuesto'!$E:$E,'1_Presupuesto'!$D:$D),"")</f>
        <v/>
      </c>
    </row>
    <row r="16" spans="1:19" x14ac:dyDescent="0.35">
      <c r="A16" s="31" t="s">
        <v>496</v>
      </c>
      <c r="B16" s="31" t="s">
        <v>478</v>
      </c>
      <c r="C16" s="31" t="s">
        <v>479</v>
      </c>
      <c r="D16" s="31" t="s">
        <v>480</v>
      </c>
      <c r="E16" s="31" t="s">
        <v>183</v>
      </c>
      <c r="F16" s="31" t="s">
        <v>481</v>
      </c>
      <c r="G16" s="32">
        <v>1</v>
      </c>
      <c r="H16" s="33">
        <v>0</v>
      </c>
      <c r="I16" s="34">
        <v>94177.137883538904</v>
      </c>
      <c r="J16" s="34">
        <v>94177.137883538904</v>
      </c>
      <c r="K16" s="31" t="s">
        <v>519</v>
      </c>
      <c r="L16" s="31">
        <v>2</v>
      </c>
      <c r="M16" s="31" t="s">
        <v>521</v>
      </c>
      <c r="N16" s="34">
        <v>80</v>
      </c>
      <c r="O16" s="35">
        <v>1.2500000000000001E-2</v>
      </c>
      <c r="P16" s="35" t="s">
        <v>212</v>
      </c>
      <c r="Q16" s="35">
        <v>0</v>
      </c>
      <c r="R16" s="36" t="s">
        <v>212</v>
      </c>
      <c r="S16" s="37" t="str">
        <f>IFERROR(_xlfn.XLOOKUP(R16,'1_Presupuesto'!$E:$E,'1_Presupuesto'!$D:$D),"")</f>
        <v/>
      </c>
    </row>
    <row r="17" spans="1:19" x14ac:dyDescent="0.35">
      <c r="A17" s="31" t="s">
        <v>522</v>
      </c>
      <c r="B17" s="31" t="s">
        <v>497</v>
      </c>
      <c r="C17" s="31" t="s">
        <v>498</v>
      </c>
      <c r="D17" s="31" t="s">
        <v>499</v>
      </c>
      <c r="E17" s="31" t="s">
        <v>500</v>
      </c>
      <c r="F17" s="31">
        <v>0</v>
      </c>
      <c r="G17" s="32">
        <v>1.4999999999999999E-2</v>
      </c>
      <c r="H17" s="33">
        <v>0.1</v>
      </c>
      <c r="I17" s="34">
        <v>35525.949999999997</v>
      </c>
      <c r="J17" s="34">
        <v>586.17817500000001</v>
      </c>
      <c r="K17" s="31" t="s">
        <v>523</v>
      </c>
      <c r="L17" s="31">
        <v>1</v>
      </c>
      <c r="M17" s="31" t="s">
        <v>524</v>
      </c>
      <c r="N17" s="34">
        <v>60</v>
      </c>
      <c r="O17" s="35">
        <v>0</v>
      </c>
      <c r="P17" s="35" t="s">
        <v>212</v>
      </c>
      <c r="Q17" s="35">
        <v>0</v>
      </c>
      <c r="R17" s="36" t="s">
        <v>212</v>
      </c>
      <c r="S17" s="37" t="str">
        <f>IFERROR(_xlfn.XLOOKUP(R17,'1_Presupuesto'!$E:$E,'1_Presupuesto'!$D:$D),"")</f>
        <v/>
      </c>
    </row>
    <row r="18" spans="1:19" x14ac:dyDescent="0.35">
      <c r="A18" s="31" t="s">
        <v>522</v>
      </c>
      <c r="B18" s="31" t="s">
        <v>497</v>
      </c>
      <c r="C18" s="31" t="s">
        <v>498</v>
      </c>
      <c r="D18" s="31" t="s">
        <v>525</v>
      </c>
      <c r="E18" s="31" t="s">
        <v>526</v>
      </c>
      <c r="F18" s="31" t="s">
        <v>261</v>
      </c>
      <c r="G18" s="32">
        <v>0.05</v>
      </c>
      <c r="H18" s="33">
        <v>0.1</v>
      </c>
      <c r="I18" s="34">
        <v>57227.91</v>
      </c>
      <c r="J18" s="34">
        <v>3147.53505</v>
      </c>
      <c r="K18" s="31" t="s">
        <v>523</v>
      </c>
      <c r="L18" s="31">
        <v>2</v>
      </c>
      <c r="M18" s="31" t="s">
        <v>527</v>
      </c>
      <c r="N18" s="34">
        <v>60</v>
      </c>
      <c r="O18" s="35">
        <v>0</v>
      </c>
      <c r="P18" s="35" t="s">
        <v>212</v>
      </c>
      <c r="Q18" s="35">
        <v>0</v>
      </c>
      <c r="R18" s="36" t="s">
        <v>212</v>
      </c>
      <c r="S18" s="37" t="str">
        <f>IFERROR(_xlfn.XLOOKUP(R18,'1_Presupuesto'!$E:$E,'1_Presupuesto'!$D:$D),"")</f>
        <v/>
      </c>
    </row>
    <row r="19" spans="1:19" x14ac:dyDescent="0.35">
      <c r="A19" s="31" t="s">
        <v>522</v>
      </c>
      <c r="B19" s="31" t="s">
        <v>203</v>
      </c>
      <c r="C19" s="31"/>
      <c r="D19" s="31" t="s">
        <v>515</v>
      </c>
      <c r="E19" s="31" t="s">
        <v>516</v>
      </c>
      <c r="F19" s="31"/>
      <c r="G19" s="32">
        <v>1</v>
      </c>
      <c r="H19" s="33">
        <v>0</v>
      </c>
      <c r="I19" s="34">
        <v>874.41130614484598</v>
      </c>
      <c r="J19" s="34">
        <v>874.41130614484598</v>
      </c>
      <c r="K19" s="31" t="s">
        <v>528</v>
      </c>
      <c r="L19" s="31">
        <v>1</v>
      </c>
      <c r="M19" s="31" t="s">
        <v>529</v>
      </c>
      <c r="N19" s="34">
        <v>60</v>
      </c>
      <c r="O19" s="35">
        <v>0</v>
      </c>
      <c r="P19" s="35" t="s">
        <v>212</v>
      </c>
      <c r="Q19" s="35">
        <v>0</v>
      </c>
      <c r="R19" s="36" t="s">
        <v>212</v>
      </c>
      <c r="S19" s="37" t="str">
        <f>IFERROR(_xlfn.XLOOKUP(R19,'1_Presupuesto'!$E:$E,'1_Presupuesto'!$D:$D),"")</f>
        <v/>
      </c>
    </row>
    <row r="20" spans="1:19" x14ac:dyDescent="0.35">
      <c r="A20" s="31" t="s">
        <v>522</v>
      </c>
      <c r="B20" s="31" t="s">
        <v>478</v>
      </c>
      <c r="C20" s="31" t="s">
        <v>479</v>
      </c>
      <c r="D20" s="31" t="s">
        <v>484</v>
      </c>
      <c r="E20" s="31" t="s">
        <v>186</v>
      </c>
      <c r="F20" s="31" t="s">
        <v>481</v>
      </c>
      <c r="G20" s="32">
        <v>1</v>
      </c>
      <c r="H20" s="33">
        <v>0</v>
      </c>
      <c r="I20" s="34">
        <v>67240.498860267602</v>
      </c>
      <c r="J20" s="34">
        <v>67240.498860267602</v>
      </c>
      <c r="K20" s="31" t="s">
        <v>530</v>
      </c>
      <c r="L20" s="31">
        <v>1</v>
      </c>
      <c r="M20" s="31" t="s">
        <v>531</v>
      </c>
      <c r="N20" s="34">
        <v>60</v>
      </c>
      <c r="O20" s="35">
        <v>1.6666666666666701E-2</v>
      </c>
      <c r="P20" s="35" t="s">
        <v>212</v>
      </c>
      <c r="Q20" s="35">
        <v>0</v>
      </c>
      <c r="R20" s="36" t="s">
        <v>212</v>
      </c>
      <c r="S20" s="37" t="str">
        <f>IFERROR(_xlfn.XLOOKUP(R20,'1_Presupuesto'!$E:$E,'1_Presupuesto'!$D:$D),"")</f>
        <v/>
      </c>
    </row>
    <row r="21" spans="1:19" x14ac:dyDescent="0.35">
      <c r="A21" s="31" t="s">
        <v>522</v>
      </c>
      <c r="B21" s="31" t="s">
        <v>478</v>
      </c>
      <c r="C21" s="31" t="s">
        <v>479</v>
      </c>
      <c r="D21" s="31" t="s">
        <v>480</v>
      </c>
      <c r="E21" s="31" t="s">
        <v>183</v>
      </c>
      <c r="F21" s="31" t="s">
        <v>481</v>
      </c>
      <c r="G21" s="32">
        <v>1</v>
      </c>
      <c r="H21" s="33">
        <v>0</v>
      </c>
      <c r="I21" s="34">
        <v>94177.137883538904</v>
      </c>
      <c r="J21" s="34">
        <v>94177.137883538904</v>
      </c>
      <c r="K21" s="31" t="s">
        <v>530</v>
      </c>
      <c r="L21" s="31">
        <v>2</v>
      </c>
      <c r="M21" s="31" t="s">
        <v>532</v>
      </c>
      <c r="N21" s="34">
        <v>60</v>
      </c>
      <c r="O21" s="35">
        <v>1.6666666666666701E-2</v>
      </c>
      <c r="P21" s="35" t="s">
        <v>212</v>
      </c>
      <c r="Q21" s="35">
        <v>0</v>
      </c>
      <c r="R21" s="36" t="s">
        <v>212</v>
      </c>
      <c r="S21" s="37" t="str">
        <f>IFERROR(_xlfn.XLOOKUP(R21,'1_Presupuesto'!$E:$E,'1_Presupuesto'!$D:$D),"")</f>
        <v/>
      </c>
    </row>
    <row r="22" spans="1:19" x14ac:dyDescent="0.35">
      <c r="A22" s="31" t="s">
        <v>533</v>
      </c>
      <c r="B22" s="31" t="s">
        <v>497</v>
      </c>
      <c r="C22" s="31" t="s">
        <v>498</v>
      </c>
      <c r="D22" s="31" t="s">
        <v>534</v>
      </c>
      <c r="E22" s="31" t="s">
        <v>535</v>
      </c>
      <c r="F22" s="31">
        <v>0</v>
      </c>
      <c r="G22" s="32">
        <v>0.02</v>
      </c>
      <c r="H22" s="33">
        <v>0.03</v>
      </c>
      <c r="I22" s="34">
        <v>32620.38</v>
      </c>
      <c r="J22" s="34">
        <v>671.979828</v>
      </c>
      <c r="K22" s="31" t="s">
        <v>536</v>
      </c>
      <c r="L22" s="31">
        <v>1</v>
      </c>
      <c r="M22" s="31" t="s">
        <v>537</v>
      </c>
      <c r="N22" s="34">
        <v>15</v>
      </c>
      <c r="O22" s="35">
        <v>0</v>
      </c>
      <c r="P22" s="35" t="s">
        <v>212</v>
      </c>
      <c r="Q22" s="35">
        <v>0</v>
      </c>
      <c r="R22" s="36" t="s">
        <v>212</v>
      </c>
      <c r="S22" s="37" t="str">
        <f>IFERROR(_xlfn.XLOOKUP(R22,'1_Presupuesto'!$E:$E,'1_Presupuesto'!$D:$D),"")</f>
        <v/>
      </c>
    </row>
    <row r="23" spans="1:19" x14ac:dyDescent="0.35">
      <c r="A23" s="31" t="s">
        <v>533</v>
      </c>
      <c r="B23" s="31" t="s">
        <v>497</v>
      </c>
      <c r="C23" s="31" t="s">
        <v>498</v>
      </c>
      <c r="D23" s="31" t="s">
        <v>538</v>
      </c>
      <c r="E23" s="31" t="s">
        <v>539</v>
      </c>
      <c r="F23" s="31">
        <v>0</v>
      </c>
      <c r="G23" s="32">
        <v>0.06</v>
      </c>
      <c r="H23" s="33">
        <v>0.05</v>
      </c>
      <c r="I23" s="34">
        <v>3927.28</v>
      </c>
      <c r="J23" s="34">
        <v>247.41864000000001</v>
      </c>
      <c r="K23" s="31" t="s">
        <v>536</v>
      </c>
      <c r="L23" s="31">
        <v>2</v>
      </c>
      <c r="M23" s="31" t="s">
        <v>540</v>
      </c>
      <c r="N23" s="34">
        <v>15</v>
      </c>
      <c r="O23" s="35">
        <v>0</v>
      </c>
      <c r="P23" s="35" t="s">
        <v>212</v>
      </c>
      <c r="Q23" s="35">
        <v>0</v>
      </c>
      <c r="R23" s="36" t="s">
        <v>212</v>
      </c>
      <c r="S23" s="37" t="str">
        <f>IFERROR(_xlfn.XLOOKUP(R23,'1_Presupuesto'!$E:$E,'1_Presupuesto'!$D:$D),"")</f>
        <v/>
      </c>
    </row>
    <row r="24" spans="1:19" x14ac:dyDescent="0.35">
      <c r="A24" s="31" t="s">
        <v>533</v>
      </c>
      <c r="B24" s="31" t="s">
        <v>497</v>
      </c>
      <c r="C24" s="31" t="s">
        <v>498</v>
      </c>
      <c r="D24" s="31" t="s">
        <v>541</v>
      </c>
      <c r="E24" s="31" t="s">
        <v>542</v>
      </c>
      <c r="F24" s="31">
        <v>0</v>
      </c>
      <c r="G24" s="32">
        <v>0.26</v>
      </c>
      <c r="H24" s="33">
        <v>0.03</v>
      </c>
      <c r="I24" s="34">
        <v>7891.74</v>
      </c>
      <c r="J24" s="34">
        <v>2113.407972</v>
      </c>
      <c r="K24" s="31" t="s">
        <v>536</v>
      </c>
      <c r="L24" s="31">
        <v>3</v>
      </c>
      <c r="M24" s="31" t="s">
        <v>543</v>
      </c>
      <c r="N24" s="34">
        <v>15</v>
      </c>
      <c r="O24" s="35">
        <v>0</v>
      </c>
      <c r="P24" s="35" t="s">
        <v>212</v>
      </c>
      <c r="Q24" s="35">
        <v>0</v>
      </c>
      <c r="R24" s="36" t="s">
        <v>212</v>
      </c>
      <c r="S24" s="37" t="str">
        <f>IFERROR(_xlfn.XLOOKUP(R24,'1_Presupuesto'!$E:$E,'1_Presupuesto'!$D:$D),"")</f>
        <v/>
      </c>
    </row>
    <row r="25" spans="1:19" x14ac:dyDescent="0.35">
      <c r="A25" s="31" t="s">
        <v>533</v>
      </c>
      <c r="B25" s="31" t="s">
        <v>478</v>
      </c>
      <c r="C25" s="31" t="s">
        <v>479</v>
      </c>
      <c r="D25" s="31" t="s">
        <v>480</v>
      </c>
      <c r="E25" s="31" t="s">
        <v>183</v>
      </c>
      <c r="F25" s="31" t="s">
        <v>481</v>
      </c>
      <c r="G25" s="32">
        <v>1</v>
      </c>
      <c r="H25" s="33">
        <v>0</v>
      </c>
      <c r="I25" s="34">
        <v>94177.137883538904</v>
      </c>
      <c r="J25" s="34">
        <v>94177.137883538904</v>
      </c>
      <c r="K25" s="31" t="s">
        <v>544</v>
      </c>
      <c r="L25" s="31">
        <v>1</v>
      </c>
      <c r="M25" s="31" t="s">
        <v>545</v>
      </c>
      <c r="N25" s="34">
        <v>15</v>
      </c>
      <c r="O25" s="35">
        <v>6.6666666666666693E-2</v>
      </c>
      <c r="P25" s="35" t="s">
        <v>212</v>
      </c>
      <c r="Q25" s="35">
        <v>0</v>
      </c>
      <c r="R25" s="36" t="s">
        <v>212</v>
      </c>
      <c r="S25" s="37" t="str">
        <f>IFERROR(_xlfn.XLOOKUP(R25,'1_Presupuesto'!$E:$E,'1_Presupuesto'!$D:$D),"")</f>
        <v/>
      </c>
    </row>
    <row r="26" spans="1:19" x14ac:dyDescent="0.35">
      <c r="A26" s="31" t="s">
        <v>533</v>
      </c>
      <c r="B26" s="31" t="s">
        <v>478</v>
      </c>
      <c r="C26" s="31" t="s">
        <v>479</v>
      </c>
      <c r="D26" s="31" t="s">
        <v>484</v>
      </c>
      <c r="E26" s="31" t="s">
        <v>186</v>
      </c>
      <c r="F26" s="31" t="s">
        <v>481</v>
      </c>
      <c r="G26" s="32">
        <v>1</v>
      </c>
      <c r="H26" s="33">
        <v>0</v>
      </c>
      <c r="I26" s="34">
        <v>67240.498860267602</v>
      </c>
      <c r="J26" s="34">
        <v>67240.498860267602</v>
      </c>
      <c r="K26" s="31" t="s">
        <v>544</v>
      </c>
      <c r="L26" s="31">
        <v>2</v>
      </c>
      <c r="M26" s="31" t="s">
        <v>546</v>
      </c>
      <c r="N26" s="34">
        <v>15</v>
      </c>
      <c r="O26" s="35">
        <v>6.6666666666666693E-2</v>
      </c>
      <c r="P26" s="35" t="s">
        <v>212</v>
      </c>
      <c r="Q26" s="35">
        <v>0</v>
      </c>
      <c r="R26" s="36" t="s">
        <v>212</v>
      </c>
      <c r="S26" s="37" t="str">
        <f>IFERROR(_xlfn.XLOOKUP(R26,'1_Presupuesto'!$E:$E,'1_Presupuesto'!$D:$D),"")</f>
        <v/>
      </c>
    </row>
    <row r="27" spans="1:19" x14ac:dyDescent="0.35">
      <c r="A27" s="31" t="s">
        <v>533</v>
      </c>
      <c r="B27" s="31" t="s">
        <v>478</v>
      </c>
      <c r="C27" s="31" t="s">
        <v>479</v>
      </c>
      <c r="D27" s="31" t="s">
        <v>494</v>
      </c>
      <c r="E27" s="31" t="s">
        <v>185</v>
      </c>
      <c r="F27" s="31" t="s">
        <v>481</v>
      </c>
      <c r="G27" s="32">
        <v>0</v>
      </c>
      <c r="H27" s="33">
        <v>0</v>
      </c>
      <c r="I27" s="34">
        <v>72132.138365590101</v>
      </c>
      <c r="J27" s="34">
        <v>0</v>
      </c>
      <c r="K27" s="31" t="s">
        <v>544</v>
      </c>
      <c r="L27" s="31">
        <v>3</v>
      </c>
      <c r="M27" s="31" t="s">
        <v>547</v>
      </c>
      <c r="N27" s="34">
        <v>15</v>
      </c>
      <c r="O27" s="35">
        <v>0</v>
      </c>
      <c r="P27" s="35" t="s">
        <v>212</v>
      </c>
      <c r="Q27" s="35">
        <v>0</v>
      </c>
      <c r="R27" s="36" t="s">
        <v>212</v>
      </c>
      <c r="S27" s="37" t="str">
        <f>IFERROR(_xlfn.XLOOKUP(R27,'1_Presupuesto'!$E:$E,'1_Presupuesto'!$D:$D),"")</f>
        <v/>
      </c>
    </row>
    <row r="28" spans="1:19" x14ac:dyDescent="0.35">
      <c r="A28" s="31" t="s">
        <v>548</v>
      </c>
      <c r="B28" s="31" t="s">
        <v>497</v>
      </c>
      <c r="C28" s="31" t="s">
        <v>498</v>
      </c>
      <c r="D28" s="31" t="s">
        <v>549</v>
      </c>
      <c r="E28" s="31" t="s">
        <v>550</v>
      </c>
      <c r="F28" s="31" t="s">
        <v>261</v>
      </c>
      <c r="G28" s="32">
        <v>0.495</v>
      </c>
      <c r="H28" s="33">
        <v>0.1</v>
      </c>
      <c r="I28" s="34">
        <v>3028.942149</v>
      </c>
      <c r="J28" s="34">
        <v>1649.2590001305</v>
      </c>
      <c r="K28" s="31" t="s">
        <v>551</v>
      </c>
      <c r="L28" s="31">
        <v>1</v>
      </c>
      <c r="M28" s="31" t="s">
        <v>552</v>
      </c>
      <c r="N28" s="34">
        <v>12</v>
      </c>
      <c r="O28" s="35">
        <v>0</v>
      </c>
      <c r="P28" s="35" t="s">
        <v>212</v>
      </c>
      <c r="Q28" s="35">
        <v>0</v>
      </c>
      <c r="R28" s="36" t="s">
        <v>212</v>
      </c>
      <c r="S28" s="37" t="str">
        <f>IFERROR(_xlfn.XLOOKUP(R28,'1_Presupuesto'!$E:$E,'1_Presupuesto'!$D:$D),"")</f>
        <v/>
      </c>
    </row>
    <row r="29" spans="1:19" x14ac:dyDescent="0.35">
      <c r="A29" s="31" t="s">
        <v>548</v>
      </c>
      <c r="B29" s="31" t="s">
        <v>497</v>
      </c>
      <c r="C29" s="31" t="s">
        <v>498</v>
      </c>
      <c r="D29" s="31" t="s">
        <v>553</v>
      </c>
      <c r="E29" s="31" t="s">
        <v>554</v>
      </c>
      <c r="F29" s="31" t="s">
        <v>261</v>
      </c>
      <c r="G29" s="32">
        <v>0.45</v>
      </c>
      <c r="H29" s="33">
        <v>0.1</v>
      </c>
      <c r="I29" s="34">
        <v>4774.9090910000004</v>
      </c>
      <c r="J29" s="34">
        <v>2363.5800000449999</v>
      </c>
      <c r="K29" s="31" t="s">
        <v>551</v>
      </c>
      <c r="L29" s="31">
        <v>2</v>
      </c>
      <c r="M29" s="31" t="s">
        <v>555</v>
      </c>
      <c r="N29" s="34">
        <v>12</v>
      </c>
      <c r="O29" s="35">
        <v>0</v>
      </c>
      <c r="P29" s="35" t="s">
        <v>212</v>
      </c>
      <c r="Q29" s="35">
        <v>0</v>
      </c>
      <c r="R29" s="36" t="s">
        <v>212</v>
      </c>
      <c r="S29" s="37" t="str">
        <f>IFERROR(_xlfn.XLOOKUP(R29,'1_Presupuesto'!$E:$E,'1_Presupuesto'!$D:$D),"")</f>
        <v/>
      </c>
    </row>
    <row r="30" spans="1:19" x14ac:dyDescent="0.35">
      <c r="A30" s="31" t="s">
        <v>548</v>
      </c>
      <c r="B30" s="31" t="s">
        <v>497</v>
      </c>
      <c r="C30" s="31" t="s">
        <v>498</v>
      </c>
      <c r="D30" s="31" t="s">
        <v>556</v>
      </c>
      <c r="E30" s="31" t="s">
        <v>557</v>
      </c>
      <c r="F30" s="31" t="s">
        <v>261</v>
      </c>
      <c r="G30" s="32">
        <v>2.62</v>
      </c>
      <c r="H30" s="33">
        <v>0.1</v>
      </c>
      <c r="I30" s="34">
        <v>1547.4380169999999</v>
      </c>
      <c r="J30" s="34">
        <v>4459.7163649940003</v>
      </c>
      <c r="K30" s="31" t="s">
        <v>551</v>
      </c>
      <c r="L30" s="31">
        <v>3</v>
      </c>
      <c r="M30" s="31" t="s">
        <v>558</v>
      </c>
      <c r="N30" s="34">
        <v>12</v>
      </c>
      <c r="O30" s="35">
        <v>0</v>
      </c>
      <c r="P30" s="35" t="s">
        <v>212</v>
      </c>
      <c r="Q30" s="35">
        <v>0</v>
      </c>
      <c r="R30" s="36" t="s">
        <v>212</v>
      </c>
      <c r="S30" s="37" t="str">
        <f>IFERROR(_xlfn.XLOOKUP(R30,'1_Presupuesto'!$E:$E,'1_Presupuesto'!$D:$D),"")</f>
        <v/>
      </c>
    </row>
    <row r="31" spans="1:19" x14ac:dyDescent="0.35">
      <c r="A31" s="31" t="s">
        <v>548</v>
      </c>
      <c r="B31" s="31" t="s">
        <v>497</v>
      </c>
      <c r="C31" s="31" t="s">
        <v>498</v>
      </c>
      <c r="D31" s="31" t="s">
        <v>559</v>
      </c>
      <c r="E31" s="31" t="s">
        <v>560</v>
      </c>
      <c r="F31" s="31" t="s">
        <v>261</v>
      </c>
      <c r="G31" s="32">
        <v>0</v>
      </c>
      <c r="H31" s="33">
        <v>0.1</v>
      </c>
      <c r="I31" s="34">
        <v>793.53719000000001</v>
      </c>
      <c r="J31" s="34">
        <v>0</v>
      </c>
      <c r="K31" s="31" t="s">
        <v>551</v>
      </c>
      <c r="L31" s="31">
        <v>4</v>
      </c>
      <c r="M31" s="31" t="s">
        <v>561</v>
      </c>
      <c r="N31" s="34">
        <v>12</v>
      </c>
      <c r="O31" s="35">
        <v>0</v>
      </c>
      <c r="P31" s="35" t="s">
        <v>212</v>
      </c>
      <c r="Q31" s="35">
        <v>0</v>
      </c>
      <c r="R31" s="36" t="s">
        <v>212</v>
      </c>
      <c r="S31" s="37" t="str">
        <f>IFERROR(_xlfn.XLOOKUP(R31,'1_Presupuesto'!$E:$E,'1_Presupuesto'!$D:$D),"")</f>
        <v/>
      </c>
    </row>
    <row r="32" spans="1:19" x14ac:dyDescent="0.35">
      <c r="A32" s="31" t="s">
        <v>548</v>
      </c>
      <c r="B32" s="31" t="s">
        <v>497</v>
      </c>
      <c r="C32" s="31" t="s">
        <v>498</v>
      </c>
      <c r="D32" s="31" t="s">
        <v>562</v>
      </c>
      <c r="E32" s="31" t="s">
        <v>563</v>
      </c>
      <c r="F32" s="31" t="s">
        <v>261</v>
      </c>
      <c r="G32" s="32">
        <v>6</v>
      </c>
      <c r="H32" s="33">
        <v>0.1</v>
      </c>
      <c r="I32" s="34">
        <v>63.381982999999998</v>
      </c>
      <c r="J32" s="34">
        <v>418.32108779999999</v>
      </c>
      <c r="K32" s="31" t="s">
        <v>551</v>
      </c>
      <c r="L32" s="31">
        <v>5</v>
      </c>
      <c r="M32" s="31" t="s">
        <v>564</v>
      </c>
      <c r="N32" s="34">
        <v>12</v>
      </c>
      <c r="O32" s="35">
        <v>0</v>
      </c>
      <c r="P32" s="35" t="s">
        <v>212</v>
      </c>
      <c r="Q32" s="35">
        <v>0</v>
      </c>
      <c r="R32" s="36" t="s">
        <v>212</v>
      </c>
      <c r="S32" s="37" t="str">
        <f>IFERROR(_xlfn.XLOOKUP(R32,'1_Presupuesto'!$E:$E,'1_Presupuesto'!$D:$D),"")</f>
        <v/>
      </c>
    </row>
    <row r="33" spans="1:19" x14ac:dyDescent="0.35">
      <c r="A33" s="31" t="s">
        <v>548</v>
      </c>
      <c r="B33" s="31" t="s">
        <v>497</v>
      </c>
      <c r="C33" s="31" t="s">
        <v>498</v>
      </c>
      <c r="D33" s="31" t="s">
        <v>565</v>
      </c>
      <c r="E33" s="31" t="s">
        <v>566</v>
      </c>
      <c r="F33" s="31" t="s">
        <v>567</v>
      </c>
      <c r="G33" s="32">
        <v>0.06</v>
      </c>
      <c r="H33" s="33">
        <v>0.1</v>
      </c>
      <c r="I33" s="34">
        <v>2755.61157</v>
      </c>
      <c r="J33" s="34">
        <v>181.87036362000001</v>
      </c>
      <c r="K33" s="31" t="s">
        <v>551</v>
      </c>
      <c r="L33" s="31">
        <v>6</v>
      </c>
      <c r="M33" s="31" t="s">
        <v>568</v>
      </c>
      <c r="N33" s="34">
        <v>12</v>
      </c>
      <c r="O33" s="35">
        <v>0</v>
      </c>
      <c r="P33" s="35" t="s">
        <v>212</v>
      </c>
      <c r="Q33" s="35">
        <v>0</v>
      </c>
      <c r="R33" s="36" t="s">
        <v>212</v>
      </c>
      <c r="S33" s="37" t="str">
        <f>IFERROR(_xlfn.XLOOKUP(R33,'1_Presupuesto'!$E:$E,'1_Presupuesto'!$D:$D),"")</f>
        <v/>
      </c>
    </row>
    <row r="34" spans="1:19" x14ac:dyDescent="0.35">
      <c r="A34" s="31" t="s">
        <v>548</v>
      </c>
      <c r="B34" s="31" t="s">
        <v>497</v>
      </c>
      <c r="C34" s="31" t="s">
        <v>498</v>
      </c>
      <c r="D34" s="31" t="s">
        <v>569</v>
      </c>
      <c r="E34" s="31" t="s">
        <v>570</v>
      </c>
      <c r="F34" s="31" t="s">
        <v>261</v>
      </c>
      <c r="G34" s="32">
        <v>1.3889</v>
      </c>
      <c r="H34" s="33">
        <v>0.1</v>
      </c>
      <c r="I34" s="34">
        <v>4751.7078769999998</v>
      </c>
      <c r="J34" s="34">
        <v>7259.6117774018303</v>
      </c>
      <c r="K34" s="31" t="s">
        <v>551</v>
      </c>
      <c r="L34" s="31">
        <v>7</v>
      </c>
      <c r="M34" s="31" t="s">
        <v>571</v>
      </c>
      <c r="N34" s="34">
        <v>12</v>
      </c>
      <c r="O34" s="35">
        <v>0</v>
      </c>
      <c r="P34" s="35" t="s">
        <v>212</v>
      </c>
      <c r="Q34" s="35">
        <v>0</v>
      </c>
      <c r="R34" s="36" t="s">
        <v>212</v>
      </c>
      <c r="S34" s="37" t="str">
        <f>IFERROR(_xlfn.XLOOKUP(R34,'1_Presupuesto'!$E:$E,'1_Presupuesto'!$D:$D),"")</f>
        <v/>
      </c>
    </row>
    <row r="35" spans="1:19" x14ac:dyDescent="0.35">
      <c r="A35" s="31" t="s">
        <v>548</v>
      </c>
      <c r="B35" s="31" t="s">
        <v>203</v>
      </c>
      <c r="C35" s="31"/>
      <c r="D35" s="31" t="s">
        <v>572</v>
      </c>
      <c r="E35" s="31" t="s">
        <v>573</v>
      </c>
      <c r="F35" s="31"/>
      <c r="G35" s="32">
        <v>1</v>
      </c>
      <c r="H35" s="33">
        <v>0</v>
      </c>
      <c r="I35" s="34">
        <v>152.380274273738</v>
      </c>
      <c r="J35" s="34">
        <v>152.380274273738</v>
      </c>
      <c r="K35" s="31" t="s">
        <v>574</v>
      </c>
      <c r="L35" s="31">
        <v>1</v>
      </c>
      <c r="M35" s="31" t="s">
        <v>575</v>
      </c>
      <c r="N35" s="34">
        <v>12</v>
      </c>
      <c r="O35" s="35">
        <v>0</v>
      </c>
      <c r="P35" s="35" t="s">
        <v>212</v>
      </c>
      <c r="Q35" s="35">
        <v>0</v>
      </c>
      <c r="R35" s="36" t="s">
        <v>212</v>
      </c>
      <c r="S35" s="37" t="str">
        <f>IFERROR(_xlfn.XLOOKUP(R35,'1_Presupuesto'!$E:$E,'1_Presupuesto'!$D:$D),"")</f>
        <v/>
      </c>
    </row>
    <row r="36" spans="1:19" x14ac:dyDescent="0.35">
      <c r="A36" s="31" t="s">
        <v>548</v>
      </c>
      <c r="B36" s="31" t="s">
        <v>203</v>
      </c>
      <c r="C36" s="31"/>
      <c r="D36" s="31" t="s">
        <v>576</v>
      </c>
      <c r="E36" s="31" t="s">
        <v>577</v>
      </c>
      <c r="F36" s="31"/>
      <c r="G36" s="32">
        <v>1</v>
      </c>
      <c r="H36" s="33">
        <v>0</v>
      </c>
      <c r="I36" s="34">
        <v>2570.7599166666701</v>
      </c>
      <c r="J36" s="34">
        <v>2570.7599166666701</v>
      </c>
      <c r="K36" s="31" t="s">
        <v>574</v>
      </c>
      <c r="L36" s="31">
        <v>2</v>
      </c>
      <c r="M36" s="31" t="s">
        <v>578</v>
      </c>
      <c r="N36" s="34">
        <v>12</v>
      </c>
      <c r="O36" s="35">
        <v>0</v>
      </c>
      <c r="P36" s="35" t="s">
        <v>212</v>
      </c>
      <c r="Q36" s="35">
        <v>0</v>
      </c>
      <c r="R36" s="36" t="s">
        <v>212</v>
      </c>
      <c r="S36" s="37" t="str">
        <f>IFERROR(_xlfn.XLOOKUP(R36,'1_Presupuesto'!$E:$E,'1_Presupuesto'!$D:$D),"")</f>
        <v/>
      </c>
    </row>
    <row r="37" spans="1:19" x14ac:dyDescent="0.35">
      <c r="A37" s="31" t="s">
        <v>548</v>
      </c>
      <c r="B37" s="31" t="s">
        <v>478</v>
      </c>
      <c r="C37" s="31" t="s">
        <v>479</v>
      </c>
      <c r="D37" s="31" t="s">
        <v>480</v>
      </c>
      <c r="E37" s="31" t="s">
        <v>183</v>
      </c>
      <c r="F37" s="31" t="s">
        <v>481</v>
      </c>
      <c r="G37" s="32">
        <v>1</v>
      </c>
      <c r="H37" s="33">
        <v>0</v>
      </c>
      <c r="I37" s="34">
        <v>94177.137883538904</v>
      </c>
      <c r="J37" s="34">
        <v>94177.137883538904</v>
      </c>
      <c r="K37" s="31" t="s">
        <v>579</v>
      </c>
      <c r="L37" s="31">
        <v>1</v>
      </c>
      <c r="M37" s="31" t="s">
        <v>580</v>
      </c>
      <c r="N37" s="34">
        <v>12</v>
      </c>
      <c r="O37" s="35">
        <v>8.3333333333333301E-2</v>
      </c>
      <c r="P37" s="35" t="s">
        <v>212</v>
      </c>
      <c r="Q37" s="35">
        <v>0</v>
      </c>
      <c r="R37" s="36" t="s">
        <v>212</v>
      </c>
      <c r="S37" s="37" t="str">
        <f>IFERROR(_xlfn.XLOOKUP(R37,'1_Presupuesto'!$E:$E,'1_Presupuesto'!$D:$D),"")</f>
        <v/>
      </c>
    </row>
    <row r="38" spans="1:19" x14ac:dyDescent="0.35">
      <c r="A38" s="31" t="s">
        <v>548</v>
      </c>
      <c r="B38" s="31" t="s">
        <v>478</v>
      </c>
      <c r="C38" s="31" t="s">
        <v>479</v>
      </c>
      <c r="D38" s="31" t="s">
        <v>494</v>
      </c>
      <c r="E38" s="31" t="s">
        <v>185</v>
      </c>
      <c r="F38" s="31" t="s">
        <v>481</v>
      </c>
      <c r="G38" s="32">
        <v>1</v>
      </c>
      <c r="H38" s="33">
        <v>0</v>
      </c>
      <c r="I38" s="34">
        <v>72132.138365590101</v>
      </c>
      <c r="J38" s="34">
        <v>72132.138365590101</v>
      </c>
      <c r="K38" s="31" t="s">
        <v>579</v>
      </c>
      <c r="L38" s="31">
        <v>2</v>
      </c>
      <c r="M38" s="31" t="s">
        <v>581</v>
      </c>
      <c r="N38" s="34">
        <v>12</v>
      </c>
      <c r="O38" s="35">
        <v>8.3333333333333301E-2</v>
      </c>
      <c r="P38" s="35" t="s">
        <v>212</v>
      </c>
      <c r="Q38" s="35">
        <v>0</v>
      </c>
      <c r="R38" s="36" t="s">
        <v>212</v>
      </c>
      <c r="S38" s="37" t="str">
        <f>IFERROR(_xlfn.XLOOKUP(R38,'1_Presupuesto'!$E:$E,'1_Presupuesto'!$D:$D),"")</f>
        <v/>
      </c>
    </row>
    <row r="39" spans="1:19" x14ac:dyDescent="0.35">
      <c r="A39" s="31" t="s">
        <v>582</v>
      </c>
      <c r="B39" s="31" t="s">
        <v>497</v>
      </c>
      <c r="C39" s="31" t="s">
        <v>498</v>
      </c>
      <c r="D39" s="31" t="s">
        <v>583</v>
      </c>
      <c r="E39" s="31" t="s">
        <v>584</v>
      </c>
      <c r="F39" s="31" t="s">
        <v>261</v>
      </c>
      <c r="G39" s="32">
        <v>0.39</v>
      </c>
      <c r="H39" s="33">
        <v>0.1</v>
      </c>
      <c r="I39" s="34">
        <v>2234.1799999999998</v>
      </c>
      <c r="J39" s="34">
        <v>958.46321999999998</v>
      </c>
      <c r="K39" s="31" t="s">
        <v>585</v>
      </c>
      <c r="L39" s="31">
        <v>1</v>
      </c>
      <c r="M39" s="31" t="s">
        <v>586</v>
      </c>
      <c r="N39" s="34">
        <v>15</v>
      </c>
      <c r="O39" s="35">
        <v>0</v>
      </c>
      <c r="P39" s="35" t="s">
        <v>212</v>
      </c>
      <c r="Q39" s="35">
        <v>0</v>
      </c>
      <c r="R39" s="36" t="s">
        <v>212</v>
      </c>
      <c r="S39" s="37" t="str">
        <f>IFERROR(_xlfn.XLOOKUP(R39,'1_Presupuesto'!$E:$E,'1_Presupuesto'!$D:$D),"")</f>
        <v/>
      </c>
    </row>
    <row r="40" spans="1:19" x14ac:dyDescent="0.35">
      <c r="A40" s="31" t="s">
        <v>582</v>
      </c>
      <c r="B40" s="31" t="s">
        <v>497</v>
      </c>
      <c r="C40" s="31" t="s">
        <v>498</v>
      </c>
      <c r="D40" s="31" t="s">
        <v>587</v>
      </c>
      <c r="E40" s="31" t="s">
        <v>588</v>
      </c>
      <c r="F40" s="31" t="s">
        <v>261</v>
      </c>
      <c r="G40" s="32">
        <v>3</v>
      </c>
      <c r="H40" s="33">
        <v>0.05</v>
      </c>
      <c r="I40" s="34">
        <v>9.1146919999999998</v>
      </c>
      <c r="J40" s="34">
        <v>28.7112798</v>
      </c>
      <c r="K40" s="31" t="s">
        <v>585</v>
      </c>
      <c r="L40" s="31">
        <v>2</v>
      </c>
      <c r="M40" s="31" t="s">
        <v>589</v>
      </c>
      <c r="N40" s="34">
        <v>15</v>
      </c>
      <c r="O40" s="35">
        <v>0</v>
      </c>
      <c r="P40" s="35" t="s">
        <v>212</v>
      </c>
      <c r="Q40" s="35">
        <v>0</v>
      </c>
      <c r="R40" s="36" t="s">
        <v>212</v>
      </c>
      <c r="S40" s="37" t="str">
        <f>IFERROR(_xlfn.XLOOKUP(R40,'1_Presupuesto'!$E:$E,'1_Presupuesto'!$D:$D),"")</f>
        <v/>
      </c>
    </row>
    <row r="41" spans="1:19" x14ac:dyDescent="0.35">
      <c r="A41" s="31" t="s">
        <v>590</v>
      </c>
      <c r="B41" s="31" t="s">
        <v>203</v>
      </c>
      <c r="C41" s="31"/>
      <c r="D41" s="31" t="s">
        <v>572</v>
      </c>
      <c r="E41" s="31" t="s">
        <v>573</v>
      </c>
      <c r="F41" s="31"/>
      <c r="G41" s="32">
        <v>1</v>
      </c>
      <c r="H41" s="33">
        <v>0</v>
      </c>
      <c r="I41" s="34">
        <v>152.380274273738</v>
      </c>
      <c r="J41" s="34">
        <v>152.380274273738</v>
      </c>
      <c r="K41" s="31" t="s">
        <v>591</v>
      </c>
      <c r="L41" s="31">
        <v>1</v>
      </c>
      <c r="M41" s="31" t="s">
        <v>592</v>
      </c>
      <c r="N41" s="34">
        <v>9.5</v>
      </c>
      <c r="O41" s="35">
        <v>0</v>
      </c>
      <c r="P41" s="35" t="s">
        <v>212</v>
      </c>
      <c r="Q41" s="35">
        <v>0</v>
      </c>
      <c r="R41" s="36" t="s">
        <v>212</v>
      </c>
      <c r="S41" s="37" t="str">
        <f>IFERROR(_xlfn.XLOOKUP(R41,'1_Presupuesto'!$E:$E,'1_Presupuesto'!$D:$D),"")</f>
        <v/>
      </c>
    </row>
    <row r="42" spans="1:19" x14ac:dyDescent="0.35">
      <c r="A42" s="31" t="s">
        <v>590</v>
      </c>
      <c r="B42" s="31" t="s">
        <v>203</v>
      </c>
      <c r="C42" s="31"/>
      <c r="D42" s="31" t="s">
        <v>576</v>
      </c>
      <c r="E42" s="31" t="s">
        <v>577</v>
      </c>
      <c r="F42" s="31"/>
      <c r="G42" s="32">
        <v>1</v>
      </c>
      <c r="H42" s="33">
        <v>0</v>
      </c>
      <c r="I42" s="34">
        <v>2570.7599166666701</v>
      </c>
      <c r="J42" s="34">
        <v>2570.7599166666701</v>
      </c>
      <c r="K42" s="31" t="s">
        <v>591</v>
      </c>
      <c r="L42" s="31">
        <v>2</v>
      </c>
      <c r="M42" s="31" t="s">
        <v>593</v>
      </c>
      <c r="N42" s="34">
        <v>9.5</v>
      </c>
      <c r="O42" s="35">
        <v>0</v>
      </c>
      <c r="P42" s="35" t="s">
        <v>212</v>
      </c>
      <c r="Q42" s="35">
        <v>0</v>
      </c>
      <c r="R42" s="36" t="s">
        <v>212</v>
      </c>
      <c r="S42" s="37" t="str">
        <f>IFERROR(_xlfn.XLOOKUP(R42,'1_Presupuesto'!$E:$E,'1_Presupuesto'!$D:$D),"")</f>
        <v/>
      </c>
    </row>
    <row r="43" spans="1:19" x14ac:dyDescent="0.35">
      <c r="A43" s="31" t="s">
        <v>582</v>
      </c>
      <c r="B43" s="31" t="s">
        <v>478</v>
      </c>
      <c r="C43" s="31" t="s">
        <v>479</v>
      </c>
      <c r="D43" s="31" t="s">
        <v>480</v>
      </c>
      <c r="E43" s="31" t="s">
        <v>183</v>
      </c>
      <c r="F43" s="31" t="s">
        <v>481</v>
      </c>
      <c r="G43" s="32">
        <v>1</v>
      </c>
      <c r="H43" s="33">
        <v>0</v>
      </c>
      <c r="I43" s="34">
        <v>94177.137883538904</v>
      </c>
      <c r="J43" s="34">
        <v>94177.137883538904</v>
      </c>
      <c r="K43" s="31" t="s">
        <v>594</v>
      </c>
      <c r="L43" s="31">
        <v>1</v>
      </c>
      <c r="M43" s="31" t="s">
        <v>595</v>
      </c>
      <c r="N43" s="34">
        <v>15</v>
      </c>
      <c r="O43" s="35">
        <v>6.6666666666666693E-2</v>
      </c>
      <c r="P43" s="35" t="s">
        <v>212</v>
      </c>
      <c r="Q43" s="35">
        <v>0</v>
      </c>
      <c r="R43" s="36" t="s">
        <v>212</v>
      </c>
      <c r="S43" s="37" t="str">
        <f>IFERROR(_xlfn.XLOOKUP(R43,'1_Presupuesto'!$E:$E,'1_Presupuesto'!$D:$D),"")</f>
        <v/>
      </c>
    </row>
    <row r="44" spans="1:19" x14ac:dyDescent="0.35">
      <c r="A44" s="31" t="s">
        <v>596</v>
      </c>
      <c r="B44" s="31" t="s">
        <v>497</v>
      </c>
      <c r="C44" s="31" t="s">
        <v>498</v>
      </c>
      <c r="D44" s="31" t="s">
        <v>597</v>
      </c>
      <c r="E44" s="31" t="s">
        <v>598</v>
      </c>
      <c r="F44" s="31" t="s">
        <v>218</v>
      </c>
      <c r="G44" s="32">
        <v>129.82086941119999</v>
      </c>
      <c r="H44" s="33">
        <v>0</v>
      </c>
      <c r="I44" s="34">
        <v>1</v>
      </c>
      <c r="J44" s="34">
        <v>129.82086941119999</v>
      </c>
      <c r="K44" s="31" t="s">
        <v>599</v>
      </c>
      <c r="L44" s="31">
        <v>1</v>
      </c>
      <c r="M44" s="31" t="s">
        <v>600</v>
      </c>
      <c r="N44" s="34">
        <v>11.5</v>
      </c>
      <c r="O44" s="35">
        <v>0</v>
      </c>
      <c r="P44" s="35" t="s">
        <v>212</v>
      </c>
      <c r="Q44" s="35">
        <v>0</v>
      </c>
      <c r="R44" s="36" t="s">
        <v>212</v>
      </c>
      <c r="S44" s="37" t="str">
        <f>IFERROR(_xlfn.XLOOKUP(R44,'1_Presupuesto'!$E:$E,'1_Presupuesto'!$D:$D),"")</f>
        <v/>
      </c>
    </row>
    <row r="45" spans="1:19" x14ac:dyDescent="0.35">
      <c r="A45" s="31" t="s">
        <v>596</v>
      </c>
      <c r="B45" s="31" t="s">
        <v>497</v>
      </c>
      <c r="C45" s="31" t="s">
        <v>498</v>
      </c>
      <c r="D45" s="31" t="s">
        <v>601</v>
      </c>
      <c r="E45" s="31" t="s">
        <v>602</v>
      </c>
      <c r="F45" s="31">
        <v>0</v>
      </c>
      <c r="G45" s="32">
        <v>0.17</v>
      </c>
      <c r="H45" s="33">
        <v>0.1</v>
      </c>
      <c r="I45" s="34">
        <v>3620.13</v>
      </c>
      <c r="J45" s="34">
        <v>676.96430999999995</v>
      </c>
      <c r="K45" s="31" t="s">
        <v>599</v>
      </c>
      <c r="L45" s="31">
        <v>2</v>
      </c>
      <c r="M45" s="31" t="s">
        <v>603</v>
      </c>
      <c r="N45" s="34">
        <v>11.5</v>
      </c>
      <c r="O45" s="35">
        <v>0</v>
      </c>
      <c r="P45" s="35" t="s">
        <v>212</v>
      </c>
      <c r="Q45" s="35">
        <v>0</v>
      </c>
      <c r="R45" s="36" t="s">
        <v>212</v>
      </c>
      <c r="S45" s="37" t="str">
        <f>IFERROR(_xlfn.XLOOKUP(R45,'1_Presupuesto'!$E:$E,'1_Presupuesto'!$D:$D),"")</f>
        <v/>
      </c>
    </row>
    <row r="46" spans="1:19" x14ac:dyDescent="0.35">
      <c r="A46" s="31" t="s">
        <v>596</v>
      </c>
      <c r="B46" s="31" t="s">
        <v>497</v>
      </c>
      <c r="C46" s="31" t="s">
        <v>498</v>
      </c>
      <c r="D46" s="31" t="s">
        <v>534</v>
      </c>
      <c r="E46" s="31" t="s">
        <v>535</v>
      </c>
      <c r="F46" s="31">
        <v>0</v>
      </c>
      <c r="G46" s="32">
        <v>1.2E-2</v>
      </c>
      <c r="H46" s="33">
        <v>0.1</v>
      </c>
      <c r="I46" s="34">
        <v>32620.38</v>
      </c>
      <c r="J46" s="34">
        <v>430.58901600000002</v>
      </c>
      <c r="K46" s="31" t="s">
        <v>599</v>
      </c>
      <c r="L46" s="31">
        <v>3</v>
      </c>
      <c r="M46" s="31" t="s">
        <v>604</v>
      </c>
      <c r="N46" s="34">
        <v>11.5</v>
      </c>
      <c r="O46" s="35">
        <v>0</v>
      </c>
      <c r="P46" s="35" t="s">
        <v>212</v>
      </c>
      <c r="Q46" s="35">
        <v>0</v>
      </c>
      <c r="R46" s="36" t="s">
        <v>212</v>
      </c>
      <c r="S46" s="37" t="str">
        <f>IFERROR(_xlfn.XLOOKUP(R46,'1_Presupuesto'!$E:$E,'1_Presupuesto'!$D:$D),"")</f>
        <v/>
      </c>
    </row>
    <row r="47" spans="1:19" x14ac:dyDescent="0.35">
      <c r="A47" s="31" t="s">
        <v>596</v>
      </c>
      <c r="B47" s="31" t="s">
        <v>497</v>
      </c>
      <c r="C47" s="31" t="s">
        <v>498</v>
      </c>
      <c r="D47" s="31" t="s">
        <v>605</v>
      </c>
      <c r="E47" s="31" t="s">
        <v>606</v>
      </c>
      <c r="F47" s="31" t="s">
        <v>261</v>
      </c>
      <c r="G47" s="32">
        <v>12.5</v>
      </c>
      <c r="H47" s="33">
        <v>0.05</v>
      </c>
      <c r="I47" s="34">
        <v>808.61</v>
      </c>
      <c r="J47" s="34">
        <v>10613.00625</v>
      </c>
      <c r="K47" s="31" t="s">
        <v>599</v>
      </c>
      <c r="L47" s="31">
        <v>4</v>
      </c>
      <c r="M47" s="31" t="s">
        <v>607</v>
      </c>
      <c r="N47" s="34">
        <v>11.5</v>
      </c>
      <c r="O47" s="35">
        <v>0</v>
      </c>
      <c r="P47" s="35" t="s">
        <v>212</v>
      </c>
      <c r="Q47" s="35">
        <v>0</v>
      </c>
      <c r="R47" s="36" t="s">
        <v>212</v>
      </c>
      <c r="S47" s="37" t="str">
        <f>IFERROR(_xlfn.XLOOKUP(R47,'1_Presupuesto'!$E:$E,'1_Presupuesto'!$D:$D),"")</f>
        <v/>
      </c>
    </row>
    <row r="48" spans="1:19" x14ac:dyDescent="0.35">
      <c r="A48" s="31" t="s">
        <v>596</v>
      </c>
      <c r="B48" s="31" t="s">
        <v>497</v>
      </c>
      <c r="C48" s="31" t="s">
        <v>498</v>
      </c>
      <c r="D48" s="31" t="s">
        <v>541</v>
      </c>
      <c r="E48" s="31" t="s">
        <v>542</v>
      </c>
      <c r="F48" s="31">
        <v>0</v>
      </c>
      <c r="G48" s="32">
        <v>5.1999999999999998E-2</v>
      </c>
      <c r="H48" s="33">
        <v>0.1</v>
      </c>
      <c r="I48" s="34">
        <v>7891.74</v>
      </c>
      <c r="J48" s="34">
        <v>451.40752800000001</v>
      </c>
      <c r="K48" s="31" t="s">
        <v>599</v>
      </c>
      <c r="L48" s="31">
        <v>5</v>
      </c>
      <c r="M48" s="31" t="s">
        <v>608</v>
      </c>
      <c r="N48" s="34">
        <v>11.5</v>
      </c>
      <c r="O48" s="35">
        <v>0</v>
      </c>
      <c r="P48" s="35" t="s">
        <v>212</v>
      </c>
      <c r="Q48" s="35">
        <v>0</v>
      </c>
      <c r="R48" s="36" t="s">
        <v>212</v>
      </c>
      <c r="S48" s="37" t="str">
        <f>IFERROR(_xlfn.XLOOKUP(R48,'1_Presupuesto'!$E:$E,'1_Presupuesto'!$D:$D),"")</f>
        <v/>
      </c>
    </row>
    <row r="49" spans="1:19" x14ac:dyDescent="0.35">
      <c r="A49" s="31" t="s">
        <v>596</v>
      </c>
      <c r="B49" s="31" t="s">
        <v>203</v>
      </c>
      <c r="C49" s="31"/>
      <c r="D49" s="31" t="s">
        <v>609</v>
      </c>
      <c r="E49" s="31" t="s">
        <v>610</v>
      </c>
      <c r="F49" s="31"/>
      <c r="G49" s="32">
        <v>1</v>
      </c>
      <c r="H49" s="33">
        <v>0</v>
      </c>
      <c r="I49" s="34">
        <v>2485.8709964594</v>
      </c>
      <c r="J49" s="34">
        <v>2485.8709964594</v>
      </c>
      <c r="K49" s="31" t="s">
        <v>611</v>
      </c>
      <c r="L49" s="31">
        <v>1</v>
      </c>
      <c r="M49" s="31" t="s">
        <v>612</v>
      </c>
      <c r="N49" s="34">
        <v>11.5</v>
      </c>
      <c r="O49" s="35">
        <v>0</v>
      </c>
      <c r="P49" s="35" t="s">
        <v>212</v>
      </c>
      <c r="Q49" s="35">
        <v>0</v>
      </c>
      <c r="R49" s="36" t="s">
        <v>212</v>
      </c>
      <c r="S49" s="37" t="str">
        <f>IFERROR(_xlfn.XLOOKUP(R49,'1_Presupuesto'!$E:$E,'1_Presupuesto'!$D:$D),"")</f>
        <v/>
      </c>
    </row>
    <row r="50" spans="1:19" x14ac:dyDescent="0.35">
      <c r="A50" s="31" t="s">
        <v>596</v>
      </c>
      <c r="B50" s="31" t="s">
        <v>203</v>
      </c>
      <c r="C50" s="31"/>
      <c r="D50" s="31" t="s">
        <v>613</v>
      </c>
      <c r="E50" s="31" t="s">
        <v>614</v>
      </c>
      <c r="F50" s="31"/>
      <c r="G50" s="32">
        <v>0.5</v>
      </c>
      <c r="H50" s="33">
        <v>0</v>
      </c>
      <c r="I50" s="34">
        <v>620.81078197718296</v>
      </c>
      <c r="J50" s="34">
        <v>310.40539098859199</v>
      </c>
      <c r="K50" s="31" t="s">
        <v>611</v>
      </c>
      <c r="L50" s="31">
        <v>2</v>
      </c>
      <c r="M50" s="31" t="s">
        <v>615</v>
      </c>
      <c r="N50" s="34">
        <v>11.5</v>
      </c>
      <c r="O50" s="35">
        <v>0</v>
      </c>
      <c r="P50" s="35" t="s">
        <v>212</v>
      </c>
      <c r="Q50" s="35">
        <v>0</v>
      </c>
      <c r="R50" s="36" t="s">
        <v>212</v>
      </c>
      <c r="S50" s="37" t="str">
        <f>IFERROR(_xlfn.XLOOKUP(R50,'1_Presupuesto'!$E:$E,'1_Presupuesto'!$D:$D),"")</f>
        <v/>
      </c>
    </row>
    <row r="51" spans="1:19" x14ac:dyDescent="0.35">
      <c r="A51" s="31" t="s">
        <v>596</v>
      </c>
      <c r="B51" s="31" t="s">
        <v>203</v>
      </c>
      <c r="C51" s="31"/>
      <c r="D51" s="31" t="s">
        <v>616</v>
      </c>
      <c r="E51" s="31" t="s">
        <v>617</v>
      </c>
      <c r="F51" s="31"/>
      <c r="G51" s="32">
        <v>1</v>
      </c>
      <c r="H51" s="33">
        <v>0</v>
      </c>
      <c r="I51" s="34">
        <v>1040.43144867052</v>
      </c>
      <c r="J51" s="34">
        <v>1040.43144867052</v>
      </c>
      <c r="K51" s="31" t="s">
        <v>611</v>
      </c>
      <c r="L51" s="31">
        <v>3</v>
      </c>
      <c r="M51" s="31" t="s">
        <v>618</v>
      </c>
      <c r="N51" s="34">
        <v>11.5</v>
      </c>
      <c r="O51" s="35">
        <v>0</v>
      </c>
      <c r="P51" s="35" t="s">
        <v>212</v>
      </c>
      <c r="Q51" s="35">
        <v>0</v>
      </c>
      <c r="R51" s="36" t="s">
        <v>212</v>
      </c>
      <c r="S51" s="37" t="str">
        <f>IFERROR(_xlfn.XLOOKUP(R51,'1_Presupuesto'!$E:$E,'1_Presupuesto'!$D:$D),"")</f>
        <v/>
      </c>
    </row>
    <row r="52" spans="1:19" x14ac:dyDescent="0.35">
      <c r="A52" s="31" t="s">
        <v>596</v>
      </c>
      <c r="B52" s="31" t="s">
        <v>478</v>
      </c>
      <c r="C52" s="31" t="s">
        <v>479</v>
      </c>
      <c r="D52" s="31" t="s">
        <v>480</v>
      </c>
      <c r="E52" s="31" t="s">
        <v>183</v>
      </c>
      <c r="F52" s="31" t="s">
        <v>481</v>
      </c>
      <c r="G52" s="32">
        <v>1</v>
      </c>
      <c r="H52" s="33">
        <v>0</v>
      </c>
      <c r="I52" s="34">
        <v>94177.137883538904</v>
      </c>
      <c r="J52" s="34">
        <v>94177.137883538904</v>
      </c>
      <c r="K52" s="31" t="s">
        <v>619</v>
      </c>
      <c r="L52" s="31">
        <v>1</v>
      </c>
      <c r="M52" s="31" t="s">
        <v>620</v>
      </c>
      <c r="N52" s="34">
        <v>11.5</v>
      </c>
      <c r="O52" s="35">
        <v>8.6956521739130405E-2</v>
      </c>
      <c r="P52" s="35" t="s">
        <v>212</v>
      </c>
      <c r="Q52" s="35">
        <v>0</v>
      </c>
      <c r="R52" s="36" t="s">
        <v>212</v>
      </c>
      <c r="S52" s="37" t="str">
        <f>IFERROR(_xlfn.XLOOKUP(R52,'1_Presupuesto'!$E:$E,'1_Presupuesto'!$D:$D),"")</f>
        <v/>
      </c>
    </row>
    <row r="53" spans="1:19" x14ac:dyDescent="0.35">
      <c r="A53" s="31" t="s">
        <v>596</v>
      </c>
      <c r="B53" s="31" t="s">
        <v>478</v>
      </c>
      <c r="C53" s="31" t="s">
        <v>479</v>
      </c>
      <c r="D53" s="31" t="s">
        <v>494</v>
      </c>
      <c r="E53" s="31" t="s">
        <v>185</v>
      </c>
      <c r="F53" s="31" t="s">
        <v>481</v>
      </c>
      <c r="G53" s="32">
        <v>0.75</v>
      </c>
      <c r="H53" s="33">
        <v>0</v>
      </c>
      <c r="I53" s="34">
        <v>72132.138365590101</v>
      </c>
      <c r="J53" s="34">
        <v>54099.103774192597</v>
      </c>
      <c r="K53" s="31" t="s">
        <v>619</v>
      </c>
      <c r="L53" s="31">
        <v>2</v>
      </c>
      <c r="M53" s="31" t="s">
        <v>621</v>
      </c>
      <c r="N53" s="34">
        <v>11.5</v>
      </c>
      <c r="O53" s="35">
        <v>6.5217391304347797E-2</v>
      </c>
      <c r="P53" s="35" t="s">
        <v>212</v>
      </c>
      <c r="Q53" s="35">
        <v>0</v>
      </c>
      <c r="R53" s="36" t="s">
        <v>212</v>
      </c>
      <c r="S53" s="37" t="str">
        <f>IFERROR(_xlfn.XLOOKUP(R53,'1_Presupuesto'!$E:$E,'1_Presupuesto'!$D:$D),"")</f>
        <v/>
      </c>
    </row>
    <row r="54" spans="1:19" x14ac:dyDescent="0.35">
      <c r="A54" s="31" t="s">
        <v>622</v>
      </c>
      <c r="B54" s="31" t="s">
        <v>497</v>
      </c>
      <c r="C54" s="31" t="s">
        <v>498</v>
      </c>
      <c r="D54" s="31" t="s">
        <v>597</v>
      </c>
      <c r="E54" s="31" t="s">
        <v>598</v>
      </c>
      <c r="F54" s="31" t="s">
        <v>218</v>
      </c>
      <c r="G54" s="32">
        <v>186.03762019000001</v>
      </c>
      <c r="H54" s="33">
        <v>0</v>
      </c>
      <c r="I54" s="34">
        <v>1</v>
      </c>
      <c r="J54" s="34">
        <v>186.03762019000001</v>
      </c>
      <c r="K54" s="31" t="s">
        <v>623</v>
      </c>
      <c r="L54" s="31">
        <v>1</v>
      </c>
      <c r="M54" s="31" t="s">
        <v>624</v>
      </c>
      <c r="N54" s="34">
        <v>11.5</v>
      </c>
      <c r="O54" s="35">
        <v>0</v>
      </c>
      <c r="P54" s="35" t="s">
        <v>212</v>
      </c>
      <c r="Q54" s="35">
        <v>0</v>
      </c>
      <c r="R54" s="36" t="s">
        <v>212</v>
      </c>
      <c r="S54" s="37" t="str">
        <f>IFERROR(_xlfn.XLOOKUP(R54,'1_Presupuesto'!$E:$E,'1_Presupuesto'!$D:$D),"")</f>
        <v/>
      </c>
    </row>
    <row r="55" spans="1:19" x14ac:dyDescent="0.35">
      <c r="A55" s="31" t="s">
        <v>622</v>
      </c>
      <c r="B55" s="31" t="s">
        <v>497</v>
      </c>
      <c r="C55" s="31" t="s">
        <v>498</v>
      </c>
      <c r="D55" s="31" t="s">
        <v>601</v>
      </c>
      <c r="E55" s="31" t="s">
        <v>602</v>
      </c>
      <c r="F55" s="31">
        <v>0</v>
      </c>
      <c r="G55" s="32">
        <v>0.17</v>
      </c>
      <c r="H55" s="33">
        <v>0.1</v>
      </c>
      <c r="I55" s="34">
        <v>3620.13</v>
      </c>
      <c r="J55" s="34">
        <v>676.96430999999995</v>
      </c>
      <c r="K55" s="31" t="s">
        <v>623</v>
      </c>
      <c r="L55" s="31">
        <v>2</v>
      </c>
      <c r="M55" s="31" t="s">
        <v>625</v>
      </c>
      <c r="N55" s="34">
        <v>11.5</v>
      </c>
      <c r="O55" s="35">
        <v>0</v>
      </c>
      <c r="P55" s="35" t="s">
        <v>212</v>
      </c>
      <c r="Q55" s="35">
        <v>0</v>
      </c>
      <c r="R55" s="36" t="s">
        <v>212</v>
      </c>
      <c r="S55" s="37" t="str">
        <f>IFERROR(_xlfn.XLOOKUP(R55,'1_Presupuesto'!$E:$E,'1_Presupuesto'!$D:$D),"")</f>
        <v/>
      </c>
    </row>
    <row r="56" spans="1:19" x14ac:dyDescent="0.35">
      <c r="A56" s="31" t="s">
        <v>622</v>
      </c>
      <c r="B56" s="31" t="s">
        <v>497</v>
      </c>
      <c r="C56" s="31" t="s">
        <v>498</v>
      </c>
      <c r="D56" s="31" t="s">
        <v>534</v>
      </c>
      <c r="E56" s="31" t="s">
        <v>535</v>
      </c>
      <c r="F56" s="31">
        <v>0</v>
      </c>
      <c r="G56" s="32">
        <v>1.44E-2</v>
      </c>
      <c r="H56" s="33">
        <v>0.1</v>
      </c>
      <c r="I56" s="34">
        <v>32620.38</v>
      </c>
      <c r="J56" s="34">
        <v>516.70681920000004</v>
      </c>
      <c r="K56" s="31" t="s">
        <v>623</v>
      </c>
      <c r="L56" s="31">
        <v>3</v>
      </c>
      <c r="M56" s="31" t="s">
        <v>626</v>
      </c>
      <c r="N56" s="34">
        <v>11.5</v>
      </c>
      <c r="O56" s="35">
        <v>0</v>
      </c>
      <c r="P56" s="35" t="s">
        <v>212</v>
      </c>
      <c r="Q56" s="35">
        <v>0</v>
      </c>
      <c r="R56" s="36" t="s">
        <v>212</v>
      </c>
      <c r="S56" s="37" t="str">
        <f>IFERROR(_xlfn.XLOOKUP(R56,'1_Presupuesto'!$E:$E,'1_Presupuesto'!$D:$D),"")</f>
        <v/>
      </c>
    </row>
    <row r="57" spans="1:19" x14ac:dyDescent="0.35">
      <c r="A57" s="31" t="s">
        <v>622</v>
      </c>
      <c r="B57" s="31" t="s">
        <v>497</v>
      </c>
      <c r="C57" s="31" t="s">
        <v>498</v>
      </c>
      <c r="D57" s="31" t="s">
        <v>627</v>
      </c>
      <c r="E57" s="31" t="s">
        <v>628</v>
      </c>
      <c r="F57" s="31" t="s">
        <v>261</v>
      </c>
      <c r="G57" s="32">
        <v>12.5</v>
      </c>
      <c r="H57" s="33">
        <v>0.05</v>
      </c>
      <c r="I57" s="34">
        <v>1204.43</v>
      </c>
      <c r="J57" s="34">
        <v>15808.143749999999</v>
      </c>
      <c r="K57" s="31" t="s">
        <v>623</v>
      </c>
      <c r="L57" s="31">
        <v>4</v>
      </c>
      <c r="M57" s="31" t="s">
        <v>629</v>
      </c>
      <c r="N57" s="34">
        <v>11.5</v>
      </c>
      <c r="O57" s="35">
        <v>0</v>
      </c>
      <c r="P57" s="35" t="s">
        <v>212</v>
      </c>
      <c r="Q57" s="35">
        <v>0</v>
      </c>
      <c r="R57" s="36" t="s">
        <v>212</v>
      </c>
      <c r="S57" s="37" t="str">
        <f>IFERROR(_xlfn.XLOOKUP(R57,'1_Presupuesto'!$E:$E,'1_Presupuesto'!$D:$D),"")</f>
        <v/>
      </c>
    </row>
    <row r="58" spans="1:19" x14ac:dyDescent="0.35">
      <c r="A58" s="31" t="s">
        <v>622</v>
      </c>
      <c r="B58" s="31" t="s">
        <v>497</v>
      </c>
      <c r="C58" s="31" t="s">
        <v>498</v>
      </c>
      <c r="D58" s="31" t="s">
        <v>541</v>
      </c>
      <c r="E58" s="31" t="s">
        <v>542</v>
      </c>
      <c r="F58" s="31">
        <v>0</v>
      </c>
      <c r="G58" s="32">
        <v>6.2399999999999997E-2</v>
      </c>
      <c r="H58" s="33">
        <v>0.1</v>
      </c>
      <c r="I58" s="34">
        <v>7891.74</v>
      </c>
      <c r="J58" s="34">
        <v>541.68903360000002</v>
      </c>
      <c r="K58" s="31" t="s">
        <v>623</v>
      </c>
      <c r="L58" s="31">
        <v>5</v>
      </c>
      <c r="M58" s="31" t="s">
        <v>630</v>
      </c>
      <c r="N58" s="34">
        <v>11.5</v>
      </c>
      <c r="O58" s="35">
        <v>0</v>
      </c>
      <c r="P58" s="35" t="s">
        <v>212</v>
      </c>
      <c r="Q58" s="35">
        <v>0</v>
      </c>
      <c r="R58" s="36" t="s">
        <v>212</v>
      </c>
      <c r="S58" s="37" t="str">
        <f>IFERROR(_xlfn.XLOOKUP(R58,'1_Presupuesto'!$E:$E,'1_Presupuesto'!$D:$D),"")</f>
        <v/>
      </c>
    </row>
    <row r="59" spans="1:19" x14ac:dyDescent="0.35">
      <c r="A59" s="31" t="s">
        <v>622</v>
      </c>
      <c r="B59" s="31" t="s">
        <v>203</v>
      </c>
      <c r="C59" s="31"/>
      <c r="D59" s="31" t="s">
        <v>609</v>
      </c>
      <c r="E59" s="31" t="s">
        <v>610</v>
      </c>
      <c r="F59" s="31"/>
      <c r="G59" s="32">
        <v>1</v>
      </c>
      <c r="H59" s="33">
        <v>0</v>
      </c>
      <c r="I59" s="34">
        <v>2485.8709964594</v>
      </c>
      <c r="J59" s="34">
        <v>2485.8709964594</v>
      </c>
      <c r="K59" s="31" t="s">
        <v>631</v>
      </c>
      <c r="L59" s="31">
        <v>1</v>
      </c>
      <c r="M59" s="31" t="s">
        <v>632</v>
      </c>
      <c r="N59" s="34">
        <v>11.5</v>
      </c>
      <c r="O59" s="35">
        <v>0</v>
      </c>
      <c r="P59" s="35" t="s">
        <v>212</v>
      </c>
      <c r="Q59" s="35">
        <v>0</v>
      </c>
      <c r="R59" s="36" t="s">
        <v>212</v>
      </c>
      <c r="S59" s="37" t="str">
        <f>IFERROR(_xlfn.XLOOKUP(R59,'1_Presupuesto'!$E:$E,'1_Presupuesto'!$D:$D),"")</f>
        <v/>
      </c>
    </row>
    <row r="60" spans="1:19" x14ac:dyDescent="0.35">
      <c r="A60" s="31" t="s">
        <v>622</v>
      </c>
      <c r="B60" s="31" t="s">
        <v>203</v>
      </c>
      <c r="C60" s="31"/>
      <c r="D60" s="31" t="s">
        <v>613</v>
      </c>
      <c r="E60" s="31" t="s">
        <v>614</v>
      </c>
      <c r="F60" s="31"/>
      <c r="G60" s="32">
        <v>0.5</v>
      </c>
      <c r="H60" s="33">
        <v>0</v>
      </c>
      <c r="I60" s="34">
        <v>620.81078197718296</v>
      </c>
      <c r="J60" s="34">
        <v>310.40539098859199</v>
      </c>
      <c r="K60" s="31" t="s">
        <v>631</v>
      </c>
      <c r="L60" s="31">
        <v>2</v>
      </c>
      <c r="M60" s="31" t="s">
        <v>633</v>
      </c>
      <c r="N60" s="34">
        <v>11.5</v>
      </c>
      <c r="O60" s="35">
        <v>0</v>
      </c>
      <c r="P60" s="35" t="s">
        <v>212</v>
      </c>
      <c r="Q60" s="35">
        <v>0</v>
      </c>
      <c r="R60" s="36" t="s">
        <v>212</v>
      </c>
      <c r="S60" s="37" t="str">
        <f>IFERROR(_xlfn.XLOOKUP(R60,'1_Presupuesto'!$E:$E,'1_Presupuesto'!$D:$D),"")</f>
        <v/>
      </c>
    </row>
    <row r="61" spans="1:19" x14ac:dyDescent="0.35">
      <c r="A61" s="31" t="s">
        <v>622</v>
      </c>
      <c r="B61" s="31" t="s">
        <v>203</v>
      </c>
      <c r="C61" s="31"/>
      <c r="D61" s="31" t="s">
        <v>616</v>
      </c>
      <c r="E61" s="31" t="s">
        <v>617</v>
      </c>
      <c r="F61" s="31"/>
      <c r="G61" s="32">
        <v>1</v>
      </c>
      <c r="H61" s="33">
        <v>0</v>
      </c>
      <c r="I61" s="34">
        <v>1040.43144867052</v>
      </c>
      <c r="J61" s="34">
        <v>1040.43144867052</v>
      </c>
      <c r="K61" s="31" t="s">
        <v>631</v>
      </c>
      <c r="L61" s="31">
        <v>3</v>
      </c>
      <c r="M61" s="31" t="s">
        <v>634</v>
      </c>
      <c r="N61" s="34">
        <v>11.5</v>
      </c>
      <c r="O61" s="35">
        <v>0</v>
      </c>
      <c r="P61" s="35" t="s">
        <v>212</v>
      </c>
      <c r="Q61" s="35">
        <v>0</v>
      </c>
      <c r="R61" s="36" t="s">
        <v>212</v>
      </c>
      <c r="S61" s="37" t="str">
        <f>IFERROR(_xlfn.XLOOKUP(R61,'1_Presupuesto'!$E:$E,'1_Presupuesto'!$D:$D),"")</f>
        <v/>
      </c>
    </row>
    <row r="62" spans="1:19" x14ac:dyDescent="0.35">
      <c r="A62" s="31" t="s">
        <v>622</v>
      </c>
      <c r="B62" s="31" t="s">
        <v>478</v>
      </c>
      <c r="C62" s="31" t="s">
        <v>479</v>
      </c>
      <c r="D62" s="31" t="s">
        <v>480</v>
      </c>
      <c r="E62" s="31" t="s">
        <v>183</v>
      </c>
      <c r="F62" s="31" t="s">
        <v>481</v>
      </c>
      <c r="G62" s="32">
        <v>1</v>
      </c>
      <c r="H62" s="33">
        <v>0</v>
      </c>
      <c r="I62" s="34">
        <v>94177.137883538904</v>
      </c>
      <c r="J62" s="34">
        <v>94177.137883538904</v>
      </c>
      <c r="K62" s="31" t="s">
        <v>635</v>
      </c>
      <c r="L62" s="31">
        <v>1</v>
      </c>
      <c r="M62" s="31" t="s">
        <v>636</v>
      </c>
      <c r="N62" s="34">
        <v>11.5</v>
      </c>
      <c r="O62" s="35">
        <v>8.6956521739130405E-2</v>
      </c>
      <c r="P62" s="35" t="s">
        <v>212</v>
      </c>
      <c r="Q62" s="35">
        <v>0</v>
      </c>
      <c r="R62" s="36" t="s">
        <v>212</v>
      </c>
      <c r="S62" s="37" t="str">
        <f>IFERROR(_xlfn.XLOOKUP(R62,'1_Presupuesto'!$E:$E,'1_Presupuesto'!$D:$D),"")</f>
        <v/>
      </c>
    </row>
    <row r="63" spans="1:19" x14ac:dyDescent="0.35">
      <c r="A63" s="31" t="s">
        <v>622</v>
      </c>
      <c r="B63" s="31" t="s">
        <v>478</v>
      </c>
      <c r="C63" s="31" t="s">
        <v>479</v>
      </c>
      <c r="D63" s="31" t="s">
        <v>494</v>
      </c>
      <c r="E63" s="31" t="s">
        <v>185</v>
      </c>
      <c r="F63" s="31" t="s">
        <v>481</v>
      </c>
      <c r="G63" s="32">
        <v>0.75</v>
      </c>
      <c r="H63" s="33">
        <v>0</v>
      </c>
      <c r="I63" s="34">
        <v>72132.138365590101</v>
      </c>
      <c r="J63" s="34">
        <v>54099.103774192597</v>
      </c>
      <c r="K63" s="31" t="s">
        <v>635</v>
      </c>
      <c r="L63" s="31">
        <v>2</v>
      </c>
      <c r="M63" s="31" t="s">
        <v>637</v>
      </c>
      <c r="N63" s="34">
        <v>11.5</v>
      </c>
      <c r="O63" s="35">
        <v>6.5217391304347797E-2</v>
      </c>
      <c r="P63" s="35" t="s">
        <v>212</v>
      </c>
      <c r="Q63" s="35">
        <v>0</v>
      </c>
      <c r="R63" s="36" t="s">
        <v>212</v>
      </c>
      <c r="S63" s="37" t="str">
        <f>IFERROR(_xlfn.XLOOKUP(R63,'1_Presupuesto'!$E:$E,'1_Presupuesto'!$D:$D),"")</f>
        <v/>
      </c>
    </row>
    <row r="64" spans="1:19" x14ac:dyDescent="0.35">
      <c r="A64" s="31" t="s">
        <v>638</v>
      </c>
      <c r="B64" s="31" t="s">
        <v>497</v>
      </c>
      <c r="C64" s="31" t="s">
        <v>498</v>
      </c>
      <c r="D64" s="31" t="s">
        <v>597</v>
      </c>
      <c r="E64" s="31" t="s">
        <v>598</v>
      </c>
      <c r="F64" s="31" t="s">
        <v>218</v>
      </c>
      <c r="G64" s="32">
        <v>3056.3166000000001</v>
      </c>
      <c r="H64" s="33">
        <v>0</v>
      </c>
      <c r="I64" s="34">
        <v>1</v>
      </c>
      <c r="J64" s="34">
        <v>3056.3166000000001</v>
      </c>
      <c r="K64" s="31" t="s">
        <v>639</v>
      </c>
      <c r="L64" s="31">
        <v>1</v>
      </c>
      <c r="M64" s="31" t="s">
        <v>640</v>
      </c>
      <c r="N64" s="34">
        <v>3.25</v>
      </c>
      <c r="O64" s="35">
        <v>0</v>
      </c>
      <c r="P64" s="35" t="s">
        <v>212</v>
      </c>
      <c r="Q64" s="35">
        <v>0</v>
      </c>
      <c r="R64" s="36" t="s">
        <v>212</v>
      </c>
      <c r="S64" s="37" t="str">
        <f>IFERROR(_xlfn.XLOOKUP(R64,'1_Presupuesto'!$E:$E,'1_Presupuesto'!$D:$D),"")</f>
        <v/>
      </c>
    </row>
    <row r="65" spans="1:19" x14ac:dyDescent="0.35">
      <c r="A65" s="31" t="s">
        <v>638</v>
      </c>
      <c r="B65" s="31" t="s">
        <v>203</v>
      </c>
      <c r="C65" s="31"/>
      <c r="D65" s="31" t="s">
        <v>641</v>
      </c>
      <c r="E65" s="31" t="s">
        <v>642</v>
      </c>
      <c r="F65" s="31"/>
      <c r="G65" s="32">
        <v>1</v>
      </c>
      <c r="H65" s="33">
        <v>0</v>
      </c>
      <c r="I65" s="34">
        <v>5503.0404388678899</v>
      </c>
      <c r="J65" s="34">
        <v>5503.0404388678899</v>
      </c>
      <c r="K65" s="31" t="s">
        <v>643</v>
      </c>
      <c r="L65" s="31">
        <v>1</v>
      </c>
      <c r="M65" s="31" t="s">
        <v>644</v>
      </c>
      <c r="N65" s="34">
        <v>3.25</v>
      </c>
      <c r="O65" s="35">
        <v>0</v>
      </c>
      <c r="P65" s="35" t="s">
        <v>212</v>
      </c>
      <c r="Q65" s="35">
        <v>0</v>
      </c>
      <c r="R65" s="36" t="s">
        <v>212</v>
      </c>
      <c r="S65" s="37" t="str">
        <f>IFERROR(_xlfn.XLOOKUP(R65,'1_Presupuesto'!$E:$E,'1_Presupuesto'!$D:$D),"")</f>
        <v/>
      </c>
    </row>
    <row r="66" spans="1:19" x14ac:dyDescent="0.35">
      <c r="A66" s="31" t="s">
        <v>638</v>
      </c>
      <c r="B66" s="31" t="s">
        <v>203</v>
      </c>
      <c r="C66" s="31"/>
      <c r="D66" s="31" t="s">
        <v>613</v>
      </c>
      <c r="E66" s="31" t="s">
        <v>614</v>
      </c>
      <c r="F66" s="31"/>
      <c r="G66" s="32">
        <v>0.5</v>
      </c>
      <c r="H66" s="33">
        <v>0</v>
      </c>
      <c r="I66" s="34">
        <v>620.81078197718296</v>
      </c>
      <c r="J66" s="34">
        <v>310.40539098859199</v>
      </c>
      <c r="K66" s="31" t="s">
        <v>643</v>
      </c>
      <c r="L66" s="31">
        <v>2</v>
      </c>
      <c r="M66" s="31" t="s">
        <v>645</v>
      </c>
      <c r="N66" s="34">
        <v>3.25</v>
      </c>
      <c r="O66" s="35">
        <v>0</v>
      </c>
      <c r="P66" s="35" t="s">
        <v>212</v>
      </c>
      <c r="Q66" s="35">
        <v>0</v>
      </c>
      <c r="R66" s="36" t="s">
        <v>212</v>
      </c>
      <c r="S66" s="37" t="str">
        <f>IFERROR(_xlfn.XLOOKUP(R66,'1_Presupuesto'!$E:$E,'1_Presupuesto'!$D:$D),"")</f>
        <v/>
      </c>
    </row>
    <row r="67" spans="1:19" x14ac:dyDescent="0.35">
      <c r="A67" s="31" t="s">
        <v>638</v>
      </c>
      <c r="B67" s="31" t="s">
        <v>203</v>
      </c>
      <c r="C67" s="31"/>
      <c r="D67" s="31" t="s">
        <v>572</v>
      </c>
      <c r="E67" s="31" t="s">
        <v>573</v>
      </c>
      <c r="F67" s="31"/>
      <c r="G67" s="32">
        <v>0.5</v>
      </c>
      <c r="H67" s="33">
        <v>0</v>
      </c>
      <c r="I67" s="34">
        <v>152.380274273738</v>
      </c>
      <c r="J67" s="34">
        <v>76.190137136869097</v>
      </c>
      <c r="K67" s="31" t="s">
        <v>643</v>
      </c>
      <c r="L67" s="31">
        <v>3</v>
      </c>
      <c r="M67" s="31" t="s">
        <v>646</v>
      </c>
      <c r="N67" s="34">
        <v>3.25</v>
      </c>
      <c r="O67" s="35">
        <v>0</v>
      </c>
      <c r="P67" s="35" t="s">
        <v>212</v>
      </c>
      <c r="Q67" s="35">
        <v>0</v>
      </c>
      <c r="R67" s="36" t="s">
        <v>212</v>
      </c>
      <c r="S67" s="37" t="str">
        <f>IFERROR(_xlfn.XLOOKUP(R67,'1_Presupuesto'!$E:$E,'1_Presupuesto'!$D:$D),"")</f>
        <v/>
      </c>
    </row>
    <row r="68" spans="1:19" x14ac:dyDescent="0.35">
      <c r="A68" s="31" t="s">
        <v>638</v>
      </c>
      <c r="B68" s="31" t="s">
        <v>478</v>
      </c>
      <c r="C68" s="31" t="s">
        <v>479</v>
      </c>
      <c r="D68" s="31" t="s">
        <v>480</v>
      </c>
      <c r="E68" s="31" t="s">
        <v>183</v>
      </c>
      <c r="F68" s="31" t="s">
        <v>481</v>
      </c>
      <c r="G68" s="32">
        <v>1</v>
      </c>
      <c r="H68" s="33">
        <v>0</v>
      </c>
      <c r="I68" s="34">
        <v>94177.137883538904</v>
      </c>
      <c r="J68" s="34">
        <v>94177.137883538904</v>
      </c>
      <c r="K68" s="31" t="s">
        <v>647</v>
      </c>
      <c r="L68" s="31">
        <v>1</v>
      </c>
      <c r="M68" s="31" t="s">
        <v>648</v>
      </c>
      <c r="N68" s="34">
        <v>3.25</v>
      </c>
      <c r="O68" s="35">
        <v>0.30769230769230799</v>
      </c>
      <c r="P68" s="35" t="s">
        <v>212</v>
      </c>
      <c r="Q68" s="35">
        <v>0</v>
      </c>
      <c r="R68" s="36" t="s">
        <v>212</v>
      </c>
      <c r="S68" s="37" t="str">
        <f>IFERROR(_xlfn.XLOOKUP(R68,'1_Presupuesto'!$E:$E,'1_Presupuesto'!$D:$D),"")</f>
        <v/>
      </c>
    </row>
    <row r="69" spans="1:19" x14ac:dyDescent="0.35">
      <c r="A69" s="31" t="s">
        <v>638</v>
      </c>
      <c r="B69" s="31" t="s">
        <v>478</v>
      </c>
      <c r="C69" s="31" t="s">
        <v>479</v>
      </c>
      <c r="D69" s="31" t="s">
        <v>484</v>
      </c>
      <c r="E69" s="31" t="s">
        <v>186</v>
      </c>
      <c r="F69" s="31" t="s">
        <v>481</v>
      </c>
      <c r="G69" s="32">
        <v>1</v>
      </c>
      <c r="H69" s="33">
        <v>0</v>
      </c>
      <c r="I69" s="34">
        <v>67240.498860267602</v>
      </c>
      <c r="J69" s="34">
        <v>67240.498860267602</v>
      </c>
      <c r="K69" s="31" t="s">
        <v>647</v>
      </c>
      <c r="L69" s="31">
        <v>2</v>
      </c>
      <c r="M69" s="31" t="s">
        <v>649</v>
      </c>
      <c r="N69" s="34">
        <v>3.25</v>
      </c>
      <c r="O69" s="35">
        <v>0.30769230769230799</v>
      </c>
      <c r="P69" s="35" t="s">
        <v>212</v>
      </c>
      <c r="Q69" s="35">
        <v>0</v>
      </c>
      <c r="R69" s="36" t="s">
        <v>212</v>
      </c>
      <c r="S69" s="37" t="str">
        <f>IFERROR(_xlfn.XLOOKUP(R69,'1_Presupuesto'!$E:$E,'1_Presupuesto'!$D:$D),"")</f>
        <v/>
      </c>
    </row>
    <row r="70" spans="1:19" x14ac:dyDescent="0.35">
      <c r="A70" s="31" t="s">
        <v>650</v>
      </c>
      <c r="B70" s="31" t="s">
        <v>497</v>
      </c>
      <c r="C70" s="31" t="s">
        <v>498</v>
      </c>
      <c r="D70" s="31" t="s">
        <v>651</v>
      </c>
      <c r="E70" s="31" t="s">
        <v>652</v>
      </c>
      <c r="F70" s="31" t="s">
        <v>261</v>
      </c>
      <c r="G70" s="32">
        <v>5</v>
      </c>
      <c r="H70" s="33">
        <v>0.05</v>
      </c>
      <c r="I70" s="34">
        <v>504.29656699999998</v>
      </c>
      <c r="J70" s="34">
        <v>2647.5569767500001</v>
      </c>
      <c r="K70" s="31" t="s">
        <v>653</v>
      </c>
      <c r="L70" s="31">
        <v>1</v>
      </c>
      <c r="M70" s="31" t="s">
        <v>654</v>
      </c>
      <c r="N70" s="34">
        <v>3.25</v>
      </c>
      <c r="O70" s="35">
        <v>0</v>
      </c>
      <c r="P70" s="35" t="s">
        <v>212</v>
      </c>
      <c r="Q70" s="35">
        <v>0</v>
      </c>
      <c r="R70" s="36" t="s">
        <v>212</v>
      </c>
      <c r="S70" s="37" t="str">
        <f>IFERROR(_xlfn.XLOOKUP(R70,'1_Presupuesto'!$E:$E,'1_Presupuesto'!$D:$D),"")</f>
        <v/>
      </c>
    </row>
    <row r="71" spans="1:19" x14ac:dyDescent="0.35">
      <c r="A71" s="31" t="s">
        <v>650</v>
      </c>
      <c r="B71" s="31" t="s">
        <v>497</v>
      </c>
      <c r="C71" s="31" t="s">
        <v>498</v>
      </c>
      <c r="D71" s="31" t="s">
        <v>655</v>
      </c>
      <c r="E71" s="31" t="s">
        <v>656</v>
      </c>
      <c r="F71" s="31" t="s">
        <v>261</v>
      </c>
      <c r="G71" s="32">
        <v>4</v>
      </c>
      <c r="H71" s="33">
        <v>0.1</v>
      </c>
      <c r="I71" s="34">
        <v>250.31899999999999</v>
      </c>
      <c r="J71" s="34">
        <v>1101.4036000000001</v>
      </c>
      <c r="K71" s="31" t="s">
        <v>653</v>
      </c>
      <c r="L71" s="31">
        <v>2</v>
      </c>
      <c r="M71" s="31" t="s">
        <v>657</v>
      </c>
      <c r="N71" s="34">
        <v>3.25</v>
      </c>
      <c r="O71" s="35">
        <v>0</v>
      </c>
      <c r="P71" s="35" t="s">
        <v>212</v>
      </c>
      <c r="Q71" s="35">
        <v>0</v>
      </c>
      <c r="R71" s="36" t="s">
        <v>212</v>
      </c>
      <c r="S71" s="37" t="str">
        <f>IFERROR(_xlfn.XLOOKUP(R71,'1_Presupuesto'!$E:$E,'1_Presupuesto'!$D:$D),"")</f>
        <v/>
      </c>
    </row>
    <row r="72" spans="1:19" x14ac:dyDescent="0.35">
      <c r="A72" s="31" t="s">
        <v>650</v>
      </c>
      <c r="B72" s="31" t="s">
        <v>497</v>
      </c>
      <c r="C72" s="31" t="s">
        <v>498</v>
      </c>
      <c r="D72" s="31" t="s">
        <v>658</v>
      </c>
      <c r="E72" s="31" t="s">
        <v>659</v>
      </c>
      <c r="F72" s="31" t="s">
        <v>261</v>
      </c>
      <c r="G72" s="32">
        <v>1.2</v>
      </c>
      <c r="H72" s="33">
        <v>0.1</v>
      </c>
      <c r="I72" s="34">
        <v>110.121</v>
      </c>
      <c r="J72" s="34">
        <v>145.35972000000001</v>
      </c>
      <c r="K72" s="31" t="s">
        <v>653</v>
      </c>
      <c r="L72" s="31">
        <v>3</v>
      </c>
      <c r="M72" s="31" t="s">
        <v>660</v>
      </c>
      <c r="N72" s="34">
        <v>3.25</v>
      </c>
      <c r="O72" s="35">
        <v>0</v>
      </c>
      <c r="P72" s="35" t="s">
        <v>212</v>
      </c>
      <c r="Q72" s="35">
        <v>0</v>
      </c>
      <c r="R72" s="36" t="s">
        <v>212</v>
      </c>
      <c r="S72" s="37" t="str">
        <f>IFERROR(_xlfn.XLOOKUP(R72,'1_Presupuesto'!$E:$E,'1_Presupuesto'!$D:$D),"")</f>
        <v/>
      </c>
    </row>
    <row r="73" spans="1:19" x14ac:dyDescent="0.35">
      <c r="A73" s="31" t="s">
        <v>650</v>
      </c>
      <c r="B73" s="31" t="s">
        <v>497</v>
      </c>
      <c r="C73" s="31" t="s">
        <v>498</v>
      </c>
      <c r="D73" s="31" t="s">
        <v>661</v>
      </c>
      <c r="E73" s="31" t="s">
        <v>662</v>
      </c>
      <c r="F73" s="31" t="s">
        <v>663</v>
      </c>
      <c r="G73" s="32">
        <v>5</v>
      </c>
      <c r="H73" s="33">
        <v>0.1</v>
      </c>
      <c r="I73" s="34">
        <v>546.37687500000004</v>
      </c>
      <c r="J73" s="34">
        <v>3005.0728125000001</v>
      </c>
      <c r="K73" s="31" t="s">
        <v>653</v>
      </c>
      <c r="L73" s="31">
        <v>4</v>
      </c>
      <c r="M73" s="31" t="s">
        <v>664</v>
      </c>
      <c r="N73" s="34">
        <v>3.25</v>
      </c>
      <c r="O73" s="35">
        <v>0</v>
      </c>
      <c r="P73" s="35" t="s">
        <v>212</v>
      </c>
      <c r="Q73" s="35">
        <v>0</v>
      </c>
      <c r="R73" s="36" t="s">
        <v>212</v>
      </c>
      <c r="S73" s="37" t="str">
        <f>IFERROR(_xlfn.XLOOKUP(R73,'1_Presupuesto'!$E:$E,'1_Presupuesto'!$D:$D),"")</f>
        <v/>
      </c>
    </row>
    <row r="74" spans="1:19" x14ac:dyDescent="0.35">
      <c r="A74" s="31" t="s">
        <v>650</v>
      </c>
      <c r="B74" s="31" t="s">
        <v>497</v>
      </c>
      <c r="C74" s="31" t="s">
        <v>498</v>
      </c>
      <c r="D74" s="31" t="s">
        <v>661</v>
      </c>
      <c r="E74" s="31" t="s">
        <v>662</v>
      </c>
      <c r="F74" s="31" t="s">
        <v>663</v>
      </c>
      <c r="G74" s="32">
        <v>10</v>
      </c>
      <c r="H74" s="33">
        <v>0.1</v>
      </c>
      <c r="I74" s="34">
        <v>546.37687500000004</v>
      </c>
      <c r="J74" s="34">
        <v>6010.1456250000001</v>
      </c>
      <c r="K74" s="31" t="s">
        <v>653</v>
      </c>
      <c r="L74" s="31">
        <v>5</v>
      </c>
      <c r="M74" s="31" t="s">
        <v>665</v>
      </c>
      <c r="N74" s="34">
        <v>3.25</v>
      </c>
      <c r="O74" s="35">
        <v>0</v>
      </c>
      <c r="P74" s="35" t="s">
        <v>212</v>
      </c>
      <c r="Q74" s="35">
        <v>0</v>
      </c>
      <c r="R74" s="36" t="s">
        <v>212</v>
      </c>
      <c r="S74" s="37" t="str">
        <f>IFERROR(_xlfn.XLOOKUP(R74,'1_Presupuesto'!$E:$E,'1_Presupuesto'!$D:$D),"")</f>
        <v/>
      </c>
    </row>
    <row r="75" spans="1:19" x14ac:dyDescent="0.35">
      <c r="A75" s="31" t="s">
        <v>650</v>
      </c>
      <c r="B75" s="31" t="s">
        <v>497</v>
      </c>
      <c r="C75" s="31" t="s">
        <v>498</v>
      </c>
      <c r="D75" s="31" t="s">
        <v>666</v>
      </c>
      <c r="E75" s="31" t="s">
        <v>667</v>
      </c>
      <c r="F75" s="31" t="s">
        <v>261</v>
      </c>
      <c r="G75" s="32">
        <v>1</v>
      </c>
      <c r="H75" s="33">
        <v>0.05</v>
      </c>
      <c r="I75" s="34">
        <v>217.14975799999999</v>
      </c>
      <c r="J75" s="34">
        <v>228.00724589999999</v>
      </c>
      <c r="K75" s="31" t="s">
        <v>653</v>
      </c>
      <c r="L75" s="31">
        <v>6</v>
      </c>
      <c r="M75" s="31" t="s">
        <v>668</v>
      </c>
      <c r="N75" s="34">
        <v>3.25</v>
      </c>
      <c r="O75" s="35">
        <v>0</v>
      </c>
      <c r="P75" s="35" t="s">
        <v>212</v>
      </c>
      <c r="Q75" s="35">
        <v>0</v>
      </c>
      <c r="R75" s="36" t="s">
        <v>212</v>
      </c>
      <c r="S75" s="37" t="str">
        <f>IFERROR(_xlfn.XLOOKUP(R75,'1_Presupuesto'!$E:$E,'1_Presupuesto'!$D:$D),"")</f>
        <v/>
      </c>
    </row>
    <row r="76" spans="1:19" x14ac:dyDescent="0.35">
      <c r="A76" s="31" t="s">
        <v>650</v>
      </c>
      <c r="B76" s="31" t="s">
        <v>497</v>
      </c>
      <c r="C76" s="31" t="s">
        <v>498</v>
      </c>
      <c r="D76" s="31" t="s">
        <v>597</v>
      </c>
      <c r="E76" s="31" t="s">
        <v>598</v>
      </c>
      <c r="F76" s="31" t="s">
        <v>218</v>
      </c>
      <c r="G76" s="32">
        <v>2758.8847000000001</v>
      </c>
      <c r="H76" s="33">
        <v>0</v>
      </c>
      <c r="I76" s="34">
        <v>1</v>
      </c>
      <c r="J76" s="34">
        <v>2758.8847000000001</v>
      </c>
      <c r="K76" s="31" t="s">
        <v>653</v>
      </c>
      <c r="L76" s="31">
        <v>7</v>
      </c>
      <c r="M76" s="31" t="s">
        <v>669</v>
      </c>
      <c r="N76" s="34">
        <v>3.25</v>
      </c>
      <c r="O76" s="35">
        <v>0</v>
      </c>
      <c r="P76" s="35" t="s">
        <v>212</v>
      </c>
      <c r="Q76" s="35">
        <v>0</v>
      </c>
      <c r="R76" s="36" t="s">
        <v>212</v>
      </c>
      <c r="S76" s="37" t="str">
        <f>IFERROR(_xlfn.XLOOKUP(R76,'1_Presupuesto'!$E:$E,'1_Presupuesto'!$D:$D),"")</f>
        <v/>
      </c>
    </row>
    <row r="77" spans="1:19" x14ac:dyDescent="0.35">
      <c r="A77" s="31" t="s">
        <v>650</v>
      </c>
      <c r="B77" s="31" t="s">
        <v>203</v>
      </c>
      <c r="C77" s="31"/>
      <c r="D77" s="31" t="s">
        <v>641</v>
      </c>
      <c r="E77" s="31" t="s">
        <v>642</v>
      </c>
      <c r="F77" s="31"/>
      <c r="G77" s="32">
        <v>1</v>
      </c>
      <c r="H77" s="33">
        <v>0</v>
      </c>
      <c r="I77" s="34">
        <v>5503.0404388678899</v>
      </c>
      <c r="J77" s="34">
        <v>5503.0404388678899</v>
      </c>
      <c r="K77" s="31" t="s">
        <v>670</v>
      </c>
      <c r="L77" s="31">
        <v>1</v>
      </c>
      <c r="M77" s="31" t="s">
        <v>671</v>
      </c>
      <c r="N77" s="34">
        <v>3.25</v>
      </c>
      <c r="O77" s="35">
        <v>0</v>
      </c>
      <c r="P77" s="35" t="s">
        <v>212</v>
      </c>
      <c r="Q77" s="35">
        <v>0</v>
      </c>
      <c r="R77" s="36" t="s">
        <v>212</v>
      </c>
      <c r="S77" s="37" t="str">
        <f>IFERROR(_xlfn.XLOOKUP(R77,'1_Presupuesto'!$E:$E,'1_Presupuesto'!$D:$D),"")</f>
        <v/>
      </c>
    </row>
    <row r="78" spans="1:19" x14ac:dyDescent="0.35">
      <c r="A78" s="31" t="s">
        <v>650</v>
      </c>
      <c r="B78" s="31" t="s">
        <v>203</v>
      </c>
      <c r="C78" s="31"/>
      <c r="D78" s="31" t="s">
        <v>613</v>
      </c>
      <c r="E78" s="31" t="s">
        <v>614</v>
      </c>
      <c r="F78" s="31"/>
      <c r="G78" s="32">
        <v>0.5</v>
      </c>
      <c r="H78" s="33">
        <v>0</v>
      </c>
      <c r="I78" s="34">
        <v>620.81078197718296</v>
      </c>
      <c r="J78" s="34">
        <v>310.40539098859199</v>
      </c>
      <c r="K78" s="31" t="s">
        <v>670</v>
      </c>
      <c r="L78" s="31">
        <v>2</v>
      </c>
      <c r="M78" s="31" t="s">
        <v>672</v>
      </c>
      <c r="N78" s="34">
        <v>3.25</v>
      </c>
      <c r="O78" s="35">
        <v>0</v>
      </c>
      <c r="P78" s="35" t="s">
        <v>212</v>
      </c>
      <c r="Q78" s="35">
        <v>0</v>
      </c>
      <c r="R78" s="36" t="s">
        <v>212</v>
      </c>
      <c r="S78" s="37" t="str">
        <f>IFERROR(_xlfn.XLOOKUP(R78,'1_Presupuesto'!$E:$E,'1_Presupuesto'!$D:$D),"")</f>
        <v/>
      </c>
    </row>
    <row r="79" spans="1:19" x14ac:dyDescent="0.35">
      <c r="A79" s="31" t="s">
        <v>650</v>
      </c>
      <c r="B79" s="31" t="s">
        <v>203</v>
      </c>
      <c r="C79" s="31"/>
      <c r="D79" s="31" t="s">
        <v>572</v>
      </c>
      <c r="E79" s="31" t="s">
        <v>573</v>
      </c>
      <c r="F79" s="31"/>
      <c r="G79" s="32">
        <v>0.5</v>
      </c>
      <c r="H79" s="33">
        <v>0</v>
      </c>
      <c r="I79" s="34">
        <v>152.380274273738</v>
      </c>
      <c r="J79" s="34">
        <v>76.190137136869097</v>
      </c>
      <c r="K79" s="31" t="s">
        <v>670</v>
      </c>
      <c r="L79" s="31">
        <v>3</v>
      </c>
      <c r="M79" s="31" t="s">
        <v>673</v>
      </c>
      <c r="N79" s="34">
        <v>3.25</v>
      </c>
      <c r="O79" s="35">
        <v>0</v>
      </c>
      <c r="P79" s="35" t="s">
        <v>212</v>
      </c>
      <c r="Q79" s="35">
        <v>0</v>
      </c>
      <c r="R79" s="36" t="s">
        <v>212</v>
      </c>
      <c r="S79" s="37" t="str">
        <f>IFERROR(_xlfn.XLOOKUP(R79,'1_Presupuesto'!$E:$E,'1_Presupuesto'!$D:$D),"")</f>
        <v/>
      </c>
    </row>
    <row r="80" spans="1:19" x14ac:dyDescent="0.35">
      <c r="A80" s="31" t="s">
        <v>650</v>
      </c>
      <c r="B80" s="31" t="s">
        <v>478</v>
      </c>
      <c r="C80" s="31" t="s">
        <v>479</v>
      </c>
      <c r="D80" s="31" t="s">
        <v>480</v>
      </c>
      <c r="E80" s="31" t="s">
        <v>183</v>
      </c>
      <c r="F80" s="31" t="s">
        <v>481</v>
      </c>
      <c r="G80" s="32">
        <v>1</v>
      </c>
      <c r="H80" s="33">
        <v>0</v>
      </c>
      <c r="I80" s="34">
        <v>94177.137883538904</v>
      </c>
      <c r="J80" s="34">
        <v>94177.137883538904</v>
      </c>
      <c r="K80" s="31" t="s">
        <v>674</v>
      </c>
      <c r="L80" s="31">
        <v>1</v>
      </c>
      <c r="M80" s="31" t="s">
        <v>675</v>
      </c>
      <c r="N80" s="34">
        <v>3.25</v>
      </c>
      <c r="O80" s="35">
        <v>0.30769230769230799</v>
      </c>
      <c r="P80" s="35" t="s">
        <v>212</v>
      </c>
      <c r="Q80" s="35">
        <v>0</v>
      </c>
      <c r="R80" s="36" t="s">
        <v>212</v>
      </c>
      <c r="S80" s="37" t="str">
        <f>IFERROR(_xlfn.XLOOKUP(R80,'1_Presupuesto'!$E:$E,'1_Presupuesto'!$D:$D),"")</f>
        <v/>
      </c>
    </row>
    <row r="81" spans="1:19" x14ac:dyDescent="0.35">
      <c r="A81" s="31" t="s">
        <v>650</v>
      </c>
      <c r="B81" s="31" t="s">
        <v>478</v>
      </c>
      <c r="C81" s="31" t="s">
        <v>479</v>
      </c>
      <c r="D81" s="31" t="s">
        <v>484</v>
      </c>
      <c r="E81" s="31" t="s">
        <v>186</v>
      </c>
      <c r="F81" s="31" t="s">
        <v>481</v>
      </c>
      <c r="G81" s="32">
        <v>1</v>
      </c>
      <c r="H81" s="33">
        <v>0</v>
      </c>
      <c r="I81" s="34">
        <v>67240.498860267602</v>
      </c>
      <c r="J81" s="34">
        <v>67240.498860267602</v>
      </c>
      <c r="K81" s="31" t="s">
        <v>674</v>
      </c>
      <c r="L81" s="31">
        <v>2</v>
      </c>
      <c r="M81" s="31" t="s">
        <v>676</v>
      </c>
      <c r="N81" s="34">
        <v>3.25</v>
      </c>
      <c r="O81" s="35">
        <v>0.30769230769230799</v>
      </c>
      <c r="P81" s="35" t="s">
        <v>212</v>
      </c>
      <c r="Q81" s="35">
        <v>0</v>
      </c>
      <c r="R81" s="36" t="s">
        <v>212</v>
      </c>
      <c r="S81" s="37" t="str">
        <f>IFERROR(_xlfn.XLOOKUP(R81,'1_Presupuesto'!$E:$E,'1_Presupuesto'!$D:$D),"")</f>
        <v/>
      </c>
    </row>
    <row r="82" spans="1:19" x14ac:dyDescent="0.35">
      <c r="A82" s="31" t="s">
        <v>677</v>
      </c>
      <c r="B82" s="31" t="s">
        <v>497</v>
      </c>
      <c r="C82" s="31" t="s">
        <v>498</v>
      </c>
      <c r="D82" s="31" t="s">
        <v>678</v>
      </c>
      <c r="E82" s="31" t="s">
        <v>679</v>
      </c>
      <c r="F82" s="31" t="s">
        <v>261</v>
      </c>
      <c r="G82" s="32">
        <v>0.35</v>
      </c>
      <c r="H82" s="33">
        <v>0.05</v>
      </c>
      <c r="I82" s="34">
        <v>25108.056037999999</v>
      </c>
      <c r="J82" s="34">
        <v>9227.2105939649991</v>
      </c>
      <c r="K82" s="31" t="s">
        <v>680</v>
      </c>
      <c r="L82" s="31">
        <v>1</v>
      </c>
      <c r="M82" s="31" t="s">
        <v>681</v>
      </c>
      <c r="N82" s="34">
        <v>12</v>
      </c>
      <c r="O82" s="35">
        <v>0</v>
      </c>
      <c r="P82" s="35" t="s">
        <v>212</v>
      </c>
      <c r="Q82" s="35">
        <v>0</v>
      </c>
      <c r="R82" s="36" t="s">
        <v>212</v>
      </c>
      <c r="S82" s="37" t="str">
        <f>IFERROR(_xlfn.XLOOKUP(R82,'1_Presupuesto'!$E:$E,'1_Presupuesto'!$D:$D),"")</f>
        <v/>
      </c>
    </row>
    <row r="83" spans="1:19" x14ac:dyDescent="0.35">
      <c r="A83" s="31" t="s">
        <v>677</v>
      </c>
      <c r="B83" s="31" t="s">
        <v>497</v>
      </c>
      <c r="C83" s="31" t="s">
        <v>498</v>
      </c>
      <c r="D83" s="31" t="s">
        <v>682</v>
      </c>
      <c r="E83" s="31" t="s">
        <v>683</v>
      </c>
      <c r="F83" s="31" t="s">
        <v>261</v>
      </c>
      <c r="G83" s="32">
        <v>0.35</v>
      </c>
      <c r="H83" s="33">
        <v>0.1</v>
      </c>
      <c r="I83" s="34">
        <v>16853.812063000001</v>
      </c>
      <c r="J83" s="34">
        <v>6488.7176442549999</v>
      </c>
      <c r="K83" s="31" t="s">
        <v>680</v>
      </c>
      <c r="L83" s="31">
        <v>2</v>
      </c>
      <c r="M83" s="31" t="s">
        <v>684</v>
      </c>
      <c r="N83" s="34">
        <v>12</v>
      </c>
      <c r="O83" s="35">
        <v>0</v>
      </c>
      <c r="P83" s="35" t="s">
        <v>212</v>
      </c>
      <c r="Q83" s="35">
        <v>0</v>
      </c>
      <c r="R83" s="36" t="s">
        <v>212</v>
      </c>
      <c r="S83" s="37" t="str">
        <f>IFERROR(_xlfn.XLOOKUP(R83,'1_Presupuesto'!$E:$E,'1_Presupuesto'!$D:$D),"")</f>
        <v/>
      </c>
    </row>
    <row r="84" spans="1:19" x14ac:dyDescent="0.35">
      <c r="A84" s="31" t="s">
        <v>677</v>
      </c>
      <c r="B84" s="31" t="s">
        <v>497</v>
      </c>
      <c r="C84" s="31" t="s">
        <v>498</v>
      </c>
      <c r="D84" s="31" t="s">
        <v>685</v>
      </c>
      <c r="E84" s="31" t="s">
        <v>686</v>
      </c>
      <c r="F84" s="31" t="s">
        <v>261</v>
      </c>
      <c r="G84" s="32">
        <v>1.4999999999999999E-2</v>
      </c>
      <c r="H84" s="33">
        <v>0.1</v>
      </c>
      <c r="I84" s="34">
        <v>14030.017728000001</v>
      </c>
      <c r="J84" s="34">
        <v>231.49529251199999</v>
      </c>
      <c r="K84" s="31" t="s">
        <v>680</v>
      </c>
      <c r="L84" s="31">
        <v>3</v>
      </c>
      <c r="M84" s="31" t="s">
        <v>687</v>
      </c>
      <c r="N84" s="34">
        <v>12</v>
      </c>
      <c r="O84" s="35">
        <v>0</v>
      </c>
      <c r="P84" s="35" t="s">
        <v>212</v>
      </c>
      <c r="Q84" s="35">
        <v>0</v>
      </c>
      <c r="R84" s="36" t="s">
        <v>212</v>
      </c>
      <c r="S84" s="37" t="str">
        <f>IFERROR(_xlfn.XLOOKUP(R84,'1_Presupuesto'!$E:$E,'1_Presupuesto'!$D:$D),"")</f>
        <v/>
      </c>
    </row>
    <row r="85" spans="1:19" x14ac:dyDescent="0.35">
      <c r="A85" s="31" t="s">
        <v>677</v>
      </c>
      <c r="B85" s="31" t="s">
        <v>497</v>
      </c>
      <c r="C85" s="31" t="s">
        <v>498</v>
      </c>
      <c r="D85" s="31" t="s">
        <v>688</v>
      </c>
      <c r="E85" s="31" t="s">
        <v>689</v>
      </c>
      <c r="F85" s="31" t="s">
        <v>261</v>
      </c>
      <c r="G85" s="32">
        <v>0.35</v>
      </c>
      <c r="H85" s="33">
        <v>0.1</v>
      </c>
      <c r="I85" s="34">
        <v>2124.5317799999998</v>
      </c>
      <c r="J85" s="34">
        <v>817.94473530000005</v>
      </c>
      <c r="K85" s="31" t="s">
        <v>680</v>
      </c>
      <c r="L85" s="31">
        <v>4</v>
      </c>
      <c r="M85" s="31" t="s">
        <v>690</v>
      </c>
      <c r="N85" s="34">
        <v>12</v>
      </c>
      <c r="O85" s="35">
        <v>0</v>
      </c>
      <c r="P85" s="35" t="s">
        <v>212</v>
      </c>
      <c r="Q85" s="35">
        <v>0</v>
      </c>
      <c r="R85" s="36" t="s">
        <v>212</v>
      </c>
      <c r="S85" s="37" t="str">
        <f>IFERROR(_xlfn.XLOOKUP(R85,'1_Presupuesto'!$E:$E,'1_Presupuesto'!$D:$D),"")</f>
        <v/>
      </c>
    </row>
    <row r="86" spans="1:19" x14ac:dyDescent="0.35">
      <c r="A86" s="31" t="s">
        <v>677</v>
      </c>
      <c r="B86" s="31" t="s">
        <v>497</v>
      </c>
      <c r="C86" s="31" t="s">
        <v>498</v>
      </c>
      <c r="D86" s="31" t="s">
        <v>691</v>
      </c>
      <c r="E86" s="31" t="s">
        <v>692</v>
      </c>
      <c r="F86" s="31" t="s">
        <v>261</v>
      </c>
      <c r="G86" s="32">
        <v>0.03</v>
      </c>
      <c r="H86" s="33">
        <v>0.1</v>
      </c>
      <c r="I86" s="34">
        <v>6773.5984509999998</v>
      </c>
      <c r="J86" s="34">
        <v>223.52874888299999</v>
      </c>
      <c r="K86" s="31" t="s">
        <v>680</v>
      </c>
      <c r="L86" s="31">
        <v>5</v>
      </c>
      <c r="M86" s="31" t="s">
        <v>693</v>
      </c>
      <c r="N86" s="34">
        <v>12</v>
      </c>
      <c r="O86" s="35">
        <v>0</v>
      </c>
      <c r="P86" s="35" t="s">
        <v>212</v>
      </c>
      <c r="Q86" s="35">
        <v>0</v>
      </c>
      <c r="R86" s="36" t="s">
        <v>212</v>
      </c>
      <c r="S86" s="37" t="str">
        <f>IFERROR(_xlfn.XLOOKUP(R86,'1_Presupuesto'!$E:$E,'1_Presupuesto'!$D:$D),"")</f>
        <v/>
      </c>
    </row>
    <row r="87" spans="1:19" x14ac:dyDescent="0.35">
      <c r="A87" s="31" t="s">
        <v>677</v>
      </c>
      <c r="B87" s="31" t="s">
        <v>497</v>
      </c>
      <c r="C87" s="31" t="s">
        <v>498</v>
      </c>
      <c r="D87" s="31" t="s">
        <v>694</v>
      </c>
      <c r="E87" s="31" t="s">
        <v>695</v>
      </c>
      <c r="F87" s="31" t="s">
        <v>261</v>
      </c>
      <c r="G87" s="32">
        <v>0.03</v>
      </c>
      <c r="H87" s="33">
        <v>0.1</v>
      </c>
      <c r="I87" s="34">
        <v>6773.5984509999998</v>
      </c>
      <c r="J87" s="34">
        <v>223.52874888299999</v>
      </c>
      <c r="K87" s="31" t="s">
        <v>680</v>
      </c>
      <c r="L87" s="31">
        <v>6</v>
      </c>
      <c r="M87" s="31" t="s">
        <v>696</v>
      </c>
      <c r="N87" s="34">
        <v>12</v>
      </c>
      <c r="O87" s="35">
        <v>0</v>
      </c>
      <c r="P87" s="35" t="s">
        <v>212</v>
      </c>
      <c r="Q87" s="35">
        <v>0</v>
      </c>
      <c r="R87" s="36" t="s">
        <v>212</v>
      </c>
      <c r="S87" s="37" t="str">
        <f>IFERROR(_xlfn.XLOOKUP(R87,'1_Presupuesto'!$E:$E,'1_Presupuesto'!$D:$D),"")</f>
        <v/>
      </c>
    </row>
    <row r="88" spans="1:19" x14ac:dyDescent="0.35">
      <c r="A88" s="31" t="s">
        <v>677</v>
      </c>
      <c r="B88" s="31" t="s">
        <v>497</v>
      </c>
      <c r="C88" s="31" t="s">
        <v>498</v>
      </c>
      <c r="D88" s="31" t="s">
        <v>697</v>
      </c>
      <c r="E88" s="31" t="s">
        <v>698</v>
      </c>
      <c r="F88" s="31" t="s">
        <v>261</v>
      </c>
      <c r="G88" s="32">
        <v>0.56999999999999995</v>
      </c>
      <c r="H88" s="33">
        <v>0.1</v>
      </c>
      <c r="I88" s="34">
        <v>1979.042944</v>
      </c>
      <c r="J88" s="34">
        <v>1240.8599258879999</v>
      </c>
      <c r="K88" s="31" t="s">
        <v>680</v>
      </c>
      <c r="L88" s="31">
        <v>7</v>
      </c>
      <c r="M88" s="31" t="s">
        <v>699</v>
      </c>
      <c r="N88" s="34">
        <v>12</v>
      </c>
      <c r="O88" s="35">
        <v>0</v>
      </c>
      <c r="P88" s="35" t="s">
        <v>212</v>
      </c>
      <c r="Q88" s="35">
        <v>0</v>
      </c>
      <c r="R88" s="36" t="s">
        <v>212</v>
      </c>
      <c r="S88" s="37" t="str">
        <f>IFERROR(_xlfn.XLOOKUP(R88,'1_Presupuesto'!$E:$E,'1_Presupuesto'!$D:$D),"")</f>
        <v/>
      </c>
    </row>
    <row r="89" spans="1:19" x14ac:dyDescent="0.35">
      <c r="A89" s="31" t="s">
        <v>677</v>
      </c>
      <c r="B89" s="31" t="s">
        <v>497</v>
      </c>
      <c r="C89" s="31" t="s">
        <v>498</v>
      </c>
      <c r="D89" s="31" t="s">
        <v>700</v>
      </c>
      <c r="E89" s="31" t="s">
        <v>701</v>
      </c>
      <c r="F89" s="31" t="s">
        <v>261</v>
      </c>
      <c r="G89" s="32">
        <v>0.3</v>
      </c>
      <c r="H89" s="33">
        <v>0.1</v>
      </c>
      <c r="I89" s="34">
        <v>1069.6694210000001</v>
      </c>
      <c r="J89" s="34">
        <v>352.99090892999999</v>
      </c>
      <c r="K89" s="31" t="s">
        <v>680</v>
      </c>
      <c r="L89" s="31">
        <v>8</v>
      </c>
      <c r="M89" s="31" t="s">
        <v>702</v>
      </c>
      <c r="N89" s="34">
        <v>12</v>
      </c>
      <c r="O89" s="35">
        <v>0</v>
      </c>
      <c r="P89" s="35" t="s">
        <v>212</v>
      </c>
      <c r="Q89" s="35">
        <v>0</v>
      </c>
      <c r="R89" s="36" t="s">
        <v>212</v>
      </c>
      <c r="S89" s="37" t="str">
        <f>IFERROR(_xlfn.XLOOKUP(R89,'1_Presupuesto'!$E:$E,'1_Presupuesto'!$D:$D),"")</f>
        <v/>
      </c>
    </row>
    <row r="90" spans="1:19" x14ac:dyDescent="0.35">
      <c r="A90" s="31" t="s">
        <v>677</v>
      </c>
      <c r="B90" s="31" t="s">
        <v>497</v>
      </c>
      <c r="C90" s="31" t="s">
        <v>498</v>
      </c>
      <c r="D90" s="31" t="s">
        <v>703</v>
      </c>
      <c r="E90" s="31" t="s">
        <v>704</v>
      </c>
      <c r="F90" s="31" t="s">
        <v>261</v>
      </c>
      <c r="G90" s="32">
        <v>1.2</v>
      </c>
      <c r="H90" s="33">
        <v>0.05</v>
      </c>
      <c r="I90" s="34">
        <v>33.299999999999997</v>
      </c>
      <c r="J90" s="34">
        <v>41.957999999999998</v>
      </c>
      <c r="K90" s="31" t="s">
        <v>680</v>
      </c>
      <c r="L90" s="31">
        <v>9</v>
      </c>
      <c r="M90" s="31" t="s">
        <v>705</v>
      </c>
      <c r="N90" s="34">
        <v>12</v>
      </c>
      <c r="O90" s="35">
        <v>0</v>
      </c>
      <c r="P90" s="35" t="s">
        <v>212</v>
      </c>
      <c r="Q90" s="35">
        <v>0</v>
      </c>
      <c r="R90" s="36" t="s">
        <v>212</v>
      </c>
      <c r="S90" s="37" t="str">
        <f>IFERROR(_xlfn.XLOOKUP(R90,'1_Presupuesto'!$E:$E,'1_Presupuesto'!$D:$D),"")</f>
        <v/>
      </c>
    </row>
    <row r="91" spans="1:19" x14ac:dyDescent="0.35">
      <c r="A91" s="31" t="s">
        <v>677</v>
      </c>
      <c r="B91" s="31" t="s">
        <v>478</v>
      </c>
      <c r="C91" s="31" t="s">
        <v>479</v>
      </c>
      <c r="D91" s="31" t="s">
        <v>480</v>
      </c>
      <c r="E91" s="31" t="s">
        <v>183</v>
      </c>
      <c r="F91" s="31" t="s">
        <v>481</v>
      </c>
      <c r="G91" s="32">
        <v>1</v>
      </c>
      <c r="H91" s="33">
        <v>0</v>
      </c>
      <c r="I91" s="34">
        <v>94177.137883538904</v>
      </c>
      <c r="J91" s="34">
        <v>94177.137883538904</v>
      </c>
      <c r="K91" s="31" t="s">
        <v>706</v>
      </c>
      <c r="L91" s="31">
        <v>1</v>
      </c>
      <c r="M91" s="31" t="s">
        <v>707</v>
      </c>
      <c r="N91" s="34">
        <v>12</v>
      </c>
      <c r="O91" s="35">
        <v>8.3333333333333301E-2</v>
      </c>
      <c r="P91" s="35" t="s">
        <v>212</v>
      </c>
      <c r="Q91" s="35">
        <v>0</v>
      </c>
      <c r="R91" s="36" t="s">
        <v>212</v>
      </c>
      <c r="S91" s="37" t="str">
        <f>IFERROR(_xlfn.XLOOKUP(R91,'1_Presupuesto'!$E:$E,'1_Presupuesto'!$D:$D),"")</f>
        <v/>
      </c>
    </row>
    <row r="92" spans="1:19" x14ac:dyDescent="0.35">
      <c r="A92" s="31" t="s">
        <v>677</v>
      </c>
      <c r="B92" s="31" t="s">
        <v>478</v>
      </c>
      <c r="C92" s="31" t="s">
        <v>479</v>
      </c>
      <c r="D92" s="31" t="s">
        <v>484</v>
      </c>
      <c r="E92" s="31" t="s">
        <v>186</v>
      </c>
      <c r="F92" s="31" t="s">
        <v>481</v>
      </c>
      <c r="G92" s="32">
        <v>0.59245024910739696</v>
      </c>
      <c r="H92" s="33">
        <v>0</v>
      </c>
      <c r="I92" s="34">
        <v>67240.498860267602</v>
      </c>
      <c r="J92" s="34">
        <v>39836.650299871202</v>
      </c>
      <c r="K92" s="31" t="s">
        <v>706</v>
      </c>
      <c r="L92" s="31">
        <v>2</v>
      </c>
      <c r="M92" s="31" t="s">
        <v>708</v>
      </c>
      <c r="N92" s="34">
        <v>12</v>
      </c>
      <c r="O92" s="35">
        <v>4.9370854092283097E-2</v>
      </c>
      <c r="P92" s="35" t="s">
        <v>212</v>
      </c>
      <c r="Q92" s="35">
        <v>0</v>
      </c>
      <c r="R92" s="36" t="s">
        <v>212</v>
      </c>
      <c r="S92" s="37" t="str">
        <f>IFERROR(_xlfn.XLOOKUP(R92,'1_Presupuesto'!$E:$E,'1_Presupuesto'!$D:$D),"")</f>
        <v/>
      </c>
    </row>
    <row r="93" spans="1:19" x14ac:dyDescent="0.35">
      <c r="A93" s="31" t="s">
        <v>709</v>
      </c>
      <c r="B93" s="31" t="s">
        <v>497</v>
      </c>
      <c r="C93" s="31" t="s">
        <v>498</v>
      </c>
      <c r="D93" s="31" t="s">
        <v>597</v>
      </c>
      <c r="E93" s="31" t="s">
        <v>598</v>
      </c>
      <c r="F93" s="31" t="s">
        <v>218</v>
      </c>
      <c r="G93" s="32">
        <v>1</v>
      </c>
      <c r="H93" s="33">
        <v>0.1</v>
      </c>
      <c r="I93" s="34">
        <v>1</v>
      </c>
      <c r="J93" s="34">
        <v>1.1000000000000001</v>
      </c>
      <c r="K93" s="31" t="s">
        <v>710</v>
      </c>
      <c r="L93" s="31">
        <v>1</v>
      </c>
      <c r="M93" s="31" t="s">
        <v>711</v>
      </c>
      <c r="N93" s="34">
        <v>12</v>
      </c>
      <c r="O93" s="35">
        <v>0</v>
      </c>
      <c r="P93" s="35" t="s">
        <v>212</v>
      </c>
      <c r="Q93" s="35">
        <v>0</v>
      </c>
      <c r="R93" s="36" t="s">
        <v>212</v>
      </c>
      <c r="S93" s="37" t="str">
        <f>IFERROR(_xlfn.XLOOKUP(R93,'1_Presupuesto'!$E:$E,'1_Presupuesto'!$D:$D),"")</f>
        <v/>
      </c>
    </row>
    <row r="94" spans="1:19" x14ac:dyDescent="0.35">
      <c r="A94" s="31" t="s">
        <v>709</v>
      </c>
      <c r="B94" s="31" t="s">
        <v>478</v>
      </c>
      <c r="C94" s="31" t="s">
        <v>479</v>
      </c>
      <c r="D94" s="31" t="s">
        <v>480</v>
      </c>
      <c r="E94" s="31" t="s">
        <v>183</v>
      </c>
      <c r="F94" s="31" t="s">
        <v>481</v>
      </c>
      <c r="G94" s="32">
        <v>1</v>
      </c>
      <c r="H94" s="33">
        <v>0</v>
      </c>
      <c r="I94" s="34">
        <v>94177.137883538904</v>
      </c>
      <c r="J94" s="34">
        <v>94177.137883538904</v>
      </c>
      <c r="K94" s="31" t="s">
        <v>712</v>
      </c>
      <c r="L94" s="31">
        <v>1</v>
      </c>
      <c r="M94" s="31" t="s">
        <v>713</v>
      </c>
      <c r="N94" s="34">
        <v>12</v>
      </c>
      <c r="O94" s="35">
        <v>8.3333333333333301E-2</v>
      </c>
      <c r="P94" s="35" t="s">
        <v>212</v>
      </c>
      <c r="Q94" s="35">
        <v>0</v>
      </c>
      <c r="R94" s="36" t="s">
        <v>212</v>
      </c>
      <c r="S94" s="37" t="str">
        <f>IFERROR(_xlfn.XLOOKUP(R94,'1_Presupuesto'!$E:$E,'1_Presupuesto'!$D:$D),"")</f>
        <v/>
      </c>
    </row>
    <row r="95" spans="1:19" x14ac:dyDescent="0.35">
      <c r="A95" s="31" t="s">
        <v>709</v>
      </c>
      <c r="B95" s="31" t="s">
        <v>478</v>
      </c>
      <c r="C95" s="31" t="s">
        <v>479</v>
      </c>
      <c r="D95" s="31" t="s">
        <v>494</v>
      </c>
      <c r="E95" s="31" t="s">
        <v>185</v>
      </c>
      <c r="F95" s="31" t="s">
        <v>481</v>
      </c>
      <c r="G95" s="32">
        <v>0.75</v>
      </c>
      <c r="H95" s="33">
        <v>0</v>
      </c>
      <c r="I95" s="34">
        <v>72132.138365590101</v>
      </c>
      <c r="J95" s="34">
        <v>54099.103774192597</v>
      </c>
      <c r="K95" s="31" t="s">
        <v>712</v>
      </c>
      <c r="L95" s="31">
        <v>2</v>
      </c>
      <c r="M95" s="31" t="s">
        <v>714</v>
      </c>
      <c r="N95" s="34">
        <v>12</v>
      </c>
      <c r="O95" s="35">
        <v>6.25E-2</v>
      </c>
      <c r="P95" s="35" t="s">
        <v>212</v>
      </c>
      <c r="Q95" s="35">
        <v>0</v>
      </c>
      <c r="R95" s="36" t="s">
        <v>212</v>
      </c>
      <c r="S95" s="37" t="str">
        <f>IFERROR(_xlfn.XLOOKUP(R95,'1_Presupuesto'!$E:$E,'1_Presupuesto'!$D:$D),"")</f>
        <v/>
      </c>
    </row>
    <row r="96" spans="1:19" x14ac:dyDescent="0.35">
      <c r="A96" s="31" t="s">
        <v>715</v>
      </c>
      <c r="B96" s="31" t="s">
        <v>497</v>
      </c>
      <c r="C96" s="31" t="s">
        <v>498</v>
      </c>
      <c r="D96" s="31" t="s">
        <v>597</v>
      </c>
      <c r="E96" s="31" t="s">
        <v>598</v>
      </c>
      <c r="F96" s="31" t="s">
        <v>218</v>
      </c>
      <c r="G96" s="32">
        <v>1</v>
      </c>
      <c r="H96" s="33">
        <v>0.05</v>
      </c>
      <c r="I96" s="34">
        <v>1</v>
      </c>
      <c r="J96" s="34">
        <v>1.05</v>
      </c>
      <c r="K96" s="31" t="s">
        <v>716</v>
      </c>
      <c r="L96" s="31">
        <v>1</v>
      </c>
      <c r="M96" s="31" t="s">
        <v>717</v>
      </c>
      <c r="N96" s="34">
        <v>12</v>
      </c>
      <c r="O96" s="35">
        <v>0</v>
      </c>
      <c r="P96" s="35" t="s">
        <v>212</v>
      </c>
      <c r="Q96" s="35">
        <v>0</v>
      </c>
      <c r="R96" s="36" t="s">
        <v>212</v>
      </c>
      <c r="S96" s="37" t="str">
        <f>IFERROR(_xlfn.XLOOKUP(R96,'1_Presupuesto'!$E:$E,'1_Presupuesto'!$D:$D),"")</f>
        <v/>
      </c>
    </row>
    <row r="97" spans="1:19" x14ac:dyDescent="0.35">
      <c r="A97" s="31" t="s">
        <v>715</v>
      </c>
      <c r="B97" s="31" t="s">
        <v>497</v>
      </c>
      <c r="C97" s="31" t="s">
        <v>498</v>
      </c>
      <c r="D97" s="31" t="s">
        <v>597</v>
      </c>
      <c r="E97" s="31" t="s">
        <v>598</v>
      </c>
      <c r="F97" s="31" t="s">
        <v>218</v>
      </c>
      <c r="G97" s="32">
        <v>1</v>
      </c>
      <c r="H97" s="33">
        <v>0.05</v>
      </c>
      <c r="I97" s="34">
        <v>1</v>
      </c>
      <c r="J97" s="34">
        <v>1.05</v>
      </c>
      <c r="K97" s="31" t="s">
        <v>716</v>
      </c>
      <c r="L97" s="31">
        <v>2</v>
      </c>
      <c r="M97" s="31" t="s">
        <v>718</v>
      </c>
      <c r="N97" s="34">
        <v>12</v>
      </c>
      <c r="O97" s="35">
        <v>0</v>
      </c>
      <c r="P97" s="35" t="s">
        <v>212</v>
      </c>
      <c r="Q97" s="35">
        <v>0</v>
      </c>
      <c r="R97" s="36" t="s">
        <v>212</v>
      </c>
      <c r="S97" s="37" t="str">
        <f>IFERROR(_xlfn.XLOOKUP(R97,'1_Presupuesto'!$E:$E,'1_Presupuesto'!$D:$D),"")</f>
        <v/>
      </c>
    </row>
    <row r="98" spans="1:19" x14ac:dyDescent="0.35">
      <c r="A98" s="31" t="s">
        <v>715</v>
      </c>
      <c r="B98" s="31" t="s">
        <v>478</v>
      </c>
      <c r="C98" s="31" t="s">
        <v>479</v>
      </c>
      <c r="D98" s="31" t="s">
        <v>480</v>
      </c>
      <c r="E98" s="31" t="s">
        <v>183</v>
      </c>
      <c r="F98" s="31" t="s">
        <v>481</v>
      </c>
      <c r="G98" s="32">
        <v>1</v>
      </c>
      <c r="H98" s="33">
        <v>0</v>
      </c>
      <c r="I98" s="34">
        <v>94177.137883538904</v>
      </c>
      <c r="J98" s="34">
        <v>94177.137883538904</v>
      </c>
      <c r="K98" s="31" t="s">
        <v>719</v>
      </c>
      <c r="L98" s="31">
        <v>1</v>
      </c>
      <c r="M98" s="31" t="s">
        <v>720</v>
      </c>
      <c r="N98" s="34">
        <v>12</v>
      </c>
      <c r="O98" s="35">
        <v>8.3333333333333301E-2</v>
      </c>
      <c r="P98" s="35" t="s">
        <v>212</v>
      </c>
      <c r="Q98" s="35">
        <v>0</v>
      </c>
      <c r="R98" s="36" t="s">
        <v>212</v>
      </c>
      <c r="S98" s="37" t="str">
        <f>IFERROR(_xlfn.XLOOKUP(R98,'1_Presupuesto'!$E:$E,'1_Presupuesto'!$D:$D),"")</f>
        <v/>
      </c>
    </row>
    <row r="99" spans="1:19" x14ac:dyDescent="0.35">
      <c r="A99" s="31" t="s">
        <v>715</v>
      </c>
      <c r="B99" s="31" t="s">
        <v>478</v>
      </c>
      <c r="C99" s="31" t="s">
        <v>479</v>
      </c>
      <c r="D99" s="31" t="s">
        <v>494</v>
      </c>
      <c r="E99" s="31" t="s">
        <v>185</v>
      </c>
      <c r="F99" s="31" t="s">
        <v>481</v>
      </c>
      <c r="G99" s="32">
        <v>0.75</v>
      </c>
      <c r="H99" s="33">
        <v>0</v>
      </c>
      <c r="I99" s="34">
        <v>72132.138365590101</v>
      </c>
      <c r="J99" s="34">
        <v>54099.103774192597</v>
      </c>
      <c r="K99" s="31" t="s">
        <v>719</v>
      </c>
      <c r="L99" s="31">
        <v>2</v>
      </c>
      <c r="M99" s="31" t="s">
        <v>721</v>
      </c>
      <c r="N99" s="34">
        <v>12</v>
      </c>
      <c r="O99" s="35">
        <v>6.25E-2</v>
      </c>
      <c r="P99" s="35" t="s">
        <v>212</v>
      </c>
      <c r="Q99" s="35">
        <v>0</v>
      </c>
      <c r="R99" s="36" t="s">
        <v>212</v>
      </c>
      <c r="S99" s="37" t="str">
        <f>IFERROR(_xlfn.XLOOKUP(R99,'1_Presupuesto'!$E:$E,'1_Presupuesto'!$D:$D),"")</f>
        <v/>
      </c>
    </row>
    <row r="100" spans="1:19" x14ac:dyDescent="0.35">
      <c r="A100" s="31" t="s">
        <v>722</v>
      </c>
      <c r="B100" s="31" t="s">
        <v>497</v>
      </c>
      <c r="C100" s="31" t="s">
        <v>498</v>
      </c>
      <c r="D100" s="31" t="s">
        <v>534</v>
      </c>
      <c r="E100" s="31" t="s">
        <v>535</v>
      </c>
      <c r="F100" s="31">
        <v>0</v>
      </c>
      <c r="G100" s="32">
        <v>1.7000000000000001E-2</v>
      </c>
      <c r="H100" s="33">
        <v>0.1</v>
      </c>
      <c r="I100" s="34">
        <v>32620.38</v>
      </c>
      <c r="J100" s="34">
        <v>610.00110600000005</v>
      </c>
      <c r="K100" s="31" t="s">
        <v>723</v>
      </c>
      <c r="L100" s="31">
        <v>1</v>
      </c>
      <c r="M100" s="31" t="s">
        <v>724</v>
      </c>
      <c r="N100" s="34">
        <v>18</v>
      </c>
      <c r="O100" s="35">
        <v>0</v>
      </c>
      <c r="P100" s="35" t="s">
        <v>212</v>
      </c>
      <c r="Q100" s="35">
        <v>0</v>
      </c>
      <c r="R100" s="36" t="s">
        <v>212</v>
      </c>
      <c r="S100" s="37" t="str">
        <f>IFERROR(_xlfn.XLOOKUP(R100,'1_Presupuesto'!$E:$E,'1_Presupuesto'!$D:$D),"")</f>
        <v/>
      </c>
    </row>
    <row r="101" spans="1:19" x14ac:dyDescent="0.35">
      <c r="A101" s="31" t="s">
        <v>722</v>
      </c>
      <c r="B101" s="31" t="s">
        <v>497</v>
      </c>
      <c r="C101" s="31" t="s">
        <v>498</v>
      </c>
      <c r="D101" s="31" t="s">
        <v>538</v>
      </c>
      <c r="E101" s="31" t="s">
        <v>539</v>
      </c>
      <c r="F101" s="31">
        <v>0</v>
      </c>
      <c r="G101" s="32">
        <v>0.14399999999999999</v>
      </c>
      <c r="H101" s="33">
        <v>0.1</v>
      </c>
      <c r="I101" s="34">
        <v>3927.28</v>
      </c>
      <c r="J101" s="34">
        <v>622.08115199999997</v>
      </c>
      <c r="K101" s="31" t="s">
        <v>723</v>
      </c>
      <c r="L101" s="31">
        <v>2</v>
      </c>
      <c r="M101" s="31" t="s">
        <v>725</v>
      </c>
      <c r="N101" s="34">
        <v>18</v>
      </c>
      <c r="O101" s="35">
        <v>0</v>
      </c>
      <c r="P101" s="35" t="s">
        <v>212</v>
      </c>
      <c r="Q101" s="35">
        <v>0</v>
      </c>
      <c r="R101" s="36" t="s">
        <v>212</v>
      </c>
      <c r="S101" s="37" t="str">
        <f>IFERROR(_xlfn.XLOOKUP(R101,'1_Presupuesto'!$E:$E,'1_Presupuesto'!$D:$D),"")</f>
        <v/>
      </c>
    </row>
    <row r="102" spans="1:19" x14ac:dyDescent="0.35">
      <c r="A102" s="31" t="s">
        <v>722</v>
      </c>
      <c r="B102" s="31" t="s">
        <v>497</v>
      </c>
      <c r="C102" s="31" t="s">
        <v>498</v>
      </c>
      <c r="D102" s="31" t="s">
        <v>541</v>
      </c>
      <c r="E102" s="31" t="s">
        <v>542</v>
      </c>
      <c r="F102" s="31">
        <v>0</v>
      </c>
      <c r="G102" s="32">
        <v>3.6999999999999998E-2</v>
      </c>
      <c r="H102" s="33">
        <v>0.1</v>
      </c>
      <c r="I102" s="34">
        <v>7891.74</v>
      </c>
      <c r="J102" s="34">
        <v>321.19381800000002</v>
      </c>
      <c r="K102" s="31" t="s">
        <v>723</v>
      </c>
      <c r="L102" s="31">
        <v>3</v>
      </c>
      <c r="M102" s="31" t="s">
        <v>726</v>
      </c>
      <c r="N102" s="34">
        <v>18</v>
      </c>
      <c r="O102" s="35">
        <v>0</v>
      </c>
      <c r="P102" s="35" t="s">
        <v>212</v>
      </c>
      <c r="Q102" s="35">
        <v>0</v>
      </c>
      <c r="R102" s="36" t="s">
        <v>212</v>
      </c>
      <c r="S102" s="37" t="str">
        <f>IFERROR(_xlfn.XLOOKUP(R102,'1_Presupuesto'!$E:$E,'1_Presupuesto'!$D:$D),"")</f>
        <v/>
      </c>
    </row>
    <row r="103" spans="1:19" x14ac:dyDescent="0.35">
      <c r="A103" s="31" t="s">
        <v>722</v>
      </c>
      <c r="B103" s="31" t="s">
        <v>203</v>
      </c>
      <c r="C103" s="31"/>
      <c r="D103" s="31" t="s">
        <v>613</v>
      </c>
      <c r="E103" s="31" t="s">
        <v>614</v>
      </c>
      <c r="F103" s="31"/>
      <c r="G103" s="32">
        <v>1</v>
      </c>
      <c r="H103" s="33">
        <v>0</v>
      </c>
      <c r="I103" s="34">
        <v>620.81078197718296</v>
      </c>
      <c r="J103" s="34">
        <v>620.81078197718296</v>
      </c>
      <c r="K103" s="31" t="s">
        <v>727</v>
      </c>
      <c r="L103" s="31">
        <v>1</v>
      </c>
      <c r="M103" s="31" t="s">
        <v>728</v>
      </c>
      <c r="N103" s="34">
        <v>18</v>
      </c>
      <c r="O103" s="35">
        <v>0</v>
      </c>
      <c r="P103" s="35" t="s">
        <v>212</v>
      </c>
      <c r="Q103" s="35">
        <v>0</v>
      </c>
      <c r="R103" s="36" t="s">
        <v>212</v>
      </c>
      <c r="S103" s="37" t="str">
        <f>IFERROR(_xlfn.XLOOKUP(R103,'1_Presupuesto'!$E:$E,'1_Presupuesto'!$D:$D),"")</f>
        <v/>
      </c>
    </row>
    <row r="104" spans="1:19" x14ac:dyDescent="0.35">
      <c r="A104" s="31" t="s">
        <v>722</v>
      </c>
      <c r="B104" s="31" t="s">
        <v>203</v>
      </c>
      <c r="C104" s="31"/>
      <c r="D104" s="31" t="s">
        <v>609</v>
      </c>
      <c r="E104" s="31" t="s">
        <v>610</v>
      </c>
      <c r="F104" s="31"/>
      <c r="G104" s="32">
        <v>1</v>
      </c>
      <c r="H104" s="33">
        <v>0</v>
      </c>
      <c r="I104" s="34">
        <v>2485.8709964594</v>
      </c>
      <c r="J104" s="34">
        <v>2485.8709964594</v>
      </c>
      <c r="K104" s="31" t="s">
        <v>727</v>
      </c>
      <c r="L104" s="31">
        <v>2</v>
      </c>
      <c r="M104" s="31" t="s">
        <v>729</v>
      </c>
      <c r="N104" s="34">
        <v>18</v>
      </c>
      <c r="O104" s="35">
        <v>0</v>
      </c>
      <c r="P104" s="35" t="s">
        <v>212</v>
      </c>
      <c r="Q104" s="35">
        <v>0</v>
      </c>
      <c r="R104" s="36" t="s">
        <v>212</v>
      </c>
      <c r="S104" s="37" t="str">
        <f>IFERROR(_xlfn.XLOOKUP(R104,'1_Presupuesto'!$E:$E,'1_Presupuesto'!$D:$D),"")</f>
        <v/>
      </c>
    </row>
    <row r="105" spans="1:19" x14ac:dyDescent="0.35">
      <c r="A105" s="31" t="s">
        <v>722</v>
      </c>
      <c r="B105" s="31" t="s">
        <v>203</v>
      </c>
      <c r="C105" s="31"/>
      <c r="D105" s="31" t="s">
        <v>616</v>
      </c>
      <c r="E105" s="31" t="s">
        <v>617</v>
      </c>
      <c r="F105" s="31"/>
      <c r="G105" s="32">
        <v>0</v>
      </c>
      <c r="H105" s="33">
        <v>0</v>
      </c>
      <c r="I105" s="34">
        <v>1040.43144867052</v>
      </c>
      <c r="J105" s="34">
        <v>0</v>
      </c>
      <c r="K105" s="31" t="s">
        <v>727</v>
      </c>
      <c r="L105" s="31">
        <v>3</v>
      </c>
      <c r="M105" s="31" t="s">
        <v>730</v>
      </c>
      <c r="N105" s="34">
        <v>18</v>
      </c>
      <c r="O105" s="35">
        <v>0</v>
      </c>
      <c r="P105" s="35" t="s">
        <v>212</v>
      </c>
      <c r="Q105" s="35">
        <v>0</v>
      </c>
      <c r="R105" s="36" t="s">
        <v>212</v>
      </c>
      <c r="S105" s="37" t="str">
        <f>IFERROR(_xlfn.XLOOKUP(R105,'1_Presupuesto'!$E:$E,'1_Presupuesto'!$D:$D),"")</f>
        <v/>
      </c>
    </row>
    <row r="106" spans="1:19" x14ac:dyDescent="0.35">
      <c r="A106" s="31" t="s">
        <v>722</v>
      </c>
      <c r="B106" s="31" t="s">
        <v>478</v>
      </c>
      <c r="C106" s="31" t="s">
        <v>479</v>
      </c>
      <c r="D106" s="31" t="s">
        <v>480</v>
      </c>
      <c r="E106" s="31" t="s">
        <v>183</v>
      </c>
      <c r="F106" s="31" t="s">
        <v>481</v>
      </c>
      <c r="G106" s="32">
        <v>1</v>
      </c>
      <c r="H106" s="33">
        <v>0</v>
      </c>
      <c r="I106" s="34">
        <v>94177.137883538904</v>
      </c>
      <c r="J106" s="34">
        <v>94177.137883538904</v>
      </c>
      <c r="K106" s="31" t="s">
        <v>731</v>
      </c>
      <c r="L106" s="31">
        <v>1</v>
      </c>
      <c r="M106" s="31" t="s">
        <v>732</v>
      </c>
      <c r="N106" s="34">
        <v>18</v>
      </c>
      <c r="O106" s="35">
        <v>5.5555555555555601E-2</v>
      </c>
      <c r="P106" s="35" t="s">
        <v>212</v>
      </c>
      <c r="Q106" s="35">
        <v>0</v>
      </c>
      <c r="R106" s="36" t="s">
        <v>212</v>
      </c>
      <c r="S106" s="37" t="str">
        <f>IFERROR(_xlfn.XLOOKUP(R106,'1_Presupuesto'!$E:$E,'1_Presupuesto'!$D:$D),"")</f>
        <v/>
      </c>
    </row>
    <row r="107" spans="1:19" x14ac:dyDescent="0.35">
      <c r="A107" s="31" t="s">
        <v>722</v>
      </c>
      <c r="B107" s="31" t="s">
        <v>478</v>
      </c>
      <c r="C107" s="31" t="s">
        <v>479</v>
      </c>
      <c r="D107" s="31" t="s">
        <v>484</v>
      </c>
      <c r="E107" s="31" t="s">
        <v>186</v>
      </c>
      <c r="F107" s="31" t="s">
        <v>481</v>
      </c>
      <c r="G107" s="32">
        <v>0.75</v>
      </c>
      <c r="H107" s="33">
        <v>0</v>
      </c>
      <c r="I107" s="34">
        <v>67240.498860267602</v>
      </c>
      <c r="J107" s="34">
        <v>50430.374145200702</v>
      </c>
      <c r="K107" s="31" t="s">
        <v>731</v>
      </c>
      <c r="L107" s="31">
        <v>2</v>
      </c>
      <c r="M107" s="31" t="s">
        <v>733</v>
      </c>
      <c r="N107" s="34">
        <v>18</v>
      </c>
      <c r="O107" s="35">
        <v>4.1666666666666699E-2</v>
      </c>
      <c r="P107" s="35" t="s">
        <v>212</v>
      </c>
      <c r="Q107" s="35">
        <v>0</v>
      </c>
      <c r="R107" s="36" t="s">
        <v>212</v>
      </c>
      <c r="S107" s="37" t="str">
        <f>IFERROR(_xlfn.XLOOKUP(R107,'1_Presupuesto'!$E:$E,'1_Presupuesto'!$D:$D),"")</f>
        <v/>
      </c>
    </row>
    <row r="108" spans="1:19" x14ac:dyDescent="0.35">
      <c r="A108" s="31" t="s">
        <v>734</v>
      </c>
      <c r="B108" s="31" t="s">
        <v>497</v>
      </c>
      <c r="C108" s="31" t="s">
        <v>498</v>
      </c>
      <c r="D108" s="31" t="s">
        <v>534</v>
      </c>
      <c r="E108" s="31" t="s">
        <v>535</v>
      </c>
      <c r="F108" s="31">
        <v>0</v>
      </c>
      <c r="G108" s="32">
        <v>0.01</v>
      </c>
      <c r="H108" s="33">
        <v>0.1</v>
      </c>
      <c r="I108" s="34">
        <v>32620.38</v>
      </c>
      <c r="J108" s="34">
        <v>358.82418000000001</v>
      </c>
      <c r="K108" s="31" t="s">
        <v>735</v>
      </c>
      <c r="L108" s="31">
        <v>1</v>
      </c>
      <c r="M108" s="31" t="s">
        <v>736</v>
      </c>
      <c r="N108" s="34">
        <v>9</v>
      </c>
      <c r="O108" s="35">
        <v>0</v>
      </c>
      <c r="P108" s="35" t="s">
        <v>212</v>
      </c>
      <c r="Q108" s="35">
        <v>0</v>
      </c>
      <c r="R108" s="36" t="s">
        <v>212</v>
      </c>
      <c r="S108" s="37" t="str">
        <f>IFERROR(_xlfn.XLOOKUP(R108,'1_Presupuesto'!$E:$E,'1_Presupuesto'!$D:$D),"")</f>
        <v/>
      </c>
    </row>
    <row r="109" spans="1:19" x14ac:dyDescent="0.35">
      <c r="A109" s="31" t="s">
        <v>734</v>
      </c>
      <c r="B109" s="31" t="s">
        <v>497</v>
      </c>
      <c r="C109" s="31" t="s">
        <v>498</v>
      </c>
      <c r="D109" s="31" t="s">
        <v>737</v>
      </c>
      <c r="E109" s="31" t="s">
        <v>738</v>
      </c>
      <c r="F109" s="31" t="s">
        <v>739</v>
      </c>
      <c r="G109" s="32">
        <v>6.4000000000000001E-2</v>
      </c>
      <c r="H109" s="33">
        <v>0.1</v>
      </c>
      <c r="I109" s="34">
        <v>12798.14</v>
      </c>
      <c r="J109" s="34">
        <v>900.98905600000001</v>
      </c>
      <c r="K109" s="31" t="s">
        <v>735</v>
      </c>
      <c r="L109" s="31">
        <v>2</v>
      </c>
      <c r="M109" s="31" t="s">
        <v>740</v>
      </c>
      <c r="N109" s="34">
        <v>9</v>
      </c>
      <c r="O109" s="35">
        <v>0</v>
      </c>
      <c r="P109" s="35" t="s">
        <v>212</v>
      </c>
      <c r="Q109" s="35">
        <v>0</v>
      </c>
      <c r="R109" s="36" t="s">
        <v>212</v>
      </c>
      <c r="S109" s="37" t="str">
        <f>IFERROR(_xlfn.XLOOKUP(R109,'1_Presupuesto'!$E:$E,'1_Presupuesto'!$D:$D),"")</f>
        <v/>
      </c>
    </row>
    <row r="110" spans="1:19" x14ac:dyDescent="0.35">
      <c r="A110" s="31" t="s">
        <v>734</v>
      </c>
      <c r="B110" s="31" t="s">
        <v>497</v>
      </c>
      <c r="C110" s="31" t="s">
        <v>498</v>
      </c>
      <c r="D110" s="31" t="s">
        <v>541</v>
      </c>
      <c r="E110" s="31" t="s">
        <v>542</v>
      </c>
      <c r="F110" s="31">
        <v>0</v>
      </c>
      <c r="G110" s="32">
        <v>8.9999999999999993E-3</v>
      </c>
      <c r="H110" s="33">
        <v>0.1</v>
      </c>
      <c r="I110" s="34">
        <v>7891.74</v>
      </c>
      <c r="J110" s="34">
        <v>78.128225999999998</v>
      </c>
      <c r="K110" s="31" t="s">
        <v>735</v>
      </c>
      <c r="L110" s="31">
        <v>3</v>
      </c>
      <c r="M110" s="31" t="s">
        <v>741</v>
      </c>
      <c r="N110" s="34">
        <v>9</v>
      </c>
      <c r="O110" s="35">
        <v>0</v>
      </c>
      <c r="P110" s="35" t="s">
        <v>212</v>
      </c>
      <c r="Q110" s="35">
        <v>0</v>
      </c>
      <c r="R110" s="36" t="s">
        <v>212</v>
      </c>
      <c r="S110" s="37" t="str">
        <f>IFERROR(_xlfn.XLOOKUP(R110,'1_Presupuesto'!$E:$E,'1_Presupuesto'!$D:$D),"")</f>
        <v/>
      </c>
    </row>
    <row r="111" spans="1:19" x14ac:dyDescent="0.35">
      <c r="A111" s="31" t="s">
        <v>734</v>
      </c>
      <c r="B111" s="31" t="s">
        <v>203</v>
      </c>
      <c r="C111" s="31"/>
      <c r="D111" s="31" t="s">
        <v>613</v>
      </c>
      <c r="E111" s="31" t="s">
        <v>614</v>
      </c>
      <c r="F111" s="31"/>
      <c r="G111" s="32">
        <v>1</v>
      </c>
      <c r="H111" s="33">
        <v>0</v>
      </c>
      <c r="I111" s="34">
        <v>620.81078197718296</v>
      </c>
      <c r="J111" s="34">
        <v>620.81078197718296</v>
      </c>
      <c r="K111" s="31" t="s">
        <v>742</v>
      </c>
      <c r="L111" s="31">
        <v>1</v>
      </c>
      <c r="M111" s="31" t="s">
        <v>743</v>
      </c>
      <c r="N111" s="34">
        <v>9</v>
      </c>
      <c r="O111" s="35">
        <v>0</v>
      </c>
      <c r="P111" s="35" t="s">
        <v>212</v>
      </c>
      <c r="Q111" s="35">
        <v>0</v>
      </c>
      <c r="R111" s="36" t="s">
        <v>212</v>
      </c>
      <c r="S111" s="37" t="str">
        <f>IFERROR(_xlfn.XLOOKUP(R111,'1_Presupuesto'!$E:$E,'1_Presupuesto'!$D:$D),"")</f>
        <v/>
      </c>
    </row>
    <row r="112" spans="1:19" x14ac:dyDescent="0.35">
      <c r="A112" s="31" t="s">
        <v>734</v>
      </c>
      <c r="B112" s="31" t="s">
        <v>203</v>
      </c>
      <c r="C112" s="31"/>
      <c r="D112" s="31" t="s">
        <v>609</v>
      </c>
      <c r="E112" s="31" t="s">
        <v>610</v>
      </c>
      <c r="F112" s="31"/>
      <c r="G112" s="32">
        <v>1</v>
      </c>
      <c r="H112" s="33">
        <v>0</v>
      </c>
      <c r="I112" s="34">
        <v>2485.8709964594</v>
      </c>
      <c r="J112" s="34">
        <v>2485.8709964594</v>
      </c>
      <c r="K112" s="31" t="s">
        <v>742</v>
      </c>
      <c r="L112" s="31">
        <v>2</v>
      </c>
      <c r="M112" s="31" t="s">
        <v>744</v>
      </c>
      <c r="N112" s="34">
        <v>9</v>
      </c>
      <c r="O112" s="35">
        <v>0</v>
      </c>
      <c r="P112" s="35" t="s">
        <v>212</v>
      </c>
      <c r="Q112" s="35">
        <v>0</v>
      </c>
      <c r="R112" s="36" t="s">
        <v>212</v>
      </c>
      <c r="S112" s="37" t="str">
        <f>IFERROR(_xlfn.XLOOKUP(R112,'1_Presupuesto'!$E:$E,'1_Presupuesto'!$D:$D),"")</f>
        <v/>
      </c>
    </row>
    <row r="113" spans="1:19" x14ac:dyDescent="0.35">
      <c r="A113" s="31" t="s">
        <v>734</v>
      </c>
      <c r="B113" s="31" t="s">
        <v>203</v>
      </c>
      <c r="C113" s="31"/>
      <c r="D113" s="31" t="s">
        <v>616</v>
      </c>
      <c r="E113" s="31" t="s">
        <v>617</v>
      </c>
      <c r="F113" s="31"/>
      <c r="G113" s="32">
        <v>1</v>
      </c>
      <c r="H113" s="33">
        <v>0</v>
      </c>
      <c r="I113" s="34">
        <v>1040.43144867052</v>
      </c>
      <c r="J113" s="34">
        <v>1040.43144867052</v>
      </c>
      <c r="K113" s="31" t="s">
        <v>742</v>
      </c>
      <c r="L113" s="31">
        <v>3</v>
      </c>
      <c r="M113" s="31" t="s">
        <v>745</v>
      </c>
      <c r="N113" s="34">
        <v>9</v>
      </c>
      <c r="O113" s="35">
        <v>0</v>
      </c>
      <c r="P113" s="35" t="s">
        <v>212</v>
      </c>
      <c r="Q113" s="35">
        <v>0</v>
      </c>
      <c r="R113" s="36" t="s">
        <v>212</v>
      </c>
      <c r="S113" s="37" t="str">
        <f>IFERROR(_xlfn.XLOOKUP(R113,'1_Presupuesto'!$E:$E,'1_Presupuesto'!$D:$D),"")</f>
        <v/>
      </c>
    </row>
    <row r="114" spans="1:19" x14ac:dyDescent="0.35">
      <c r="A114" s="31" t="s">
        <v>734</v>
      </c>
      <c r="B114" s="31" t="s">
        <v>478</v>
      </c>
      <c r="C114" s="31" t="s">
        <v>479</v>
      </c>
      <c r="D114" s="31" t="s">
        <v>480</v>
      </c>
      <c r="E114" s="31" t="s">
        <v>183</v>
      </c>
      <c r="F114" s="31" t="s">
        <v>481</v>
      </c>
      <c r="G114" s="32">
        <v>1</v>
      </c>
      <c r="H114" s="33">
        <v>0</v>
      </c>
      <c r="I114" s="34">
        <v>94177.137883538904</v>
      </c>
      <c r="J114" s="34">
        <v>94177.137883538904</v>
      </c>
      <c r="K114" s="31" t="s">
        <v>746</v>
      </c>
      <c r="L114" s="31">
        <v>1</v>
      </c>
      <c r="M114" s="31" t="s">
        <v>747</v>
      </c>
      <c r="N114" s="34">
        <v>9</v>
      </c>
      <c r="O114" s="35">
        <v>0.11111111111111099</v>
      </c>
      <c r="P114" s="35" t="s">
        <v>212</v>
      </c>
      <c r="Q114" s="35">
        <v>0</v>
      </c>
      <c r="R114" s="36" t="s">
        <v>212</v>
      </c>
      <c r="S114" s="37" t="str">
        <f>IFERROR(_xlfn.XLOOKUP(R114,'1_Presupuesto'!$E:$E,'1_Presupuesto'!$D:$D),"")</f>
        <v/>
      </c>
    </row>
    <row r="115" spans="1:19" x14ac:dyDescent="0.35">
      <c r="A115" s="31" t="s">
        <v>734</v>
      </c>
      <c r="B115" s="31" t="s">
        <v>478</v>
      </c>
      <c r="C115" s="31" t="s">
        <v>479</v>
      </c>
      <c r="D115" s="31" t="s">
        <v>484</v>
      </c>
      <c r="E115" s="31" t="s">
        <v>186</v>
      </c>
      <c r="F115" s="31" t="s">
        <v>481</v>
      </c>
      <c r="G115" s="32">
        <v>0.6</v>
      </c>
      <c r="H115" s="33">
        <v>0</v>
      </c>
      <c r="I115" s="34">
        <v>67240.498860267602</v>
      </c>
      <c r="J115" s="34">
        <v>40344.299316160599</v>
      </c>
      <c r="K115" s="31" t="s">
        <v>746</v>
      </c>
      <c r="L115" s="31">
        <v>2</v>
      </c>
      <c r="M115" s="31" t="s">
        <v>748</v>
      </c>
      <c r="N115" s="34">
        <v>9</v>
      </c>
      <c r="O115" s="35">
        <v>6.6666666666666693E-2</v>
      </c>
      <c r="P115" s="35" t="s">
        <v>212</v>
      </c>
      <c r="Q115" s="35">
        <v>0</v>
      </c>
      <c r="R115" s="36" t="s">
        <v>212</v>
      </c>
      <c r="S115" s="37" t="str">
        <f>IFERROR(_xlfn.XLOOKUP(R115,'1_Presupuesto'!$E:$E,'1_Presupuesto'!$D:$D),"")</f>
        <v/>
      </c>
    </row>
    <row r="116" spans="1:19" x14ac:dyDescent="0.35">
      <c r="A116" s="31" t="s">
        <v>749</v>
      </c>
      <c r="B116" s="31" t="s">
        <v>497</v>
      </c>
      <c r="C116" s="31" t="s">
        <v>498</v>
      </c>
      <c r="D116" s="31" t="s">
        <v>541</v>
      </c>
      <c r="E116" s="31" t="s">
        <v>542</v>
      </c>
      <c r="F116" s="31">
        <v>0</v>
      </c>
      <c r="G116" s="32">
        <v>7.0000000000000007E-2</v>
      </c>
      <c r="H116" s="33">
        <v>0.1</v>
      </c>
      <c r="I116" s="34">
        <v>7891.74</v>
      </c>
      <c r="J116" s="34">
        <v>607.66398000000004</v>
      </c>
      <c r="K116" s="31" t="s">
        <v>750</v>
      </c>
      <c r="L116" s="31">
        <v>1</v>
      </c>
      <c r="M116" s="31" t="s">
        <v>751</v>
      </c>
      <c r="N116" s="34">
        <v>14.5</v>
      </c>
      <c r="O116" s="35">
        <v>0</v>
      </c>
      <c r="P116" s="35" t="s">
        <v>212</v>
      </c>
      <c r="Q116" s="35">
        <v>0</v>
      </c>
      <c r="R116" s="36" t="s">
        <v>212</v>
      </c>
      <c r="S116" s="37" t="str">
        <f>IFERROR(_xlfn.XLOOKUP(R116,'1_Presupuesto'!$E:$E,'1_Presupuesto'!$D:$D),"")</f>
        <v/>
      </c>
    </row>
    <row r="117" spans="1:19" x14ac:dyDescent="0.35">
      <c r="A117" s="31" t="s">
        <v>749</v>
      </c>
      <c r="B117" s="31" t="s">
        <v>497</v>
      </c>
      <c r="C117" s="31" t="s">
        <v>498</v>
      </c>
      <c r="D117" s="31" t="s">
        <v>538</v>
      </c>
      <c r="E117" s="31" t="s">
        <v>539</v>
      </c>
      <c r="F117" s="31">
        <v>0</v>
      </c>
      <c r="G117" s="32">
        <v>0.248</v>
      </c>
      <c r="H117" s="33">
        <v>0.1</v>
      </c>
      <c r="I117" s="34">
        <v>3927.28</v>
      </c>
      <c r="J117" s="34">
        <v>1071.3619839999999</v>
      </c>
      <c r="K117" s="31" t="s">
        <v>750</v>
      </c>
      <c r="L117" s="31">
        <v>2</v>
      </c>
      <c r="M117" s="31" t="s">
        <v>752</v>
      </c>
      <c r="N117" s="34">
        <v>14.5</v>
      </c>
      <c r="O117" s="35">
        <v>0</v>
      </c>
      <c r="P117" s="35" t="s">
        <v>212</v>
      </c>
      <c r="Q117" s="35">
        <v>0</v>
      </c>
      <c r="R117" s="36" t="s">
        <v>212</v>
      </c>
      <c r="S117" s="37" t="str">
        <f>IFERROR(_xlfn.XLOOKUP(R117,'1_Presupuesto'!$E:$E,'1_Presupuesto'!$D:$D),"")</f>
        <v/>
      </c>
    </row>
    <row r="118" spans="1:19" x14ac:dyDescent="0.35">
      <c r="A118" s="31" t="s">
        <v>749</v>
      </c>
      <c r="B118" s="31" t="s">
        <v>497</v>
      </c>
      <c r="C118" s="31" t="s">
        <v>498</v>
      </c>
      <c r="D118" s="31" t="s">
        <v>534</v>
      </c>
      <c r="E118" s="31" t="s">
        <v>535</v>
      </c>
      <c r="F118" s="31">
        <v>0</v>
      </c>
      <c r="G118" s="32">
        <v>0.03</v>
      </c>
      <c r="H118" s="33">
        <v>0.1</v>
      </c>
      <c r="I118" s="34">
        <v>32620.38</v>
      </c>
      <c r="J118" s="34">
        <v>1076.47254</v>
      </c>
      <c r="K118" s="31" t="s">
        <v>750</v>
      </c>
      <c r="L118" s="31">
        <v>3</v>
      </c>
      <c r="M118" s="31" t="s">
        <v>753</v>
      </c>
      <c r="N118" s="34">
        <v>14.5</v>
      </c>
      <c r="O118" s="35">
        <v>0</v>
      </c>
      <c r="P118" s="35" t="s">
        <v>212</v>
      </c>
      <c r="Q118" s="35">
        <v>0</v>
      </c>
      <c r="R118" s="36" t="s">
        <v>212</v>
      </c>
      <c r="S118" s="37" t="str">
        <f>IFERROR(_xlfn.XLOOKUP(R118,'1_Presupuesto'!$E:$E,'1_Presupuesto'!$D:$D),"")</f>
        <v/>
      </c>
    </row>
    <row r="119" spans="1:19" x14ac:dyDescent="0.35">
      <c r="A119" s="31" t="s">
        <v>749</v>
      </c>
      <c r="B119" s="31" t="s">
        <v>203</v>
      </c>
      <c r="C119" s="31"/>
      <c r="D119" s="31" t="s">
        <v>616</v>
      </c>
      <c r="E119" s="31" t="s">
        <v>617</v>
      </c>
      <c r="F119" s="31"/>
      <c r="G119" s="32">
        <v>1</v>
      </c>
      <c r="H119" s="33">
        <v>0</v>
      </c>
      <c r="I119" s="34">
        <v>1040.43144867052</v>
      </c>
      <c r="J119" s="34">
        <v>1040.43144867052</v>
      </c>
      <c r="K119" s="31" t="s">
        <v>754</v>
      </c>
      <c r="L119" s="31">
        <v>1</v>
      </c>
      <c r="M119" s="31" t="s">
        <v>755</v>
      </c>
      <c r="N119" s="34">
        <v>14.5</v>
      </c>
      <c r="O119" s="35">
        <v>0</v>
      </c>
      <c r="P119" s="35" t="s">
        <v>212</v>
      </c>
      <c r="Q119" s="35">
        <v>0</v>
      </c>
      <c r="R119" s="36" t="s">
        <v>212</v>
      </c>
      <c r="S119" s="37" t="str">
        <f>IFERROR(_xlfn.XLOOKUP(R119,'1_Presupuesto'!$E:$E,'1_Presupuesto'!$D:$D),"")</f>
        <v/>
      </c>
    </row>
    <row r="120" spans="1:19" x14ac:dyDescent="0.35">
      <c r="A120" s="31" t="s">
        <v>749</v>
      </c>
      <c r="B120" s="31" t="s">
        <v>203</v>
      </c>
      <c r="C120" s="31"/>
      <c r="D120" s="31" t="s">
        <v>609</v>
      </c>
      <c r="E120" s="31" t="s">
        <v>610</v>
      </c>
      <c r="F120" s="31"/>
      <c r="G120" s="32">
        <v>1</v>
      </c>
      <c r="H120" s="33">
        <v>0</v>
      </c>
      <c r="I120" s="34">
        <v>2485.8709964594</v>
      </c>
      <c r="J120" s="34">
        <v>2485.8709964594</v>
      </c>
      <c r="K120" s="31" t="s">
        <v>754</v>
      </c>
      <c r="L120" s="31">
        <v>2</v>
      </c>
      <c r="M120" s="31" t="s">
        <v>756</v>
      </c>
      <c r="N120" s="34">
        <v>14.5</v>
      </c>
      <c r="O120" s="35">
        <v>0</v>
      </c>
      <c r="P120" s="35" t="s">
        <v>212</v>
      </c>
      <c r="Q120" s="35">
        <v>0</v>
      </c>
      <c r="R120" s="36" t="s">
        <v>212</v>
      </c>
      <c r="S120" s="37" t="str">
        <f>IFERROR(_xlfn.XLOOKUP(R120,'1_Presupuesto'!$E:$E,'1_Presupuesto'!$D:$D),"")</f>
        <v/>
      </c>
    </row>
    <row r="121" spans="1:19" x14ac:dyDescent="0.35">
      <c r="A121" s="31" t="s">
        <v>749</v>
      </c>
      <c r="B121" s="31" t="s">
        <v>478</v>
      </c>
      <c r="C121" s="31" t="s">
        <v>479</v>
      </c>
      <c r="D121" s="31" t="s">
        <v>484</v>
      </c>
      <c r="E121" s="31" t="s">
        <v>186</v>
      </c>
      <c r="F121" s="31" t="s">
        <v>481</v>
      </c>
      <c r="G121" s="32">
        <v>0.45</v>
      </c>
      <c r="H121" s="33">
        <v>0</v>
      </c>
      <c r="I121" s="34">
        <v>67240.498860267602</v>
      </c>
      <c r="J121" s="34">
        <v>30258.224487120398</v>
      </c>
      <c r="K121" s="31" t="s">
        <v>757</v>
      </c>
      <c r="L121" s="31">
        <v>1</v>
      </c>
      <c r="M121" s="31" t="s">
        <v>758</v>
      </c>
      <c r="N121" s="34">
        <v>14.5</v>
      </c>
      <c r="O121" s="35">
        <v>3.10344827586207E-2</v>
      </c>
      <c r="P121" s="35" t="s">
        <v>212</v>
      </c>
      <c r="Q121" s="35">
        <v>0</v>
      </c>
      <c r="R121" s="36" t="s">
        <v>212</v>
      </c>
      <c r="S121" s="37" t="str">
        <f>IFERROR(_xlfn.XLOOKUP(R121,'1_Presupuesto'!$E:$E,'1_Presupuesto'!$D:$D),"")</f>
        <v/>
      </c>
    </row>
    <row r="122" spans="1:19" x14ac:dyDescent="0.35">
      <c r="A122" s="31" t="s">
        <v>749</v>
      </c>
      <c r="B122" s="31" t="s">
        <v>478</v>
      </c>
      <c r="C122" s="31" t="s">
        <v>479</v>
      </c>
      <c r="D122" s="31" t="s">
        <v>480</v>
      </c>
      <c r="E122" s="31" t="s">
        <v>183</v>
      </c>
      <c r="F122" s="31" t="s">
        <v>481</v>
      </c>
      <c r="G122" s="32">
        <v>1</v>
      </c>
      <c r="H122" s="33">
        <v>0</v>
      </c>
      <c r="I122" s="34">
        <v>94177.137883538904</v>
      </c>
      <c r="J122" s="34">
        <v>94177.137883538904</v>
      </c>
      <c r="K122" s="31" t="s">
        <v>757</v>
      </c>
      <c r="L122" s="31">
        <v>2</v>
      </c>
      <c r="M122" s="31" t="s">
        <v>759</v>
      </c>
      <c r="N122" s="34">
        <v>14.5</v>
      </c>
      <c r="O122" s="35">
        <v>6.8965517241379296E-2</v>
      </c>
      <c r="P122" s="35" t="s">
        <v>212</v>
      </c>
      <c r="Q122" s="35">
        <v>0</v>
      </c>
      <c r="R122" s="36" t="s">
        <v>212</v>
      </c>
      <c r="S122" s="37" t="str">
        <f>IFERROR(_xlfn.XLOOKUP(R122,'1_Presupuesto'!$E:$E,'1_Presupuesto'!$D:$D),"")</f>
        <v/>
      </c>
    </row>
    <row r="123" spans="1:19" x14ac:dyDescent="0.35">
      <c r="A123" s="31" t="s">
        <v>760</v>
      </c>
      <c r="B123" s="31" t="s">
        <v>497</v>
      </c>
      <c r="C123" s="31" t="s">
        <v>498</v>
      </c>
      <c r="D123" s="31" t="s">
        <v>761</v>
      </c>
      <c r="E123" s="31" t="s">
        <v>762</v>
      </c>
      <c r="F123" s="31">
        <v>0</v>
      </c>
      <c r="G123" s="32">
        <v>1E-3</v>
      </c>
      <c r="H123" s="33">
        <v>0.05</v>
      </c>
      <c r="I123" s="34">
        <v>9927.59</v>
      </c>
      <c r="J123" s="34">
        <v>10.4239695</v>
      </c>
      <c r="K123" s="31" t="s">
        <v>763</v>
      </c>
      <c r="L123" s="31">
        <v>1</v>
      </c>
      <c r="M123" s="31" t="s">
        <v>764</v>
      </c>
      <c r="N123" s="34">
        <v>20</v>
      </c>
      <c r="O123" s="35">
        <v>0</v>
      </c>
      <c r="P123" s="35" t="s">
        <v>212</v>
      </c>
      <c r="Q123" s="35">
        <v>0</v>
      </c>
      <c r="R123" s="36" t="s">
        <v>212</v>
      </c>
      <c r="S123" s="37" t="str">
        <f>IFERROR(_xlfn.XLOOKUP(R123,'1_Presupuesto'!$E:$E,'1_Presupuesto'!$D:$D),"")</f>
        <v/>
      </c>
    </row>
    <row r="124" spans="1:19" x14ac:dyDescent="0.35">
      <c r="A124" s="31" t="s">
        <v>760</v>
      </c>
      <c r="B124" s="31" t="s">
        <v>497</v>
      </c>
      <c r="C124" s="31" t="s">
        <v>498</v>
      </c>
      <c r="D124" s="31" t="s">
        <v>765</v>
      </c>
      <c r="E124" s="31" t="s">
        <v>766</v>
      </c>
      <c r="F124" s="31">
        <v>0</v>
      </c>
      <c r="G124" s="32">
        <v>4.0000000000000001E-3</v>
      </c>
      <c r="H124" s="33">
        <v>0.05</v>
      </c>
      <c r="I124" s="34">
        <v>42552.892561983499</v>
      </c>
      <c r="J124" s="34">
        <v>178.72214876033101</v>
      </c>
      <c r="K124" s="31" t="s">
        <v>763</v>
      </c>
      <c r="L124" s="31">
        <v>2</v>
      </c>
      <c r="M124" s="31" t="s">
        <v>767</v>
      </c>
      <c r="N124" s="34">
        <v>20</v>
      </c>
      <c r="O124" s="35">
        <v>0</v>
      </c>
      <c r="P124" s="35" t="s">
        <v>212</v>
      </c>
      <c r="Q124" s="35">
        <v>0</v>
      </c>
      <c r="R124" s="36" t="s">
        <v>212</v>
      </c>
      <c r="S124" s="37" t="str">
        <f>IFERROR(_xlfn.XLOOKUP(R124,'1_Presupuesto'!$E:$E,'1_Presupuesto'!$D:$D),"")</f>
        <v/>
      </c>
    </row>
    <row r="125" spans="1:19" x14ac:dyDescent="0.35">
      <c r="A125" s="31" t="s">
        <v>760</v>
      </c>
      <c r="B125" s="31" t="s">
        <v>497</v>
      </c>
      <c r="C125" s="31" t="s">
        <v>498</v>
      </c>
      <c r="D125" s="31" t="s">
        <v>512</v>
      </c>
      <c r="E125" s="31" t="s">
        <v>513</v>
      </c>
      <c r="F125" s="31">
        <v>0</v>
      </c>
      <c r="G125" s="32">
        <v>0.03</v>
      </c>
      <c r="H125" s="33">
        <v>0.05</v>
      </c>
      <c r="I125" s="34">
        <v>1182.6446280991699</v>
      </c>
      <c r="J125" s="34">
        <v>37.253305785123899</v>
      </c>
      <c r="K125" s="31" t="s">
        <v>763</v>
      </c>
      <c r="L125" s="31">
        <v>3</v>
      </c>
      <c r="M125" s="31" t="s">
        <v>768</v>
      </c>
      <c r="N125" s="34">
        <v>20</v>
      </c>
      <c r="O125" s="35">
        <v>0</v>
      </c>
      <c r="P125" s="35" t="s">
        <v>212</v>
      </c>
      <c r="Q125" s="35">
        <v>0</v>
      </c>
      <c r="R125" s="36" t="s">
        <v>212</v>
      </c>
      <c r="S125" s="37" t="str">
        <f>IFERROR(_xlfn.XLOOKUP(R125,'1_Presupuesto'!$E:$E,'1_Presupuesto'!$D:$D),"")</f>
        <v/>
      </c>
    </row>
    <row r="126" spans="1:19" x14ac:dyDescent="0.35">
      <c r="A126" s="31" t="s">
        <v>760</v>
      </c>
      <c r="B126" s="31" t="s">
        <v>497</v>
      </c>
      <c r="C126" s="31" t="s">
        <v>498</v>
      </c>
      <c r="D126" s="31" t="s">
        <v>769</v>
      </c>
      <c r="E126" s="31" t="s">
        <v>770</v>
      </c>
      <c r="F126" s="31">
        <v>0</v>
      </c>
      <c r="G126" s="32">
        <v>0.05</v>
      </c>
      <c r="H126" s="33">
        <v>0.1</v>
      </c>
      <c r="I126" s="34">
        <v>5885.9504132231395</v>
      </c>
      <c r="J126" s="34">
        <v>323.72727272727298</v>
      </c>
      <c r="K126" s="31" t="s">
        <v>763</v>
      </c>
      <c r="L126" s="31">
        <v>4</v>
      </c>
      <c r="M126" s="31" t="s">
        <v>771</v>
      </c>
      <c r="N126" s="34">
        <v>20</v>
      </c>
      <c r="O126" s="35">
        <v>0</v>
      </c>
      <c r="P126" s="35" t="s">
        <v>212</v>
      </c>
      <c r="Q126" s="35">
        <v>0</v>
      </c>
      <c r="R126" s="36" t="s">
        <v>212</v>
      </c>
      <c r="S126" s="37" t="str">
        <f>IFERROR(_xlfn.XLOOKUP(R126,'1_Presupuesto'!$E:$E,'1_Presupuesto'!$D:$D),"")</f>
        <v/>
      </c>
    </row>
    <row r="127" spans="1:19" x14ac:dyDescent="0.35">
      <c r="A127" s="31" t="s">
        <v>760</v>
      </c>
      <c r="B127" s="31" t="s">
        <v>497</v>
      </c>
      <c r="C127" s="31" t="s">
        <v>498</v>
      </c>
      <c r="D127" s="31" t="s">
        <v>772</v>
      </c>
      <c r="E127" s="31" t="s">
        <v>773</v>
      </c>
      <c r="F127" s="31">
        <v>0</v>
      </c>
      <c r="G127" s="32">
        <v>1.4999999999999999E-2</v>
      </c>
      <c r="H127" s="33">
        <v>0.05</v>
      </c>
      <c r="I127" s="34">
        <v>7917.3553719008296</v>
      </c>
      <c r="J127" s="34">
        <v>124.698347107438</v>
      </c>
      <c r="K127" s="31" t="s">
        <v>763</v>
      </c>
      <c r="L127" s="31">
        <v>5</v>
      </c>
      <c r="M127" s="31" t="s">
        <v>774</v>
      </c>
      <c r="N127" s="34">
        <v>20</v>
      </c>
      <c r="O127" s="35">
        <v>0</v>
      </c>
      <c r="P127" s="35" t="s">
        <v>212</v>
      </c>
      <c r="Q127" s="35">
        <v>0</v>
      </c>
      <c r="R127" s="36" t="s">
        <v>212</v>
      </c>
      <c r="S127" s="37" t="str">
        <f>IFERROR(_xlfn.XLOOKUP(R127,'1_Presupuesto'!$E:$E,'1_Presupuesto'!$D:$D),"")</f>
        <v/>
      </c>
    </row>
    <row r="128" spans="1:19" x14ac:dyDescent="0.35">
      <c r="A128" s="31" t="s">
        <v>760</v>
      </c>
      <c r="B128" s="31" t="s">
        <v>497</v>
      </c>
      <c r="C128" s="31" t="s">
        <v>498</v>
      </c>
      <c r="D128" s="31" t="s">
        <v>503</v>
      </c>
      <c r="E128" s="31" t="s">
        <v>504</v>
      </c>
      <c r="F128" s="31" t="s">
        <v>261</v>
      </c>
      <c r="G128" s="32">
        <v>5.0000000000000001E-3</v>
      </c>
      <c r="H128" s="33">
        <v>0.05</v>
      </c>
      <c r="I128" s="34">
        <v>6442.15</v>
      </c>
      <c r="J128" s="34">
        <v>33.821287499999997</v>
      </c>
      <c r="K128" s="31" t="s">
        <v>763</v>
      </c>
      <c r="L128" s="31">
        <v>6</v>
      </c>
      <c r="M128" s="31" t="s">
        <v>775</v>
      </c>
      <c r="N128" s="34">
        <v>20</v>
      </c>
      <c r="O128" s="35">
        <v>0</v>
      </c>
      <c r="P128" s="35" t="s">
        <v>212</v>
      </c>
      <c r="Q128" s="35">
        <v>0</v>
      </c>
      <c r="R128" s="36" t="s">
        <v>212</v>
      </c>
      <c r="S128" s="37" t="str">
        <f>IFERROR(_xlfn.XLOOKUP(R128,'1_Presupuesto'!$E:$E,'1_Presupuesto'!$D:$D),"")</f>
        <v/>
      </c>
    </row>
    <row r="129" spans="1:19" x14ac:dyDescent="0.35">
      <c r="A129" s="31" t="s">
        <v>760</v>
      </c>
      <c r="B129" s="31" t="s">
        <v>497</v>
      </c>
      <c r="C129" s="31" t="s">
        <v>498</v>
      </c>
      <c r="D129" s="31" t="s">
        <v>506</v>
      </c>
      <c r="E129" s="31" t="s">
        <v>507</v>
      </c>
      <c r="F129" s="31" t="s">
        <v>261</v>
      </c>
      <c r="G129" s="32">
        <v>5.0000000000000001E-3</v>
      </c>
      <c r="H129" s="33">
        <v>0.05</v>
      </c>
      <c r="I129" s="34">
        <v>4418.1818181818198</v>
      </c>
      <c r="J129" s="34">
        <v>23.195454545454599</v>
      </c>
      <c r="K129" s="31" t="s">
        <v>763</v>
      </c>
      <c r="L129" s="31">
        <v>7</v>
      </c>
      <c r="M129" s="31" t="s">
        <v>776</v>
      </c>
      <c r="N129" s="34">
        <v>20</v>
      </c>
      <c r="O129" s="35">
        <v>0</v>
      </c>
      <c r="P129" s="35" t="s">
        <v>212</v>
      </c>
      <c r="Q129" s="35">
        <v>0</v>
      </c>
      <c r="R129" s="36" t="s">
        <v>212</v>
      </c>
      <c r="S129" s="37" t="str">
        <f>IFERROR(_xlfn.XLOOKUP(R129,'1_Presupuesto'!$E:$E,'1_Presupuesto'!$D:$D),"")</f>
        <v/>
      </c>
    </row>
    <row r="130" spans="1:19" x14ac:dyDescent="0.35">
      <c r="A130" s="31" t="s">
        <v>760</v>
      </c>
      <c r="B130" s="31" t="s">
        <v>497</v>
      </c>
      <c r="C130" s="31" t="s">
        <v>498</v>
      </c>
      <c r="D130" s="31" t="s">
        <v>777</v>
      </c>
      <c r="E130" s="31" t="s">
        <v>778</v>
      </c>
      <c r="F130" s="31" t="s">
        <v>261</v>
      </c>
      <c r="G130" s="32">
        <v>0.01</v>
      </c>
      <c r="H130" s="33">
        <v>0.05</v>
      </c>
      <c r="I130" s="34">
        <v>8173.5537190082696</v>
      </c>
      <c r="J130" s="34">
        <v>85.822314049586794</v>
      </c>
      <c r="K130" s="31" t="s">
        <v>763</v>
      </c>
      <c r="L130" s="31">
        <v>8</v>
      </c>
      <c r="M130" s="31" t="s">
        <v>779</v>
      </c>
      <c r="N130" s="34">
        <v>20</v>
      </c>
      <c r="O130" s="35">
        <v>0</v>
      </c>
      <c r="P130" s="35" t="s">
        <v>212</v>
      </c>
      <c r="Q130" s="35">
        <v>0</v>
      </c>
      <c r="R130" s="36" t="s">
        <v>212</v>
      </c>
      <c r="S130" s="37" t="str">
        <f>IFERROR(_xlfn.XLOOKUP(R130,'1_Presupuesto'!$E:$E,'1_Presupuesto'!$D:$D),"")</f>
        <v/>
      </c>
    </row>
    <row r="131" spans="1:19" x14ac:dyDescent="0.35">
      <c r="A131" s="31" t="s">
        <v>760</v>
      </c>
      <c r="B131" s="31" t="s">
        <v>497</v>
      </c>
      <c r="C131" s="31" t="s">
        <v>498</v>
      </c>
      <c r="D131" s="31" t="s">
        <v>780</v>
      </c>
      <c r="E131" s="31" t="s">
        <v>781</v>
      </c>
      <c r="F131" s="31">
        <v>0</v>
      </c>
      <c r="G131" s="32">
        <v>2E-3</v>
      </c>
      <c r="H131" s="33">
        <v>0.1</v>
      </c>
      <c r="I131" s="34">
        <v>41314.049586776899</v>
      </c>
      <c r="J131" s="34">
        <v>90.890909090909204</v>
      </c>
      <c r="K131" s="31" t="s">
        <v>763</v>
      </c>
      <c r="L131" s="31">
        <v>9</v>
      </c>
      <c r="M131" s="31" t="s">
        <v>782</v>
      </c>
      <c r="N131" s="34">
        <v>20</v>
      </c>
      <c r="O131" s="35">
        <v>0</v>
      </c>
      <c r="P131" s="35" t="s">
        <v>212</v>
      </c>
      <c r="Q131" s="35">
        <v>0</v>
      </c>
      <c r="R131" s="36" t="s">
        <v>212</v>
      </c>
      <c r="S131" s="37" t="str">
        <f>IFERROR(_xlfn.XLOOKUP(R131,'1_Presupuesto'!$E:$E,'1_Presupuesto'!$D:$D),"")</f>
        <v/>
      </c>
    </row>
    <row r="132" spans="1:19" x14ac:dyDescent="0.35">
      <c r="A132" s="31" t="s">
        <v>760</v>
      </c>
      <c r="B132" s="31" t="s">
        <v>497</v>
      </c>
      <c r="C132" s="31" t="s">
        <v>498</v>
      </c>
      <c r="D132" s="31" t="s">
        <v>783</v>
      </c>
      <c r="E132" s="31" t="s">
        <v>784</v>
      </c>
      <c r="F132" s="31">
        <v>0</v>
      </c>
      <c r="G132" s="32">
        <v>1.2500000000000001E-2</v>
      </c>
      <c r="H132" s="33">
        <v>0.1</v>
      </c>
      <c r="I132" s="34">
        <v>143389.25619834699</v>
      </c>
      <c r="J132" s="34">
        <v>1971.60227272727</v>
      </c>
      <c r="K132" s="31" t="s">
        <v>763</v>
      </c>
      <c r="L132" s="31">
        <v>10</v>
      </c>
      <c r="M132" s="31" t="s">
        <v>785</v>
      </c>
      <c r="N132" s="34">
        <v>20</v>
      </c>
      <c r="O132" s="35">
        <v>0</v>
      </c>
      <c r="P132" s="35" t="s">
        <v>212</v>
      </c>
      <c r="Q132" s="35">
        <v>0</v>
      </c>
      <c r="R132" s="36" t="s">
        <v>212</v>
      </c>
      <c r="S132" s="37" t="str">
        <f>IFERROR(_xlfn.XLOOKUP(R132,'1_Presupuesto'!$E:$E,'1_Presupuesto'!$D:$D),"")</f>
        <v/>
      </c>
    </row>
    <row r="133" spans="1:19" x14ac:dyDescent="0.35">
      <c r="A133" s="31" t="s">
        <v>760</v>
      </c>
      <c r="B133" s="31" t="s">
        <v>203</v>
      </c>
      <c r="C133" s="31"/>
      <c r="D133" s="31" t="s">
        <v>786</v>
      </c>
      <c r="E133" s="31" t="s">
        <v>787</v>
      </c>
      <c r="F133" s="31"/>
      <c r="G133" s="32">
        <v>1</v>
      </c>
      <c r="H133" s="33">
        <v>0</v>
      </c>
      <c r="I133" s="34">
        <v>1873.3963608356801</v>
      </c>
      <c r="J133" s="34">
        <v>1873.3963608356801</v>
      </c>
      <c r="K133" s="31" t="s">
        <v>788</v>
      </c>
      <c r="L133" s="31">
        <v>1</v>
      </c>
      <c r="M133" s="31" t="s">
        <v>789</v>
      </c>
      <c r="N133" s="34">
        <v>20</v>
      </c>
      <c r="O133" s="35">
        <v>0</v>
      </c>
      <c r="P133" s="35" t="s">
        <v>212</v>
      </c>
      <c r="Q133" s="35">
        <v>0</v>
      </c>
      <c r="R133" s="36" t="s">
        <v>212</v>
      </c>
      <c r="S133" s="37" t="str">
        <f>IFERROR(_xlfn.XLOOKUP(R133,'1_Presupuesto'!$E:$E,'1_Presupuesto'!$D:$D),"")</f>
        <v/>
      </c>
    </row>
    <row r="134" spans="1:19" x14ac:dyDescent="0.35">
      <c r="A134" s="31" t="s">
        <v>760</v>
      </c>
      <c r="B134" s="31" t="s">
        <v>478</v>
      </c>
      <c r="C134" s="31" t="s">
        <v>479</v>
      </c>
      <c r="D134" s="31" t="s">
        <v>480</v>
      </c>
      <c r="E134" s="31" t="s">
        <v>183</v>
      </c>
      <c r="F134" s="31" t="s">
        <v>481</v>
      </c>
      <c r="G134" s="32">
        <v>1</v>
      </c>
      <c r="H134" s="33">
        <v>0</v>
      </c>
      <c r="I134" s="34">
        <v>94177.137883538904</v>
      </c>
      <c r="J134" s="34">
        <v>94177.137883538904</v>
      </c>
      <c r="K134" s="31" t="s">
        <v>790</v>
      </c>
      <c r="L134" s="31">
        <v>1</v>
      </c>
      <c r="M134" s="31" t="s">
        <v>791</v>
      </c>
      <c r="N134" s="34">
        <v>20</v>
      </c>
      <c r="O134" s="35">
        <v>0.05</v>
      </c>
      <c r="P134" s="35" t="s">
        <v>212</v>
      </c>
      <c r="Q134" s="35">
        <v>0</v>
      </c>
      <c r="R134" s="36" t="s">
        <v>212</v>
      </c>
      <c r="S134" s="37" t="str">
        <f>IFERROR(_xlfn.XLOOKUP(R134,'1_Presupuesto'!$E:$E,'1_Presupuesto'!$D:$D),"")</f>
        <v/>
      </c>
    </row>
    <row r="135" spans="1:19" x14ac:dyDescent="0.35">
      <c r="A135" s="31" t="s">
        <v>760</v>
      </c>
      <c r="B135" s="31" t="s">
        <v>478</v>
      </c>
      <c r="C135" s="31" t="s">
        <v>479</v>
      </c>
      <c r="D135" s="31" t="s">
        <v>494</v>
      </c>
      <c r="E135" s="31" t="s">
        <v>185</v>
      </c>
      <c r="F135" s="31" t="s">
        <v>481</v>
      </c>
      <c r="G135" s="32">
        <v>0</v>
      </c>
      <c r="H135" s="33">
        <v>0</v>
      </c>
      <c r="I135" s="34">
        <v>72132.138365590101</v>
      </c>
      <c r="J135" s="34">
        <v>0</v>
      </c>
      <c r="K135" s="31" t="s">
        <v>790</v>
      </c>
      <c r="L135" s="31">
        <v>2</v>
      </c>
      <c r="M135" s="31" t="s">
        <v>792</v>
      </c>
      <c r="N135" s="34">
        <v>20</v>
      </c>
      <c r="O135" s="35">
        <v>0</v>
      </c>
      <c r="P135" s="35" t="s">
        <v>212</v>
      </c>
      <c r="Q135" s="35">
        <v>0</v>
      </c>
      <c r="R135" s="36" t="s">
        <v>212</v>
      </c>
      <c r="S135" s="37" t="str">
        <f>IFERROR(_xlfn.XLOOKUP(R135,'1_Presupuesto'!$E:$E,'1_Presupuesto'!$D:$D),"")</f>
        <v/>
      </c>
    </row>
    <row r="136" spans="1:19" x14ac:dyDescent="0.35">
      <c r="A136" s="31" t="s">
        <v>793</v>
      </c>
      <c r="B136" s="31" t="s">
        <v>497</v>
      </c>
      <c r="C136" s="31" t="s">
        <v>498</v>
      </c>
      <c r="D136" s="31" t="s">
        <v>761</v>
      </c>
      <c r="E136" s="31" t="s">
        <v>762</v>
      </c>
      <c r="F136" s="31">
        <v>0</v>
      </c>
      <c r="G136" s="32">
        <v>1E-3</v>
      </c>
      <c r="H136" s="33">
        <v>0.05</v>
      </c>
      <c r="I136" s="34">
        <v>9927.59</v>
      </c>
      <c r="J136" s="34">
        <v>10.4239695</v>
      </c>
      <c r="K136" s="31" t="s">
        <v>794</v>
      </c>
      <c r="L136" s="31">
        <v>1</v>
      </c>
      <c r="M136" s="31" t="s">
        <v>795</v>
      </c>
      <c r="N136" s="34">
        <v>25</v>
      </c>
      <c r="O136" s="35">
        <v>0</v>
      </c>
      <c r="P136" s="35" t="s">
        <v>212</v>
      </c>
      <c r="Q136" s="35">
        <v>0</v>
      </c>
      <c r="R136" s="36" t="s">
        <v>212</v>
      </c>
      <c r="S136" s="37" t="str">
        <f>IFERROR(_xlfn.XLOOKUP(R136,'1_Presupuesto'!$E:$E,'1_Presupuesto'!$D:$D),"")</f>
        <v/>
      </c>
    </row>
    <row r="137" spans="1:19" x14ac:dyDescent="0.35">
      <c r="A137" s="31" t="s">
        <v>793</v>
      </c>
      <c r="B137" s="31" t="s">
        <v>497</v>
      </c>
      <c r="C137" s="31" t="s">
        <v>498</v>
      </c>
      <c r="D137" s="31" t="s">
        <v>765</v>
      </c>
      <c r="E137" s="31" t="s">
        <v>766</v>
      </c>
      <c r="F137" s="31">
        <v>0</v>
      </c>
      <c r="G137" s="32">
        <v>4.0000000000000001E-3</v>
      </c>
      <c r="H137" s="33">
        <v>0.05</v>
      </c>
      <c r="I137" s="34">
        <v>42552.892561983499</v>
      </c>
      <c r="J137" s="34">
        <v>178.72214876033101</v>
      </c>
      <c r="K137" s="31" t="s">
        <v>794</v>
      </c>
      <c r="L137" s="31">
        <v>2</v>
      </c>
      <c r="M137" s="31" t="s">
        <v>796</v>
      </c>
      <c r="N137" s="34">
        <v>25</v>
      </c>
      <c r="O137" s="35">
        <v>0</v>
      </c>
      <c r="P137" s="35" t="s">
        <v>212</v>
      </c>
      <c r="Q137" s="35">
        <v>0</v>
      </c>
      <c r="R137" s="36" t="s">
        <v>212</v>
      </c>
      <c r="S137" s="37" t="str">
        <f>IFERROR(_xlfn.XLOOKUP(R137,'1_Presupuesto'!$E:$E,'1_Presupuesto'!$D:$D),"")</f>
        <v/>
      </c>
    </row>
    <row r="138" spans="1:19" x14ac:dyDescent="0.35">
      <c r="A138" s="31" t="s">
        <v>793</v>
      </c>
      <c r="B138" s="31" t="s">
        <v>497</v>
      </c>
      <c r="C138" s="31" t="s">
        <v>498</v>
      </c>
      <c r="D138" s="31" t="s">
        <v>512</v>
      </c>
      <c r="E138" s="31" t="s">
        <v>513</v>
      </c>
      <c r="F138" s="31">
        <v>0</v>
      </c>
      <c r="G138" s="32">
        <v>0.03</v>
      </c>
      <c r="H138" s="33">
        <v>0.05</v>
      </c>
      <c r="I138" s="34">
        <v>1182.6446280991699</v>
      </c>
      <c r="J138" s="34">
        <v>37.253305785123899</v>
      </c>
      <c r="K138" s="31" t="s">
        <v>794</v>
      </c>
      <c r="L138" s="31">
        <v>3</v>
      </c>
      <c r="M138" s="31" t="s">
        <v>797</v>
      </c>
      <c r="N138" s="34">
        <v>25</v>
      </c>
      <c r="O138" s="35">
        <v>0</v>
      </c>
      <c r="P138" s="35" t="s">
        <v>212</v>
      </c>
      <c r="Q138" s="35">
        <v>0</v>
      </c>
      <c r="R138" s="36" t="s">
        <v>212</v>
      </c>
      <c r="S138" s="37" t="str">
        <f>IFERROR(_xlfn.XLOOKUP(R138,'1_Presupuesto'!$E:$E,'1_Presupuesto'!$D:$D),"")</f>
        <v/>
      </c>
    </row>
    <row r="139" spans="1:19" x14ac:dyDescent="0.35">
      <c r="A139" s="31" t="s">
        <v>793</v>
      </c>
      <c r="B139" s="31" t="s">
        <v>497</v>
      </c>
      <c r="C139" s="31" t="s">
        <v>498</v>
      </c>
      <c r="D139" s="31" t="s">
        <v>769</v>
      </c>
      <c r="E139" s="31" t="s">
        <v>770</v>
      </c>
      <c r="F139" s="31">
        <v>0</v>
      </c>
      <c r="G139" s="32">
        <v>0.05</v>
      </c>
      <c r="H139" s="33">
        <v>0.1</v>
      </c>
      <c r="I139" s="34">
        <v>5885.9504132231395</v>
      </c>
      <c r="J139" s="34">
        <v>323.72727272727298</v>
      </c>
      <c r="K139" s="31" t="s">
        <v>794</v>
      </c>
      <c r="L139" s="31">
        <v>4</v>
      </c>
      <c r="M139" s="31" t="s">
        <v>798</v>
      </c>
      <c r="N139" s="34">
        <v>25</v>
      </c>
      <c r="O139" s="35">
        <v>0</v>
      </c>
      <c r="P139" s="35" t="s">
        <v>212</v>
      </c>
      <c r="Q139" s="35">
        <v>0</v>
      </c>
      <c r="R139" s="36" t="s">
        <v>212</v>
      </c>
      <c r="S139" s="37" t="str">
        <f>IFERROR(_xlfn.XLOOKUP(R139,'1_Presupuesto'!$E:$E,'1_Presupuesto'!$D:$D),"")</f>
        <v/>
      </c>
    </row>
    <row r="140" spans="1:19" x14ac:dyDescent="0.35">
      <c r="A140" s="31" t="s">
        <v>793</v>
      </c>
      <c r="B140" s="31" t="s">
        <v>497</v>
      </c>
      <c r="C140" s="31" t="s">
        <v>498</v>
      </c>
      <c r="D140" s="31" t="s">
        <v>503</v>
      </c>
      <c r="E140" s="31" t="s">
        <v>504</v>
      </c>
      <c r="F140" s="31" t="s">
        <v>261</v>
      </c>
      <c r="G140" s="32">
        <v>5.0000000000000001E-3</v>
      </c>
      <c r="H140" s="33">
        <v>0.05</v>
      </c>
      <c r="I140" s="34">
        <v>6442.15</v>
      </c>
      <c r="J140" s="34">
        <v>33.821287499999997</v>
      </c>
      <c r="K140" s="31" t="s">
        <v>794</v>
      </c>
      <c r="L140" s="31">
        <v>5</v>
      </c>
      <c r="M140" s="31" t="s">
        <v>799</v>
      </c>
      <c r="N140" s="34">
        <v>25</v>
      </c>
      <c r="O140" s="35">
        <v>0</v>
      </c>
      <c r="P140" s="35" t="s">
        <v>212</v>
      </c>
      <c r="Q140" s="35">
        <v>0</v>
      </c>
      <c r="R140" s="36" t="s">
        <v>212</v>
      </c>
      <c r="S140" s="37" t="str">
        <f>IFERROR(_xlfn.XLOOKUP(R140,'1_Presupuesto'!$E:$E,'1_Presupuesto'!$D:$D),"")</f>
        <v/>
      </c>
    </row>
    <row r="141" spans="1:19" x14ac:dyDescent="0.35">
      <c r="A141" s="31" t="s">
        <v>793</v>
      </c>
      <c r="B141" s="31" t="s">
        <v>497</v>
      </c>
      <c r="C141" s="31" t="s">
        <v>498</v>
      </c>
      <c r="D141" s="31" t="s">
        <v>506</v>
      </c>
      <c r="E141" s="31" t="s">
        <v>507</v>
      </c>
      <c r="F141" s="31" t="s">
        <v>261</v>
      </c>
      <c r="G141" s="32">
        <v>5.0000000000000001E-3</v>
      </c>
      <c r="H141" s="33">
        <v>0.05</v>
      </c>
      <c r="I141" s="34">
        <v>4418.1818181818198</v>
      </c>
      <c r="J141" s="34">
        <v>23.195454545454599</v>
      </c>
      <c r="K141" s="31" t="s">
        <v>794</v>
      </c>
      <c r="L141" s="31">
        <v>6</v>
      </c>
      <c r="M141" s="31" t="s">
        <v>800</v>
      </c>
      <c r="N141" s="34">
        <v>25</v>
      </c>
      <c r="O141" s="35">
        <v>0</v>
      </c>
      <c r="P141" s="35" t="s">
        <v>212</v>
      </c>
      <c r="Q141" s="35">
        <v>0</v>
      </c>
      <c r="R141" s="36" t="s">
        <v>212</v>
      </c>
      <c r="S141" s="37" t="str">
        <f>IFERROR(_xlfn.XLOOKUP(R141,'1_Presupuesto'!$E:$E,'1_Presupuesto'!$D:$D),"")</f>
        <v/>
      </c>
    </row>
    <row r="142" spans="1:19" x14ac:dyDescent="0.35">
      <c r="A142" s="31" t="s">
        <v>793</v>
      </c>
      <c r="B142" s="31" t="s">
        <v>497</v>
      </c>
      <c r="C142" s="31" t="s">
        <v>498</v>
      </c>
      <c r="D142" s="31" t="s">
        <v>777</v>
      </c>
      <c r="E142" s="31" t="s">
        <v>778</v>
      </c>
      <c r="F142" s="31" t="s">
        <v>261</v>
      </c>
      <c r="G142" s="32">
        <v>0.01</v>
      </c>
      <c r="H142" s="33">
        <v>0.05</v>
      </c>
      <c r="I142" s="34">
        <v>8173.5537190082696</v>
      </c>
      <c r="J142" s="34">
        <v>85.822314049586794</v>
      </c>
      <c r="K142" s="31" t="s">
        <v>794</v>
      </c>
      <c r="L142" s="31">
        <v>7</v>
      </c>
      <c r="M142" s="31" t="s">
        <v>801</v>
      </c>
      <c r="N142" s="34">
        <v>25</v>
      </c>
      <c r="O142" s="35">
        <v>0</v>
      </c>
      <c r="P142" s="35" t="s">
        <v>212</v>
      </c>
      <c r="Q142" s="35">
        <v>0</v>
      </c>
      <c r="R142" s="36" t="s">
        <v>212</v>
      </c>
      <c r="S142" s="37" t="str">
        <f>IFERROR(_xlfn.XLOOKUP(R142,'1_Presupuesto'!$E:$E,'1_Presupuesto'!$D:$D),"")</f>
        <v/>
      </c>
    </row>
    <row r="143" spans="1:19" x14ac:dyDescent="0.35">
      <c r="A143" s="31" t="s">
        <v>793</v>
      </c>
      <c r="B143" s="31" t="s">
        <v>497</v>
      </c>
      <c r="C143" s="31" t="s">
        <v>498</v>
      </c>
      <c r="D143" s="31" t="s">
        <v>783</v>
      </c>
      <c r="E143" s="31" t="s">
        <v>784</v>
      </c>
      <c r="F143" s="31">
        <v>0</v>
      </c>
      <c r="G143" s="32">
        <v>1.2500000000000001E-2</v>
      </c>
      <c r="H143" s="33">
        <v>0.1</v>
      </c>
      <c r="I143" s="34">
        <v>143389.25619834699</v>
      </c>
      <c r="J143" s="34">
        <v>1971.60227272727</v>
      </c>
      <c r="K143" s="31" t="s">
        <v>794</v>
      </c>
      <c r="L143" s="31">
        <v>8</v>
      </c>
      <c r="M143" s="31" t="s">
        <v>802</v>
      </c>
      <c r="N143" s="34">
        <v>25</v>
      </c>
      <c r="O143" s="35">
        <v>0</v>
      </c>
      <c r="P143" s="35" t="s">
        <v>212</v>
      </c>
      <c r="Q143" s="35">
        <v>0</v>
      </c>
      <c r="R143" s="36" t="s">
        <v>212</v>
      </c>
      <c r="S143" s="37" t="str">
        <f>IFERROR(_xlfn.XLOOKUP(R143,'1_Presupuesto'!$E:$E,'1_Presupuesto'!$D:$D),"")</f>
        <v/>
      </c>
    </row>
    <row r="144" spans="1:19" x14ac:dyDescent="0.35">
      <c r="A144" s="31" t="s">
        <v>793</v>
      </c>
      <c r="B144" s="31" t="s">
        <v>203</v>
      </c>
      <c r="C144" s="31"/>
      <c r="D144" s="31" t="s">
        <v>786</v>
      </c>
      <c r="E144" s="31" t="s">
        <v>787</v>
      </c>
      <c r="F144" s="31"/>
      <c r="G144" s="32">
        <v>1</v>
      </c>
      <c r="H144" s="33">
        <v>0</v>
      </c>
      <c r="I144" s="34">
        <v>1873.3963608356801</v>
      </c>
      <c r="J144" s="34">
        <v>1873.3963608356801</v>
      </c>
      <c r="K144" s="31" t="s">
        <v>803</v>
      </c>
      <c r="L144" s="31">
        <v>1</v>
      </c>
      <c r="M144" s="31" t="s">
        <v>804</v>
      </c>
      <c r="N144" s="34">
        <v>25</v>
      </c>
      <c r="O144" s="35">
        <v>0</v>
      </c>
      <c r="P144" s="35" t="s">
        <v>212</v>
      </c>
      <c r="Q144" s="35">
        <v>0</v>
      </c>
      <c r="R144" s="36" t="s">
        <v>212</v>
      </c>
      <c r="S144" s="37" t="str">
        <f>IFERROR(_xlfn.XLOOKUP(R144,'1_Presupuesto'!$E:$E,'1_Presupuesto'!$D:$D),"")</f>
        <v/>
      </c>
    </row>
    <row r="145" spans="1:19" x14ac:dyDescent="0.35">
      <c r="A145" s="31" t="s">
        <v>793</v>
      </c>
      <c r="B145" s="31" t="s">
        <v>478</v>
      </c>
      <c r="C145" s="31" t="s">
        <v>479</v>
      </c>
      <c r="D145" s="31" t="s">
        <v>480</v>
      </c>
      <c r="E145" s="31" t="s">
        <v>183</v>
      </c>
      <c r="F145" s="31" t="s">
        <v>481</v>
      </c>
      <c r="G145" s="32">
        <v>1</v>
      </c>
      <c r="H145" s="33">
        <v>0</v>
      </c>
      <c r="I145" s="34">
        <v>94177.137883538904</v>
      </c>
      <c r="J145" s="34">
        <v>94177.137883538904</v>
      </c>
      <c r="K145" s="31" t="s">
        <v>805</v>
      </c>
      <c r="L145" s="31">
        <v>1</v>
      </c>
      <c r="M145" s="31" t="s">
        <v>806</v>
      </c>
      <c r="N145" s="34">
        <v>25</v>
      </c>
      <c r="O145" s="35">
        <v>0.04</v>
      </c>
      <c r="P145" s="35" t="s">
        <v>212</v>
      </c>
      <c r="Q145" s="35">
        <v>0</v>
      </c>
      <c r="R145" s="36" t="s">
        <v>212</v>
      </c>
      <c r="S145" s="37" t="str">
        <f>IFERROR(_xlfn.XLOOKUP(R145,'1_Presupuesto'!$E:$E,'1_Presupuesto'!$D:$D),"")</f>
        <v/>
      </c>
    </row>
    <row r="146" spans="1:19" x14ac:dyDescent="0.35">
      <c r="A146" s="31" t="s">
        <v>638</v>
      </c>
      <c r="B146" s="31" t="s">
        <v>497</v>
      </c>
      <c r="C146" s="31" t="s">
        <v>498</v>
      </c>
      <c r="D146" s="31" t="s">
        <v>807</v>
      </c>
      <c r="E146" s="31" t="s">
        <v>808</v>
      </c>
      <c r="F146" s="31" t="s">
        <v>261</v>
      </c>
      <c r="G146" s="32">
        <v>5</v>
      </c>
      <c r="H146" s="33">
        <v>0.1</v>
      </c>
      <c r="I146" s="34">
        <v>514.58833333333303</v>
      </c>
      <c r="J146" s="34">
        <v>2830.23583333333</v>
      </c>
      <c r="K146" s="31" t="s">
        <v>639</v>
      </c>
      <c r="L146" s="31">
        <v>2</v>
      </c>
      <c r="M146" s="31" t="s">
        <v>809</v>
      </c>
      <c r="N146" s="34">
        <v>3.25</v>
      </c>
      <c r="O146" s="35">
        <v>0</v>
      </c>
      <c r="P146" s="35" t="s">
        <v>212</v>
      </c>
      <c r="Q146" s="35">
        <v>0</v>
      </c>
      <c r="R146" s="36" t="s">
        <v>212</v>
      </c>
      <c r="S146" s="37" t="str">
        <f>IFERROR(_xlfn.XLOOKUP(R146,'1_Presupuesto'!$E:$E,'1_Presupuesto'!$D:$D),"")</f>
        <v/>
      </c>
    </row>
    <row r="147" spans="1:19" x14ac:dyDescent="0.35">
      <c r="A147" s="31" t="s">
        <v>638</v>
      </c>
      <c r="B147" s="31" t="s">
        <v>497</v>
      </c>
      <c r="C147" s="31" t="s">
        <v>498</v>
      </c>
      <c r="D147" s="31" t="s">
        <v>810</v>
      </c>
      <c r="E147" s="31" t="s">
        <v>811</v>
      </c>
      <c r="F147" s="31" t="s">
        <v>261</v>
      </c>
      <c r="G147" s="32">
        <v>3</v>
      </c>
      <c r="H147" s="33">
        <v>0.1</v>
      </c>
      <c r="I147" s="34">
        <v>250.31899999999999</v>
      </c>
      <c r="J147" s="34">
        <v>826.05269999999996</v>
      </c>
      <c r="K147" s="31" t="s">
        <v>639</v>
      </c>
      <c r="L147" s="31">
        <v>3</v>
      </c>
      <c r="M147" s="31" t="s">
        <v>812</v>
      </c>
      <c r="N147" s="34">
        <v>3.25</v>
      </c>
      <c r="O147" s="35">
        <v>0</v>
      </c>
      <c r="P147" s="35" t="s">
        <v>212</v>
      </c>
      <c r="Q147" s="35">
        <v>0</v>
      </c>
      <c r="R147" s="36" t="s">
        <v>212</v>
      </c>
      <c r="S147" s="37" t="str">
        <f>IFERROR(_xlfn.XLOOKUP(R147,'1_Presupuesto'!$E:$E,'1_Presupuesto'!$D:$D),"")</f>
        <v/>
      </c>
    </row>
    <row r="148" spans="1:19" x14ac:dyDescent="0.35">
      <c r="A148" s="31" t="s">
        <v>638</v>
      </c>
      <c r="B148" s="31" t="s">
        <v>497</v>
      </c>
      <c r="C148" s="31" t="s">
        <v>498</v>
      </c>
      <c r="D148" s="31" t="s">
        <v>813</v>
      </c>
      <c r="E148" s="31" t="s">
        <v>814</v>
      </c>
      <c r="F148" s="31" t="s">
        <v>261</v>
      </c>
      <c r="G148" s="32">
        <v>2</v>
      </c>
      <c r="H148" s="33">
        <v>0.1</v>
      </c>
      <c r="I148" s="34">
        <v>110.121</v>
      </c>
      <c r="J148" s="34">
        <v>242.2662</v>
      </c>
      <c r="K148" s="31" t="s">
        <v>639</v>
      </c>
      <c r="L148" s="31">
        <v>4</v>
      </c>
      <c r="M148" s="31" t="s">
        <v>815</v>
      </c>
      <c r="N148" s="34">
        <v>3.25</v>
      </c>
      <c r="O148" s="35">
        <v>0</v>
      </c>
      <c r="P148" s="35" t="s">
        <v>212</v>
      </c>
      <c r="Q148" s="35">
        <v>0</v>
      </c>
      <c r="R148" s="36" t="s">
        <v>212</v>
      </c>
      <c r="S148" s="37" t="str">
        <f>IFERROR(_xlfn.XLOOKUP(R148,'1_Presupuesto'!$E:$E,'1_Presupuesto'!$D:$D),"")</f>
        <v/>
      </c>
    </row>
    <row r="149" spans="1:19" x14ac:dyDescent="0.35">
      <c r="A149" s="31" t="s">
        <v>638</v>
      </c>
      <c r="B149" s="31" t="s">
        <v>497</v>
      </c>
      <c r="C149" s="31" t="s">
        <v>498</v>
      </c>
      <c r="D149" s="31" t="s">
        <v>666</v>
      </c>
      <c r="E149" s="31" t="s">
        <v>667</v>
      </c>
      <c r="F149" s="31" t="s">
        <v>261</v>
      </c>
      <c r="G149" s="32">
        <v>0.5</v>
      </c>
      <c r="H149" s="33">
        <v>0.05</v>
      </c>
      <c r="I149" s="34">
        <v>217.14975799999999</v>
      </c>
      <c r="J149" s="34">
        <v>114.00362294999999</v>
      </c>
      <c r="K149" s="31" t="s">
        <v>639</v>
      </c>
      <c r="L149" s="31">
        <v>5</v>
      </c>
      <c r="M149" s="31" t="s">
        <v>816</v>
      </c>
      <c r="N149" s="34">
        <v>3.25</v>
      </c>
      <c r="O149" s="35">
        <v>0</v>
      </c>
      <c r="P149" s="35" t="s">
        <v>212</v>
      </c>
      <c r="Q149" s="35">
        <v>0</v>
      </c>
      <c r="R149" s="36" t="s">
        <v>212</v>
      </c>
      <c r="S149" s="37" t="str">
        <f>IFERROR(_xlfn.XLOOKUP(R149,'1_Presupuesto'!$E:$E,'1_Presupuesto'!$D:$D),"")</f>
        <v/>
      </c>
    </row>
    <row r="150" spans="1:19" x14ac:dyDescent="0.35">
      <c r="A150" s="31" t="s">
        <v>638</v>
      </c>
      <c r="B150" s="31" t="s">
        <v>497</v>
      </c>
      <c r="C150" s="31" t="s">
        <v>498</v>
      </c>
      <c r="D150" s="31" t="s">
        <v>817</v>
      </c>
      <c r="E150" s="31" t="s">
        <v>818</v>
      </c>
      <c r="F150" s="31" t="s">
        <v>261</v>
      </c>
      <c r="G150" s="32">
        <v>1</v>
      </c>
      <c r="H150" s="33">
        <v>0.05</v>
      </c>
      <c r="I150" s="34">
        <v>217.14975799999999</v>
      </c>
      <c r="J150" s="34">
        <v>228.00724589999999</v>
      </c>
      <c r="K150" s="31" t="s">
        <v>639</v>
      </c>
      <c r="L150" s="31">
        <v>6</v>
      </c>
      <c r="M150" s="31" t="s">
        <v>819</v>
      </c>
      <c r="N150" s="34">
        <v>3.25</v>
      </c>
      <c r="O150" s="35">
        <v>0</v>
      </c>
      <c r="P150" s="35" t="s">
        <v>212</v>
      </c>
      <c r="Q150" s="35">
        <v>0</v>
      </c>
      <c r="R150" s="36" t="s">
        <v>212</v>
      </c>
      <c r="S150" s="37" t="str">
        <f>IFERROR(_xlfn.XLOOKUP(R150,'1_Presupuesto'!$E:$E,'1_Presupuesto'!$D:$D),"")</f>
        <v/>
      </c>
    </row>
    <row r="151" spans="1:19" x14ac:dyDescent="0.35">
      <c r="A151" s="31" t="s">
        <v>638</v>
      </c>
      <c r="B151" s="31" t="s">
        <v>497</v>
      </c>
      <c r="C151" s="31" t="s">
        <v>498</v>
      </c>
      <c r="D151" s="31" t="s">
        <v>820</v>
      </c>
      <c r="E151" s="31" t="s">
        <v>821</v>
      </c>
      <c r="F151" s="31" t="s">
        <v>223</v>
      </c>
      <c r="G151" s="32">
        <v>7.5</v>
      </c>
      <c r="H151" s="33">
        <v>0.1</v>
      </c>
      <c r="I151" s="34">
        <v>339.47162557191899</v>
      </c>
      <c r="J151" s="34">
        <v>2800.64091096833</v>
      </c>
      <c r="K151" s="31" t="s">
        <v>639</v>
      </c>
      <c r="L151" s="31">
        <v>7</v>
      </c>
      <c r="M151" s="31" t="s">
        <v>822</v>
      </c>
      <c r="N151" s="34">
        <v>3.25</v>
      </c>
      <c r="O151" s="35">
        <v>0</v>
      </c>
      <c r="P151" s="35" t="s">
        <v>212</v>
      </c>
      <c r="Q151" s="35">
        <v>0</v>
      </c>
      <c r="R151" s="36" t="s">
        <v>212</v>
      </c>
      <c r="S151" s="37" t="str">
        <f>IFERROR(_xlfn.XLOOKUP(R151,'1_Presupuesto'!$E:$E,'1_Presupuesto'!$D:$D),"")</f>
        <v/>
      </c>
    </row>
    <row r="152" spans="1:19" x14ac:dyDescent="0.35">
      <c r="A152" s="31" t="s">
        <v>638</v>
      </c>
      <c r="B152" s="31" t="s">
        <v>497</v>
      </c>
      <c r="C152" s="31" t="s">
        <v>498</v>
      </c>
      <c r="D152" s="31" t="s">
        <v>661</v>
      </c>
      <c r="E152" s="31" t="s">
        <v>662</v>
      </c>
      <c r="F152" s="31" t="s">
        <v>663</v>
      </c>
      <c r="G152" s="32">
        <v>5</v>
      </c>
      <c r="H152" s="33">
        <v>0.1</v>
      </c>
      <c r="I152" s="34">
        <v>546.37687500000004</v>
      </c>
      <c r="J152" s="34">
        <v>3005.0728125000001</v>
      </c>
      <c r="K152" s="31" t="s">
        <v>639</v>
      </c>
      <c r="L152" s="31">
        <v>8</v>
      </c>
      <c r="M152" s="31" t="s">
        <v>823</v>
      </c>
      <c r="N152" s="34">
        <v>3.25</v>
      </c>
      <c r="O152" s="35">
        <v>0</v>
      </c>
      <c r="P152" s="35" t="s">
        <v>212</v>
      </c>
      <c r="Q152" s="35">
        <v>0</v>
      </c>
      <c r="R152" s="36" t="s">
        <v>212</v>
      </c>
      <c r="S152" s="37" t="str">
        <f>IFERROR(_xlfn.XLOOKUP(R152,'1_Presupuesto'!$E:$E,'1_Presupuesto'!$D:$D),"")</f>
        <v/>
      </c>
    </row>
    <row r="153" spans="1:19" x14ac:dyDescent="0.35">
      <c r="A153" s="31" t="s">
        <v>638</v>
      </c>
      <c r="B153" s="31" t="s">
        <v>497</v>
      </c>
      <c r="C153" s="31" t="s">
        <v>498</v>
      </c>
      <c r="D153" s="31" t="s">
        <v>661</v>
      </c>
      <c r="E153" s="31" t="s">
        <v>662</v>
      </c>
      <c r="F153" s="31" t="s">
        <v>663</v>
      </c>
      <c r="G153" s="32">
        <v>7.5</v>
      </c>
      <c r="H153" s="33">
        <v>0.1</v>
      </c>
      <c r="I153" s="34">
        <v>546.37687500000004</v>
      </c>
      <c r="J153" s="34">
        <v>4507.6092187499999</v>
      </c>
      <c r="K153" s="31" t="s">
        <v>639</v>
      </c>
      <c r="L153" s="31">
        <v>9</v>
      </c>
      <c r="M153" s="31" t="s">
        <v>824</v>
      </c>
      <c r="N153" s="34">
        <v>3.25</v>
      </c>
      <c r="O153" s="35">
        <v>0</v>
      </c>
      <c r="P153" s="35" t="s">
        <v>212</v>
      </c>
      <c r="Q153" s="35">
        <v>0</v>
      </c>
      <c r="R153" s="36" t="s">
        <v>212</v>
      </c>
      <c r="S153" s="37" t="str">
        <f>IFERROR(_xlfn.XLOOKUP(R153,'1_Presupuesto'!$E:$E,'1_Presupuesto'!$D:$D),"")</f>
        <v/>
      </c>
    </row>
    <row r="154" spans="1:19" x14ac:dyDescent="0.35">
      <c r="A154" s="31" t="s">
        <v>825</v>
      </c>
      <c r="B154" s="31" t="s">
        <v>497</v>
      </c>
      <c r="C154" s="31" t="s">
        <v>498</v>
      </c>
      <c r="D154" s="31" t="s">
        <v>826</v>
      </c>
      <c r="E154" s="31" t="s">
        <v>827</v>
      </c>
      <c r="F154" s="31" t="s">
        <v>236</v>
      </c>
      <c r="G154" s="32">
        <v>1</v>
      </c>
      <c r="H154" s="33">
        <v>0.3</v>
      </c>
      <c r="I154" s="34">
        <v>9811.2871799999994</v>
      </c>
      <c r="J154" s="34">
        <v>12754.673333999999</v>
      </c>
      <c r="K154" s="31" t="s">
        <v>828</v>
      </c>
      <c r="L154" s="31">
        <v>1</v>
      </c>
      <c r="M154" s="31" t="s">
        <v>829</v>
      </c>
      <c r="N154" s="34">
        <v>25</v>
      </c>
      <c r="O154" s="35">
        <v>0</v>
      </c>
      <c r="P154" s="35" t="s">
        <v>212</v>
      </c>
      <c r="Q154" s="35">
        <v>0</v>
      </c>
      <c r="R154" s="36" t="s">
        <v>212</v>
      </c>
      <c r="S154" s="37" t="str">
        <f>IFERROR(_xlfn.XLOOKUP(R154,'1_Presupuesto'!$E:$E,'1_Presupuesto'!$D:$D),"")</f>
        <v/>
      </c>
    </row>
    <row r="155" spans="1:19" x14ac:dyDescent="0.35">
      <c r="A155" s="31" t="s">
        <v>825</v>
      </c>
      <c r="B155" s="31" t="s">
        <v>478</v>
      </c>
      <c r="C155" s="31" t="s">
        <v>479</v>
      </c>
      <c r="D155" s="31" t="s">
        <v>480</v>
      </c>
      <c r="E155" s="31" t="s">
        <v>183</v>
      </c>
      <c r="F155" s="31" t="s">
        <v>481</v>
      </c>
      <c r="G155" s="32">
        <v>1</v>
      </c>
      <c r="H155" s="33">
        <v>0</v>
      </c>
      <c r="I155" s="34">
        <v>94177.137883538904</v>
      </c>
      <c r="J155" s="34">
        <v>94177.137883538904</v>
      </c>
      <c r="K155" s="31" t="s">
        <v>830</v>
      </c>
      <c r="L155" s="31">
        <v>1</v>
      </c>
      <c r="M155" s="31" t="s">
        <v>831</v>
      </c>
      <c r="N155" s="34">
        <v>25</v>
      </c>
      <c r="O155" s="35">
        <v>0.04</v>
      </c>
      <c r="P155" s="35" t="s">
        <v>212</v>
      </c>
      <c r="Q155" s="35">
        <v>0</v>
      </c>
      <c r="R155" s="36" t="s">
        <v>212</v>
      </c>
      <c r="S155" s="37" t="str">
        <f>IFERROR(_xlfn.XLOOKUP(R155,'1_Presupuesto'!$E:$E,'1_Presupuesto'!$D:$D),"")</f>
        <v/>
      </c>
    </row>
    <row r="156" spans="1:19" x14ac:dyDescent="0.35">
      <c r="A156" s="31" t="s">
        <v>825</v>
      </c>
      <c r="B156" s="31" t="s">
        <v>478</v>
      </c>
      <c r="C156" s="31" t="s">
        <v>479</v>
      </c>
      <c r="D156" s="31" t="s">
        <v>494</v>
      </c>
      <c r="E156" s="31" t="s">
        <v>185</v>
      </c>
      <c r="F156" s="31" t="s">
        <v>481</v>
      </c>
      <c r="G156" s="32">
        <v>1</v>
      </c>
      <c r="H156" s="33">
        <v>0</v>
      </c>
      <c r="I156" s="34">
        <v>72132.138365590101</v>
      </c>
      <c r="J156" s="34">
        <v>72132.138365590101</v>
      </c>
      <c r="K156" s="31" t="s">
        <v>830</v>
      </c>
      <c r="L156" s="31">
        <v>2</v>
      </c>
      <c r="M156" s="31" t="s">
        <v>832</v>
      </c>
      <c r="N156" s="34">
        <v>25</v>
      </c>
      <c r="O156" s="35">
        <v>0.04</v>
      </c>
      <c r="P156" s="35" t="s">
        <v>212</v>
      </c>
      <c r="Q156" s="35">
        <v>0</v>
      </c>
      <c r="R156" s="36" t="s">
        <v>212</v>
      </c>
      <c r="S156" s="37" t="str">
        <f>IFERROR(_xlfn.XLOOKUP(R156,'1_Presupuesto'!$E:$E,'1_Presupuesto'!$D:$D),"")</f>
        <v/>
      </c>
    </row>
    <row r="157" spans="1:19" x14ac:dyDescent="0.35">
      <c r="A157" s="31" t="s">
        <v>833</v>
      </c>
      <c r="B157" s="31" t="s">
        <v>497</v>
      </c>
      <c r="C157" s="31" t="s">
        <v>498</v>
      </c>
      <c r="D157" s="31" t="s">
        <v>541</v>
      </c>
      <c r="E157" s="31" t="s">
        <v>542</v>
      </c>
      <c r="F157" s="31">
        <v>0</v>
      </c>
      <c r="G157" s="32">
        <v>0.15</v>
      </c>
      <c r="H157" s="33">
        <v>0.1</v>
      </c>
      <c r="I157" s="34">
        <v>7891.74</v>
      </c>
      <c r="J157" s="34">
        <v>1302.1370999999999</v>
      </c>
      <c r="K157" s="31" t="s">
        <v>834</v>
      </c>
      <c r="L157" s="31">
        <v>1</v>
      </c>
      <c r="M157" s="31" t="s">
        <v>835</v>
      </c>
      <c r="N157" s="34">
        <v>7</v>
      </c>
      <c r="O157" s="35">
        <v>0</v>
      </c>
      <c r="P157" s="35" t="s">
        <v>212</v>
      </c>
      <c r="Q157" s="35">
        <v>0</v>
      </c>
      <c r="R157" s="36" t="s">
        <v>212</v>
      </c>
      <c r="S157" s="37" t="str">
        <f>IFERROR(_xlfn.XLOOKUP(R157,'1_Presupuesto'!$E:$E,'1_Presupuesto'!$D:$D),"")</f>
        <v/>
      </c>
    </row>
    <row r="158" spans="1:19" x14ac:dyDescent="0.35">
      <c r="A158" s="31" t="s">
        <v>833</v>
      </c>
      <c r="B158" s="31" t="s">
        <v>497</v>
      </c>
      <c r="C158" s="31" t="s">
        <v>498</v>
      </c>
      <c r="D158" s="31" t="s">
        <v>538</v>
      </c>
      <c r="E158" s="31" t="s">
        <v>539</v>
      </c>
      <c r="F158" s="31">
        <v>0</v>
      </c>
      <c r="G158" s="32">
        <v>0.3</v>
      </c>
      <c r="H158" s="33">
        <v>0.1</v>
      </c>
      <c r="I158" s="34">
        <v>3927.28</v>
      </c>
      <c r="J158" s="34">
        <v>1296.0024000000001</v>
      </c>
      <c r="K158" s="31" t="s">
        <v>834</v>
      </c>
      <c r="L158" s="31">
        <v>2</v>
      </c>
      <c r="M158" s="31" t="s">
        <v>836</v>
      </c>
      <c r="N158" s="34">
        <v>7</v>
      </c>
      <c r="O158" s="35">
        <v>0</v>
      </c>
      <c r="P158" s="35" t="s">
        <v>212</v>
      </c>
      <c r="Q158" s="35">
        <v>0</v>
      </c>
      <c r="R158" s="36" t="s">
        <v>212</v>
      </c>
      <c r="S158" s="37" t="str">
        <f>IFERROR(_xlfn.XLOOKUP(R158,'1_Presupuesto'!$E:$E,'1_Presupuesto'!$D:$D),"")</f>
        <v/>
      </c>
    </row>
    <row r="159" spans="1:19" x14ac:dyDescent="0.35">
      <c r="A159" s="31" t="s">
        <v>833</v>
      </c>
      <c r="B159" s="31" t="s">
        <v>497</v>
      </c>
      <c r="C159" s="31" t="s">
        <v>498</v>
      </c>
      <c r="D159" s="31" t="s">
        <v>601</v>
      </c>
      <c r="E159" s="31" t="s">
        <v>602</v>
      </c>
      <c r="F159" s="31">
        <v>0</v>
      </c>
      <c r="G159" s="32">
        <v>0.17</v>
      </c>
      <c r="H159" s="33">
        <v>0.1</v>
      </c>
      <c r="I159" s="34">
        <v>3620.13</v>
      </c>
      <c r="J159" s="34">
        <v>676.96430999999995</v>
      </c>
      <c r="K159" s="31" t="s">
        <v>834</v>
      </c>
      <c r="L159" s="31">
        <v>3</v>
      </c>
      <c r="M159" s="31" t="s">
        <v>837</v>
      </c>
      <c r="N159" s="34">
        <v>7</v>
      </c>
      <c r="O159" s="35">
        <v>0</v>
      </c>
      <c r="P159" s="35" t="s">
        <v>212</v>
      </c>
      <c r="Q159" s="35">
        <v>0</v>
      </c>
      <c r="R159" s="36" t="s">
        <v>212</v>
      </c>
      <c r="S159" s="37" t="str">
        <f>IFERROR(_xlfn.XLOOKUP(R159,'1_Presupuesto'!$E:$E,'1_Presupuesto'!$D:$D),"")</f>
        <v/>
      </c>
    </row>
    <row r="160" spans="1:19" x14ac:dyDescent="0.35">
      <c r="A160" s="31" t="s">
        <v>833</v>
      </c>
      <c r="B160" s="31" t="s">
        <v>497</v>
      </c>
      <c r="C160" s="31" t="s">
        <v>498</v>
      </c>
      <c r="D160" s="31" t="s">
        <v>838</v>
      </c>
      <c r="E160" s="31" t="s">
        <v>839</v>
      </c>
      <c r="F160" s="31">
        <v>0</v>
      </c>
      <c r="G160" s="32">
        <v>60</v>
      </c>
      <c r="H160" s="33">
        <v>0.05</v>
      </c>
      <c r="I160" s="34">
        <v>148.05000000000001</v>
      </c>
      <c r="J160" s="34">
        <v>9327.15</v>
      </c>
      <c r="K160" s="31" t="s">
        <v>834</v>
      </c>
      <c r="L160" s="31">
        <v>4</v>
      </c>
      <c r="M160" s="31" t="s">
        <v>840</v>
      </c>
      <c r="N160" s="34">
        <v>7</v>
      </c>
      <c r="O160" s="35">
        <v>0</v>
      </c>
      <c r="P160" s="35" t="s">
        <v>212</v>
      </c>
      <c r="Q160" s="35">
        <v>0</v>
      </c>
      <c r="R160" s="36" t="s">
        <v>212</v>
      </c>
      <c r="S160" s="37" t="str">
        <f>IFERROR(_xlfn.XLOOKUP(R160,'1_Presupuesto'!$E:$E,'1_Presupuesto'!$D:$D),"")</f>
        <v/>
      </c>
    </row>
    <row r="161" spans="1:19" x14ac:dyDescent="0.35">
      <c r="A161" s="31" t="s">
        <v>833</v>
      </c>
      <c r="B161" s="31" t="s">
        <v>497</v>
      </c>
      <c r="C161" s="31" t="s">
        <v>498</v>
      </c>
      <c r="D161" s="31" t="s">
        <v>534</v>
      </c>
      <c r="E161" s="31" t="s">
        <v>535</v>
      </c>
      <c r="F161" s="31">
        <v>0</v>
      </c>
      <c r="G161" s="32">
        <v>3.5000000000000003E-2</v>
      </c>
      <c r="H161" s="33">
        <v>0.1</v>
      </c>
      <c r="I161" s="34">
        <v>32620.38</v>
      </c>
      <c r="J161" s="34">
        <v>1255.88463</v>
      </c>
      <c r="K161" s="31" t="s">
        <v>834</v>
      </c>
      <c r="L161" s="31">
        <v>5</v>
      </c>
      <c r="M161" s="31" t="s">
        <v>841</v>
      </c>
      <c r="N161" s="34">
        <v>7</v>
      </c>
      <c r="O161" s="35">
        <v>0</v>
      </c>
      <c r="P161" s="35" t="s">
        <v>212</v>
      </c>
      <c r="Q161" s="35">
        <v>0</v>
      </c>
      <c r="R161" s="36" t="s">
        <v>212</v>
      </c>
      <c r="S161" s="37" t="str">
        <f>IFERROR(_xlfn.XLOOKUP(R161,'1_Presupuesto'!$E:$E,'1_Presupuesto'!$D:$D),"")</f>
        <v/>
      </c>
    </row>
    <row r="162" spans="1:19" x14ac:dyDescent="0.35">
      <c r="A162" s="31" t="s">
        <v>833</v>
      </c>
      <c r="B162" s="31" t="s">
        <v>497</v>
      </c>
      <c r="C162" s="31" t="s">
        <v>498</v>
      </c>
      <c r="D162" s="31" t="s">
        <v>597</v>
      </c>
      <c r="E162" s="31" t="s">
        <v>598</v>
      </c>
      <c r="F162" s="31" t="s">
        <v>218</v>
      </c>
      <c r="G162" s="32">
        <v>142.7388</v>
      </c>
      <c r="H162" s="33">
        <v>0</v>
      </c>
      <c r="I162" s="34">
        <v>1</v>
      </c>
      <c r="J162" s="34">
        <v>142.7388</v>
      </c>
      <c r="K162" s="31" t="s">
        <v>834</v>
      </c>
      <c r="L162" s="31">
        <v>6</v>
      </c>
      <c r="M162" s="31" t="s">
        <v>842</v>
      </c>
      <c r="N162" s="34">
        <v>7</v>
      </c>
      <c r="O162" s="35">
        <v>0</v>
      </c>
      <c r="P162" s="35" t="s">
        <v>212</v>
      </c>
      <c r="Q162" s="35">
        <v>0</v>
      </c>
      <c r="R162" s="36" t="s">
        <v>212</v>
      </c>
      <c r="S162" s="37" t="str">
        <f>IFERROR(_xlfn.XLOOKUP(R162,'1_Presupuesto'!$E:$E,'1_Presupuesto'!$D:$D),"")</f>
        <v/>
      </c>
    </row>
    <row r="163" spans="1:19" x14ac:dyDescent="0.35">
      <c r="A163" s="31" t="s">
        <v>833</v>
      </c>
      <c r="B163" s="31" t="s">
        <v>203</v>
      </c>
      <c r="C163" s="31"/>
      <c r="D163" s="31" t="s">
        <v>609</v>
      </c>
      <c r="E163" s="31" t="s">
        <v>610</v>
      </c>
      <c r="F163" s="31"/>
      <c r="G163" s="32">
        <v>1</v>
      </c>
      <c r="H163" s="33">
        <v>0</v>
      </c>
      <c r="I163" s="34">
        <v>2485.8709964594</v>
      </c>
      <c r="J163" s="34">
        <v>2485.8709964594</v>
      </c>
      <c r="K163" s="31" t="s">
        <v>843</v>
      </c>
      <c r="L163" s="31">
        <v>1</v>
      </c>
      <c r="M163" s="31" t="s">
        <v>844</v>
      </c>
      <c r="N163" s="34">
        <v>7</v>
      </c>
      <c r="O163" s="35">
        <v>0</v>
      </c>
      <c r="P163" s="35" t="s">
        <v>212</v>
      </c>
      <c r="Q163" s="35">
        <v>0</v>
      </c>
      <c r="R163" s="36" t="s">
        <v>212</v>
      </c>
      <c r="S163" s="37" t="str">
        <f>IFERROR(_xlfn.XLOOKUP(R163,'1_Presupuesto'!$E:$E,'1_Presupuesto'!$D:$D),"")</f>
        <v/>
      </c>
    </row>
    <row r="164" spans="1:19" x14ac:dyDescent="0.35">
      <c r="A164" s="31" t="s">
        <v>833</v>
      </c>
      <c r="B164" s="31" t="s">
        <v>203</v>
      </c>
      <c r="C164" s="31"/>
      <c r="D164" s="31" t="s">
        <v>613</v>
      </c>
      <c r="E164" s="31" t="s">
        <v>614</v>
      </c>
      <c r="F164" s="31"/>
      <c r="G164" s="32">
        <v>0.5</v>
      </c>
      <c r="H164" s="33">
        <v>0</v>
      </c>
      <c r="I164" s="34">
        <v>620.81078197718296</v>
      </c>
      <c r="J164" s="34">
        <v>310.40539098859199</v>
      </c>
      <c r="K164" s="31" t="s">
        <v>843</v>
      </c>
      <c r="L164" s="31">
        <v>2</v>
      </c>
      <c r="M164" s="31" t="s">
        <v>845</v>
      </c>
      <c r="N164" s="34">
        <v>7</v>
      </c>
      <c r="O164" s="35">
        <v>0</v>
      </c>
      <c r="P164" s="35" t="s">
        <v>212</v>
      </c>
      <c r="Q164" s="35">
        <v>0</v>
      </c>
      <c r="R164" s="36" t="s">
        <v>212</v>
      </c>
      <c r="S164" s="37" t="str">
        <f>IFERROR(_xlfn.XLOOKUP(R164,'1_Presupuesto'!$E:$E,'1_Presupuesto'!$D:$D),"")</f>
        <v/>
      </c>
    </row>
    <row r="165" spans="1:19" x14ac:dyDescent="0.35">
      <c r="A165" s="31" t="s">
        <v>833</v>
      </c>
      <c r="B165" s="31" t="s">
        <v>203</v>
      </c>
      <c r="C165" s="31"/>
      <c r="D165" s="31" t="s">
        <v>616</v>
      </c>
      <c r="E165" s="31" t="s">
        <v>617</v>
      </c>
      <c r="F165" s="31"/>
      <c r="G165" s="32">
        <v>1</v>
      </c>
      <c r="H165" s="33">
        <v>0</v>
      </c>
      <c r="I165" s="34">
        <v>1040.43144867052</v>
      </c>
      <c r="J165" s="34">
        <v>1040.43144867052</v>
      </c>
      <c r="K165" s="31" t="s">
        <v>843</v>
      </c>
      <c r="L165" s="31">
        <v>3</v>
      </c>
      <c r="M165" s="31" t="s">
        <v>846</v>
      </c>
      <c r="N165" s="34">
        <v>7</v>
      </c>
      <c r="O165" s="35">
        <v>0</v>
      </c>
      <c r="P165" s="35" t="s">
        <v>212</v>
      </c>
      <c r="Q165" s="35">
        <v>0</v>
      </c>
      <c r="R165" s="36" t="s">
        <v>212</v>
      </c>
      <c r="S165" s="37" t="str">
        <f>IFERROR(_xlfn.XLOOKUP(R165,'1_Presupuesto'!$E:$E,'1_Presupuesto'!$D:$D),"")</f>
        <v/>
      </c>
    </row>
    <row r="166" spans="1:19" x14ac:dyDescent="0.35">
      <c r="A166" s="31" t="s">
        <v>833</v>
      </c>
      <c r="B166" s="31" t="s">
        <v>478</v>
      </c>
      <c r="C166" s="31" t="s">
        <v>479</v>
      </c>
      <c r="D166" s="31" t="s">
        <v>480</v>
      </c>
      <c r="E166" s="31" t="s">
        <v>183</v>
      </c>
      <c r="F166" s="31" t="s">
        <v>481</v>
      </c>
      <c r="G166" s="32">
        <v>1</v>
      </c>
      <c r="H166" s="33">
        <v>0</v>
      </c>
      <c r="I166" s="34">
        <v>94177.137883538904</v>
      </c>
      <c r="J166" s="34">
        <v>94177.137883538904</v>
      </c>
      <c r="K166" s="31" t="s">
        <v>847</v>
      </c>
      <c r="L166" s="31">
        <v>1</v>
      </c>
      <c r="M166" s="31" t="s">
        <v>848</v>
      </c>
      <c r="N166" s="34">
        <v>7</v>
      </c>
      <c r="O166" s="35">
        <v>0.14285714285714299</v>
      </c>
      <c r="P166" s="35" t="s">
        <v>212</v>
      </c>
      <c r="Q166" s="35">
        <v>0</v>
      </c>
      <c r="R166" s="36" t="s">
        <v>212</v>
      </c>
      <c r="S166" s="37" t="str">
        <f>IFERROR(_xlfn.XLOOKUP(R166,'1_Presupuesto'!$E:$E,'1_Presupuesto'!$D:$D),"")</f>
        <v/>
      </c>
    </row>
    <row r="167" spans="1:19" x14ac:dyDescent="0.35">
      <c r="A167" s="31" t="s">
        <v>833</v>
      </c>
      <c r="B167" s="31" t="s">
        <v>478</v>
      </c>
      <c r="C167" s="31" t="s">
        <v>479</v>
      </c>
      <c r="D167" s="31" t="s">
        <v>484</v>
      </c>
      <c r="E167" s="31" t="s">
        <v>186</v>
      </c>
      <c r="F167" s="31" t="s">
        <v>481</v>
      </c>
      <c r="G167" s="32">
        <v>1</v>
      </c>
      <c r="H167" s="33">
        <v>0</v>
      </c>
      <c r="I167" s="34">
        <v>67240.498860267602</v>
      </c>
      <c r="J167" s="34">
        <v>67240.498860267602</v>
      </c>
      <c r="K167" s="31" t="s">
        <v>847</v>
      </c>
      <c r="L167" s="31">
        <v>2</v>
      </c>
      <c r="M167" s="31" t="s">
        <v>849</v>
      </c>
      <c r="N167" s="34">
        <v>7</v>
      </c>
      <c r="O167" s="35">
        <v>0.14285714285714299</v>
      </c>
      <c r="P167" s="35" t="s">
        <v>212</v>
      </c>
      <c r="Q167" s="35">
        <v>0</v>
      </c>
      <c r="R167" s="36" t="s">
        <v>212</v>
      </c>
      <c r="S167" s="37" t="str">
        <f>IFERROR(_xlfn.XLOOKUP(R167,'1_Presupuesto'!$E:$E,'1_Presupuesto'!$D:$D),"")</f>
        <v/>
      </c>
    </row>
    <row r="168" spans="1:19" x14ac:dyDescent="0.35">
      <c r="A168" s="31" t="s">
        <v>850</v>
      </c>
      <c r="B168" s="31" t="s">
        <v>497</v>
      </c>
      <c r="C168" s="31" t="s">
        <v>498</v>
      </c>
      <c r="D168" s="31" t="s">
        <v>851</v>
      </c>
      <c r="E168" s="31" t="s">
        <v>852</v>
      </c>
      <c r="F168" s="31">
        <v>0</v>
      </c>
      <c r="G168" s="32">
        <v>15</v>
      </c>
      <c r="H168" s="33">
        <v>0.05</v>
      </c>
      <c r="I168" s="34">
        <v>506.52</v>
      </c>
      <c r="J168" s="34">
        <v>7977.69</v>
      </c>
      <c r="K168" s="31" t="s">
        <v>853</v>
      </c>
      <c r="L168" s="31">
        <v>1</v>
      </c>
      <c r="M168" s="31" t="s">
        <v>854</v>
      </c>
      <c r="N168" s="34">
        <v>15</v>
      </c>
      <c r="O168" s="35">
        <v>0</v>
      </c>
      <c r="P168" s="35" t="s">
        <v>212</v>
      </c>
      <c r="Q168" s="35">
        <v>0</v>
      </c>
      <c r="R168" s="36" t="s">
        <v>212</v>
      </c>
      <c r="S168" s="37" t="str">
        <f>IFERROR(_xlfn.XLOOKUP(R168,'1_Presupuesto'!$E:$E,'1_Presupuesto'!$D:$D),"")</f>
        <v/>
      </c>
    </row>
    <row r="169" spans="1:19" x14ac:dyDescent="0.35">
      <c r="A169" s="31" t="s">
        <v>850</v>
      </c>
      <c r="B169" s="31" t="s">
        <v>497</v>
      </c>
      <c r="C169" s="31" t="s">
        <v>498</v>
      </c>
      <c r="D169" s="31" t="s">
        <v>601</v>
      </c>
      <c r="E169" s="31" t="s">
        <v>602</v>
      </c>
      <c r="F169" s="31">
        <v>0</v>
      </c>
      <c r="G169" s="32">
        <v>0.17</v>
      </c>
      <c r="H169" s="33">
        <v>0.1</v>
      </c>
      <c r="I169" s="34">
        <v>3620.13</v>
      </c>
      <c r="J169" s="34">
        <v>676.96430999999995</v>
      </c>
      <c r="K169" s="31" t="s">
        <v>853</v>
      </c>
      <c r="L169" s="31">
        <v>2</v>
      </c>
      <c r="M169" s="31" t="s">
        <v>855</v>
      </c>
      <c r="N169" s="34">
        <v>15</v>
      </c>
      <c r="O169" s="35">
        <v>0</v>
      </c>
      <c r="P169" s="35" t="s">
        <v>212</v>
      </c>
      <c r="Q169" s="35">
        <v>0</v>
      </c>
      <c r="R169" s="36" t="s">
        <v>212</v>
      </c>
      <c r="S169" s="37" t="str">
        <f>IFERROR(_xlfn.XLOOKUP(R169,'1_Presupuesto'!$E:$E,'1_Presupuesto'!$D:$D),"")</f>
        <v/>
      </c>
    </row>
    <row r="170" spans="1:19" x14ac:dyDescent="0.35">
      <c r="A170" s="31" t="s">
        <v>850</v>
      </c>
      <c r="B170" s="31" t="s">
        <v>497</v>
      </c>
      <c r="C170" s="31" t="s">
        <v>498</v>
      </c>
      <c r="D170" s="31" t="s">
        <v>534</v>
      </c>
      <c r="E170" s="31" t="s">
        <v>535</v>
      </c>
      <c r="F170" s="31">
        <v>0</v>
      </c>
      <c r="G170" s="32">
        <v>1.2E-2</v>
      </c>
      <c r="H170" s="33">
        <v>0.1</v>
      </c>
      <c r="I170" s="34">
        <v>32620.38</v>
      </c>
      <c r="J170" s="34">
        <v>430.58901600000002</v>
      </c>
      <c r="K170" s="31" t="s">
        <v>853</v>
      </c>
      <c r="L170" s="31">
        <v>3</v>
      </c>
      <c r="M170" s="31" t="s">
        <v>856</v>
      </c>
      <c r="N170" s="34">
        <v>15</v>
      </c>
      <c r="O170" s="35">
        <v>0</v>
      </c>
      <c r="P170" s="35" t="s">
        <v>212</v>
      </c>
      <c r="Q170" s="35">
        <v>0</v>
      </c>
      <c r="R170" s="36" t="s">
        <v>212</v>
      </c>
      <c r="S170" s="37" t="str">
        <f>IFERROR(_xlfn.XLOOKUP(R170,'1_Presupuesto'!$E:$E,'1_Presupuesto'!$D:$D),"")</f>
        <v/>
      </c>
    </row>
    <row r="171" spans="1:19" x14ac:dyDescent="0.35">
      <c r="A171" s="31" t="s">
        <v>850</v>
      </c>
      <c r="B171" s="31" t="s">
        <v>497</v>
      </c>
      <c r="C171" s="31" t="s">
        <v>498</v>
      </c>
      <c r="D171" s="31" t="s">
        <v>538</v>
      </c>
      <c r="E171" s="31" t="s">
        <v>539</v>
      </c>
      <c r="F171" s="31">
        <v>0</v>
      </c>
      <c r="G171" s="32">
        <v>0.1</v>
      </c>
      <c r="H171" s="33">
        <v>0.1</v>
      </c>
      <c r="I171" s="34">
        <v>3927.28</v>
      </c>
      <c r="J171" s="34">
        <v>432.00080000000003</v>
      </c>
      <c r="K171" s="31" t="s">
        <v>853</v>
      </c>
      <c r="L171" s="31">
        <v>4</v>
      </c>
      <c r="M171" s="31" t="s">
        <v>857</v>
      </c>
      <c r="N171" s="34">
        <v>15</v>
      </c>
      <c r="O171" s="35">
        <v>0</v>
      </c>
      <c r="P171" s="35" t="s">
        <v>212</v>
      </c>
      <c r="Q171" s="35">
        <v>0</v>
      </c>
      <c r="R171" s="36" t="s">
        <v>212</v>
      </c>
      <c r="S171" s="37" t="str">
        <f>IFERROR(_xlfn.XLOOKUP(R171,'1_Presupuesto'!$E:$E,'1_Presupuesto'!$D:$D),"")</f>
        <v/>
      </c>
    </row>
    <row r="172" spans="1:19" x14ac:dyDescent="0.35">
      <c r="A172" s="31" t="s">
        <v>850</v>
      </c>
      <c r="B172" s="31" t="s">
        <v>497</v>
      </c>
      <c r="C172" s="31" t="s">
        <v>498</v>
      </c>
      <c r="D172" s="31" t="s">
        <v>541</v>
      </c>
      <c r="E172" s="31" t="s">
        <v>542</v>
      </c>
      <c r="F172" s="31">
        <v>0</v>
      </c>
      <c r="G172" s="32">
        <v>0.05</v>
      </c>
      <c r="H172" s="33">
        <v>0.1</v>
      </c>
      <c r="I172" s="34">
        <v>7891.74</v>
      </c>
      <c r="J172" s="34">
        <v>434.04570000000001</v>
      </c>
      <c r="K172" s="31" t="s">
        <v>853</v>
      </c>
      <c r="L172" s="31">
        <v>5</v>
      </c>
      <c r="M172" s="31" t="s">
        <v>858</v>
      </c>
      <c r="N172" s="34">
        <v>15</v>
      </c>
      <c r="O172" s="35">
        <v>0</v>
      </c>
      <c r="P172" s="35" t="s">
        <v>212</v>
      </c>
      <c r="Q172" s="35">
        <v>0</v>
      </c>
      <c r="R172" s="36" t="s">
        <v>212</v>
      </c>
      <c r="S172" s="37" t="str">
        <f>IFERROR(_xlfn.XLOOKUP(R172,'1_Presupuesto'!$E:$E,'1_Presupuesto'!$D:$D),"")</f>
        <v/>
      </c>
    </row>
    <row r="173" spans="1:19" x14ac:dyDescent="0.35">
      <c r="A173" s="31" t="s">
        <v>850</v>
      </c>
      <c r="B173" s="31" t="s">
        <v>497</v>
      </c>
      <c r="C173" s="31" t="s">
        <v>498</v>
      </c>
      <c r="D173" s="31" t="s">
        <v>597</v>
      </c>
      <c r="E173" s="31" t="s">
        <v>598</v>
      </c>
      <c r="F173" s="31" t="s">
        <v>218</v>
      </c>
      <c r="G173" s="32">
        <v>102.4983</v>
      </c>
      <c r="H173" s="33">
        <v>0</v>
      </c>
      <c r="I173" s="34">
        <v>1</v>
      </c>
      <c r="J173" s="34">
        <v>102.4983</v>
      </c>
      <c r="K173" s="31" t="s">
        <v>853</v>
      </c>
      <c r="L173" s="31">
        <v>6</v>
      </c>
      <c r="M173" s="31" t="s">
        <v>859</v>
      </c>
      <c r="N173" s="34">
        <v>15</v>
      </c>
      <c r="O173" s="35">
        <v>0</v>
      </c>
      <c r="P173" s="35" t="s">
        <v>212</v>
      </c>
      <c r="Q173" s="35">
        <v>0</v>
      </c>
      <c r="R173" s="36" t="s">
        <v>212</v>
      </c>
      <c r="S173" s="37" t="str">
        <f>IFERROR(_xlfn.XLOOKUP(R173,'1_Presupuesto'!$E:$E,'1_Presupuesto'!$D:$D),"")</f>
        <v/>
      </c>
    </row>
    <row r="174" spans="1:19" x14ac:dyDescent="0.35">
      <c r="A174" s="31" t="s">
        <v>850</v>
      </c>
      <c r="B174" s="31" t="s">
        <v>203</v>
      </c>
      <c r="C174" s="31"/>
      <c r="D174" s="31" t="s">
        <v>609</v>
      </c>
      <c r="E174" s="31" t="s">
        <v>610</v>
      </c>
      <c r="F174" s="31"/>
      <c r="G174" s="32">
        <v>1</v>
      </c>
      <c r="H174" s="33">
        <v>0</v>
      </c>
      <c r="I174" s="34">
        <v>2485.8709964594</v>
      </c>
      <c r="J174" s="34">
        <v>2485.8709964594</v>
      </c>
      <c r="K174" s="31" t="s">
        <v>860</v>
      </c>
      <c r="L174" s="31">
        <v>1</v>
      </c>
      <c r="M174" s="31" t="s">
        <v>861</v>
      </c>
      <c r="N174" s="34">
        <v>15</v>
      </c>
      <c r="O174" s="35">
        <v>0</v>
      </c>
      <c r="P174" s="35" t="s">
        <v>212</v>
      </c>
      <c r="Q174" s="35">
        <v>0</v>
      </c>
      <c r="R174" s="36" t="s">
        <v>212</v>
      </c>
      <c r="S174" s="37" t="str">
        <f>IFERROR(_xlfn.XLOOKUP(R174,'1_Presupuesto'!$E:$E,'1_Presupuesto'!$D:$D),"")</f>
        <v/>
      </c>
    </row>
    <row r="175" spans="1:19" x14ac:dyDescent="0.35">
      <c r="A175" s="31" t="s">
        <v>850</v>
      </c>
      <c r="B175" s="31" t="s">
        <v>203</v>
      </c>
      <c r="C175" s="31"/>
      <c r="D175" s="31" t="s">
        <v>613</v>
      </c>
      <c r="E175" s="31" t="s">
        <v>614</v>
      </c>
      <c r="F175" s="31"/>
      <c r="G175" s="32">
        <v>0.5</v>
      </c>
      <c r="H175" s="33">
        <v>0</v>
      </c>
      <c r="I175" s="34">
        <v>620.81078197718296</v>
      </c>
      <c r="J175" s="34">
        <v>310.40539098859199</v>
      </c>
      <c r="K175" s="31" t="s">
        <v>860</v>
      </c>
      <c r="L175" s="31">
        <v>2</v>
      </c>
      <c r="M175" s="31" t="s">
        <v>862</v>
      </c>
      <c r="N175" s="34">
        <v>15</v>
      </c>
      <c r="O175" s="35">
        <v>0</v>
      </c>
      <c r="P175" s="35" t="s">
        <v>212</v>
      </c>
      <c r="Q175" s="35">
        <v>0</v>
      </c>
      <c r="R175" s="36" t="s">
        <v>212</v>
      </c>
      <c r="S175" s="37" t="str">
        <f>IFERROR(_xlfn.XLOOKUP(R175,'1_Presupuesto'!$E:$E,'1_Presupuesto'!$D:$D),"")</f>
        <v/>
      </c>
    </row>
    <row r="176" spans="1:19" x14ac:dyDescent="0.35">
      <c r="A176" s="31" t="s">
        <v>850</v>
      </c>
      <c r="B176" s="31" t="s">
        <v>203</v>
      </c>
      <c r="C176" s="31"/>
      <c r="D176" s="31" t="s">
        <v>616</v>
      </c>
      <c r="E176" s="31" t="s">
        <v>617</v>
      </c>
      <c r="F176" s="31"/>
      <c r="G176" s="32">
        <v>1</v>
      </c>
      <c r="H176" s="33">
        <v>0</v>
      </c>
      <c r="I176" s="34">
        <v>1040.43144867052</v>
      </c>
      <c r="J176" s="34">
        <v>1040.43144867052</v>
      </c>
      <c r="K176" s="31" t="s">
        <v>860</v>
      </c>
      <c r="L176" s="31">
        <v>3</v>
      </c>
      <c r="M176" s="31" t="s">
        <v>863</v>
      </c>
      <c r="N176" s="34">
        <v>15</v>
      </c>
      <c r="O176" s="35">
        <v>0</v>
      </c>
      <c r="P176" s="35" t="s">
        <v>212</v>
      </c>
      <c r="Q176" s="35">
        <v>0</v>
      </c>
      <c r="R176" s="36" t="s">
        <v>212</v>
      </c>
      <c r="S176" s="37" t="str">
        <f>IFERROR(_xlfn.XLOOKUP(R176,'1_Presupuesto'!$E:$E,'1_Presupuesto'!$D:$D),"")</f>
        <v/>
      </c>
    </row>
    <row r="177" spans="1:19" x14ac:dyDescent="0.35">
      <c r="A177" s="31" t="s">
        <v>850</v>
      </c>
      <c r="B177" s="31" t="s">
        <v>478</v>
      </c>
      <c r="C177" s="31" t="s">
        <v>479</v>
      </c>
      <c r="D177" s="31" t="s">
        <v>480</v>
      </c>
      <c r="E177" s="31" t="s">
        <v>183</v>
      </c>
      <c r="F177" s="31" t="s">
        <v>481</v>
      </c>
      <c r="G177" s="32">
        <v>1</v>
      </c>
      <c r="H177" s="33">
        <v>0</v>
      </c>
      <c r="I177" s="34">
        <v>94177.137883538904</v>
      </c>
      <c r="J177" s="34">
        <v>94177.137883538904</v>
      </c>
      <c r="K177" s="31" t="s">
        <v>864</v>
      </c>
      <c r="L177" s="31">
        <v>1</v>
      </c>
      <c r="M177" s="31" t="s">
        <v>865</v>
      </c>
      <c r="N177" s="34">
        <v>15</v>
      </c>
      <c r="O177" s="35">
        <v>6.6666666666666693E-2</v>
      </c>
      <c r="P177" s="35" t="s">
        <v>212</v>
      </c>
      <c r="Q177" s="35">
        <v>0</v>
      </c>
      <c r="R177" s="36" t="s">
        <v>212</v>
      </c>
      <c r="S177" s="37" t="str">
        <f>IFERROR(_xlfn.XLOOKUP(R177,'1_Presupuesto'!$E:$E,'1_Presupuesto'!$D:$D),"")</f>
        <v/>
      </c>
    </row>
    <row r="178" spans="1:19" x14ac:dyDescent="0.35">
      <c r="A178" s="31" t="s">
        <v>850</v>
      </c>
      <c r="B178" s="31" t="s">
        <v>478</v>
      </c>
      <c r="C178" s="31" t="s">
        <v>479</v>
      </c>
      <c r="D178" s="31" t="s">
        <v>484</v>
      </c>
      <c r="E178" s="31" t="s">
        <v>186</v>
      </c>
      <c r="F178" s="31" t="s">
        <v>481</v>
      </c>
      <c r="G178" s="32">
        <v>1</v>
      </c>
      <c r="H178" s="33">
        <v>0</v>
      </c>
      <c r="I178" s="34">
        <v>67240.498860267602</v>
      </c>
      <c r="J178" s="34">
        <v>67240.498860267602</v>
      </c>
      <c r="K178" s="31" t="s">
        <v>864</v>
      </c>
      <c r="L178" s="31">
        <v>2</v>
      </c>
      <c r="M178" s="31" t="s">
        <v>866</v>
      </c>
      <c r="N178" s="34">
        <v>15</v>
      </c>
      <c r="O178" s="35">
        <v>6.6666666666666693E-2</v>
      </c>
      <c r="P178" s="35" t="s">
        <v>212</v>
      </c>
      <c r="Q178" s="35">
        <v>0</v>
      </c>
      <c r="R178" s="36" t="s">
        <v>212</v>
      </c>
      <c r="S178" s="37" t="str">
        <f>IFERROR(_xlfn.XLOOKUP(R178,'1_Presupuesto'!$E:$E,'1_Presupuesto'!$D:$D),"")</f>
        <v/>
      </c>
    </row>
    <row r="179" spans="1:19" x14ac:dyDescent="0.35">
      <c r="A179" s="31" t="s">
        <v>867</v>
      </c>
      <c r="B179" s="31" t="s">
        <v>497</v>
      </c>
      <c r="C179" s="31" t="s">
        <v>498</v>
      </c>
      <c r="D179" s="31" t="s">
        <v>601</v>
      </c>
      <c r="E179" s="31" t="s">
        <v>602</v>
      </c>
      <c r="F179" s="31">
        <v>0</v>
      </c>
      <c r="G179" s="32">
        <v>0.17</v>
      </c>
      <c r="H179" s="33">
        <v>0.1</v>
      </c>
      <c r="I179" s="34">
        <v>3620.13</v>
      </c>
      <c r="J179" s="34">
        <v>676.96430999999995</v>
      </c>
      <c r="K179" s="31" t="s">
        <v>868</v>
      </c>
      <c r="L179" s="31">
        <v>1</v>
      </c>
      <c r="M179" s="31" t="s">
        <v>869</v>
      </c>
      <c r="N179" s="34">
        <v>15</v>
      </c>
      <c r="O179" s="35">
        <v>0</v>
      </c>
      <c r="P179" s="35" t="s">
        <v>212</v>
      </c>
      <c r="Q179" s="35">
        <v>0</v>
      </c>
      <c r="R179" s="36" t="s">
        <v>212</v>
      </c>
      <c r="S179" s="37" t="str">
        <f>IFERROR(_xlfn.XLOOKUP(R179,'1_Presupuesto'!$E:$E,'1_Presupuesto'!$D:$D),"")</f>
        <v/>
      </c>
    </row>
    <row r="180" spans="1:19" x14ac:dyDescent="0.35">
      <c r="A180" s="31" t="s">
        <v>867</v>
      </c>
      <c r="B180" s="31" t="s">
        <v>497</v>
      </c>
      <c r="C180" s="31" t="s">
        <v>498</v>
      </c>
      <c r="D180" s="31" t="s">
        <v>870</v>
      </c>
      <c r="E180" s="31" t="s">
        <v>871</v>
      </c>
      <c r="F180" s="31">
        <v>0</v>
      </c>
      <c r="G180" s="32">
        <v>15</v>
      </c>
      <c r="H180" s="33">
        <v>0.05</v>
      </c>
      <c r="I180" s="34">
        <v>624.96</v>
      </c>
      <c r="J180" s="34">
        <v>9843.1200000000008</v>
      </c>
      <c r="K180" s="31" t="s">
        <v>868</v>
      </c>
      <c r="L180" s="31">
        <v>2</v>
      </c>
      <c r="M180" s="31" t="s">
        <v>872</v>
      </c>
      <c r="N180" s="34">
        <v>15</v>
      </c>
      <c r="O180" s="35">
        <v>0</v>
      </c>
      <c r="P180" s="35" t="s">
        <v>212</v>
      </c>
      <c r="Q180" s="35">
        <v>0</v>
      </c>
      <c r="R180" s="36" t="s">
        <v>212</v>
      </c>
      <c r="S180" s="37" t="str">
        <f>IFERROR(_xlfn.XLOOKUP(R180,'1_Presupuesto'!$E:$E,'1_Presupuesto'!$D:$D),"")</f>
        <v/>
      </c>
    </row>
    <row r="181" spans="1:19" x14ac:dyDescent="0.35">
      <c r="A181" s="31" t="s">
        <v>867</v>
      </c>
      <c r="B181" s="31" t="s">
        <v>497</v>
      </c>
      <c r="C181" s="31" t="s">
        <v>498</v>
      </c>
      <c r="D181" s="31" t="s">
        <v>538</v>
      </c>
      <c r="E181" s="31" t="s">
        <v>539</v>
      </c>
      <c r="F181" s="31">
        <v>0</v>
      </c>
      <c r="G181" s="32">
        <v>0.15</v>
      </c>
      <c r="H181" s="33">
        <v>0.1</v>
      </c>
      <c r="I181" s="34">
        <v>3927.28</v>
      </c>
      <c r="J181" s="34">
        <v>648.00120000000004</v>
      </c>
      <c r="K181" s="31" t="s">
        <v>868</v>
      </c>
      <c r="L181" s="31">
        <v>3</v>
      </c>
      <c r="M181" s="31" t="s">
        <v>873</v>
      </c>
      <c r="N181" s="34">
        <v>15</v>
      </c>
      <c r="O181" s="35">
        <v>0</v>
      </c>
      <c r="P181" s="35" t="s">
        <v>212</v>
      </c>
      <c r="Q181" s="35">
        <v>0</v>
      </c>
      <c r="R181" s="36" t="s">
        <v>212</v>
      </c>
      <c r="S181" s="37" t="str">
        <f>IFERROR(_xlfn.XLOOKUP(R181,'1_Presupuesto'!$E:$E,'1_Presupuesto'!$D:$D),"")</f>
        <v/>
      </c>
    </row>
    <row r="182" spans="1:19" x14ac:dyDescent="0.35">
      <c r="A182" s="31" t="s">
        <v>867</v>
      </c>
      <c r="B182" s="31" t="s">
        <v>497</v>
      </c>
      <c r="C182" s="31" t="s">
        <v>498</v>
      </c>
      <c r="D182" s="31" t="s">
        <v>541</v>
      </c>
      <c r="E182" s="31" t="s">
        <v>542</v>
      </c>
      <c r="F182" s="31">
        <v>0</v>
      </c>
      <c r="G182" s="32">
        <v>7.4999999999999997E-2</v>
      </c>
      <c r="H182" s="33">
        <v>0.1</v>
      </c>
      <c r="I182" s="34">
        <v>7891.74</v>
      </c>
      <c r="J182" s="34">
        <v>651.06854999999996</v>
      </c>
      <c r="K182" s="31" t="s">
        <v>868</v>
      </c>
      <c r="L182" s="31">
        <v>4</v>
      </c>
      <c r="M182" s="31" t="s">
        <v>874</v>
      </c>
      <c r="N182" s="34">
        <v>15</v>
      </c>
      <c r="O182" s="35">
        <v>0</v>
      </c>
      <c r="P182" s="35" t="s">
        <v>212</v>
      </c>
      <c r="Q182" s="35">
        <v>0</v>
      </c>
      <c r="R182" s="36" t="s">
        <v>212</v>
      </c>
      <c r="S182" s="37" t="str">
        <f>IFERROR(_xlfn.XLOOKUP(R182,'1_Presupuesto'!$E:$E,'1_Presupuesto'!$D:$D),"")</f>
        <v/>
      </c>
    </row>
    <row r="183" spans="1:19" x14ac:dyDescent="0.35">
      <c r="A183" s="31" t="s">
        <v>867</v>
      </c>
      <c r="B183" s="31" t="s">
        <v>497</v>
      </c>
      <c r="C183" s="31" t="s">
        <v>498</v>
      </c>
      <c r="D183" s="31" t="s">
        <v>534</v>
      </c>
      <c r="E183" s="31" t="s">
        <v>535</v>
      </c>
      <c r="F183" s="31">
        <v>0</v>
      </c>
      <c r="G183" s="32">
        <v>1.7999999999999999E-2</v>
      </c>
      <c r="H183" s="33">
        <v>0.1</v>
      </c>
      <c r="I183" s="34">
        <v>32620.38</v>
      </c>
      <c r="J183" s="34">
        <v>645.88352399999997</v>
      </c>
      <c r="K183" s="31" t="s">
        <v>868</v>
      </c>
      <c r="L183" s="31">
        <v>5</v>
      </c>
      <c r="M183" s="31" t="s">
        <v>875</v>
      </c>
      <c r="N183" s="34">
        <v>15</v>
      </c>
      <c r="O183" s="35">
        <v>0</v>
      </c>
      <c r="P183" s="35" t="s">
        <v>212</v>
      </c>
      <c r="Q183" s="35">
        <v>0</v>
      </c>
      <c r="R183" s="36" t="s">
        <v>212</v>
      </c>
      <c r="S183" s="37" t="str">
        <f>IFERROR(_xlfn.XLOOKUP(R183,'1_Presupuesto'!$E:$E,'1_Presupuesto'!$D:$D),"")</f>
        <v/>
      </c>
    </row>
    <row r="184" spans="1:19" x14ac:dyDescent="0.35">
      <c r="A184" s="31" t="s">
        <v>867</v>
      </c>
      <c r="B184" s="31" t="s">
        <v>203</v>
      </c>
      <c r="C184" s="31"/>
      <c r="D184" s="31" t="s">
        <v>609</v>
      </c>
      <c r="E184" s="31" t="s">
        <v>610</v>
      </c>
      <c r="F184" s="31"/>
      <c r="G184" s="32">
        <v>1</v>
      </c>
      <c r="H184" s="33">
        <v>0</v>
      </c>
      <c r="I184" s="34">
        <v>2485.8709964594</v>
      </c>
      <c r="J184" s="34">
        <v>2485.8709964594</v>
      </c>
      <c r="K184" s="31" t="s">
        <v>876</v>
      </c>
      <c r="L184" s="31">
        <v>1</v>
      </c>
      <c r="M184" s="31" t="s">
        <v>877</v>
      </c>
      <c r="N184" s="34">
        <v>15</v>
      </c>
      <c r="O184" s="35">
        <v>0</v>
      </c>
      <c r="P184" s="35" t="s">
        <v>212</v>
      </c>
      <c r="Q184" s="35">
        <v>0</v>
      </c>
      <c r="R184" s="36" t="s">
        <v>212</v>
      </c>
      <c r="S184" s="37" t="str">
        <f>IFERROR(_xlfn.XLOOKUP(R184,'1_Presupuesto'!$E:$E,'1_Presupuesto'!$D:$D),"")</f>
        <v/>
      </c>
    </row>
    <row r="185" spans="1:19" x14ac:dyDescent="0.35">
      <c r="A185" s="31" t="s">
        <v>867</v>
      </c>
      <c r="B185" s="31" t="s">
        <v>203</v>
      </c>
      <c r="C185" s="31"/>
      <c r="D185" s="31" t="s">
        <v>613</v>
      </c>
      <c r="E185" s="31" t="s">
        <v>614</v>
      </c>
      <c r="F185" s="31"/>
      <c r="G185" s="32">
        <v>0.5</v>
      </c>
      <c r="H185" s="33">
        <v>0</v>
      </c>
      <c r="I185" s="34">
        <v>620.81078197718296</v>
      </c>
      <c r="J185" s="34">
        <v>310.40539098859199</v>
      </c>
      <c r="K185" s="31" t="s">
        <v>876</v>
      </c>
      <c r="L185" s="31">
        <v>2</v>
      </c>
      <c r="M185" s="31" t="s">
        <v>878</v>
      </c>
      <c r="N185" s="34">
        <v>15</v>
      </c>
      <c r="O185" s="35">
        <v>0</v>
      </c>
      <c r="P185" s="35" t="s">
        <v>212</v>
      </c>
      <c r="Q185" s="35">
        <v>0</v>
      </c>
      <c r="R185" s="36" t="s">
        <v>212</v>
      </c>
      <c r="S185" s="37" t="str">
        <f>IFERROR(_xlfn.XLOOKUP(R185,'1_Presupuesto'!$E:$E,'1_Presupuesto'!$D:$D),"")</f>
        <v/>
      </c>
    </row>
    <row r="186" spans="1:19" x14ac:dyDescent="0.35">
      <c r="A186" s="31" t="s">
        <v>867</v>
      </c>
      <c r="B186" s="31" t="s">
        <v>203</v>
      </c>
      <c r="C186" s="31"/>
      <c r="D186" s="31" t="s">
        <v>616</v>
      </c>
      <c r="E186" s="31" t="s">
        <v>617</v>
      </c>
      <c r="F186" s="31"/>
      <c r="G186" s="32">
        <v>1</v>
      </c>
      <c r="H186" s="33">
        <v>0</v>
      </c>
      <c r="I186" s="34">
        <v>1040.43144867052</v>
      </c>
      <c r="J186" s="34">
        <v>1040.43144867052</v>
      </c>
      <c r="K186" s="31" t="s">
        <v>876</v>
      </c>
      <c r="L186" s="31">
        <v>3</v>
      </c>
      <c r="M186" s="31" t="s">
        <v>879</v>
      </c>
      <c r="N186" s="34">
        <v>15</v>
      </c>
      <c r="O186" s="35">
        <v>0</v>
      </c>
      <c r="P186" s="35" t="s">
        <v>212</v>
      </c>
      <c r="Q186" s="35">
        <v>0</v>
      </c>
      <c r="R186" s="36" t="s">
        <v>212</v>
      </c>
      <c r="S186" s="37" t="str">
        <f>IFERROR(_xlfn.XLOOKUP(R186,'1_Presupuesto'!$E:$E,'1_Presupuesto'!$D:$D),"")</f>
        <v/>
      </c>
    </row>
    <row r="187" spans="1:19" x14ac:dyDescent="0.35">
      <c r="A187" s="31" t="s">
        <v>867</v>
      </c>
      <c r="B187" s="31" t="s">
        <v>478</v>
      </c>
      <c r="C187" s="31" t="s">
        <v>479</v>
      </c>
      <c r="D187" s="31" t="s">
        <v>480</v>
      </c>
      <c r="E187" s="31" t="s">
        <v>183</v>
      </c>
      <c r="F187" s="31" t="s">
        <v>481</v>
      </c>
      <c r="G187" s="32">
        <v>1</v>
      </c>
      <c r="H187" s="33">
        <v>0</v>
      </c>
      <c r="I187" s="34">
        <v>94177.137883538904</v>
      </c>
      <c r="J187" s="34">
        <v>94177.137883538904</v>
      </c>
      <c r="K187" s="31" t="s">
        <v>880</v>
      </c>
      <c r="L187" s="31">
        <v>1</v>
      </c>
      <c r="M187" s="31" t="s">
        <v>881</v>
      </c>
      <c r="N187" s="34">
        <v>15</v>
      </c>
      <c r="O187" s="35">
        <v>6.6666666666666693E-2</v>
      </c>
      <c r="P187" s="35" t="s">
        <v>212</v>
      </c>
      <c r="Q187" s="35">
        <v>0</v>
      </c>
      <c r="R187" s="36" t="s">
        <v>212</v>
      </c>
      <c r="S187" s="37" t="str">
        <f>IFERROR(_xlfn.XLOOKUP(R187,'1_Presupuesto'!$E:$E,'1_Presupuesto'!$D:$D),"")</f>
        <v/>
      </c>
    </row>
    <row r="188" spans="1:19" x14ac:dyDescent="0.35">
      <c r="A188" s="31" t="s">
        <v>867</v>
      </c>
      <c r="B188" s="31" t="s">
        <v>478</v>
      </c>
      <c r="C188" s="31" t="s">
        <v>479</v>
      </c>
      <c r="D188" s="31" t="s">
        <v>484</v>
      </c>
      <c r="E188" s="31" t="s">
        <v>186</v>
      </c>
      <c r="F188" s="31" t="s">
        <v>481</v>
      </c>
      <c r="G188" s="32">
        <v>1</v>
      </c>
      <c r="H188" s="33">
        <v>0</v>
      </c>
      <c r="I188" s="34">
        <v>67240.498860267602</v>
      </c>
      <c r="J188" s="34">
        <v>67240.498860267602</v>
      </c>
      <c r="K188" s="31" t="s">
        <v>880</v>
      </c>
      <c r="L188" s="31">
        <v>2</v>
      </c>
      <c r="M188" s="31" t="s">
        <v>882</v>
      </c>
      <c r="N188" s="34">
        <v>15</v>
      </c>
      <c r="O188" s="35">
        <v>6.6666666666666693E-2</v>
      </c>
      <c r="P188" s="35" t="s">
        <v>212</v>
      </c>
      <c r="Q188" s="35">
        <v>0</v>
      </c>
      <c r="R188" s="36" t="s">
        <v>212</v>
      </c>
      <c r="S188" s="37" t="str">
        <f>IFERROR(_xlfn.XLOOKUP(R188,'1_Presupuesto'!$E:$E,'1_Presupuesto'!$D:$D),"")</f>
        <v/>
      </c>
    </row>
    <row r="189" spans="1:19" x14ac:dyDescent="0.35">
      <c r="A189" s="31" t="s">
        <v>883</v>
      </c>
      <c r="B189" s="31" t="s">
        <v>497</v>
      </c>
      <c r="C189" s="31" t="s">
        <v>498</v>
      </c>
      <c r="D189" s="31" t="s">
        <v>884</v>
      </c>
      <c r="E189" s="31" t="s">
        <v>885</v>
      </c>
      <c r="F189" s="31">
        <v>0</v>
      </c>
      <c r="G189" s="32">
        <v>15</v>
      </c>
      <c r="H189" s="33">
        <v>0.05</v>
      </c>
      <c r="I189" s="34">
        <v>894.6</v>
      </c>
      <c r="J189" s="34">
        <v>14089.95</v>
      </c>
      <c r="K189" s="31" t="s">
        <v>886</v>
      </c>
      <c r="L189" s="31">
        <v>1</v>
      </c>
      <c r="M189" s="31" t="s">
        <v>887</v>
      </c>
      <c r="N189" s="34">
        <v>15</v>
      </c>
      <c r="O189" s="35">
        <v>0</v>
      </c>
      <c r="P189" s="35" t="s">
        <v>212</v>
      </c>
      <c r="Q189" s="35">
        <v>0</v>
      </c>
      <c r="R189" s="36" t="s">
        <v>212</v>
      </c>
      <c r="S189" s="37" t="str">
        <f>IFERROR(_xlfn.XLOOKUP(R189,'1_Presupuesto'!$E:$E,'1_Presupuesto'!$D:$D),"")</f>
        <v/>
      </c>
    </row>
    <row r="190" spans="1:19" x14ac:dyDescent="0.35">
      <c r="A190" s="31" t="s">
        <v>883</v>
      </c>
      <c r="B190" s="31" t="s">
        <v>497</v>
      </c>
      <c r="C190" s="31" t="s">
        <v>498</v>
      </c>
      <c r="D190" s="31" t="s">
        <v>601</v>
      </c>
      <c r="E190" s="31" t="s">
        <v>602</v>
      </c>
      <c r="F190" s="31">
        <v>0</v>
      </c>
      <c r="G190" s="32">
        <v>0.17</v>
      </c>
      <c r="H190" s="33">
        <v>0.1</v>
      </c>
      <c r="I190" s="34">
        <v>3620.13</v>
      </c>
      <c r="J190" s="34">
        <v>676.96430999999995</v>
      </c>
      <c r="K190" s="31" t="s">
        <v>886</v>
      </c>
      <c r="L190" s="31">
        <v>2</v>
      </c>
      <c r="M190" s="31" t="s">
        <v>888</v>
      </c>
      <c r="N190" s="34">
        <v>15</v>
      </c>
      <c r="O190" s="35">
        <v>0</v>
      </c>
      <c r="P190" s="35" t="s">
        <v>212</v>
      </c>
      <c r="Q190" s="35">
        <v>0</v>
      </c>
      <c r="R190" s="36" t="s">
        <v>212</v>
      </c>
      <c r="S190" s="37" t="str">
        <f>IFERROR(_xlfn.XLOOKUP(R190,'1_Presupuesto'!$E:$E,'1_Presupuesto'!$D:$D),"")</f>
        <v/>
      </c>
    </row>
    <row r="191" spans="1:19" x14ac:dyDescent="0.35">
      <c r="A191" s="31" t="s">
        <v>883</v>
      </c>
      <c r="B191" s="31" t="s">
        <v>497</v>
      </c>
      <c r="C191" s="31" t="s">
        <v>498</v>
      </c>
      <c r="D191" s="31" t="s">
        <v>538</v>
      </c>
      <c r="E191" s="31" t="s">
        <v>539</v>
      </c>
      <c r="F191" s="31">
        <v>0</v>
      </c>
      <c r="G191" s="32">
        <v>0.2</v>
      </c>
      <c r="H191" s="33">
        <v>0.1</v>
      </c>
      <c r="I191" s="34">
        <v>3927.28</v>
      </c>
      <c r="J191" s="34">
        <v>864.00160000000005</v>
      </c>
      <c r="K191" s="31" t="s">
        <v>886</v>
      </c>
      <c r="L191" s="31">
        <v>3</v>
      </c>
      <c r="M191" s="31" t="s">
        <v>889</v>
      </c>
      <c r="N191" s="34">
        <v>15</v>
      </c>
      <c r="O191" s="35">
        <v>0</v>
      </c>
      <c r="P191" s="35" t="s">
        <v>212</v>
      </c>
      <c r="Q191" s="35">
        <v>0</v>
      </c>
      <c r="R191" s="36" t="s">
        <v>212</v>
      </c>
      <c r="S191" s="37" t="str">
        <f>IFERROR(_xlfn.XLOOKUP(R191,'1_Presupuesto'!$E:$E,'1_Presupuesto'!$D:$D),"")</f>
        <v/>
      </c>
    </row>
    <row r="192" spans="1:19" x14ac:dyDescent="0.35">
      <c r="A192" s="31" t="s">
        <v>883</v>
      </c>
      <c r="B192" s="31" t="s">
        <v>497</v>
      </c>
      <c r="C192" s="31" t="s">
        <v>498</v>
      </c>
      <c r="D192" s="31" t="s">
        <v>541</v>
      </c>
      <c r="E192" s="31" t="s">
        <v>542</v>
      </c>
      <c r="F192" s="31">
        <v>0</v>
      </c>
      <c r="G192" s="32">
        <v>0.1</v>
      </c>
      <c r="H192" s="33">
        <v>0.1</v>
      </c>
      <c r="I192" s="34">
        <v>7891.74</v>
      </c>
      <c r="J192" s="34">
        <v>868.09140000000002</v>
      </c>
      <c r="K192" s="31" t="s">
        <v>886</v>
      </c>
      <c r="L192" s="31">
        <v>4</v>
      </c>
      <c r="M192" s="31" t="s">
        <v>890</v>
      </c>
      <c r="N192" s="34">
        <v>15</v>
      </c>
      <c r="O192" s="35">
        <v>0</v>
      </c>
      <c r="P192" s="35" t="s">
        <v>212</v>
      </c>
      <c r="Q192" s="35">
        <v>0</v>
      </c>
      <c r="R192" s="36" t="s">
        <v>212</v>
      </c>
      <c r="S192" s="37" t="str">
        <f>IFERROR(_xlfn.XLOOKUP(R192,'1_Presupuesto'!$E:$E,'1_Presupuesto'!$D:$D),"")</f>
        <v/>
      </c>
    </row>
    <row r="193" spans="1:19" x14ac:dyDescent="0.35">
      <c r="A193" s="31" t="s">
        <v>883</v>
      </c>
      <c r="B193" s="31" t="s">
        <v>497</v>
      </c>
      <c r="C193" s="31" t="s">
        <v>498</v>
      </c>
      <c r="D193" s="31" t="s">
        <v>534</v>
      </c>
      <c r="E193" s="31" t="s">
        <v>535</v>
      </c>
      <c r="F193" s="31">
        <v>0</v>
      </c>
      <c r="G193" s="32">
        <v>2.4E-2</v>
      </c>
      <c r="H193" s="33">
        <v>0.1</v>
      </c>
      <c r="I193" s="34">
        <v>32620.38</v>
      </c>
      <c r="J193" s="34">
        <v>861.17803200000003</v>
      </c>
      <c r="K193" s="31" t="s">
        <v>886</v>
      </c>
      <c r="L193" s="31">
        <v>5</v>
      </c>
      <c r="M193" s="31" t="s">
        <v>891</v>
      </c>
      <c r="N193" s="34">
        <v>15</v>
      </c>
      <c r="O193" s="35">
        <v>0</v>
      </c>
      <c r="P193" s="35" t="s">
        <v>212</v>
      </c>
      <c r="Q193" s="35">
        <v>0</v>
      </c>
      <c r="R193" s="36" t="s">
        <v>212</v>
      </c>
      <c r="S193" s="37" t="str">
        <f>IFERROR(_xlfn.XLOOKUP(R193,'1_Presupuesto'!$E:$E,'1_Presupuesto'!$D:$D),"")</f>
        <v/>
      </c>
    </row>
    <row r="194" spans="1:19" x14ac:dyDescent="0.35">
      <c r="A194" s="31" t="s">
        <v>883</v>
      </c>
      <c r="B194" s="31" t="s">
        <v>497</v>
      </c>
      <c r="C194" s="31" t="s">
        <v>498</v>
      </c>
      <c r="D194" s="31" t="s">
        <v>597</v>
      </c>
      <c r="E194" s="31" t="s">
        <v>598</v>
      </c>
      <c r="F194" s="31" t="s">
        <v>218</v>
      </c>
      <c r="G194" s="32">
        <v>178.8099</v>
      </c>
      <c r="H194" s="33">
        <v>0</v>
      </c>
      <c r="I194" s="34">
        <v>1</v>
      </c>
      <c r="J194" s="34">
        <v>178.8099</v>
      </c>
      <c r="K194" s="31" t="s">
        <v>886</v>
      </c>
      <c r="L194" s="31">
        <v>6</v>
      </c>
      <c r="M194" s="31" t="s">
        <v>892</v>
      </c>
      <c r="N194" s="34">
        <v>15</v>
      </c>
      <c r="O194" s="35">
        <v>0</v>
      </c>
      <c r="P194" s="35" t="s">
        <v>212</v>
      </c>
      <c r="Q194" s="35">
        <v>0</v>
      </c>
      <c r="R194" s="36" t="s">
        <v>212</v>
      </c>
      <c r="S194" s="37" t="str">
        <f>IFERROR(_xlfn.XLOOKUP(R194,'1_Presupuesto'!$E:$E,'1_Presupuesto'!$D:$D),"")</f>
        <v/>
      </c>
    </row>
    <row r="195" spans="1:19" x14ac:dyDescent="0.35">
      <c r="A195" s="31" t="s">
        <v>883</v>
      </c>
      <c r="B195" s="31" t="s">
        <v>203</v>
      </c>
      <c r="C195" s="31"/>
      <c r="D195" s="31" t="s">
        <v>609</v>
      </c>
      <c r="E195" s="31" t="s">
        <v>610</v>
      </c>
      <c r="F195" s="31"/>
      <c r="G195" s="32">
        <v>1</v>
      </c>
      <c r="H195" s="33">
        <v>0</v>
      </c>
      <c r="I195" s="34">
        <v>2485.8709964594</v>
      </c>
      <c r="J195" s="34">
        <v>2485.8709964594</v>
      </c>
      <c r="K195" s="31" t="s">
        <v>893</v>
      </c>
      <c r="L195" s="31">
        <v>1</v>
      </c>
      <c r="M195" s="31" t="s">
        <v>894</v>
      </c>
      <c r="N195" s="34">
        <v>15</v>
      </c>
      <c r="O195" s="35">
        <v>0</v>
      </c>
      <c r="P195" s="35" t="s">
        <v>212</v>
      </c>
      <c r="Q195" s="35">
        <v>0</v>
      </c>
      <c r="R195" s="36" t="s">
        <v>212</v>
      </c>
      <c r="S195" s="37" t="str">
        <f>IFERROR(_xlfn.XLOOKUP(R195,'1_Presupuesto'!$E:$E,'1_Presupuesto'!$D:$D),"")</f>
        <v/>
      </c>
    </row>
    <row r="196" spans="1:19" x14ac:dyDescent="0.35">
      <c r="A196" s="31" t="s">
        <v>883</v>
      </c>
      <c r="B196" s="31" t="s">
        <v>203</v>
      </c>
      <c r="C196" s="31"/>
      <c r="D196" s="31" t="s">
        <v>613</v>
      </c>
      <c r="E196" s="31" t="s">
        <v>614</v>
      </c>
      <c r="F196" s="31"/>
      <c r="G196" s="32">
        <v>0.5</v>
      </c>
      <c r="H196" s="33">
        <v>0</v>
      </c>
      <c r="I196" s="34">
        <v>620.81078197718296</v>
      </c>
      <c r="J196" s="34">
        <v>310.40539098859199</v>
      </c>
      <c r="K196" s="31" t="s">
        <v>893</v>
      </c>
      <c r="L196" s="31">
        <v>2</v>
      </c>
      <c r="M196" s="31" t="s">
        <v>895</v>
      </c>
      <c r="N196" s="34">
        <v>15</v>
      </c>
      <c r="O196" s="35">
        <v>0</v>
      </c>
      <c r="P196" s="35" t="s">
        <v>212</v>
      </c>
      <c r="Q196" s="35">
        <v>0</v>
      </c>
      <c r="R196" s="36" t="s">
        <v>212</v>
      </c>
      <c r="S196" s="37" t="str">
        <f>IFERROR(_xlfn.XLOOKUP(R196,'1_Presupuesto'!$E:$E,'1_Presupuesto'!$D:$D),"")</f>
        <v/>
      </c>
    </row>
    <row r="197" spans="1:19" x14ac:dyDescent="0.35">
      <c r="A197" s="31" t="s">
        <v>883</v>
      </c>
      <c r="B197" s="31" t="s">
        <v>203</v>
      </c>
      <c r="C197" s="31"/>
      <c r="D197" s="31" t="s">
        <v>616</v>
      </c>
      <c r="E197" s="31" t="s">
        <v>617</v>
      </c>
      <c r="F197" s="31"/>
      <c r="G197" s="32">
        <v>1</v>
      </c>
      <c r="H197" s="33">
        <v>0</v>
      </c>
      <c r="I197" s="34">
        <v>1040.43144867052</v>
      </c>
      <c r="J197" s="34">
        <v>1040.43144867052</v>
      </c>
      <c r="K197" s="31" t="s">
        <v>893</v>
      </c>
      <c r="L197" s="31">
        <v>3</v>
      </c>
      <c r="M197" s="31" t="s">
        <v>896</v>
      </c>
      <c r="N197" s="34">
        <v>15</v>
      </c>
      <c r="O197" s="35">
        <v>0</v>
      </c>
      <c r="P197" s="35" t="s">
        <v>212</v>
      </c>
      <c r="Q197" s="35">
        <v>0</v>
      </c>
      <c r="R197" s="36" t="s">
        <v>212</v>
      </c>
      <c r="S197" s="37" t="str">
        <f>IFERROR(_xlfn.XLOOKUP(R197,'1_Presupuesto'!$E:$E,'1_Presupuesto'!$D:$D),"")</f>
        <v/>
      </c>
    </row>
    <row r="198" spans="1:19" x14ac:dyDescent="0.35">
      <c r="A198" s="31" t="s">
        <v>883</v>
      </c>
      <c r="B198" s="31" t="s">
        <v>478</v>
      </c>
      <c r="C198" s="31" t="s">
        <v>479</v>
      </c>
      <c r="D198" s="31" t="s">
        <v>480</v>
      </c>
      <c r="E198" s="31" t="s">
        <v>183</v>
      </c>
      <c r="F198" s="31" t="s">
        <v>481</v>
      </c>
      <c r="G198" s="32">
        <v>1</v>
      </c>
      <c r="H198" s="33">
        <v>0</v>
      </c>
      <c r="I198" s="34">
        <v>94177.137883538904</v>
      </c>
      <c r="J198" s="34">
        <v>94177.137883538904</v>
      </c>
      <c r="K198" s="31" t="s">
        <v>897</v>
      </c>
      <c r="L198" s="31">
        <v>1</v>
      </c>
      <c r="M198" s="31" t="s">
        <v>898</v>
      </c>
      <c r="N198" s="34">
        <v>15</v>
      </c>
      <c r="O198" s="35">
        <v>6.6666666666666693E-2</v>
      </c>
      <c r="P198" s="35" t="s">
        <v>212</v>
      </c>
      <c r="Q198" s="35">
        <v>0</v>
      </c>
      <c r="R198" s="36" t="s">
        <v>212</v>
      </c>
      <c r="S198" s="37" t="str">
        <f>IFERROR(_xlfn.XLOOKUP(R198,'1_Presupuesto'!$E:$E,'1_Presupuesto'!$D:$D),"")</f>
        <v/>
      </c>
    </row>
    <row r="199" spans="1:19" x14ac:dyDescent="0.35">
      <c r="A199" s="31" t="s">
        <v>883</v>
      </c>
      <c r="B199" s="31" t="s">
        <v>478</v>
      </c>
      <c r="C199" s="31" t="s">
        <v>479</v>
      </c>
      <c r="D199" s="31" t="s">
        <v>484</v>
      </c>
      <c r="E199" s="31" t="s">
        <v>186</v>
      </c>
      <c r="F199" s="31" t="s">
        <v>481</v>
      </c>
      <c r="G199" s="32">
        <v>1</v>
      </c>
      <c r="H199" s="33">
        <v>0</v>
      </c>
      <c r="I199" s="34">
        <v>67240.498860267602</v>
      </c>
      <c r="J199" s="34">
        <v>67240.498860267602</v>
      </c>
      <c r="K199" s="31" t="s">
        <v>897</v>
      </c>
      <c r="L199" s="31">
        <v>2</v>
      </c>
      <c r="M199" s="31" t="s">
        <v>899</v>
      </c>
      <c r="N199" s="34">
        <v>15</v>
      </c>
      <c r="O199" s="35">
        <v>6.6666666666666693E-2</v>
      </c>
      <c r="P199" s="35" t="s">
        <v>212</v>
      </c>
      <c r="Q199" s="35">
        <v>0</v>
      </c>
      <c r="R199" s="36" t="s">
        <v>212</v>
      </c>
      <c r="S199" s="37" t="str">
        <f>IFERROR(_xlfn.XLOOKUP(R199,'1_Presupuesto'!$E:$E,'1_Presupuesto'!$D:$D),"")</f>
        <v/>
      </c>
    </row>
    <row r="200" spans="1:19" x14ac:dyDescent="0.35">
      <c r="A200" s="31" t="s">
        <v>900</v>
      </c>
      <c r="B200" s="31" t="s">
        <v>497</v>
      </c>
      <c r="C200" s="31" t="s">
        <v>498</v>
      </c>
      <c r="D200" s="31" t="s">
        <v>538</v>
      </c>
      <c r="E200" s="31" t="s">
        <v>539</v>
      </c>
      <c r="F200" s="31">
        <v>0</v>
      </c>
      <c r="G200" s="32">
        <v>0.4</v>
      </c>
      <c r="H200" s="33">
        <v>0.1</v>
      </c>
      <c r="I200" s="34">
        <v>3927.28</v>
      </c>
      <c r="J200" s="34">
        <v>1728.0032000000001</v>
      </c>
      <c r="K200" s="31" t="s">
        <v>901</v>
      </c>
      <c r="L200" s="31">
        <v>1</v>
      </c>
      <c r="M200" s="31" t="s">
        <v>902</v>
      </c>
      <c r="N200" s="34">
        <v>4</v>
      </c>
      <c r="O200" s="35">
        <v>0</v>
      </c>
      <c r="P200" s="35" t="s">
        <v>212</v>
      </c>
      <c r="Q200" s="35">
        <v>0</v>
      </c>
      <c r="R200" s="36" t="s">
        <v>212</v>
      </c>
      <c r="S200" s="37" t="str">
        <f>IFERROR(_xlfn.XLOOKUP(R200,'1_Presupuesto'!$E:$E,'1_Presupuesto'!$D:$D),"")</f>
        <v/>
      </c>
    </row>
    <row r="201" spans="1:19" x14ac:dyDescent="0.35">
      <c r="A201" s="31" t="s">
        <v>900</v>
      </c>
      <c r="B201" s="31" t="s">
        <v>497</v>
      </c>
      <c r="C201" s="31" t="s">
        <v>498</v>
      </c>
      <c r="D201" s="31" t="s">
        <v>541</v>
      </c>
      <c r="E201" s="31" t="s">
        <v>542</v>
      </c>
      <c r="F201" s="31">
        <v>0</v>
      </c>
      <c r="G201" s="32">
        <v>0.254</v>
      </c>
      <c r="H201" s="33">
        <v>0.1</v>
      </c>
      <c r="I201" s="34">
        <v>7891.74</v>
      </c>
      <c r="J201" s="34">
        <v>2204.9521559999998</v>
      </c>
      <c r="K201" s="31" t="s">
        <v>901</v>
      </c>
      <c r="L201" s="31">
        <v>2</v>
      </c>
      <c r="M201" s="31" t="s">
        <v>903</v>
      </c>
      <c r="N201" s="34">
        <v>4</v>
      </c>
      <c r="O201" s="35">
        <v>0</v>
      </c>
      <c r="P201" s="35" t="s">
        <v>212</v>
      </c>
      <c r="Q201" s="35">
        <v>0</v>
      </c>
      <c r="R201" s="36" t="s">
        <v>212</v>
      </c>
      <c r="S201" s="37" t="str">
        <f>IFERROR(_xlfn.XLOOKUP(R201,'1_Presupuesto'!$E:$E,'1_Presupuesto'!$D:$D),"")</f>
        <v/>
      </c>
    </row>
    <row r="202" spans="1:19" x14ac:dyDescent="0.35">
      <c r="A202" s="31" t="s">
        <v>900</v>
      </c>
      <c r="B202" s="31" t="s">
        <v>497</v>
      </c>
      <c r="C202" s="31" t="s">
        <v>498</v>
      </c>
      <c r="D202" s="31" t="s">
        <v>534</v>
      </c>
      <c r="E202" s="31" t="s">
        <v>535</v>
      </c>
      <c r="F202" s="31">
        <v>0</v>
      </c>
      <c r="G202" s="32">
        <v>5.2999999999999999E-2</v>
      </c>
      <c r="H202" s="33">
        <v>0.1</v>
      </c>
      <c r="I202" s="34">
        <v>32620.38</v>
      </c>
      <c r="J202" s="34">
        <v>1901.7681540000001</v>
      </c>
      <c r="K202" s="31" t="s">
        <v>901</v>
      </c>
      <c r="L202" s="31">
        <v>3</v>
      </c>
      <c r="M202" s="31" t="s">
        <v>904</v>
      </c>
      <c r="N202" s="34">
        <v>4</v>
      </c>
      <c r="O202" s="35">
        <v>0</v>
      </c>
      <c r="P202" s="35" t="s">
        <v>212</v>
      </c>
      <c r="Q202" s="35">
        <v>0</v>
      </c>
      <c r="R202" s="36" t="s">
        <v>212</v>
      </c>
      <c r="S202" s="37" t="str">
        <f>IFERROR(_xlfn.XLOOKUP(R202,'1_Presupuesto'!$E:$E,'1_Presupuesto'!$D:$D),"")</f>
        <v/>
      </c>
    </row>
    <row r="203" spans="1:19" x14ac:dyDescent="0.35">
      <c r="A203" s="31" t="s">
        <v>900</v>
      </c>
      <c r="B203" s="31" t="s">
        <v>497</v>
      </c>
      <c r="C203" s="31" t="s">
        <v>498</v>
      </c>
      <c r="D203" s="31" t="s">
        <v>905</v>
      </c>
      <c r="E203" s="31" t="s">
        <v>906</v>
      </c>
      <c r="F203" s="31" t="s">
        <v>261</v>
      </c>
      <c r="G203" s="32">
        <v>60</v>
      </c>
      <c r="H203" s="33">
        <v>0.05</v>
      </c>
      <c r="I203" s="34">
        <v>233.44</v>
      </c>
      <c r="J203" s="34">
        <v>14706.72</v>
      </c>
      <c r="K203" s="31" t="s">
        <v>901</v>
      </c>
      <c r="L203" s="31">
        <v>4</v>
      </c>
      <c r="M203" s="31" t="s">
        <v>907</v>
      </c>
      <c r="N203" s="34">
        <v>4</v>
      </c>
      <c r="O203" s="35">
        <v>0</v>
      </c>
      <c r="P203" s="35" t="s">
        <v>212</v>
      </c>
      <c r="Q203" s="35">
        <v>0</v>
      </c>
      <c r="R203" s="36" t="s">
        <v>212</v>
      </c>
      <c r="S203" s="37" t="str">
        <f>IFERROR(_xlfn.XLOOKUP(R203,'1_Presupuesto'!$E:$E,'1_Presupuesto'!$D:$D),"")</f>
        <v/>
      </c>
    </row>
    <row r="204" spans="1:19" x14ac:dyDescent="0.35">
      <c r="A204" s="31" t="s">
        <v>900</v>
      </c>
      <c r="B204" s="31" t="s">
        <v>497</v>
      </c>
      <c r="C204" s="31" t="s">
        <v>498</v>
      </c>
      <c r="D204" s="31" t="s">
        <v>601</v>
      </c>
      <c r="E204" s="31" t="s">
        <v>602</v>
      </c>
      <c r="F204" s="31">
        <v>0</v>
      </c>
      <c r="G204" s="32">
        <v>0.34</v>
      </c>
      <c r="H204" s="33">
        <v>0.1</v>
      </c>
      <c r="I204" s="34">
        <v>3620.13</v>
      </c>
      <c r="J204" s="34">
        <v>1353.9286199999999</v>
      </c>
      <c r="K204" s="31" t="s">
        <v>901</v>
      </c>
      <c r="L204" s="31">
        <v>5</v>
      </c>
      <c r="M204" s="31" t="s">
        <v>908</v>
      </c>
      <c r="N204" s="34">
        <v>4</v>
      </c>
      <c r="O204" s="35">
        <v>0</v>
      </c>
      <c r="P204" s="35" t="s">
        <v>212</v>
      </c>
      <c r="Q204" s="35">
        <v>0</v>
      </c>
      <c r="R204" s="36" t="s">
        <v>212</v>
      </c>
      <c r="S204" s="37" t="str">
        <f>IFERROR(_xlfn.XLOOKUP(R204,'1_Presupuesto'!$E:$E,'1_Presupuesto'!$D:$D),"")</f>
        <v/>
      </c>
    </row>
    <row r="205" spans="1:19" x14ac:dyDescent="0.35">
      <c r="A205" s="31" t="s">
        <v>900</v>
      </c>
      <c r="B205" s="31" t="s">
        <v>497</v>
      </c>
      <c r="C205" s="31" t="s">
        <v>498</v>
      </c>
      <c r="D205" s="31" t="s">
        <v>909</v>
      </c>
      <c r="E205" s="31" t="s">
        <v>910</v>
      </c>
      <c r="F205" s="31">
        <v>0</v>
      </c>
      <c r="G205" s="32">
        <v>0.1</v>
      </c>
      <c r="H205" s="33">
        <v>0.05</v>
      </c>
      <c r="I205" s="34">
        <v>1363.95</v>
      </c>
      <c r="J205" s="34">
        <v>143.21475000000001</v>
      </c>
      <c r="K205" s="31" t="s">
        <v>901</v>
      </c>
      <c r="L205" s="31">
        <v>6</v>
      </c>
      <c r="M205" s="31" t="s">
        <v>911</v>
      </c>
      <c r="N205" s="34">
        <v>4</v>
      </c>
      <c r="O205" s="35">
        <v>0</v>
      </c>
      <c r="P205" s="35" t="s">
        <v>212</v>
      </c>
      <c r="Q205" s="35">
        <v>0</v>
      </c>
      <c r="R205" s="36" t="s">
        <v>212</v>
      </c>
      <c r="S205" s="37" t="str">
        <f>IFERROR(_xlfn.XLOOKUP(R205,'1_Presupuesto'!$E:$E,'1_Presupuesto'!$D:$D),"")</f>
        <v/>
      </c>
    </row>
    <row r="206" spans="1:19" x14ac:dyDescent="0.35">
      <c r="A206" s="31" t="s">
        <v>900</v>
      </c>
      <c r="B206" s="31" t="s">
        <v>497</v>
      </c>
      <c r="C206" s="31" t="s">
        <v>498</v>
      </c>
      <c r="D206" s="31" t="s">
        <v>499</v>
      </c>
      <c r="E206" s="31" t="s">
        <v>500</v>
      </c>
      <c r="F206" s="31">
        <v>0</v>
      </c>
      <c r="G206" s="32">
        <v>2.7777779999999998E-2</v>
      </c>
      <c r="H206" s="33">
        <v>0.1</v>
      </c>
      <c r="I206" s="34">
        <v>35525.949999999997</v>
      </c>
      <c r="J206" s="34">
        <v>1085.5152257300999</v>
      </c>
      <c r="K206" s="31" t="s">
        <v>901</v>
      </c>
      <c r="L206" s="31">
        <v>7</v>
      </c>
      <c r="M206" s="31" t="s">
        <v>912</v>
      </c>
      <c r="N206" s="34">
        <v>4</v>
      </c>
      <c r="O206" s="35">
        <v>0</v>
      </c>
      <c r="P206" s="35" t="s">
        <v>212</v>
      </c>
      <c r="Q206" s="35">
        <v>0</v>
      </c>
      <c r="R206" s="36" t="s">
        <v>212</v>
      </c>
      <c r="S206" s="37" t="str">
        <f>IFERROR(_xlfn.XLOOKUP(R206,'1_Presupuesto'!$E:$E,'1_Presupuesto'!$D:$D),"")</f>
        <v/>
      </c>
    </row>
    <row r="207" spans="1:19" x14ac:dyDescent="0.35">
      <c r="A207" s="31" t="s">
        <v>900</v>
      </c>
      <c r="B207" s="31" t="s">
        <v>497</v>
      </c>
      <c r="C207" s="31" t="s">
        <v>498</v>
      </c>
      <c r="D207" s="31" t="s">
        <v>509</v>
      </c>
      <c r="E207" s="31" t="s">
        <v>510</v>
      </c>
      <c r="F207" s="31">
        <v>0</v>
      </c>
      <c r="G207" s="32">
        <v>5.0000000000000001E-3</v>
      </c>
      <c r="H207" s="33">
        <v>0.05</v>
      </c>
      <c r="I207" s="34">
        <v>58016.528925619801</v>
      </c>
      <c r="J207" s="34">
        <v>304.58677685950403</v>
      </c>
      <c r="K207" s="31" t="s">
        <v>901</v>
      </c>
      <c r="L207" s="31">
        <v>8</v>
      </c>
      <c r="M207" s="31" t="s">
        <v>913</v>
      </c>
      <c r="N207" s="34">
        <v>4</v>
      </c>
      <c r="O207" s="35">
        <v>0</v>
      </c>
      <c r="P207" s="35" t="s">
        <v>212</v>
      </c>
      <c r="Q207" s="35">
        <v>0</v>
      </c>
      <c r="R207" s="36" t="s">
        <v>212</v>
      </c>
      <c r="S207" s="37" t="str">
        <f>IFERROR(_xlfn.XLOOKUP(R207,'1_Presupuesto'!$E:$E,'1_Presupuesto'!$D:$D),"")</f>
        <v/>
      </c>
    </row>
    <row r="208" spans="1:19" x14ac:dyDescent="0.35">
      <c r="A208" s="31" t="s">
        <v>900</v>
      </c>
      <c r="B208" s="31" t="s">
        <v>497</v>
      </c>
      <c r="C208" s="31" t="s">
        <v>498</v>
      </c>
      <c r="D208" s="31" t="s">
        <v>503</v>
      </c>
      <c r="E208" s="31" t="s">
        <v>504</v>
      </c>
      <c r="F208" s="31" t="s">
        <v>261</v>
      </c>
      <c r="G208" s="32">
        <v>0.01</v>
      </c>
      <c r="H208" s="33">
        <v>0.05</v>
      </c>
      <c r="I208" s="34">
        <v>6442.15</v>
      </c>
      <c r="J208" s="34">
        <v>67.642574999999994</v>
      </c>
      <c r="K208" s="31" t="s">
        <v>901</v>
      </c>
      <c r="L208" s="31">
        <v>9</v>
      </c>
      <c r="M208" s="31" t="s">
        <v>914</v>
      </c>
      <c r="N208" s="34">
        <v>4</v>
      </c>
      <c r="O208" s="35">
        <v>0</v>
      </c>
      <c r="P208" s="35" t="s">
        <v>212</v>
      </c>
      <c r="Q208" s="35">
        <v>0</v>
      </c>
      <c r="R208" s="36" t="s">
        <v>212</v>
      </c>
      <c r="S208" s="37" t="str">
        <f>IFERROR(_xlfn.XLOOKUP(R208,'1_Presupuesto'!$E:$E,'1_Presupuesto'!$D:$D),"")</f>
        <v/>
      </c>
    </row>
    <row r="209" spans="1:19" x14ac:dyDescent="0.35">
      <c r="A209" s="31" t="s">
        <v>900</v>
      </c>
      <c r="B209" s="31" t="s">
        <v>497</v>
      </c>
      <c r="C209" s="31" t="s">
        <v>498</v>
      </c>
      <c r="D209" s="31" t="s">
        <v>597</v>
      </c>
      <c r="E209" s="31" t="s">
        <v>598</v>
      </c>
      <c r="F209" s="31" t="s">
        <v>218</v>
      </c>
      <c r="G209" s="32">
        <v>324.18239999999997</v>
      </c>
      <c r="H209" s="33">
        <v>0</v>
      </c>
      <c r="I209" s="34">
        <v>1</v>
      </c>
      <c r="J209" s="34">
        <v>324.18239999999997</v>
      </c>
      <c r="K209" s="31" t="s">
        <v>901</v>
      </c>
      <c r="L209" s="31">
        <v>10</v>
      </c>
      <c r="M209" s="31" t="s">
        <v>915</v>
      </c>
      <c r="N209" s="34">
        <v>4</v>
      </c>
      <c r="O209" s="35">
        <v>0</v>
      </c>
      <c r="P209" s="35" t="s">
        <v>212</v>
      </c>
      <c r="Q209" s="35">
        <v>0</v>
      </c>
      <c r="R209" s="36" t="s">
        <v>212</v>
      </c>
      <c r="S209" s="37" t="str">
        <f>IFERROR(_xlfn.XLOOKUP(R209,'1_Presupuesto'!$E:$E,'1_Presupuesto'!$D:$D),"")</f>
        <v/>
      </c>
    </row>
    <row r="210" spans="1:19" x14ac:dyDescent="0.35">
      <c r="A210" s="31" t="s">
        <v>900</v>
      </c>
      <c r="B210" s="31" t="s">
        <v>497</v>
      </c>
      <c r="C210" s="31" t="s">
        <v>498</v>
      </c>
      <c r="D210" s="31" t="s">
        <v>851</v>
      </c>
      <c r="E210" s="31" t="s">
        <v>852</v>
      </c>
      <c r="F210" s="31">
        <v>0</v>
      </c>
      <c r="G210" s="32">
        <v>15</v>
      </c>
      <c r="H210" s="33">
        <v>0.05</v>
      </c>
      <c r="I210" s="34">
        <v>506.52</v>
      </c>
      <c r="J210" s="34">
        <v>7977.69</v>
      </c>
      <c r="K210" s="31" t="s">
        <v>901</v>
      </c>
      <c r="L210" s="31">
        <v>11</v>
      </c>
      <c r="M210" s="31" t="s">
        <v>916</v>
      </c>
      <c r="N210" s="34">
        <v>4</v>
      </c>
      <c r="O210" s="35">
        <v>0</v>
      </c>
      <c r="P210" s="35" t="s">
        <v>212</v>
      </c>
      <c r="Q210" s="35">
        <v>0</v>
      </c>
      <c r="R210" s="36" t="s">
        <v>212</v>
      </c>
      <c r="S210" s="37" t="str">
        <f>IFERROR(_xlfn.XLOOKUP(R210,'1_Presupuesto'!$E:$E,'1_Presupuesto'!$D:$D),"")</f>
        <v/>
      </c>
    </row>
    <row r="211" spans="1:19" x14ac:dyDescent="0.35">
      <c r="A211" s="31" t="s">
        <v>900</v>
      </c>
      <c r="B211" s="31" t="s">
        <v>203</v>
      </c>
      <c r="C211" s="31"/>
      <c r="D211" s="31" t="s">
        <v>609</v>
      </c>
      <c r="E211" s="31" t="s">
        <v>610</v>
      </c>
      <c r="F211" s="31"/>
      <c r="G211" s="32">
        <v>1</v>
      </c>
      <c r="H211" s="33">
        <v>0</v>
      </c>
      <c r="I211" s="34">
        <v>2485.8709964594</v>
      </c>
      <c r="J211" s="34">
        <v>2485.8709964594</v>
      </c>
      <c r="K211" s="31" t="s">
        <v>917</v>
      </c>
      <c r="L211" s="31">
        <v>1</v>
      </c>
      <c r="M211" s="31" t="s">
        <v>918</v>
      </c>
      <c r="N211" s="34">
        <v>4</v>
      </c>
      <c r="O211" s="35">
        <v>0</v>
      </c>
      <c r="P211" s="35" t="s">
        <v>212</v>
      </c>
      <c r="Q211" s="35">
        <v>0</v>
      </c>
      <c r="R211" s="36" t="s">
        <v>212</v>
      </c>
      <c r="S211" s="37" t="str">
        <f>IFERROR(_xlfn.XLOOKUP(R211,'1_Presupuesto'!$E:$E,'1_Presupuesto'!$D:$D),"")</f>
        <v/>
      </c>
    </row>
    <row r="212" spans="1:19" x14ac:dyDescent="0.35">
      <c r="A212" s="31" t="s">
        <v>900</v>
      </c>
      <c r="B212" s="31" t="s">
        <v>203</v>
      </c>
      <c r="C212" s="31"/>
      <c r="D212" s="31" t="s">
        <v>613</v>
      </c>
      <c r="E212" s="31" t="s">
        <v>614</v>
      </c>
      <c r="F212" s="31"/>
      <c r="G212" s="32">
        <v>0.5</v>
      </c>
      <c r="H212" s="33">
        <v>0</v>
      </c>
      <c r="I212" s="34">
        <v>620.81078197718296</v>
      </c>
      <c r="J212" s="34">
        <v>310.40539098859199</v>
      </c>
      <c r="K212" s="31" t="s">
        <v>917</v>
      </c>
      <c r="L212" s="31">
        <v>2</v>
      </c>
      <c r="M212" s="31" t="s">
        <v>919</v>
      </c>
      <c r="N212" s="34">
        <v>4</v>
      </c>
      <c r="O212" s="35">
        <v>0</v>
      </c>
      <c r="P212" s="35" t="s">
        <v>212</v>
      </c>
      <c r="Q212" s="35">
        <v>0</v>
      </c>
      <c r="R212" s="36" t="s">
        <v>212</v>
      </c>
      <c r="S212" s="37" t="str">
        <f>IFERROR(_xlfn.XLOOKUP(R212,'1_Presupuesto'!$E:$E,'1_Presupuesto'!$D:$D),"")</f>
        <v/>
      </c>
    </row>
    <row r="213" spans="1:19" x14ac:dyDescent="0.35">
      <c r="A213" s="31" t="s">
        <v>900</v>
      </c>
      <c r="B213" s="31" t="s">
        <v>203</v>
      </c>
      <c r="C213" s="31"/>
      <c r="D213" s="31" t="s">
        <v>616</v>
      </c>
      <c r="E213" s="31" t="s">
        <v>617</v>
      </c>
      <c r="F213" s="31"/>
      <c r="G213" s="32">
        <v>1</v>
      </c>
      <c r="H213" s="33">
        <v>0</v>
      </c>
      <c r="I213" s="34">
        <v>1040.43144867052</v>
      </c>
      <c r="J213" s="34">
        <v>1040.43144867052</v>
      </c>
      <c r="K213" s="31" t="s">
        <v>917</v>
      </c>
      <c r="L213" s="31">
        <v>3</v>
      </c>
      <c r="M213" s="31" t="s">
        <v>920</v>
      </c>
      <c r="N213" s="34">
        <v>4</v>
      </c>
      <c r="O213" s="35">
        <v>0</v>
      </c>
      <c r="P213" s="35" t="s">
        <v>212</v>
      </c>
      <c r="Q213" s="35">
        <v>0</v>
      </c>
      <c r="R213" s="36" t="s">
        <v>212</v>
      </c>
      <c r="S213" s="37" t="str">
        <f>IFERROR(_xlfn.XLOOKUP(R213,'1_Presupuesto'!$E:$E,'1_Presupuesto'!$D:$D),"")</f>
        <v/>
      </c>
    </row>
    <row r="214" spans="1:19" x14ac:dyDescent="0.35">
      <c r="A214" s="31" t="s">
        <v>900</v>
      </c>
      <c r="B214" s="31" t="s">
        <v>478</v>
      </c>
      <c r="C214" s="31" t="s">
        <v>479</v>
      </c>
      <c r="D214" s="31" t="s">
        <v>480</v>
      </c>
      <c r="E214" s="31" t="s">
        <v>183</v>
      </c>
      <c r="F214" s="31" t="s">
        <v>481</v>
      </c>
      <c r="G214" s="32">
        <v>1</v>
      </c>
      <c r="H214" s="33">
        <v>0</v>
      </c>
      <c r="I214" s="34">
        <v>94177.137883538904</v>
      </c>
      <c r="J214" s="34">
        <v>94177.137883538904</v>
      </c>
      <c r="K214" s="31" t="s">
        <v>921</v>
      </c>
      <c r="L214" s="31">
        <v>1</v>
      </c>
      <c r="M214" s="31" t="s">
        <v>922</v>
      </c>
      <c r="N214" s="34">
        <v>4</v>
      </c>
      <c r="O214" s="35">
        <v>0.25</v>
      </c>
      <c r="P214" s="35" t="s">
        <v>212</v>
      </c>
      <c r="Q214" s="35">
        <v>0</v>
      </c>
      <c r="R214" s="36" t="s">
        <v>212</v>
      </c>
      <c r="S214" s="37" t="str">
        <f>IFERROR(_xlfn.XLOOKUP(R214,'1_Presupuesto'!$E:$E,'1_Presupuesto'!$D:$D),"")</f>
        <v/>
      </c>
    </row>
    <row r="215" spans="1:19" x14ac:dyDescent="0.35">
      <c r="A215" s="31" t="s">
        <v>900</v>
      </c>
      <c r="B215" s="31" t="s">
        <v>478</v>
      </c>
      <c r="C215" s="31" t="s">
        <v>479</v>
      </c>
      <c r="D215" s="31" t="s">
        <v>484</v>
      </c>
      <c r="E215" s="31" t="s">
        <v>186</v>
      </c>
      <c r="F215" s="31" t="s">
        <v>481</v>
      </c>
      <c r="G215" s="32">
        <v>0.91</v>
      </c>
      <c r="H215" s="33">
        <v>0</v>
      </c>
      <c r="I215" s="34">
        <v>67240.498860267602</v>
      </c>
      <c r="J215" s="34">
        <v>61188.853962843503</v>
      </c>
      <c r="K215" s="31" t="s">
        <v>921</v>
      </c>
      <c r="L215" s="31">
        <v>2</v>
      </c>
      <c r="M215" s="31" t="s">
        <v>923</v>
      </c>
      <c r="N215" s="34">
        <v>4</v>
      </c>
      <c r="O215" s="35">
        <v>0.22750000000000001</v>
      </c>
      <c r="P215" s="35" t="s">
        <v>212</v>
      </c>
      <c r="Q215" s="35">
        <v>0</v>
      </c>
      <c r="R215" s="36" t="s">
        <v>212</v>
      </c>
      <c r="S215" s="37" t="str">
        <f>IFERROR(_xlfn.XLOOKUP(R215,'1_Presupuesto'!$E:$E,'1_Presupuesto'!$D:$D),"")</f>
        <v/>
      </c>
    </row>
    <row r="216" spans="1:19" x14ac:dyDescent="0.35">
      <c r="A216" s="31" t="s">
        <v>924</v>
      </c>
      <c r="B216" s="31" t="s">
        <v>497</v>
      </c>
      <c r="C216" s="31" t="s">
        <v>498</v>
      </c>
      <c r="D216" s="31" t="s">
        <v>925</v>
      </c>
      <c r="E216" s="31" t="s">
        <v>926</v>
      </c>
      <c r="F216" s="31">
        <v>0</v>
      </c>
      <c r="G216" s="32">
        <v>15</v>
      </c>
      <c r="H216" s="33">
        <v>0.05</v>
      </c>
      <c r="I216" s="34">
        <v>977.76</v>
      </c>
      <c r="J216" s="34">
        <v>15399.72</v>
      </c>
      <c r="K216" s="31" t="s">
        <v>927</v>
      </c>
      <c r="L216" s="31">
        <v>1</v>
      </c>
      <c r="M216" s="31" t="s">
        <v>928</v>
      </c>
      <c r="N216" s="34">
        <v>15</v>
      </c>
      <c r="O216" s="35">
        <v>0</v>
      </c>
      <c r="P216" s="35" t="s">
        <v>212</v>
      </c>
      <c r="Q216" s="35">
        <v>0</v>
      </c>
      <c r="R216" s="36" t="s">
        <v>212</v>
      </c>
      <c r="S216" s="37" t="str">
        <f>IFERROR(_xlfn.XLOOKUP(R216,'1_Presupuesto'!$E:$E,'1_Presupuesto'!$D:$D),"")</f>
        <v/>
      </c>
    </row>
    <row r="217" spans="1:19" x14ac:dyDescent="0.35">
      <c r="A217" s="31" t="s">
        <v>924</v>
      </c>
      <c r="B217" s="31" t="s">
        <v>497</v>
      </c>
      <c r="C217" s="31" t="s">
        <v>498</v>
      </c>
      <c r="D217" s="31" t="s">
        <v>601</v>
      </c>
      <c r="E217" s="31" t="s">
        <v>602</v>
      </c>
      <c r="F217" s="31">
        <v>0</v>
      </c>
      <c r="G217" s="32">
        <v>0.17</v>
      </c>
      <c r="H217" s="33">
        <v>0.1</v>
      </c>
      <c r="I217" s="34">
        <v>3620.13</v>
      </c>
      <c r="J217" s="34">
        <v>676.96430999999995</v>
      </c>
      <c r="K217" s="31" t="s">
        <v>927</v>
      </c>
      <c r="L217" s="31">
        <v>2</v>
      </c>
      <c r="M217" s="31" t="s">
        <v>929</v>
      </c>
      <c r="N217" s="34">
        <v>15</v>
      </c>
      <c r="O217" s="35">
        <v>0</v>
      </c>
      <c r="P217" s="35" t="s">
        <v>212</v>
      </c>
      <c r="Q217" s="35">
        <v>0</v>
      </c>
      <c r="R217" s="36" t="s">
        <v>212</v>
      </c>
      <c r="S217" s="37" t="str">
        <f>IFERROR(_xlfn.XLOOKUP(R217,'1_Presupuesto'!$E:$E,'1_Presupuesto'!$D:$D),"")</f>
        <v/>
      </c>
    </row>
    <row r="218" spans="1:19" x14ac:dyDescent="0.35">
      <c r="A218" s="31" t="s">
        <v>924</v>
      </c>
      <c r="B218" s="31" t="s">
        <v>497</v>
      </c>
      <c r="C218" s="31" t="s">
        <v>498</v>
      </c>
      <c r="D218" s="31" t="s">
        <v>538</v>
      </c>
      <c r="E218" s="31" t="s">
        <v>539</v>
      </c>
      <c r="F218" s="31">
        <v>0</v>
      </c>
      <c r="G218" s="32">
        <v>0.15</v>
      </c>
      <c r="H218" s="33">
        <v>0.1</v>
      </c>
      <c r="I218" s="34">
        <v>3927.28</v>
      </c>
      <c r="J218" s="34">
        <v>648.00120000000004</v>
      </c>
      <c r="K218" s="31" t="s">
        <v>927</v>
      </c>
      <c r="L218" s="31">
        <v>3</v>
      </c>
      <c r="M218" s="31" t="s">
        <v>930</v>
      </c>
      <c r="N218" s="34">
        <v>15</v>
      </c>
      <c r="O218" s="35">
        <v>0</v>
      </c>
      <c r="P218" s="35" t="s">
        <v>212</v>
      </c>
      <c r="Q218" s="35">
        <v>0</v>
      </c>
      <c r="R218" s="36" t="s">
        <v>212</v>
      </c>
      <c r="S218" s="37" t="str">
        <f>IFERROR(_xlfn.XLOOKUP(R218,'1_Presupuesto'!$E:$E,'1_Presupuesto'!$D:$D),"")</f>
        <v/>
      </c>
    </row>
    <row r="219" spans="1:19" x14ac:dyDescent="0.35">
      <c r="A219" s="31" t="s">
        <v>924</v>
      </c>
      <c r="B219" s="31" t="s">
        <v>497</v>
      </c>
      <c r="C219" s="31" t="s">
        <v>498</v>
      </c>
      <c r="D219" s="31" t="s">
        <v>541</v>
      </c>
      <c r="E219" s="31" t="s">
        <v>542</v>
      </c>
      <c r="F219" s="31">
        <v>0</v>
      </c>
      <c r="G219" s="32">
        <v>7.4999999999999997E-2</v>
      </c>
      <c r="H219" s="33">
        <v>0.1</v>
      </c>
      <c r="I219" s="34">
        <v>7891.74</v>
      </c>
      <c r="J219" s="34">
        <v>651.06854999999996</v>
      </c>
      <c r="K219" s="31" t="s">
        <v>927</v>
      </c>
      <c r="L219" s="31">
        <v>4</v>
      </c>
      <c r="M219" s="31" t="s">
        <v>931</v>
      </c>
      <c r="N219" s="34">
        <v>15</v>
      </c>
      <c r="O219" s="35">
        <v>0</v>
      </c>
      <c r="P219" s="35" t="s">
        <v>212</v>
      </c>
      <c r="Q219" s="35">
        <v>0</v>
      </c>
      <c r="R219" s="36" t="s">
        <v>212</v>
      </c>
      <c r="S219" s="37" t="str">
        <f>IFERROR(_xlfn.XLOOKUP(R219,'1_Presupuesto'!$E:$E,'1_Presupuesto'!$D:$D),"")</f>
        <v/>
      </c>
    </row>
    <row r="220" spans="1:19" x14ac:dyDescent="0.35">
      <c r="A220" s="31" t="s">
        <v>924</v>
      </c>
      <c r="B220" s="31" t="s">
        <v>497</v>
      </c>
      <c r="C220" s="31" t="s">
        <v>498</v>
      </c>
      <c r="D220" s="31" t="s">
        <v>534</v>
      </c>
      <c r="E220" s="31" t="s">
        <v>535</v>
      </c>
      <c r="F220" s="31">
        <v>0</v>
      </c>
      <c r="G220" s="32">
        <v>1.7999999999999999E-2</v>
      </c>
      <c r="H220" s="33">
        <v>0.1</v>
      </c>
      <c r="I220" s="34">
        <v>32620.38</v>
      </c>
      <c r="J220" s="34">
        <v>645.88352399999997</v>
      </c>
      <c r="K220" s="31" t="s">
        <v>927</v>
      </c>
      <c r="L220" s="31">
        <v>5</v>
      </c>
      <c r="M220" s="31" t="s">
        <v>932</v>
      </c>
      <c r="N220" s="34">
        <v>15</v>
      </c>
      <c r="O220" s="35">
        <v>0</v>
      </c>
      <c r="P220" s="35" t="s">
        <v>212</v>
      </c>
      <c r="Q220" s="35">
        <v>0</v>
      </c>
      <c r="R220" s="36" t="s">
        <v>212</v>
      </c>
      <c r="S220" s="37" t="str">
        <f>IFERROR(_xlfn.XLOOKUP(R220,'1_Presupuesto'!$E:$E,'1_Presupuesto'!$D:$D),"")</f>
        <v/>
      </c>
    </row>
    <row r="221" spans="1:19" x14ac:dyDescent="0.35">
      <c r="A221" s="31" t="s">
        <v>924</v>
      </c>
      <c r="B221" s="31" t="s">
        <v>497</v>
      </c>
      <c r="C221" s="31" t="s">
        <v>498</v>
      </c>
      <c r="D221" s="31" t="s">
        <v>597</v>
      </c>
      <c r="E221" s="31" t="s">
        <v>598</v>
      </c>
      <c r="F221" s="31" t="s">
        <v>218</v>
      </c>
      <c r="G221" s="32">
        <v>185.62289999999999</v>
      </c>
      <c r="H221" s="33">
        <v>0</v>
      </c>
      <c r="I221" s="34">
        <v>1</v>
      </c>
      <c r="J221" s="34">
        <v>185.62289999999999</v>
      </c>
      <c r="K221" s="31" t="s">
        <v>927</v>
      </c>
      <c r="L221" s="31">
        <v>6</v>
      </c>
      <c r="M221" s="31" t="s">
        <v>933</v>
      </c>
      <c r="N221" s="34">
        <v>15</v>
      </c>
      <c r="O221" s="35">
        <v>0</v>
      </c>
      <c r="P221" s="35" t="s">
        <v>212</v>
      </c>
      <c r="Q221" s="35">
        <v>0</v>
      </c>
      <c r="R221" s="36" t="s">
        <v>212</v>
      </c>
      <c r="S221" s="37" t="str">
        <f>IFERROR(_xlfn.XLOOKUP(R221,'1_Presupuesto'!$E:$E,'1_Presupuesto'!$D:$D),"")</f>
        <v/>
      </c>
    </row>
    <row r="222" spans="1:19" x14ac:dyDescent="0.35">
      <c r="A222" s="31" t="s">
        <v>924</v>
      </c>
      <c r="B222" s="31" t="s">
        <v>203</v>
      </c>
      <c r="C222" s="31"/>
      <c r="D222" s="31" t="s">
        <v>609</v>
      </c>
      <c r="E222" s="31" t="s">
        <v>610</v>
      </c>
      <c r="F222" s="31"/>
      <c r="G222" s="32">
        <v>1</v>
      </c>
      <c r="H222" s="33">
        <v>0</v>
      </c>
      <c r="I222" s="34">
        <v>2485.8709964594</v>
      </c>
      <c r="J222" s="34">
        <v>2485.8709964594</v>
      </c>
      <c r="K222" s="31" t="s">
        <v>934</v>
      </c>
      <c r="L222" s="31">
        <v>1</v>
      </c>
      <c r="M222" s="31" t="s">
        <v>935</v>
      </c>
      <c r="N222" s="34">
        <v>15</v>
      </c>
      <c r="O222" s="35">
        <v>0</v>
      </c>
      <c r="P222" s="35" t="s">
        <v>212</v>
      </c>
      <c r="Q222" s="35">
        <v>0</v>
      </c>
      <c r="R222" s="36" t="s">
        <v>212</v>
      </c>
      <c r="S222" s="37" t="str">
        <f>IFERROR(_xlfn.XLOOKUP(R222,'1_Presupuesto'!$E:$E,'1_Presupuesto'!$D:$D),"")</f>
        <v/>
      </c>
    </row>
    <row r="223" spans="1:19" x14ac:dyDescent="0.35">
      <c r="A223" s="31" t="s">
        <v>924</v>
      </c>
      <c r="B223" s="31" t="s">
        <v>203</v>
      </c>
      <c r="C223" s="31"/>
      <c r="D223" s="31" t="s">
        <v>613</v>
      </c>
      <c r="E223" s="31" t="s">
        <v>614</v>
      </c>
      <c r="F223" s="31"/>
      <c r="G223" s="32">
        <v>0.5</v>
      </c>
      <c r="H223" s="33">
        <v>0</v>
      </c>
      <c r="I223" s="34">
        <v>620.81078197718296</v>
      </c>
      <c r="J223" s="34">
        <v>310.40539098859199</v>
      </c>
      <c r="K223" s="31" t="s">
        <v>934</v>
      </c>
      <c r="L223" s="31">
        <v>2</v>
      </c>
      <c r="M223" s="31" t="s">
        <v>936</v>
      </c>
      <c r="N223" s="34">
        <v>15</v>
      </c>
      <c r="O223" s="35">
        <v>0</v>
      </c>
      <c r="P223" s="35" t="s">
        <v>212</v>
      </c>
      <c r="Q223" s="35">
        <v>0</v>
      </c>
      <c r="R223" s="36" t="s">
        <v>212</v>
      </c>
      <c r="S223" s="37" t="str">
        <f>IFERROR(_xlfn.XLOOKUP(R223,'1_Presupuesto'!$E:$E,'1_Presupuesto'!$D:$D),"")</f>
        <v/>
      </c>
    </row>
    <row r="224" spans="1:19" x14ac:dyDescent="0.35">
      <c r="A224" s="31" t="s">
        <v>924</v>
      </c>
      <c r="B224" s="31" t="s">
        <v>203</v>
      </c>
      <c r="C224" s="31"/>
      <c r="D224" s="31" t="s">
        <v>616</v>
      </c>
      <c r="E224" s="31" t="s">
        <v>617</v>
      </c>
      <c r="F224" s="31"/>
      <c r="G224" s="32">
        <v>1</v>
      </c>
      <c r="H224" s="33">
        <v>0</v>
      </c>
      <c r="I224" s="34">
        <v>1040.43144867052</v>
      </c>
      <c r="J224" s="34">
        <v>1040.43144867052</v>
      </c>
      <c r="K224" s="31" t="s">
        <v>934</v>
      </c>
      <c r="L224" s="31">
        <v>3</v>
      </c>
      <c r="M224" s="31" t="s">
        <v>937</v>
      </c>
      <c r="N224" s="34">
        <v>15</v>
      </c>
      <c r="O224" s="35">
        <v>0</v>
      </c>
      <c r="P224" s="35" t="s">
        <v>212</v>
      </c>
      <c r="Q224" s="35">
        <v>0</v>
      </c>
      <c r="R224" s="36" t="s">
        <v>212</v>
      </c>
      <c r="S224" s="37" t="str">
        <f>IFERROR(_xlfn.XLOOKUP(R224,'1_Presupuesto'!$E:$E,'1_Presupuesto'!$D:$D),"")</f>
        <v/>
      </c>
    </row>
    <row r="225" spans="1:19" x14ac:dyDescent="0.35">
      <c r="A225" s="31" t="s">
        <v>924</v>
      </c>
      <c r="B225" s="31" t="s">
        <v>478</v>
      </c>
      <c r="C225" s="31" t="s">
        <v>479</v>
      </c>
      <c r="D225" s="31" t="s">
        <v>480</v>
      </c>
      <c r="E225" s="31" t="s">
        <v>183</v>
      </c>
      <c r="F225" s="31" t="s">
        <v>481</v>
      </c>
      <c r="G225" s="32">
        <v>1</v>
      </c>
      <c r="H225" s="33">
        <v>0</v>
      </c>
      <c r="I225" s="34">
        <v>94177.137883538904</v>
      </c>
      <c r="J225" s="34">
        <v>94177.137883538904</v>
      </c>
      <c r="K225" s="31" t="s">
        <v>938</v>
      </c>
      <c r="L225" s="31">
        <v>1</v>
      </c>
      <c r="M225" s="31" t="s">
        <v>939</v>
      </c>
      <c r="N225" s="34">
        <v>15</v>
      </c>
      <c r="O225" s="35">
        <v>6.6666666666666693E-2</v>
      </c>
      <c r="P225" s="35" t="s">
        <v>212</v>
      </c>
      <c r="Q225" s="35">
        <v>0</v>
      </c>
      <c r="R225" s="36" t="s">
        <v>212</v>
      </c>
      <c r="S225" s="37" t="str">
        <f>IFERROR(_xlfn.XLOOKUP(R225,'1_Presupuesto'!$E:$E,'1_Presupuesto'!$D:$D),"")</f>
        <v/>
      </c>
    </row>
    <row r="226" spans="1:19" x14ac:dyDescent="0.35">
      <c r="A226" s="31" t="s">
        <v>924</v>
      </c>
      <c r="B226" s="31" t="s">
        <v>478</v>
      </c>
      <c r="C226" s="31" t="s">
        <v>479</v>
      </c>
      <c r="D226" s="31" t="s">
        <v>484</v>
      </c>
      <c r="E226" s="31" t="s">
        <v>186</v>
      </c>
      <c r="F226" s="31" t="s">
        <v>481</v>
      </c>
      <c r="G226" s="32">
        <v>1</v>
      </c>
      <c r="H226" s="33">
        <v>0</v>
      </c>
      <c r="I226" s="34">
        <v>67240.498860267602</v>
      </c>
      <c r="J226" s="34">
        <v>67240.498860267602</v>
      </c>
      <c r="K226" s="31" t="s">
        <v>938</v>
      </c>
      <c r="L226" s="31">
        <v>2</v>
      </c>
      <c r="M226" s="31" t="s">
        <v>940</v>
      </c>
      <c r="N226" s="34">
        <v>15</v>
      </c>
      <c r="O226" s="35">
        <v>6.6666666666666693E-2</v>
      </c>
      <c r="P226" s="35" t="s">
        <v>212</v>
      </c>
      <c r="Q226" s="35">
        <v>0</v>
      </c>
      <c r="R226" s="36" t="s">
        <v>212</v>
      </c>
      <c r="S226" s="37" t="str">
        <f>IFERROR(_xlfn.XLOOKUP(R226,'1_Presupuesto'!$E:$E,'1_Presupuesto'!$D:$D),"")</f>
        <v/>
      </c>
    </row>
    <row r="227" spans="1:19" x14ac:dyDescent="0.35">
      <c r="A227" s="31" t="s">
        <v>941</v>
      </c>
      <c r="B227" s="31" t="s">
        <v>497</v>
      </c>
      <c r="C227" s="31" t="s">
        <v>498</v>
      </c>
      <c r="D227" s="31" t="s">
        <v>534</v>
      </c>
      <c r="E227" s="31" t="s">
        <v>535</v>
      </c>
      <c r="F227" s="31">
        <v>0</v>
      </c>
      <c r="G227" s="32">
        <v>3.5999999999999997E-2</v>
      </c>
      <c r="H227" s="33">
        <v>0.1</v>
      </c>
      <c r="I227" s="34">
        <v>32620.38</v>
      </c>
      <c r="J227" s="34">
        <v>1291.7670479999999</v>
      </c>
      <c r="K227" s="31" t="s">
        <v>942</v>
      </c>
      <c r="L227" s="31">
        <v>1</v>
      </c>
      <c r="M227" s="31" t="s">
        <v>943</v>
      </c>
      <c r="N227" s="34">
        <v>2</v>
      </c>
      <c r="O227" s="35">
        <v>0</v>
      </c>
      <c r="P227" s="35" t="s">
        <v>212</v>
      </c>
      <c r="Q227" s="35">
        <v>0</v>
      </c>
      <c r="R227" s="36" t="s">
        <v>212</v>
      </c>
      <c r="S227" s="37" t="str">
        <f>IFERROR(_xlfn.XLOOKUP(R227,'1_Presupuesto'!$E:$E,'1_Presupuesto'!$D:$D),"")</f>
        <v/>
      </c>
    </row>
    <row r="228" spans="1:19" x14ac:dyDescent="0.35">
      <c r="A228" s="31" t="s">
        <v>941</v>
      </c>
      <c r="B228" s="31" t="s">
        <v>497</v>
      </c>
      <c r="C228" s="31" t="s">
        <v>498</v>
      </c>
      <c r="D228" s="31" t="s">
        <v>541</v>
      </c>
      <c r="E228" s="31" t="s">
        <v>542</v>
      </c>
      <c r="F228" s="31">
        <v>0</v>
      </c>
      <c r="G228" s="32">
        <v>0.32400000000000001</v>
      </c>
      <c r="H228" s="33">
        <v>0.1</v>
      </c>
      <c r="I228" s="34">
        <v>7891.74</v>
      </c>
      <c r="J228" s="34">
        <v>2812.6161360000001</v>
      </c>
      <c r="K228" s="31" t="s">
        <v>942</v>
      </c>
      <c r="L228" s="31">
        <v>2</v>
      </c>
      <c r="M228" s="31" t="s">
        <v>944</v>
      </c>
      <c r="N228" s="34">
        <v>2</v>
      </c>
      <c r="O228" s="35">
        <v>0</v>
      </c>
      <c r="P228" s="35" t="s">
        <v>212</v>
      </c>
      <c r="Q228" s="35">
        <v>0</v>
      </c>
      <c r="R228" s="36" t="s">
        <v>212</v>
      </c>
      <c r="S228" s="37" t="str">
        <f>IFERROR(_xlfn.XLOOKUP(R228,'1_Presupuesto'!$E:$E,'1_Presupuesto'!$D:$D),"")</f>
        <v/>
      </c>
    </row>
    <row r="229" spans="1:19" x14ac:dyDescent="0.35">
      <c r="A229" s="31" t="s">
        <v>941</v>
      </c>
      <c r="B229" s="31" t="s">
        <v>203</v>
      </c>
      <c r="C229" s="31"/>
      <c r="D229" s="31" t="s">
        <v>609</v>
      </c>
      <c r="E229" s="31" t="s">
        <v>610</v>
      </c>
      <c r="F229" s="31"/>
      <c r="G229" s="32">
        <v>0.25</v>
      </c>
      <c r="H229" s="33">
        <v>0</v>
      </c>
      <c r="I229" s="34">
        <v>2485.8709964594</v>
      </c>
      <c r="J229" s="34">
        <v>621.46774911484999</v>
      </c>
      <c r="K229" s="31" t="s">
        <v>945</v>
      </c>
      <c r="L229" s="31">
        <v>1</v>
      </c>
      <c r="M229" s="31" t="s">
        <v>946</v>
      </c>
      <c r="N229" s="34">
        <v>2</v>
      </c>
      <c r="O229" s="35">
        <v>0</v>
      </c>
      <c r="P229" s="35" t="s">
        <v>212</v>
      </c>
      <c r="Q229" s="35">
        <v>0</v>
      </c>
      <c r="R229" s="36" t="s">
        <v>212</v>
      </c>
      <c r="S229" s="37" t="str">
        <f>IFERROR(_xlfn.XLOOKUP(R229,'1_Presupuesto'!$E:$E,'1_Presupuesto'!$D:$D),"")</f>
        <v/>
      </c>
    </row>
    <row r="230" spans="1:19" x14ac:dyDescent="0.35">
      <c r="A230" s="31" t="s">
        <v>941</v>
      </c>
      <c r="B230" s="31" t="s">
        <v>203</v>
      </c>
      <c r="C230" s="31"/>
      <c r="D230" s="31" t="s">
        <v>616</v>
      </c>
      <c r="E230" s="31" t="s">
        <v>617</v>
      </c>
      <c r="F230" s="31"/>
      <c r="G230" s="32">
        <v>0.25</v>
      </c>
      <c r="H230" s="33">
        <v>0</v>
      </c>
      <c r="I230" s="34">
        <v>1040.43144867052</v>
      </c>
      <c r="J230" s="34">
        <v>260.10786216763103</v>
      </c>
      <c r="K230" s="31" t="s">
        <v>945</v>
      </c>
      <c r="L230" s="31">
        <v>2</v>
      </c>
      <c r="M230" s="31" t="s">
        <v>947</v>
      </c>
      <c r="N230" s="34">
        <v>2</v>
      </c>
      <c r="O230" s="35">
        <v>0</v>
      </c>
      <c r="P230" s="35" t="s">
        <v>212</v>
      </c>
      <c r="Q230" s="35">
        <v>0</v>
      </c>
      <c r="R230" s="36" t="s">
        <v>212</v>
      </c>
      <c r="S230" s="37" t="str">
        <f>IFERROR(_xlfn.XLOOKUP(R230,'1_Presupuesto'!$E:$E,'1_Presupuesto'!$D:$D),"")</f>
        <v/>
      </c>
    </row>
    <row r="231" spans="1:19" x14ac:dyDescent="0.35">
      <c r="A231" s="31" t="s">
        <v>941</v>
      </c>
      <c r="B231" s="31" t="s">
        <v>478</v>
      </c>
      <c r="C231" s="31" t="s">
        <v>479</v>
      </c>
      <c r="D231" s="31" t="s">
        <v>484</v>
      </c>
      <c r="E231" s="31" t="s">
        <v>186</v>
      </c>
      <c r="F231" s="31" t="s">
        <v>481</v>
      </c>
      <c r="G231" s="32">
        <v>0.75</v>
      </c>
      <c r="H231" s="33">
        <v>0</v>
      </c>
      <c r="I231" s="34">
        <v>67240.498860267602</v>
      </c>
      <c r="J231" s="34">
        <v>50430.374145200702</v>
      </c>
      <c r="K231" s="31" t="s">
        <v>948</v>
      </c>
      <c r="L231" s="31">
        <v>1</v>
      </c>
      <c r="M231" s="31" t="s">
        <v>949</v>
      </c>
      <c r="N231" s="34">
        <v>2</v>
      </c>
      <c r="O231" s="35">
        <v>0.375</v>
      </c>
      <c r="P231" s="35" t="s">
        <v>212</v>
      </c>
      <c r="Q231" s="35">
        <v>0</v>
      </c>
      <c r="R231" s="36" t="s">
        <v>212</v>
      </c>
      <c r="S231" s="37" t="str">
        <f>IFERROR(_xlfn.XLOOKUP(R231,'1_Presupuesto'!$E:$E,'1_Presupuesto'!$D:$D),"")</f>
        <v/>
      </c>
    </row>
    <row r="232" spans="1:19" x14ac:dyDescent="0.35">
      <c r="A232" s="31" t="s">
        <v>941</v>
      </c>
      <c r="B232" s="31" t="s">
        <v>478</v>
      </c>
      <c r="C232" s="31" t="s">
        <v>479</v>
      </c>
      <c r="D232" s="31" t="s">
        <v>480</v>
      </c>
      <c r="E232" s="31" t="s">
        <v>183</v>
      </c>
      <c r="F232" s="31" t="s">
        <v>481</v>
      </c>
      <c r="G232" s="32">
        <v>0.75</v>
      </c>
      <c r="H232" s="33">
        <v>0</v>
      </c>
      <c r="I232" s="34">
        <v>94177.137883538904</v>
      </c>
      <c r="J232" s="34">
        <v>70632.853412654207</v>
      </c>
      <c r="K232" s="31" t="s">
        <v>948</v>
      </c>
      <c r="L232" s="31">
        <v>2</v>
      </c>
      <c r="M232" s="31" t="s">
        <v>950</v>
      </c>
      <c r="N232" s="34">
        <v>2</v>
      </c>
      <c r="O232" s="35">
        <v>0.375</v>
      </c>
      <c r="P232" s="35" t="s">
        <v>212</v>
      </c>
      <c r="Q232" s="35">
        <v>0</v>
      </c>
      <c r="R232" s="36" t="s">
        <v>212</v>
      </c>
      <c r="S232" s="37" t="str">
        <f>IFERROR(_xlfn.XLOOKUP(R232,'1_Presupuesto'!$E:$E,'1_Presupuesto'!$D:$D),"")</f>
        <v/>
      </c>
    </row>
    <row r="233" spans="1:19" x14ac:dyDescent="0.35">
      <c r="A233" s="31" t="s">
        <v>951</v>
      </c>
      <c r="B233" s="31" t="s">
        <v>497</v>
      </c>
      <c r="C233" s="31" t="s">
        <v>498</v>
      </c>
      <c r="D233" s="31" t="s">
        <v>534</v>
      </c>
      <c r="E233" s="31" t="s">
        <v>535</v>
      </c>
      <c r="F233" s="31">
        <v>0</v>
      </c>
      <c r="G233" s="32">
        <v>1.38E-2</v>
      </c>
      <c r="H233" s="33">
        <v>0.05</v>
      </c>
      <c r="I233" s="34">
        <v>32620.38</v>
      </c>
      <c r="J233" s="34">
        <v>472.66930619999999</v>
      </c>
      <c r="K233" s="31" t="s">
        <v>952</v>
      </c>
      <c r="L233" s="31">
        <v>1</v>
      </c>
      <c r="M233" s="31" t="s">
        <v>953</v>
      </c>
      <c r="N233" s="34">
        <v>4</v>
      </c>
      <c r="O233" s="35">
        <v>0</v>
      </c>
      <c r="P233" s="35" t="s">
        <v>212</v>
      </c>
      <c r="Q233" s="35">
        <v>0</v>
      </c>
      <c r="R233" s="36" t="s">
        <v>212</v>
      </c>
      <c r="S233" s="37" t="str">
        <f>IFERROR(_xlfn.XLOOKUP(R233,'1_Presupuesto'!$E:$E,'1_Presupuesto'!$D:$D),"")</f>
        <v/>
      </c>
    </row>
    <row r="234" spans="1:19" x14ac:dyDescent="0.35">
      <c r="A234" s="31" t="s">
        <v>951</v>
      </c>
      <c r="B234" s="31" t="s">
        <v>497</v>
      </c>
      <c r="C234" s="31" t="s">
        <v>498</v>
      </c>
      <c r="D234" s="31" t="s">
        <v>541</v>
      </c>
      <c r="E234" s="31" t="s">
        <v>542</v>
      </c>
      <c r="F234" s="31">
        <v>0</v>
      </c>
      <c r="G234" s="32">
        <v>0.1242</v>
      </c>
      <c r="H234" s="33">
        <v>0.05</v>
      </c>
      <c r="I234" s="34">
        <v>7891.74</v>
      </c>
      <c r="J234" s="34">
        <v>1029.1618134</v>
      </c>
      <c r="K234" s="31" t="s">
        <v>952</v>
      </c>
      <c r="L234" s="31">
        <v>2</v>
      </c>
      <c r="M234" s="31" t="s">
        <v>954</v>
      </c>
      <c r="N234" s="34">
        <v>4</v>
      </c>
      <c r="O234" s="35">
        <v>0</v>
      </c>
      <c r="P234" s="35" t="s">
        <v>212</v>
      </c>
      <c r="Q234" s="35">
        <v>0</v>
      </c>
      <c r="R234" s="36" t="s">
        <v>212</v>
      </c>
      <c r="S234" s="37" t="str">
        <f>IFERROR(_xlfn.XLOOKUP(R234,'1_Presupuesto'!$E:$E,'1_Presupuesto'!$D:$D),"")</f>
        <v/>
      </c>
    </row>
    <row r="235" spans="1:19" x14ac:dyDescent="0.35">
      <c r="A235" s="31" t="s">
        <v>951</v>
      </c>
      <c r="B235" s="31" t="s">
        <v>203</v>
      </c>
      <c r="C235" s="31"/>
      <c r="D235" s="31" t="s">
        <v>609</v>
      </c>
      <c r="E235" s="31" t="s">
        <v>610</v>
      </c>
      <c r="F235" s="31"/>
      <c r="G235" s="32">
        <v>0.25</v>
      </c>
      <c r="H235" s="33">
        <v>0</v>
      </c>
      <c r="I235" s="34">
        <v>2485.8709964594</v>
      </c>
      <c r="J235" s="34">
        <v>621.46774911484999</v>
      </c>
      <c r="K235" s="31" t="s">
        <v>955</v>
      </c>
      <c r="L235" s="31">
        <v>1</v>
      </c>
      <c r="M235" s="31" t="s">
        <v>956</v>
      </c>
      <c r="N235" s="34">
        <v>4</v>
      </c>
      <c r="O235" s="35">
        <v>0</v>
      </c>
      <c r="P235" s="35" t="s">
        <v>212</v>
      </c>
      <c r="Q235" s="35">
        <v>0</v>
      </c>
      <c r="R235" s="36" t="s">
        <v>212</v>
      </c>
      <c r="S235" s="37" t="str">
        <f>IFERROR(_xlfn.XLOOKUP(R235,'1_Presupuesto'!$E:$E,'1_Presupuesto'!$D:$D),"")</f>
        <v/>
      </c>
    </row>
    <row r="236" spans="1:19" x14ac:dyDescent="0.35">
      <c r="A236" s="31" t="s">
        <v>951</v>
      </c>
      <c r="B236" s="31" t="s">
        <v>203</v>
      </c>
      <c r="C236" s="31"/>
      <c r="D236" s="31" t="s">
        <v>616</v>
      </c>
      <c r="E236" s="31" t="s">
        <v>617</v>
      </c>
      <c r="F236" s="31"/>
      <c r="G236" s="32">
        <v>0.25</v>
      </c>
      <c r="H236" s="33">
        <v>0</v>
      </c>
      <c r="I236" s="34">
        <v>1040.43144867052</v>
      </c>
      <c r="J236" s="34">
        <v>260.10786216763103</v>
      </c>
      <c r="K236" s="31" t="s">
        <v>955</v>
      </c>
      <c r="L236" s="31">
        <v>2</v>
      </c>
      <c r="M236" s="31" t="s">
        <v>957</v>
      </c>
      <c r="N236" s="34">
        <v>4</v>
      </c>
      <c r="O236" s="35">
        <v>0</v>
      </c>
      <c r="P236" s="35" t="s">
        <v>212</v>
      </c>
      <c r="Q236" s="35">
        <v>0</v>
      </c>
      <c r="R236" s="36" t="s">
        <v>212</v>
      </c>
      <c r="S236" s="37" t="str">
        <f>IFERROR(_xlfn.XLOOKUP(R236,'1_Presupuesto'!$E:$E,'1_Presupuesto'!$D:$D),"")</f>
        <v/>
      </c>
    </row>
    <row r="237" spans="1:19" x14ac:dyDescent="0.35">
      <c r="A237" s="31" t="s">
        <v>951</v>
      </c>
      <c r="B237" s="31" t="s">
        <v>478</v>
      </c>
      <c r="C237" s="31" t="s">
        <v>479</v>
      </c>
      <c r="D237" s="31" t="s">
        <v>484</v>
      </c>
      <c r="E237" s="31" t="s">
        <v>186</v>
      </c>
      <c r="F237" s="31" t="s">
        <v>481</v>
      </c>
      <c r="G237" s="32">
        <v>1</v>
      </c>
      <c r="H237" s="33">
        <v>0</v>
      </c>
      <c r="I237" s="34">
        <v>67240.498860267602</v>
      </c>
      <c r="J237" s="34">
        <v>67240.498860267602</v>
      </c>
      <c r="K237" s="31" t="s">
        <v>958</v>
      </c>
      <c r="L237" s="31">
        <v>1</v>
      </c>
      <c r="M237" s="31" t="s">
        <v>959</v>
      </c>
      <c r="N237" s="34">
        <v>4</v>
      </c>
      <c r="O237" s="35">
        <v>0.25</v>
      </c>
      <c r="P237" s="35" t="s">
        <v>212</v>
      </c>
      <c r="Q237" s="35">
        <v>0</v>
      </c>
      <c r="R237" s="36" t="s">
        <v>212</v>
      </c>
      <c r="S237" s="37" t="str">
        <f>IFERROR(_xlfn.XLOOKUP(R237,'1_Presupuesto'!$E:$E,'1_Presupuesto'!$D:$D),"")</f>
        <v/>
      </c>
    </row>
    <row r="238" spans="1:19" x14ac:dyDescent="0.35">
      <c r="A238" s="31" t="s">
        <v>951</v>
      </c>
      <c r="B238" s="31" t="s">
        <v>478</v>
      </c>
      <c r="C238" s="31" t="s">
        <v>479</v>
      </c>
      <c r="D238" s="31" t="s">
        <v>480</v>
      </c>
      <c r="E238" s="31" t="s">
        <v>183</v>
      </c>
      <c r="F238" s="31" t="s">
        <v>481</v>
      </c>
      <c r="G238" s="32">
        <v>1</v>
      </c>
      <c r="H238" s="33">
        <v>0</v>
      </c>
      <c r="I238" s="34">
        <v>94177.137883538904</v>
      </c>
      <c r="J238" s="34">
        <v>94177.137883538904</v>
      </c>
      <c r="K238" s="31" t="s">
        <v>958</v>
      </c>
      <c r="L238" s="31">
        <v>2</v>
      </c>
      <c r="M238" s="31" t="s">
        <v>960</v>
      </c>
      <c r="N238" s="34">
        <v>4</v>
      </c>
      <c r="O238" s="35">
        <v>0.25</v>
      </c>
      <c r="P238" s="35" t="s">
        <v>212</v>
      </c>
      <c r="Q238" s="35">
        <v>0</v>
      </c>
      <c r="R238" s="36" t="s">
        <v>212</v>
      </c>
      <c r="S238" s="37" t="str">
        <f>IFERROR(_xlfn.XLOOKUP(R238,'1_Presupuesto'!$E:$E,'1_Presupuesto'!$D:$D),"")</f>
        <v/>
      </c>
    </row>
    <row r="239" spans="1:19" x14ac:dyDescent="0.35">
      <c r="A239" s="31" t="s">
        <v>961</v>
      </c>
      <c r="B239" s="31" t="s">
        <v>497</v>
      </c>
      <c r="C239" s="31" t="s">
        <v>498</v>
      </c>
      <c r="D239" s="31" t="s">
        <v>534</v>
      </c>
      <c r="E239" s="31" t="s">
        <v>535</v>
      </c>
      <c r="F239" s="31">
        <v>0</v>
      </c>
      <c r="G239" s="32">
        <v>1.8E-3</v>
      </c>
      <c r="H239" s="33">
        <v>0.1</v>
      </c>
      <c r="I239" s="34">
        <v>32620.38</v>
      </c>
      <c r="J239" s="34">
        <v>64.588352400000005</v>
      </c>
      <c r="K239" s="31" t="s">
        <v>962</v>
      </c>
      <c r="L239" s="31">
        <v>1</v>
      </c>
      <c r="M239" s="31" t="s">
        <v>963</v>
      </c>
      <c r="N239" s="34">
        <v>5</v>
      </c>
      <c r="O239" s="35">
        <v>0</v>
      </c>
      <c r="P239" s="35" t="s">
        <v>212</v>
      </c>
      <c r="Q239" s="35">
        <v>0</v>
      </c>
      <c r="R239" s="36" t="s">
        <v>212</v>
      </c>
      <c r="S239" s="37" t="str">
        <f>IFERROR(_xlfn.XLOOKUP(R239,'1_Presupuesto'!$E:$E,'1_Presupuesto'!$D:$D),"")</f>
        <v/>
      </c>
    </row>
    <row r="240" spans="1:19" x14ac:dyDescent="0.35">
      <c r="A240" s="31" t="s">
        <v>961</v>
      </c>
      <c r="B240" s="31" t="s">
        <v>497</v>
      </c>
      <c r="C240" s="31" t="s">
        <v>498</v>
      </c>
      <c r="D240" s="31" t="s">
        <v>541</v>
      </c>
      <c r="E240" s="31" t="s">
        <v>542</v>
      </c>
      <c r="F240" s="31">
        <v>0</v>
      </c>
      <c r="G240" s="32">
        <v>1.6199999999999999E-2</v>
      </c>
      <c r="H240" s="33">
        <v>0.1</v>
      </c>
      <c r="I240" s="34">
        <v>7891.74</v>
      </c>
      <c r="J240" s="34">
        <v>140.63080679999999</v>
      </c>
      <c r="K240" s="31" t="s">
        <v>962</v>
      </c>
      <c r="L240" s="31">
        <v>2</v>
      </c>
      <c r="M240" s="31" t="s">
        <v>964</v>
      </c>
      <c r="N240" s="34">
        <v>5</v>
      </c>
      <c r="O240" s="35">
        <v>0</v>
      </c>
      <c r="P240" s="35" t="s">
        <v>212</v>
      </c>
      <c r="Q240" s="35">
        <v>0</v>
      </c>
      <c r="R240" s="36" t="s">
        <v>212</v>
      </c>
      <c r="S240" s="37" t="str">
        <f>IFERROR(_xlfn.XLOOKUP(R240,'1_Presupuesto'!$E:$E,'1_Presupuesto'!$D:$D),"")</f>
        <v/>
      </c>
    </row>
    <row r="241" spans="1:19" x14ac:dyDescent="0.35">
      <c r="A241" s="31" t="s">
        <v>961</v>
      </c>
      <c r="B241" s="31" t="s">
        <v>497</v>
      </c>
      <c r="C241" s="31" t="s">
        <v>498</v>
      </c>
      <c r="D241" s="31" t="s">
        <v>597</v>
      </c>
      <c r="E241" s="31" t="s">
        <v>598</v>
      </c>
      <c r="F241" s="31" t="s">
        <v>218</v>
      </c>
      <c r="G241" s="32">
        <v>105.6879</v>
      </c>
      <c r="H241" s="33">
        <v>0</v>
      </c>
      <c r="I241" s="34">
        <v>1</v>
      </c>
      <c r="J241" s="34">
        <v>105.6879</v>
      </c>
      <c r="K241" s="31" t="s">
        <v>962</v>
      </c>
      <c r="L241" s="31">
        <v>3</v>
      </c>
      <c r="M241" s="31" t="s">
        <v>965</v>
      </c>
      <c r="N241" s="34">
        <v>5</v>
      </c>
      <c r="O241" s="35">
        <v>0</v>
      </c>
      <c r="P241" s="35" t="s">
        <v>212</v>
      </c>
      <c r="Q241" s="35">
        <v>0</v>
      </c>
      <c r="R241" s="36" t="s">
        <v>212</v>
      </c>
      <c r="S241" s="37" t="str">
        <f>IFERROR(_xlfn.XLOOKUP(R241,'1_Presupuesto'!$E:$E,'1_Presupuesto'!$D:$D),"")</f>
        <v/>
      </c>
    </row>
    <row r="242" spans="1:19" x14ac:dyDescent="0.35">
      <c r="A242" s="31" t="s">
        <v>961</v>
      </c>
      <c r="B242" s="31" t="s">
        <v>203</v>
      </c>
      <c r="C242" s="31"/>
      <c r="D242" s="31" t="s">
        <v>609</v>
      </c>
      <c r="E242" s="31" t="s">
        <v>610</v>
      </c>
      <c r="F242" s="31"/>
      <c r="G242" s="32">
        <v>0.5</v>
      </c>
      <c r="H242" s="33">
        <v>0</v>
      </c>
      <c r="I242" s="34">
        <v>2485.8709964594</v>
      </c>
      <c r="J242" s="34">
        <v>1242.9354982297</v>
      </c>
      <c r="K242" s="31" t="s">
        <v>966</v>
      </c>
      <c r="L242" s="31">
        <v>1</v>
      </c>
      <c r="M242" s="31" t="s">
        <v>967</v>
      </c>
      <c r="N242" s="34">
        <v>5</v>
      </c>
      <c r="O242" s="35">
        <v>0</v>
      </c>
      <c r="P242" s="35" t="s">
        <v>212</v>
      </c>
      <c r="Q242" s="35">
        <v>0</v>
      </c>
      <c r="R242" s="36" t="s">
        <v>212</v>
      </c>
      <c r="S242" s="37" t="str">
        <f>IFERROR(_xlfn.XLOOKUP(R242,'1_Presupuesto'!$E:$E,'1_Presupuesto'!$D:$D),"")</f>
        <v/>
      </c>
    </row>
    <row r="243" spans="1:19" x14ac:dyDescent="0.35">
      <c r="A243" s="31" t="s">
        <v>961</v>
      </c>
      <c r="B243" s="31" t="s">
        <v>203</v>
      </c>
      <c r="C243" s="31"/>
      <c r="D243" s="31" t="s">
        <v>616</v>
      </c>
      <c r="E243" s="31" t="s">
        <v>617</v>
      </c>
      <c r="F243" s="31"/>
      <c r="G243" s="32">
        <v>0.25</v>
      </c>
      <c r="H243" s="33">
        <v>0</v>
      </c>
      <c r="I243" s="34">
        <v>1040.43144867052</v>
      </c>
      <c r="J243" s="34">
        <v>260.10786216763103</v>
      </c>
      <c r="K243" s="31" t="s">
        <v>966</v>
      </c>
      <c r="L243" s="31">
        <v>2</v>
      </c>
      <c r="M243" s="31" t="s">
        <v>968</v>
      </c>
      <c r="N243" s="34">
        <v>5</v>
      </c>
      <c r="O243" s="35">
        <v>0</v>
      </c>
      <c r="P243" s="35" t="s">
        <v>212</v>
      </c>
      <c r="Q243" s="35">
        <v>0</v>
      </c>
      <c r="R243" s="36" t="s">
        <v>212</v>
      </c>
      <c r="S243" s="37" t="str">
        <f>IFERROR(_xlfn.XLOOKUP(R243,'1_Presupuesto'!$E:$E,'1_Presupuesto'!$D:$D),"")</f>
        <v/>
      </c>
    </row>
    <row r="244" spans="1:19" x14ac:dyDescent="0.35">
      <c r="A244" s="31" t="s">
        <v>961</v>
      </c>
      <c r="B244" s="31" t="s">
        <v>478</v>
      </c>
      <c r="C244" s="31" t="s">
        <v>479</v>
      </c>
      <c r="D244" s="31" t="s">
        <v>484</v>
      </c>
      <c r="E244" s="31" t="s">
        <v>186</v>
      </c>
      <c r="F244" s="31" t="s">
        <v>481</v>
      </c>
      <c r="G244" s="32">
        <v>1</v>
      </c>
      <c r="H244" s="33">
        <v>0</v>
      </c>
      <c r="I244" s="34">
        <v>67240.498860267602</v>
      </c>
      <c r="J244" s="34">
        <v>67240.498860267602</v>
      </c>
      <c r="K244" s="31" t="s">
        <v>969</v>
      </c>
      <c r="L244" s="31">
        <v>1</v>
      </c>
      <c r="M244" s="31" t="s">
        <v>970</v>
      </c>
      <c r="N244" s="34">
        <v>5</v>
      </c>
      <c r="O244" s="35">
        <v>0.2</v>
      </c>
      <c r="P244" s="35" t="s">
        <v>212</v>
      </c>
      <c r="Q244" s="35">
        <v>0</v>
      </c>
      <c r="R244" s="36" t="s">
        <v>212</v>
      </c>
      <c r="S244" s="37" t="str">
        <f>IFERROR(_xlfn.XLOOKUP(R244,'1_Presupuesto'!$E:$E,'1_Presupuesto'!$D:$D),"")</f>
        <v/>
      </c>
    </row>
    <row r="245" spans="1:19" x14ac:dyDescent="0.35">
      <c r="A245" s="31" t="s">
        <v>961</v>
      </c>
      <c r="B245" s="31" t="s">
        <v>478</v>
      </c>
      <c r="C245" s="31" t="s">
        <v>479</v>
      </c>
      <c r="D245" s="31" t="s">
        <v>480</v>
      </c>
      <c r="E245" s="31" t="s">
        <v>183</v>
      </c>
      <c r="F245" s="31" t="s">
        <v>481</v>
      </c>
      <c r="G245" s="32">
        <v>1</v>
      </c>
      <c r="H245" s="33">
        <v>0</v>
      </c>
      <c r="I245" s="34">
        <v>94177.137883538904</v>
      </c>
      <c r="J245" s="34">
        <v>94177.137883538904</v>
      </c>
      <c r="K245" s="31" t="s">
        <v>969</v>
      </c>
      <c r="L245" s="31">
        <v>2</v>
      </c>
      <c r="M245" s="31" t="s">
        <v>971</v>
      </c>
      <c r="N245" s="34">
        <v>5</v>
      </c>
      <c r="O245" s="35">
        <v>0.2</v>
      </c>
      <c r="P245" s="35" t="s">
        <v>212</v>
      </c>
      <c r="Q245" s="35">
        <v>0</v>
      </c>
      <c r="R245" s="36" t="s">
        <v>212</v>
      </c>
      <c r="S245" s="37" t="str">
        <f>IFERROR(_xlfn.XLOOKUP(R245,'1_Presupuesto'!$E:$E,'1_Presupuesto'!$D:$D),"")</f>
        <v/>
      </c>
    </row>
    <row r="246" spans="1:19" x14ac:dyDescent="0.35">
      <c r="A246" s="31" t="s">
        <v>972</v>
      </c>
      <c r="B246" s="31" t="s">
        <v>497</v>
      </c>
      <c r="C246" s="31" t="s">
        <v>498</v>
      </c>
      <c r="D246" s="31" t="s">
        <v>534</v>
      </c>
      <c r="E246" s="31" t="s">
        <v>535</v>
      </c>
      <c r="F246" s="31">
        <v>0</v>
      </c>
      <c r="G246" s="32">
        <v>6.0000000000000001E-3</v>
      </c>
      <c r="H246" s="33">
        <v>0.1</v>
      </c>
      <c r="I246" s="34">
        <v>32620.38</v>
      </c>
      <c r="J246" s="34">
        <v>215.29450800000001</v>
      </c>
      <c r="K246" s="31" t="s">
        <v>973</v>
      </c>
      <c r="L246" s="31">
        <v>1</v>
      </c>
      <c r="M246" s="31" t="s">
        <v>974</v>
      </c>
      <c r="N246" s="34">
        <v>28</v>
      </c>
      <c r="O246" s="35">
        <v>0</v>
      </c>
      <c r="P246" s="35" t="s">
        <v>212</v>
      </c>
      <c r="Q246" s="35">
        <v>0</v>
      </c>
      <c r="R246" s="36" t="s">
        <v>212</v>
      </c>
      <c r="S246" s="37" t="str">
        <f>IFERROR(_xlfn.XLOOKUP(R246,'1_Presupuesto'!$E:$E,'1_Presupuesto'!$D:$D),"")</f>
        <v/>
      </c>
    </row>
    <row r="247" spans="1:19" x14ac:dyDescent="0.35">
      <c r="A247" s="31" t="s">
        <v>972</v>
      </c>
      <c r="B247" s="31" t="s">
        <v>497</v>
      </c>
      <c r="C247" s="31" t="s">
        <v>498</v>
      </c>
      <c r="D247" s="31" t="s">
        <v>909</v>
      </c>
      <c r="E247" s="31" t="s">
        <v>910</v>
      </c>
      <c r="F247" s="31">
        <v>0</v>
      </c>
      <c r="G247" s="32">
        <v>0.1</v>
      </c>
      <c r="H247" s="33">
        <v>0.05</v>
      </c>
      <c r="I247" s="34">
        <v>1363.95</v>
      </c>
      <c r="J247" s="34">
        <v>143.21475000000001</v>
      </c>
      <c r="K247" s="31" t="s">
        <v>973</v>
      </c>
      <c r="L247" s="31">
        <v>2</v>
      </c>
      <c r="M247" s="31" t="s">
        <v>975</v>
      </c>
      <c r="N247" s="34">
        <v>28</v>
      </c>
      <c r="O247" s="35">
        <v>0</v>
      </c>
      <c r="P247" s="35" t="s">
        <v>212</v>
      </c>
      <c r="Q247" s="35">
        <v>0</v>
      </c>
      <c r="R247" s="36" t="s">
        <v>212</v>
      </c>
      <c r="S247" s="37" t="str">
        <f>IFERROR(_xlfn.XLOOKUP(R247,'1_Presupuesto'!$E:$E,'1_Presupuesto'!$D:$D),"")</f>
        <v/>
      </c>
    </row>
    <row r="248" spans="1:19" x14ac:dyDescent="0.35">
      <c r="A248" s="31" t="s">
        <v>972</v>
      </c>
      <c r="B248" s="31" t="s">
        <v>497</v>
      </c>
      <c r="C248" s="31" t="s">
        <v>498</v>
      </c>
      <c r="D248" s="31" t="s">
        <v>541</v>
      </c>
      <c r="E248" s="31" t="s">
        <v>542</v>
      </c>
      <c r="F248" s="31">
        <v>0</v>
      </c>
      <c r="G248" s="32">
        <v>5.3999999999999999E-2</v>
      </c>
      <c r="H248" s="33">
        <v>0.1</v>
      </c>
      <c r="I248" s="34">
        <v>7891.74</v>
      </c>
      <c r="J248" s="34">
        <v>468.76935600000002</v>
      </c>
      <c r="K248" s="31" t="s">
        <v>973</v>
      </c>
      <c r="L248" s="31">
        <v>3</v>
      </c>
      <c r="M248" s="31" t="s">
        <v>976</v>
      </c>
      <c r="N248" s="34">
        <v>28</v>
      </c>
      <c r="O248" s="35">
        <v>0</v>
      </c>
      <c r="P248" s="35" t="s">
        <v>212</v>
      </c>
      <c r="Q248" s="35">
        <v>0</v>
      </c>
      <c r="R248" s="36" t="s">
        <v>212</v>
      </c>
      <c r="S248" s="37" t="str">
        <f>IFERROR(_xlfn.XLOOKUP(R248,'1_Presupuesto'!$E:$E,'1_Presupuesto'!$D:$D),"")</f>
        <v/>
      </c>
    </row>
    <row r="249" spans="1:19" x14ac:dyDescent="0.35">
      <c r="A249" s="31" t="s">
        <v>972</v>
      </c>
      <c r="B249" s="31" t="s">
        <v>203</v>
      </c>
      <c r="C249" s="31"/>
      <c r="D249" s="31" t="s">
        <v>613</v>
      </c>
      <c r="E249" s="31" t="s">
        <v>614</v>
      </c>
      <c r="F249" s="31"/>
      <c r="G249" s="32">
        <v>0.5</v>
      </c>
      <c r="H249" s="33">
        <v>0</v>
      </c>
      <c r="I249" s="34">
        <v>620.81078197718296</v>
      </c>
      <c r="J249" s="34">
        <v>310.40539098859199</v>
      </c>
      <c r="K249" s="31" t="s">
        <v>977</v>
      </c>
      <c r="L249" s="31">
        <v>1</v>
      </c>
      <c r="M249" s="31" t="s">
        <v>978</v>
      </c>
      <c r="N249" s="34">
        <v>28</v>
      </c>
      <c r="O249" s="35">
        <v>0</v>
      </c>
      <c r="P249" s="35" t="s">
        <v>212</v>
      </c>
      <c r="Q249" s="35">
        <v>0</v>
      </c>
      <c r="R249" s="36" t="s">
        <v>212</v>
      </c>
      <c r="S249" s="37" t="str">
        <f>IFERROR(_xlfn.XLOOKUP(R249,'1_Presupuesto'!$E:$E,'1_Presupuesto'!$D:$D),"")</f>
        <v/>
      </c>
    </row>
    <row r="250" spans="1:19" x14ac:dyDescent="0.35">
      <c r="A250" s="31" t="s">
        <v>972</v>
      </c>
      <c r="B250" s="31" t="s">
        <v>203</v>
      </c>
      <c r="C250" s="31"/>
      <c r="D250" s="31" t="s">
        <v>609</v>
      </c>
      <c r="E250" s="31" t="s">
        <v>610</v>
      </c>
      <c r="F250" s="31"/>
      <c r="G250" s="32">
        <v>1</v>
      </c>
      <c r="H250" s="33">
        <v>0</v>
      </c>
      <c r="I250" s="34">
        <v>2485.8709964594</v>
      </c>
      <c r="J250" s="34">
        <v>2485.8709964594</v>
      </c>
      <c r="K250" s="31" t="s">
        <v>977</v>
      </c>
      <c r="L250" s="31">
        <v>2</v>
      </c>
      <c r="M250" s="31" t="s">
        <v>979</v>
      </c>
      <c r="N250" s="34">
        <v>28</v>
      </c>
      <c r="O250" s="35">
        <v>0</v>
      </c>
      <c r="P250" s="35" t="s">
        <v>212</v>
      </c>
      <c r="Q250" s="35">
        <v>0</v>
      </c>
      <c r="R250" s="36" t="s">
        <v>212</v>
      </c>
      <c r="S250" s="37" t="str">
        <f>IFERROR(_xlfn.XLOOKUP(R250,'1_Presupuesto'!$E:$E,'1_Presupuesto'!$D:$D),"")</f>
        <v/>
      </c>
    </row>
    <row r="251" spans="1:19" x14ac:dyDescent="0.35">
      <c r="A251" s="31" t="s">
        <v>972</v>
      </c>
      <c r="B251" s="31" t="s">
        <v>203</v>
      </c>
      <c r="C251" s="31"/>
      <c r="D251" s="31" t="s">
        <v>616</v>
      </c>
      <c r="E251" s="31" t="s">
        <v>617</v>
      </c>
      <c r="F251" s="31"/>
      <c r="G251" s="32">
        <v>1</v>
      </c>
      <c r="H251" s="33">
        <v>0</v>
      </c>
      <c r="I251" s="34">
        <v>1040.43144867052</v>
      </c>
      <c r="J251" s="34">
        <v>1040.43144867052</v>
      </c>
      <c r="K251" s="31" t="s">
        <v>977</v>
      </c>
      <c r="L251" s="31">
        <v>3</v>
      </c>
      <c r="M251" s="31" t="s">
        <v>980</v>
      </c>
      <c r="N251" s="34">
        <v>28</v>
      </c>
      <c r="O251" s="35">
        <v>0</v>
      </c>
      <c r="P251" s="35" t="s">
        <v>212</v>
      </c>
      <c r="Q251" s="35">
        <v>0</v>
      </c>
      <c r="R251" s="36" t="s">
        <v>212</v>
      </c>
      <c r="S251" s="37" t="str">
        <f>IFERROR(_xlfn.XLOOKUP(R251,'1_Presupuesto'!$E:$E,'1_Presupuesto'!$D:$D),"")</f>
        <v/>
      </c>
    </row>
    <row r="252" spans="1:19" x14ac:dyDescent="0.35">
      <c r="A252" s="31" t="s">
        <v>972</v>
      </c>
      <c r="B252" s="31" t="s">
        <v>478</v>
      </c>
      <c r="C252" s="31" t="s">
        <v>479</v>
      </c>
      <c r="D252" s="31" t="s">
        <v>484</v>
      </c>
      <c r="E252" s="31" t="s">
        <v>186</v>
      </c>
      <c r="F252" s="31" t="s">
        <v>481</v>
      </c>
      <c r="G252" s="32">
        <v>0.4</v>
      </c>
      <c r="H252" s="33">
        <v>0</v>
      </c>
      <c r="I252" s="34">
        <v>67240.498860267602</v>
      </c>
      <c r="J252" s="34">
        <v>26896.199544106999</v>
      </c>
      <c r="K252" s="31" t="s">
        <v>981</v>
      </c>
      <c r="L252" s="31">
        <v>1</v>
      </c>
      <c r="M252" s="31" t="s">
        <v>982</v>
      </c>
      <c r="N252" s="34">
        <v>28</v>
      </c>
      <c r="O252" s="35">
        <v>1.4285714285714299E-2</v>
      </c>
      <c r="P252" s="35" t="s">
        <v>212</v>
      </c>
      <c r="Q252" s="35">
        <v>0</v>
      </c>
      <c r="R252" s="36" t="s">
        <v>212</v>
      </c>
      <c r="S252" s="37" t="str">
        <f>IFERROR(_xlfn.XLOOKUP(R252,'1_Presupuesto'!$E:$E,'1_Presupuesto'!$D:$D),"")</f>
        <v/>
      </c>
    </row>
    <row r="253" spans="1:19" x14ac:dyDescent="0.35">
      <c r="A253" s="31" t="s">
        <v>972</v>
      </c>
      <c r="B253" s="31" t="s">
        <v>478</v>
      </c>
      <c r="C253" s="31" t="s">
        <v>479</v>
      </c>
      <c r="D253" s="31" t="s">
        <v>480</v>
      </c>
      <c r="E253" s="31" t="s">
        <v>183</v>
      </c>
      <c r="F253" s="31" t="s">
        <v>481</v>
      </c>
      <c r="G253" s="32">
        <v>1</v>
      </c>
      <c r="H253" s="33">
        <v>0</v>
      </c>
      <c r="I253" s="34">
        <v>94177.137883538904</v>
      </c>
      <c r="J253" s="34">
        <v>94177.137883538904</v>
      </c>
      <c r="K253" s="31" t="s">
        <v>981</v>
      </c>
      <c r="L253" s="31">
        <v>2</v>
      </c>
      <c r="M253" s="31" t="s">
        <v>983</v>
      </c>
      <c r="N253" s="34">
        <v>28</v>
      </c>
      <c r="O253" s="35">
        <v>3.5714285714285698E-2</v>
      </c>
      <c r="P253" s="35" t="s">
        <v>212</v>
      </c>
      <c r="Q253" s="35">
        <v>0</v>
      </c>
      <c r="R253" s="36" t="s">
        <v>212</v>
      </c>
      <c r="S253" s="37" t="str">
        <f>IFERROR(_xlfn.XLOOKUP(R253,'1_Presupuesto'!$E:$E,'1_Presupuesto'!$D:$D),"")</f>
        <v/>
      </c>
    </row>
    <row r="254" spans="1:19" x14ac:dyDescent="0.35">
      <c r="A254" s="31" t="s">
        <v>984</v>
      </c>
      <c r="B254" s="31" t="s">
        <v>497</v>
      </c>
      <c r="C254" s="31" t="s">
        <v>498</v>
      </c>
      <c r="D254" s="31" t="s">
        <v>534</v>
      </c>
      <c r="E254" s="31" t="s">
        <v>535</v>
      </c>
      <c r="F254" s="31">
        <v>0</v>
      </c>
      <c r="G254" s="32">
        <v>2.7E-2</v>
      </c>
      <c r="H254" s="33">
        <v>0.1</v>
      </c>
      <c r="I254" s="34">
        <v>32620.38</v>
      </c>
      <c r="J254" s="34">
        <v>968.82528600000001</v>
      </c>
      <c r="K254" s="31" t="s">
        <v>985</v>
      </c>
      <c r="L254" s="31">
        <v>1</v>
      </c>
      <c r="M254" s="31" t="s">
        <v>986</v>
      </c>
      <c r="N254" s="34">
        <v>6</v>
      </c>
      <c r="O254" s="35">
        <v>0</v>
      </c>
      <c r="P254" s="35" t="s">
        <v>212</v>
      </c>
      <c r="Q254" s="35">
        <v>0</v>
      </c>
      <c r="R254" s="36" t="s">
        <v>212</v>
      </c>
      <c r="S254" s="37" t="str">
        <f>IFERROR(_xlfn.XLOOKUP(R254,'1_Presupuesto'!$E:$E,'1_Presupuesto'!$D:$D),"")</f>
        <v/>
      </c>
    </row>
    <row r="255" spans="1:19" x14ac:dyDescent="0.35">
      <c r="A255" s="31" t="s">
        <v>984</v>
      </c>
      <c r="B255" s="31" t="s">
        <v>497</v>
      </c>
      <c r="C255" s="31" t="s">
        <v>498</v>
      </c>
      <c r="D255" s="31" t="s">
        <v>538</v>
      </c>
      <c r="E255" s="31" t="s">
        <v>539</v>
      </c>
      <c r="F255" s="31">
        <v>0</v>
      </c>
      <c r="G255" s="32">
        <v>0.14399999999999999</v>
      </c>
      <c r="H255" s="33">
        <v>0.1</v>
      </c>
      <c r="I255" s="34">
        <v>3927.28</v>
      </c>
      <c r="J255" s="34">
        <v>622.08115199999997</v>
      </c>
      <c r="K255" s="31" t="s">
        <v>985</v>
      </c>
      <c r="L255" s="31">
        <v>2</v>
      </c>
      <c r="M255" s="31" t="s">
        <v>987</v>
      </c>
      <c r="N255" s="34">
        <v>6</v>
      </c>
      <c r="O255" s="35">
        <v>0</v>
      </c>
      <c r="P255" s="35" t="s">
        <v>212</v>
      </c>
      <c r="Q255" s="35">
        <v>0</v>
      </c>
      <c r="R255" s="36" t="s">
        <v>212</v>
      </c>
      <c r="S255" s="37" t="str">
        <f>IFERROR(_xlfn.XLOOKUP(R255,'1_Presupuesto'!$E:$E,'1_Presupuesto'!$D:$D),"")</f>
        <v/>
      </c>
    </row>
    <row r="256" spans="1:19" x14ac:dyDescent="0.35">
      <c r="A256" s="31" t="s">
        <v>984</v>
      </c>
      <c r="B256" s="31" t="s">
        <v>497</v>
      </c>
      <c r="C256" s="31" t="s">
        <v>498</v>
      </c>
      <c r="D256" s="31" t="s">
        <v>541</v>
      </c>
      <c r="E256" s="31" t="s">
        <v>542</v>
      </c>
      <c r="F256" s="31">
        <v>0</v>
      </c>
      <c r="G256" s="32">
        <v>4.5999999999999999E-2</v>
      </c>
      <c r="H256" s="33">
        <v>0.1</v>
      </c>
      <c r="I256" s="34">
        <v>7891.74</v>
      </c>
      <c r="J256" s="34">
        <v>399.32204400000001</v>
      </c>
      <c r="K256" s="31" t="s">
        <v>985</v>
      </c>
      <c r="L256" s="31">
        <v>3</v>
      </c>
      <c r="M256" s="31" t="s">
        <v>988</v>
      </c>
      <c r="N256" s="34">
        <v>6</v>
      </c>
      <c r="O256" s="35">
        <v>0</v>
      </c>
      <c r="P256" s="35" t="s">
        <v>212</v>
      </c>
      <c r="Q256" s="35">
        <v>0</v>
      </c>
      <c r="R256" s="36" t="s">
        <v>212</v>
      </c>
      <c r="S256" s="37" t="str">
        <f>IFERROR(_xlfn.XLOOKUP(R256,'1_Presupuesto'!$E:$E,'1_Presupuesto'!$D:$D),"")</f>
        <v/>
      </c>
    </row>
    <row r="257" spans="1:19" x14ac:dyDescent="0.35">
      <c r="A257" s="31" t="s">
        <v>984</v>
      </c>
      <c r="B257" s="31" t="s">
        <v>203</v>
      </c>
      <c r="C257" s="31"/>
      <c r="D257" s="31" t="s">
        <v>613</v>
      </c>
      <c r="E257" s="31" t="s">
        <v>614</v>
      </c>
      <c r="F257" s="31"/>
      <c r="G257" s="32">
        <v>0.5</v>
      </c>
      <c r="H257" s="33">
        <v>0</v>
      </c>
      <c r="I257" s="34">
        <v>620.81078197718296</v>
      </c>
      <c r="J257" s="34">
        <v>310.40539098859199</v>
      </c>
      <c r="K257" s="31" t="s">
        <v>989</v>
      </c>
      <c r="L257" s="31">
        <v>1</v>
      </c>
      <c r="M257" s="31" t="s">
        <v>990</v>
      </c>
      <c r="N257" s="34">
        <v>6</v>
      </c>
      <c r="O257" s="35">
        <v>0</v>
      </c>
      <c r="P257" s="35" t="s">
        <v>212</v>
      </c>
      <c r="Q257" s="35">
        <v>0</v>
      </c>
      <c r="R257" s="36" t="s">
        <v>212</v>
      </c>
      <c r="S257" s="37" t="str">
        <f>IFERROR(_xlfn.XLOOKUP(R257,'1_Presupuesto'!$E:$E,'1_Presupuesto'!$D:$D),"")</f>
        <v/>
      </c>
    </row>
    <row r="258" spans="1:19" x14ac:dyDescent="0.35">
      <c r="A258" s="31" t="s">
        <v>984</v>
      </c>
      <c r="B258" s="31" t="s">
        <v>203</v>
      </c>
      <c r="C258" s="31"/>
      <c r="D258" s="31" t="s">
        <v>609</v>
      </c>
      <c r="E258" s="31" t="s">
        <v>610</v>
      </c>
      <c r="F258" s="31"/>
      <c r="G258" s="32">
        <v>1</v>
      </c>
      <c r="H258" s="33">
        <v>0</v>
      </c>
      <c r="I258" s="34">
        <v>2485.8709964594</v>
      </c>
      <c r="J258" s="34">
        <v>2485.8709964594</v>
      </c>
      <c r="K258" s="31" t="s">
        <v>989</v>
      </c>
      <c r="L258" s="31">
        <v>2</v>
      </c>
      <c r="M258" s="31" t="s">
        <v>991</v>
      </c>
      <c r="N258" s="34">
        <v>6</v>
      </c>
      <c r="O258" s="35">
        <v>0</v>
      </c>
      <c r="P258" s="35" t="s">
        <v>212</v>
      </c>
      <c r="Q258" s="35">
        <v>0</v>
      </c>
      <c r="R258" s="36" t="s">
        <v>212</v>
      </c>
      <c r="S258" s="37" t="str">
        <f>IFERROR(_xlfn.XLOOKUP(R258,'1_Presupuesto'!$E:$E,'1_Presupuesto'!$D:$D),"")</f>
        <v/>
      </c>
    </row>
    <row r="259" spans="1:19" x14ac:dyDescent="0.35">
      <c r="A259" s="31" t="s">
        <v>984</v>
      </c>
      <c r="B259" s="31" t="s">
        <v>203</v>
      </c>
      <c r="C259" s="31"/>
      <c r="D259" s="31" t="s">
        <v>616</v>
      </c>
      <c r="E259" s="31" t="s">
        <v>617</v>
      </c>
      <c r="F259" s="31"/>
      <c r="G259" s="32">
        <v>1</v>
      </c>
      <c r="H259" s="33">
        <v>0</v>
      </c>
      <c r="I259" s="34">
        <v>1040.43144867052</v>
      </c>
      <c r="J259" s="34">
        <v>1040.43144867052</v>
      </c>
      <c r="K259" s="31" t="s">
        <v>989</v>
      </c>
      <c r="L259" s="31">
        <v>3</v>
      </c>
      <c r="M259" s="31" t="s">
        <v>992</v>
      </c>
      <c r="N259" s="34">
        <v>6</v>
      </c>
      <c r="O259" s="35">
        <v>0</v>
      </c>
      <c r="P259" s="35" t="s">
        <v>212</v>
      </c>
      <c r="Q259" s="35">
        <v>0</v>
      </c>
      <c r="R259" s="36" t="s">
        <v>212</v>
      </c>
      <c r="S259" s="37" t="str">
        <f>IFERROR(_xlfn.XLOOKUP(R259,'1_Presupuesto'!$E:$E,'1_Presupuesto'!$D:$D),"")</f>
        <v/>
      </c>
    </row>
    <row r="260" spans="1:19" x14ac:dyDescent="0.35">
      <c r="A260" s="31" t="s">
        <v>984</v>
      </c>
      <c r="B260" s="31" t="s">
        <v>478</v>
      </c>
      <c r="C260" s="31" t="s">
        <v>479</v>
      </c>
      <c r="D260" s="31" t="s">
        <v>484</v>
      </c>
      <c r="E260" s="31" t="s">
        <v>186</v>
      </c>
      <c r="F260" s="31" t="s">
        <v>481</v>
      </c>
      <c r="G260" s="32">
        <v>0.65</v>
      </c>
      <c r="H260" s="33">
        <v>0</v>
      </c>
      <c r="I260" s="34">
        <v>67240.498860267602</v>
      </c>
      <c r="J260" s="34">
        <v>43706.324259173904</v>
      </c>
      <c r="K260" s="31" t="s">
        <v>993</v>
      </c>
      <c r="L260" s="31">
        <v>1</v>
      </c>
      <c r="M260" s="31" t="s">
        <v>994</v>
      </c>
      <c r="N260" s="34">
        <v>6</v>
      </c>
      <c r="O260" s="35">
        <v>0.108333333333333</v>
      </c>
      <c r="P260" s="35" t="s">
        <v>212</v>
      </c>
      <c r="Q260" s="35">
        <v>0</v>
      </c>
      <c r="R260" s="36" t="s">
        <v>212</v>
      </c>
      <c r="S260" s="37" t="str">
        <f>IFERROR(_xlfn.XLOOKUP(R260,'1_Presupuesto'!$E:$E,'1_Presupuesto'!$D:$D),"")</f>
        <v/>
      </c>
    </row>
    <row r="261" spans="1:19" x14ac:dyDescent="0.35">
      <c r="A261" s="31" t="s">
        <v>984</v>
      </c>
      <c r="B261" s="31" t="s">
        <v>478</v>
      </c>
      <c r="C261" s="31" t="s">
        <v>479</v>
      </c>
      <c r="D261" s="31" t="s">
        <v>480</v>
      </c>
      <c r="E261" s="31" t="s">
        <v>183</v>
      </c>
      <c r="F261" s="31" t="s">
        <v>481</v>
      </c>
      <c r="G261" s="32">
        <v>1</v>
      </c>
      <c r="H261" s="33">
        <v>0</v>
      </c>
      <c r="I261" s="34">
        <v>94177.137883538904</v>
      </c>
      <c r="J261" s="34">
        <v>94177.137883538904</v>
      </c>
      <c r="K261" s="31" t="s">
        <v>993</v>
      </c>
      <c r="L261" s="31">
        <v>2</v>
      </c>
      <c r="M261" s="31" t="s">
        <v>995</v>
      </c>
      <c r="N261" s="34">
        <v>6</v>
      </c>
      <c r="O261" s="35">
        <v>0.16666666666666699</v>
      </c>
      <c r="P261" s="35" t="s">
        <v>212</v>
      </c>
      <c r="Q261" s="35">
        <v>0</v>
      </c>
      <c r="R261" s="36" t="s">
        <v>212</v>
      </c>
      <c r="S261" s="37" t="str">
        <f>IFERROR(_xlfn.XLOOKUP(R261,'1_Presupuesto'!$E:$E,'1_Presupuesto'!$D:$D),"")</f>
        <v/>
      </c>
    </row>
    <row r="262" spans="1:19" x14ac:dyDescent="0.35">
      <c r="A262" s="31" t="s">
        <v>996</v>
      </c>
      <c r="B262" s="31" t="s">
        <v>497</v>
      </c>
      <c r="C262" s="31" t="s">
        <v>498</v>
      </c>
      <c r="D262" s="31" t="s">
        <v>534</v>
      </c>
      <c r="E262" s="31" t="s">
        <v>535</v>
      </c>
      <c r="F262" s="31">
        <v>0</v>
      </c>
      <c r="G262" s="32">
        <v>2.5999999999999999E-2</v>
      </c>
      <c r="H262" s="33">
        <v>0.1</v>
      </c>
      <c r="I262" s="34">
        <v>32620.38</v>
      </c>
      <c r="J262" s="34">
        <v>932.94286799999998</v>
      </c>
      <c r="K262" s="31" t="s">
        <v>997</v>
      </c>
      <c r="L262" s="31">
        <v>1</v>
      </c>
      <c r="M262" s="31" t="s">
        <v>998</v>
      </c>
      <c r="N262" s="34">
        <v>11.5</v>
      </c>
      <c r="O262" s="35">
        <v>0</v>
      </c>
      <c r="P262" s="35" t="s">
        <v>212</v>
      </c>
      <c r="Q262" s="35">
        <v>0</v>
      </c>
      <c r="R262" s="36" t="s">
        <v>212</v>
      </c>
      <c r="S262" s="37" t="str">
        <f>IFERROR(_xlfn.XLOOKUP(R262,'1_Presupuesto'!$E:$E,'1_Presupuesto'!$D:$D),"")</f>
        <v/>
      </c>
    </row>
    <row r="263" spans="1:19" x14ac:dyDescent="0.35">
      <c r="A263" s="31" t="s">
        <v>996</v>
      </c>
      <c r="B263" s="31" t="s">
        <v>497</v>
      </c>
      <c r="C263" s="31" t="s">
        <v>498</v>
      </c>
      <c r="D263" s="31" t="s">
        <v>909</v>
      </c>
      <c r="E263" s="31" t="s">
        <v>910</v>
      </c>
      <c r="F263" s="31">
        <v>0</v>
      </c>
      <c r="G263" s="32">
        <v>0.1</v>
      </c>
      <c r="H263" s="33">
        <v>0.05</v>
      </c>
      <c r="I263" s="34">
        <v>1363.95</v>
      </c>
      <c r="J263" s="34">
        <v>143.21475000000001</v>
      </c>
      <c r="K263" s="31" t="s">
        <v>997</v>
      </c>
      <c r="L263" s="31">
        <v>2</v>
      </c>
      <c r="M263" s="31" t="s">
        <v>999</v>
      </c>
      <c r="N263" s="34">
        <v>11.5</v>
      </c>
      <c r="O263" s="35">
        <v>0</v>
      </c>
      <c r="P263" s="35" t="s">
        <v>212</v>
      </c>
      <c r="Q263" s="35">
        <v>0</v>
      </c>
      <c r="R263" s="36" t="s">
        <v>212</v>
      </c>
      <c r="S263" s="37" t="str">
        <f>IFERROR(_xlfn.XLOOKUP(R263,'1_Presupuesto'!$E:$E,'1_Presupuesto'!$D:$D),"")</f>
        <v/>
      </c>
    </row>
    <row r="264" spans="1:19" x14ac:dyDescent="0.35">
      <c r="A264" s="31" t="s">
        <v>996</v>
      </c>
      <c r="B264" s="31" t="s">
        <v>497</v>
      </c>
      <c r="C264" s="31" t="s">
        <v>498</v>
      </c>
      <c r="D264" s="31" t="s">
        <v>541</v>
      </c>
      <c r="E264" s="31" t="s">
        <v>542</v>
      </c>
      <c r="F264" s="31">
        <v>0</v>
      </c>
      <c r="G264" s="32">
        <v>0.314</v>
      </c>
      <c r="H264" s="33">
        <v>0.1</v>
      </c>
      <c r="I264" s="34">
        <v>7891.74</v>
      </c>
      <c r="J264" s="34">
        <v>2725.8069959999998</v>
      </c>
      <c r="K264" s="31" t="s">
        <v>997</v>
      </c>
      <c r="L264" s="31">
        <v>3</v>
      </c>
      <c r="M264" s="31" t="s">
        <v>1000</v>
      </c>
      <c r="N264" s="34">
        <v>11.5</v>
      </c>
      <c r="O264" s="35">
        <v>0</v>
      </c>
      <c r="P264" s="35" t="s">
        <v>212</v>
      </c>
      <c r="Q264" s="35">
        <v>0</v>
      </c>
      <c r="R264" s="36" t="s">
        <v>212</v>
      </c>
      <c r="S264" s="37" t="str">
        <f>IFERROR(_xlfn.XLOOKUP(R264,'1_Presupuesto'!$E:$E,'1_Presupuesto'!$D:$D),"")</f>
        <v/>
      </c>
    </row>
    <row r="265" spans="1:19" x14ac:dyDescent="0.35">
      <c r="A265" s="31" t="s">
        <v>996</v>
      </c>
      <c r="B265" s="31" t="s">
        <v>497</v>
      </c>
      <c r="C265" s="31" t="s">
        <v>498</v>
      </c>
      <c r="D265" s="31" t="s">
        <v>538</v>
      </c>
      <c r="E265" s="31" t="s">
        <v>539</v>
      </c>
      <c r="F265" s="31">
        <v>0</v>
      </c>
      <c r="G265" s="32">
        <v>0.06</v>
      </c>
      <c r="H265" s="33">
        <v>0.1</v>
      </c>
      <c r="I265" s="34">
        <v>3927.28</v>
      </c>
      <c r="J265" s="34">
        <v>259.20048000000003</v>
      </c>
      <c r="K265" s="31" t="s">
        <v>997</v>
      </c>
      <c r="L265" s="31">
        <v>4</v>
      </c>
      <c r="M265" s="31" t="s">
        <v>1001</v>
      </c>
      <c r="N265" s="34">
        <v>11.5</v>
      </c>
      <c r="O265" s="35">
        <v>0</v>
      </c>
      <c r="P265" s="35" t="s">
        <v>212</v>
      </c>
      <c r="Q265" s="35">
        <v>0</v>
      </c>
      <c r="R265" s="36" t="s">
        <v>212</v>
      </c>
      <c r="S265" s="37" t="str">
        <f>IFERROR(_xlfn.XLOOKUP(R265,'1_Presupuesto'!$E:$E,'1_Presupuesto'!$D:$D),"")</f>
        <v/>
      </c>
    </row>
    <row r="266" spans="1:19" x14ac:dyDescent="0.35">
      <c r="A266" s="31" t="s">
        <v>996</v>
      </c>
      <c r="B266" s="31" t="s">
        <v>203</v>
      </c>
      <c r="C266" s="31"/>
      <c r="D266" s="31" t="s">
        <v>613</v>
      </c>
      <c r="E266" s="31" t="s">
        <v>614</v>
      </c>
      <c r="F266" s="31"/>
      <c r="G266" s="32">
        <v>0.5</v>
      </c>
      <c r="H266" s="33">
        <v>0</v>
      </c>
      <c r="I266" s="34">
        <v>620.81078197718296</v>
      </c>
      <c r="J266" s="34">
        <v>310.40539098859199</v>
      </c>
      <c r="K266" s="31" t="s">
        <v>1002</v>
      </c>
      <c r="L266" s="31">
        <v>1</v>
      </c>
      <c r="M266" s="31" t="s">
        <v>1003</v>
      </c>
      <c r="N266" s="34">
        <v>11.5</v>
      </c>
      <c r="O266" s="35">
        <v>0</v>
      </c>
      <c r="P266" s="35" t="s">
        <v>212</v>
      </c>
      <c r="Q266" s="35">
        <v>0</v>
      </c>
      <c r="R266" s="36" t="s">
        <v>212</v>
      </c>
      <c r="S266" s="37" t="str">
        <f>IFERROR(_xlfn.XLOOKUP(R266,'1_Presupuesto'!$E:$E,'1_Presupuesto'!$D:$D),"")</f>
        <v/>
      </c>
    </row>
    <row r="267" spans="1:19" x14ac:dyDescent="0.35">
      <c r="A267" s="31" t="s">
        <v>996</v>
      </c>
      <c r="B267" s="31" t="s">
        <v>203</v>
      </c>
      <c r="C267" s="31"/>
      <c r="D267" s="31" t="s">
        <v>609</v>
      </c>
      <c r="E267" s="31" t="s">
        <v>610</v>
      </c>
      <c r="F267" s="31"/>
      <c r="G267" s="32">
        <v>1</v>
      </c>
      <c r="H267" s="33">
        <v>0</v>
      </c>
      <c r="I267" s="34">
        <v>2485.8709964594</v>
      </c>
      <c r="J267" s="34">
        <v>2485.8709964594</v>
      </c>
      <c r="K267" s="31" t="s">
        <v>1002</v>
      </c>
      <c r="L267" s="31">
        <v>2</v>
      </c>
      <c r="M267" s="31" t="s">
        <v>1004</v>
      </c>
      <c r="N267" s="34">
        <v>11.5</v>
      </c>
      <c r="O267" s="35">
        <v>0</v>
      </c>
      <c r="P267" s="35" t="s">
        <v>212</v>
      </c>
      <c r="Q267" s="35">
        <v>0</v>
      </c>
      <c r="R267" s="36" t="s">
        <v>212</v>
      </c>
      <c r="S267" s="37" t="str">
        <f>IFERROR(_xlfn.XLOOKUP(R267,'1_Presupuesto'!$E:$E,'1_Presupuesto'!$D:$D),"")</f>
        <v/>
      </c>
    </row>
    <row r="268" spans="1:19" x14ac:dyDescent="0.35">
      <c r="A268" s="31" t="s">
        <v>996</v>
      </c>
      <c r="B268" s="31" t="s">
        <v>203</v>
      </c>
      <c r="C268" s="31"/>
      <c r="D268" s="31" t="s">
        <v>616</v>
      </c>
      <c r="E268" s="31" t="s">
        <v>617</v>
      </c>
      <c r="F268" s="31"/>
      <c r="G268" s="32">
        <v>1</v>
      </c>
      <c r="H268" s="33">
        <v>0</v>
      </c>
      <c r="I268" s="34">
        <v>1040.43144867052</v>
      </c>
      <c r="J268" s="34">
        <v>1040.43144867052</v>
      </c>
      <c r="K268" s="31" t="s">
        <v>1002</v>
      </c>
      <c r="L268" s="31">
        <v>3</v>
      </c>
      <c r="M268" s="31" t="s">
        <v>1005</v>
      </c>
      <c r="N268" s="34">
        <v>11.5</v>
      </c>
      <c r="O268" s="35">
        <v>0</v>
      </c>
      <c r="P268" s="35" t="s">
        <v>212</v>
      </c>
      <c r="Q268" s="35">
        <v>0</v>
      </c>
      <c r="R268" s="36" t="s">
        <v>212</v>
      </c>
      <c r="S268" s="37" t="str">
        <f>IFERROR(_xlfn.XLOOKUP(R268,'1_Presupuesto'!$E:$E,'1_Presupuesto'!$D:$D),"")</f>
        <v/>
      </c>
    </row>
    <row r="269" spans="1:19" x14ac:dyDescent="0.35">
      <c r="A269" s="31" t="s">
        <v>996</v>
      </c>
      <c r="B269" s="31" t="s">
        <v>478</v>
      </c>
      <c r="C269" s="31" t="s">
        <v>479</v>
      </c>
      <c r="D269" s="31" t="s">
        <v>480</v>
      </c>
      <c r="E269" s="31" t="s">
        <v>183</v>
      </c>
      <c r="F269" s="31" t="s">
        <v>481</v>
      </c>
      <c r="G269" s="32">
        <v>1</v>
      </c>
      <c r="H269" s="33">
        <v>0</v>
      </c>
      <c r="I269" s="34">
        <v>94177.137883538904</v>
      </c>
      <c r="J269" s="34">
        <v>94177.137883538904</v>
      </c>
      <c r="K269" s="31" t="s">
        <v>1006</v>
      </c>
      <c r="L269" s="31">
        <v>1</v>
      </c>
      <c r="M269" s="31" t="s">
        <v>1007</v>
      </c>
      <c r="N269" s="34">
        <v>11.5</v>
      </c>
      <c r="O269" s="35">
        <v>8.6956521739130405E-2</v>
      </c>
      <c r="P269" s="35" t="s">
        <v>212</v>
      </c>
      <c r="Q269" s="35">
        <v>0</v>
      </c>
      <c r="R269" s="36" t="s">
        <v>212</v>
      </c>
      <c r="S269" s="37" t="str">
        <f>IFERROR(_xlfn.XLOOKUP(R269,'1_Presupuesto'!$E:$E,'1_Presupuesto'!$D:$D),"")</f>
        <v/>
      </c>
    </row>
    <row r="270" spans="1:19" x14ac:dyDescent="0.35">
      <c r="A270" s="31" t="s">
        <v>996</v>
      </c>
      <c r="B270" s="31" t="s">
        <v>478</v>
      </c>
      <c r="C270" s="31" t="s">
        <v>479</v>
      </c>
      <c r="D270" s="31" t="s">
        <v>484</v>
      </c>
      <c r="E270" s="31" t="s">
        <v>186</v>
      </c>
      <c r="F270" s="31" t="s">
        <v>481</v>
      </c>
      <c r="G270" s="32">
        <v>0.6</v>
      </c>
      <c r="H270" s="33">
        <v>0</v>
      </c>
      <c r="I270" s="34">
        <v>67240.498860267602</v>
      </c>
      <c r="J270" s="34">
        <v>40344.299316160599</v>
      </c>
      <c r="K270" s="31" t="s">
        <v>1006</v>
      </c>
      <c r="L270" s="31">
        <v>2</v>
      </c>
      <c r="M270" s="31" t="s">
        <v>1008</v>
      </c>
      <c r="N270" s="34">
        <v>11.5</v>
      </c>
      <c r="O270" s="35">
        <v>5.21739130434783E-2</v>
      </c>
      <c r="P270" s="35" t="s">
        <v>212</v>
      </c>
      <c r="Q270" s="35">
        <v>0</v>
      </c>
      <c r="R270" s="36" t="s">
        <v>212</v>
      </c>
      <c r="S270" s="37" t="str">
        <f>IFERROR(_xlfn.XLOOKUP(R270,'1_Presupuesto'!$E:$E,'1_Presupuesto'!$D:$D),"")</f>
        <v/>
      </c>
    </row>
    <row r="271" spans="1:19" x14ac:dyDescent="0.35">
      <c r="A271" s="31" t="s">
        <v>1009</v>
      </c>
      <c r="B271" s="31" t="s">
        <v>497</v>
      </c>
      <c r="C271" s="31" t="s">
        <v>498</v>
      </c>
      <c r="D271" s="31" t="s">
        <v>534</v>
      </c>
      <c r="E271" s="31" t="s">
        <v>535</v>
      </c>
      <c r="F271" s="31">
        <v>0</v>
      </c>
      <c r="G271" s="32">
        <v>2.5999999999999999E-2</v>
      </c>
      <c r="H271" s="33">
        <v>0.1</v>
      </c>
      <c r="I271" s="34">
        <v>32620.38</v>
      </c>
      <c r="J271" s="34">
        <v>932.94286799999998</v>
      </c>
      <c r="K271" s="31" t="s">
        <v>1010</v>
      </c>
      <c r="L271" s="31">
        <v>1</v>
      </c>
      <c r="M271" s="31" t="s">
        <v>1011</v>
      </c>
      <c r="N271" s="34">
        <v>8</v>
      </c>
      <c r="O271" s="35">
        <v>0</v>
      </c>
      <c r="P271" s="35" t="s">
        <v>212</v>
      </c>
      <c r="Q271" s="35">
        <v>0</v>
      </c>
      <c r="R271" s="36" t="s">
        <v>212</v>
      </c>
      <c r="S271" s="37" t="str">
        <f>IFERROR(_xlfn.XLOOKUP(R271,'1_Presupuesto'!$E:$E,'1_Presupuesto'!$D:$D),"")</f>
        <v/>
      </c>
    </row>
    <row r="272" spans="1:19" x14ac:dyDescent="0.35">
      <c r="A272" s="31" t="s">
        <v>1009</v>
      </c>
      <c r="B272" s="31" t="s">
        <v>497</v>
      </c>
      <c r="C272" s="31" t="s">
        <v>498</v>
      </c>
      <c r="D272" s="31" t="s">
        <v>909</v>
      </c>
      <c r="E272" s="31" t="s">
        <v>910</v>
      </c>
      <c r="F272" s="31">
        <v>0</v>
      </c>
      <c r="G272" s="32">
        <v>0.1</v>
      </c>
      <c r="H272" s="33">
        <v>0.05</v>
      </c>
      <c r="I272" s="34">
        <v>1363.95</v>
      </c>
      <c r="J272" s="34">
        <v>143.21475000000001</v>
      </c>
      <c r="K272" s="31" t="s">
        <v>1010</v>
      </c>
      <c r="L272" s="31">
        <v>2</v>
      </c>
      <c r="M272" s="31" t="s">
        <v>1012</v>
      </c>
      <c r="N272" s="34">
        <v>8</v>
      </c>
      <c r="O272" s="35">
        <v>0</v>
      </c>
      <c r="P272" s="35" t="s">
        <v>212</v>
      </c>
      <c r="Q272" s="35">
        <v>0</v>
      </c>
      <c r="R272" s="36" t="s">
        <v>212</v>
      </c>
      <c r="S272" s="37" t="str">
        <f>IFERROR(_xlfn.XLOOKUP(R272,'1_Presupuesto'!$E:$E,'1_Presupuesto'!$D:$D),"")</f>
        <v/>
      </c>
    </row>
    <row r="273" spans="1:19" x14ac:dyDescent="0.35">
      <c r="A273" s="31" t="s">
        <v>1009</v>
      </c>
      <c r="B273" s="31" t="s">
        <v>497</v>
      </c>
      <c r="C273" s="31" t="s">
        <v>498</v>
      </c>
      <c r="D273" s="31" t="s">
        <v>541</v>
      </c>
      <c r="E273" s="31" t="s">
        <v>542</v>
      </c>
      <c r="F273" s="31">
        <v>0</v>
      </c>
      <c r="G273" s="32">
        <v>0.314</v>
      </c>
      <c r="H273" s="33">
        <v>0.1</v>
      </c>
      <c r="I273" s="34">
        <v>7891.74</v>
      </c>
      <c r="J273" s="34">
        <v>2725.8069959999998</v>
      </c>
      <c r="K273" s="31" t="s">
        <v>1010</v>
      </c>
      <c r="L273" s="31">
        <v>3</v>
      </c>
      <c r="M273" s="31" t="s">
        <v>1013</v>
      </c>
      <c r="N273" s="34">
        <v>8</v>
      </c>
      <c r="O273" s="35">
        <v>0</v>
      </c>
      <c r="P273" s="35" t="s">
        <v>212</v>
      </c>
      <c r="Q273" s="35">
        <v>0</v>
      </c>
      <c r="R273" s="36" t="s">
        <v>212</v>
      </c>
      <c r="S273" s="37" t="str">
        <f>IFERROR(_xlfn.XLOOKUP(R273,'1_Presupuesto'!$E:$E,'1_Presupuesto'!$D:$D),"")</f>
        <v/>
      </c>
    </row>
    <row r="274" spans="1:19" x14ac:dyDescent="0.35">
      <c r="A274" s="31" t="s">
        <v>1009</v>
      </c>
      <c r="B274" s="31" t="s">
        <v>497</v>
      </c>
      <c r="C274" s="31" t="s">
        <v>498</v>
      </c>
      <c r="D274" s="31" t="s">
        <v>538</v>
      </c>
      <c r="E274" s="31" t="s">
        <v>539</v>
      </c>
      <c r="F274" s="31">
        <v>0</v>
      </c>
      <c r="G274" s="32">
        <v>0.06</v>
      </c>
      <c r="H274" s="33">
        <v>0.1</v>
      </c>
      <c r="I274" s="34">
        <v>3927.28</v>
      </c>
      <c r="J274" s="34">
        <v>259.20048000000003</v>
      </c>
      <c r="K274" s="31" t="s">
        <v>1010</v>
      </c>
      <c r="L274" s="31">
        <v>4</v>
      </c>
      <c r="M274" s="31" t="s">
        <v>1014</v>
      </c>
      <c r="N274" s="34">
        <v>8</v>
      </c>
      <c r="O274" s="35">
        <v>0</v>
      </c>
      <c r="P274" s="35" t="s">
        <v>212</v>
      </c>
      <c r="Q274" s="35">
        <v>0</v>
      </c>
      <c r="R274" s="36" t="s">
        <v>212</v>
      </c>
      <c r="S274" s="37" t="str">
        <f>IFERROR(_xlfn.XLOOKUP(R274,'1_Presupuesto'!$E:$E,'1_Presupuesto'!$D:$D),"")</f>
        <v/>
      </c>
    </row>
    <row r="275" spans="1:19" x14ac:dyDescent="0.35">
      <c r="A275" s="31" t="s">
        <v>1009</v>
      </c>
      <c r="B275" s="31" t="s">
        <v>203</v>
      </c>
      <c r="C275" s="31"/>
      <c r="D275" s="31" t="s">
        <v>1015</v>
      </c>
      <c r="E275" s="31" t="s">
        <v>1016</v>
      </c>
      <c r="F275" s="31"/>
      <c r="G275" s="32">
        <v>1</v>
      </c>
      <c r="H275" s="33">
        <v>0</v>
      </c>
      <c r="I275" s="34">
        <v>3380.6</v>
      </c>
      <c r="J275" s="34">
        <v>3380.6</v>
      </c>
      <c r="K275" s="31" t="s">
        <v>1017</v>
      </c>
      <c r="L275" s="31">
        <v>1</v>
      </c>
      <c r="M275" s="31" t="s">
        <v>1018</v>
      </c>
      <c r="N275" s="34">
        <v>8</v>
      </c>
      <c r="O275" s="35">
        <v>0</v>
      </c>
      <c r="P275" s="35" t="s">
        <v>212</v>
      </c>
      <c r="Q275" s="35">
        <v>0</v>
      </c>
      <c r="R275" s="36" t="s">
        <v>212</v>
      </c>
      <c r="S275" s="37" t="str">
        <f>IFERROR(_xlfn.XLOOKUP(R275,'1_Presupuesto'!$E:$E,'1_Presupuesto'!$D:$D),"")</f>
        <v/>
      </c>
    </row>
    <row r="276" spans="1:19" x14ac:dyDescent="0.35">
      <c r="A276" s="31" t="s">
        <v>1009</v>
      </c>
      <c r="B276" s="31" t="s">
        <v>203</v>
      </c>
      <c r="C276" s="31"/>
      <c r="D276" s="31" t="s">
        <v>613</v>
      </c>
      <c r="E276" s="31" t="s">
        <v>614</v>
      </c>
      <c r="F276" s="31"/>
      <c r="G276" s="32">
        <v>0</v>
      </c>
      <c r="H276" s="33">
        <v>0</v>
      </c>
      <c r="I276" s="34">
        <v>620.81078197718296</v>
      </c>
      <c r="J276" s="34">
        <v>0</v>
      </c>
      <c r="K276" s="31" t="s">
        <v>1017</v>
      </c>
      <c r="L276" s="31">
        <v>2</v>
      </c>
      <c r="M276" s="31" t="s">
        <v>1019</v>
      </c>
      <c r="N276" s="34">
        <v>8</v>
      </c>
      <c r="O276" s="35">
        <v>0</v>
      </c>
      <c r="P276" s="35" t="s">
        <v>212</v>
      </c>
      <c r="Q276" s="35">
        <v>0</v>
      </c>
      <c r="R276" s="36" t="s">
        <v>212</v>
      </c>
      <c r="S276" s="37" t="str">
        <f>IFERROR(_xlfn.XLOOKUP(R276,'1_Presupuesto'!$E:$E,'1_Presupuesto'!$D:$D),"")</f>
        <v/>
      </c>
    </row>
    <row r="277" spans="1:19" x14ac:dyDescent="0.35">
      <c r="A277" s="31" t="s">
        <v>1009</v>
      </c>
      <c r="B277" s="31" t="s">
        <v>203</v>
      </c>
      <c r="C277" s="31"/>
      <c r="D277" s="31" t="s">
        <v>609</v>
      </c>
      <c r="E277" s="31" t="s">
        <v>610</v>
      </c>
      <c r="F277" s="31"/>
      <c r="G277" s="32">
        <v>1</v>
      </c>
      <c r="H277" s="33">
        <v>0</v>
      </c>
      <c r="I277" s="34">
        <v>2485.8709964594</v>
      </c>
      <c r="J277" s="34">
        <v>2485.8709964594</v>
      </c>
      <c r="K277" s="31" t="s">
        <v>1017</v>
      </c>
      <c r="L277" s="31">
        <v>3</v>
      </c>
      <c r="M277" s="31" t="s">
        <v>1020</v>
      </c>
      <c r="N277" s="34">
        <v>8</v>
      </c>
      <c r="O277" s="35">
        <v>0</v>
      </c>
      <c r="P277" s="35" t="s">
        <v>212</v>
      </c>
      <c r="Q277" s="35">
        <v>0</v>
      </c>
      <c r="R277" s="36" t="s">
        <v>212</v>
      </c>
      <c r="S277" s="37" t="str">
        <f>IFERROR(_xlfn.XLOOKUP(R277,'1_Presupuesto'!$E:$E,'1_Presupuesto'!$D:$D),"")</f>
        <v/>
      </c>
    </row>
    <row r="278" spans="1:19" x14ac:dyDescent="0.35">
      <c r="A278" s="31" t="s">
        <v>1009</v>
      </c>
      <c r="B278" s="31" t="s">
        <v>203</v>
      </c>
      <c r="C278" s="31"/>
      <c r="D278" s="31" t="s">
        <v>616</v>
      </c>
      <c r="E278" s="31" t="s">
        <v>617</v>
      </c>
      <c r="F278" s="31"/>
      <c r="G278" s="32">
        <v>1</v>
      </c>
      <c r="H278" s="33">
        <v>0</v>
      </c>
      <c r="I278" s="34">
        <v>1040.43144867052</v>
      </c>
      <c r="J278" s="34">
        <v>1040.43144867052</v>
      </c>
      <c r="K278" s="31" t="s">
        <v>1017</v>
      </c>
      <c r="L278" s="31">
        <v>4</v>
      </c>
      <c r="M278" s="31" t="s">
        <v>1021</v>
      </c>
      <c r="N278" s="34">
        <v>8</v>
      </c>
      <c r="O278" s="35">
        <v>0</v>
      </c>
      <c r="P278" s="35" t="s">
        <v>212</v>
      </c>
      <c r="Q278" s="35">
        <v>0</v>
      </c>
      <c r="R278" s="36" t="s">
        <v>212</v>
      </c>
      <c r="S278" s="37" t="str">
        <f>IFERROR(_xlfn.XLOOKUP(R278,'1_Presupuesto'!$E:$E,'1_Presupuesto'!$D:$D),"")</f>
        <v/>
      </c>
    </row>
    <row r="279" spans="1:19" x14ac:dyDescent="0.35">
      <c r="A279" s="31" t="s">
        <v>1009</v>
      </c>
      <c r="B279" s="31" t="s">
        <v>478</v>
      </c>
      <c r="C279" s="31" t="s">
        <v>479</v>
      </c>
      <c r="D279" s="31" t="s">
        <v>480</v>
      </c>
      <c r="E279" s="31" t="s">
        <v>183</v>
      </c>
      <c r="F279" s="31" t="s">
        <v>481</v>
      </c>
      <c r="G279" s="32">
        <v>1</v>
      </c>
      <c r="H279" s="33">
        <v>0</v>
      </c>
      <c r="I279" s="34">
        <v>94177.137883538904</v>
      </c>
      <c r="J279" s="34">
        <v>94177.137883538904</v>
      </c>
      <c r="K279" s="31" t="s">
        <v>1022</v>
      </c>
      <c r="L279" s="31">
        <v>1</v>
      </c>
      <c r="M279" s="31" t="s">
        <v>1023</v>
      </c>
      <c r="N279" s="34">
        <v>8</v>
      </c>
      <c r="O279" s="35">
        <v>0.125</v>
      </c>
      <c r="P279" s="35" t="s">
        <v>212</v>
      </c>
      <c r="Q279" s="35">
        <v>0</v>
      </c>
      <c r="R279" s="36" t="s">
        <v>212</v>
      </c>
      <c r="S279" s="37" t="str">
        <f>IFERROR(_xlfn.XLOOKUP(R279,'1_Presupuesto'!$E:$E,'1_Presupuesto'!$D:$D),"")</f>
        <v/>
      </c>
    </row>
    <row r="280" spans="1:19" x14ac:dyDescent="0.35">
      <c r="A280" s="31" t="s">
        <v>1009</v>
      </c>
      <c r="B280" s="31" t="s">
        <v>478</v>
      </c>
      <c r="C280" s="31" t="s">
        <v>479</v>
      </c>
      <c r="D280" s="31" t="s">
        <v>484</v>
      </c>
      <c r="E280" s="31" t="s">
        <v>186</v>
      </c>
      <c r="F280" s="31" t="s">
        <v>481</v>
      </c>
      <c r="G280" s="32">
        <v>0.6</v>
      </c>
      <c r="H280" s="33">
        <v>0</v>
      </c>
      <c r="I280" s="34">
        <v>67240.498860267602</v>
      </c>
      <c r="J280" s="34">
        <v>40344.299316160599</v>
      </c>
      <c r="K280" s="31" t="s">
        <v>1022</v>
      </c>
      <c r="L280" s="31">
        <v>2</v>
      </c>
      <c r="M280" s="31" t="s">
        <v>1024</v>
      </c>
      <c r="N280" s="34">
        <v>8</v>
      </c>
      <c r="O280" s="35">
        <v>7.4999999999999997E-2</v>
      </c>
      <c r="P280" s="35" t="s">
        <v>212</v>
      </c>
      <c r="Q280" s="35">
        <v>0</v>
      </c>
      <c r="R280" s="36" t="s">
        <v>212</v>
      </c>
      <c r="S280" s="37" t="str">
        <f>IFERROR(_xlfn.XLOOKUP(R280,'1_Presupuesto'!$E:$E,'1_Presupuesto'!$D:$D),"")</f>
        <v/>
      </c>
    </row>
    <row r="281" spans="1:19" x14ac:dyDescent="0.35">
      <c r="A281" s="31" t="s">
        <v>1025</v>
      </c>
      <c r="B281" s="31" t="s">
        <v>497</v>
      </c>
      <c r="C281" s="31" t="s">
        <v>498</v>
      </c>
      <c r="D281" s="31" t="s">
        <v>541</v>
      </c>
      <c r="E281" s="31" t="s">
        <v>542</v>
      </c>
      <c r="F281" s="31">
        <v>0</v>
      </c>
      <c r="G281" s="32">
        <v>0.748</v>
      </c>
      <c r="H281" s="33">
        <v>0.1</v>
      </c>
      <c r="I281" s="34">
        <v>7891.74</v>
      </c>
      <c r="J281" s="34">
        <v>6493.3236720000004</v>
      </c>
      <c r="K281" s="31" t="s">
        <v>1026</v>
      </c>
      <c r="L281" s="31">
        <v>1</v>
      </c>
      <c r="M281" s="31" t="s">
        <v>1027</v>
      </c>
      <c r="N281" s="34">
        <v>1.4</v>
      </c>
      <c r="O281" s="35">
        <v>0</v>
      </c>
      <c r="P281" s="35" t="s">
        <v>212</v>
      </c>
      <c r="Q281" s="35">
        <v>0</v>
      </c>
      <c r="R281" s="36" t="s">
        <v>212</v>
      </c>
      <c r="S281" s="37" t="str">
        <f>IFERROR(_xlfn.XLOOKUP(R281,'1_Presupuesto'!$E:$E,'1_Presupuesto'!$D:$D),"")</f>
        <v/>
      </c>
    </row>
    <row r="282" spans="1:19" x14ac:dyDescent="0.35">
      <c r="A282" s="31" t="s">
        <v>1025</v>
      </c>
      <c r="B282" s="31" t="s">
        <v>497</v>
      </c>
      <c r="C282" s="31" t="s">
        <v>498</v>
      </c>
      <c r="D282" s="31" t="s">
        <v>538</v>
      </c>
      <c r="E282" s="31" t="s">
        <v>539</v>
      </c>
      <c r="F282" s="31">
        <v>0</v>
      </c>
      <c r="G282" s="32">
        <v>3.24</v>
      </c>
      <c r="H282" s="33">
        <v>0.1</v>
      </c>
      <c r="I282" s="34">
        <v>3927.28</v>
      </c>
      <c r="J282" s="34">
        <v>13996.825919999999</v>
      </c>
      <c r="K282" s="31" t="s">
        <v>1026</v>
      </c>
      <c r="L282" s="31">
        <v>2</v>
      </c>
      <c r="M282" s="31" t="s">
        <v>1028</v>
      </c>
      <c r="N282" s="34">
        <v>1.4</v>
      </c>
      <c r="O282" s="35">
        <v>0</v>
      </c>
      <c r="P282" s="35" t="s">
        <v>212</v>
      </c>
      <c r="Q282" s="35">
        <v>0</v>
      </c>
      <c r="R282" s="36" t="s">
        <v>212</v>
      </c>
      <c r="S282" s="37" t="str">
        <f>IFERROR(_xlfn.XLOOKUP(R282,'1_Presupuesto'!$E:$E,'1_Presupuesto'!$D:$D),"")</f>
        <v/>
      </c>
    </row>
    <row r="283" spans="1:19" x14ac:dyDescent="0.35">
      <c r="A283" s="31" t="s">
        <v>1025</v>
      </c>
      <c r="B283" s="31" t="s">
        <v>497</v>
      </c>
      <c r="C283" s="31" t="s">
        <v>498</v>
      </c>
      <c r="D283" s="31" t="s">
        <v>1029</v>
      </c>
      <c r="E283" s="31" t="s">
        <v>1030</v>
      </c>
      <c r="F283" s="31" t="s">
        <v>236</v>
      </c>
      <c r="G283" s="32">
        <v>0.77</v>
      </c>
      <c r="H283" s="33">
        <v>0.1</v>
      </c>
      <c r="I283" s="34">
        <v>34246.800000000003</v>
      </c>
      <c r="J283" s="34">
        <v>29007.0396</v>
      </c>
      <c r="K283" s="31" t="s">
        <v>1026</v>
      </c>
      <c r="L283" s="31">
        <v>3</v>
      </c>
      <c r="M283" s="31" t="s">
        <v>1031</v>
      </c>
      <c r="N283" s="34">
        <v>1.4</v>
      </c>
      <c r="O283" s="35">
        <v>0</v>
      </c>
      <c r="P283" s="35" t="s">
        <v>212</v>
      </c>
      <c r="Q283" s="35">
        <v>0</v>
      </c>
      <c r="R283" s="36" t="s">
        <v>212</v>
      </c>
      <c r="S283" s="37" t="str">
        <f>IFERROR(_xlfn.XLOOKUP(R283,'1_Presupuesto'!$E:$E,'1_Presupuesto'!$D:$D),"")</f>
        <v/>
      </c>
    </row>
    <row r="284" spans="1:19" x14ac:dyDescent="0.35">
      <c r="A284" s="31" t="s">
        <v>1025</v>
      </c>
      <c r="B284" s="31" t="s">
        <v>497</v>
      </c>
      <c r="C284" s="31" t="s">
        <v>498</v>
      </c>
      <c r="D284" s="31" t="s">
        <v>534</v>
      </c>
      <c r="E284" s="31" t="s">
        <v>535</v>
      </c>
      <c r="F284" s="31">
        <v>0</v>
      </c>
      <c r="G284" s="32">
        <v>0.51500000000000001</v>
      </c>
      <c r="H284" s="33">
        <v>0.1</v>
      </c>
      <c r="I284" s="34">
        <v>32620.38</v>
      </c>
      <c r="J284" s="34">
        <v>18479.44527</v>
      </c>
      <c r="K284" s="31" t="s">
        <v>1026</v>
      </c>
      <c r="L284" s="31">
        <v>4</v>
      </c>
      <c r="M284" s="31" t="s">
        <v>1032</v>
      </c>
      <c r="N284" s="34">
        <v>1.4</v>
      </c>
      <c r="O284" s="35">
        <v>0</v>
      </c>
      <c r="P284" s="35" t="s">
        <v>212</v>
      </c>
      <c r="Q284" s="35">
        <v>0</v>
      </c>
      <c r="R284" s="36" t="s">
        <v>212</v>
      </c>
      <c r="S284" s="37" t="str">
        <f>IFERROR(_xlfn.XLOOKUP(R284,'1_Presupuesto'!$E:$E,'1_Presupuesto'!$D:$D),"")</f>
        <v/>
      </c>
    </row>
    <row r="285" spans="1:19" x14ac:dyDescent="0.35">
      <c r="A285" s="31" t="s">
        <v>1025</v>
      </c>
      <c r="B285" s="31" t="s">
        <v>203</v>
      </c>
      <c r="C285" s="31"/>
      <c r="D285" s="31" t="s">
        <v>616</v>
      </c>
      <c r="E285" s="31" t="s">
        <v>617</v>
      </c>
      <c r="F285" s="31"/>
      <c r="G285" s="32">
        <v>1</v>
      </c>
      <c r="H285" s="33">
        <v>0</v>
      </c>
      <c r="I285" s="34">
        <v>1040.43144867052</v>
      </c>
      <c r="J285" s="34">
        <v>1040.43144867052</v>
      </c>
      <c r="K285" s="31" t="s">
        <v>1033</v>
      </c>
      <c r="L285" s="31">
        <v>1</v>
      </c>
      <c r="M285" s="31" t="s">
        <v>1034</v>
      </c>
      <c r="N285" s="34">
        <v>1.4</v>
      </c>
      <c r="O285" s="35">
        <v>0</v>
      </c>
      <c r="P285" s="35" t="s">
        <v>212</v>
      </c>
      <c r="Q285" s="35">
        <v>0</v>
      </c>
      <c r="R285" s="36" t="s">
        <v>212</v>
      </c>
      <c r="S285" s="37" t="str">
        <f>IFERROR(_xlfn.XLOOKUP(R285,'1_Presupuesto'!$E:$E,'1_Presupuesto'!$D:$D),"")</f>
        <v/>
      </c>
    </row>
    <row r="286" spans="1:19" x14ac:dyDescent="0.35">
      <c r="A286" s="31" t="s">
        <v>1025</v>
      </c>
      <c r="B286" s="31" t="s">
        <v>203</v>
      </c>
      <c r="C286" s="31"/>
      <c r="D286" s="31" t="s">
        <v>609</v>
      </c>
      <c r="E286" s="31" t="s">
        <v>610</v>
      </c>
      <c r="F286" s="31"/>
      <c r="G286" s="32">
        <v>1</v>
      </c>
      <c r="H286" s="33">
        <v>0</v>
      </c>
      <c r="I286" s="34">
        <v>2485.8709964594</v>
      </c>
      <c r="J286" s="34">
        <v>2485.8709964594</v>
      </c>
      <c r="K286" s="31" t="s">
        <v>1033</v>
      </c>
      <c r="L286" s="31">
        <v>2</v>
      </c>
      <c r="M286" s="31" t="s">
        <v>1035</v>
      </c>
      <c r="N286" s="34">
        <v>1.4</v>
      </c>
      <c r="O286" s="35">
        <v>0</v>
      </c>
      <c r="P286" s="35" t="s">
        <v>212</v>
      </c>
      <c r="Q286" s="35">
        <v>0</v>
      </c>
      <c r="R286" s="36" t="s">
        <v>212</v>
      </c>
      <c r="S286" s="37" t="str">
        <f>IFERROR(_xlfn.XLOOKUP(R286,'1_Presupuesto'!$E:$E,'1_Presupuesto'!$D:$D),"")</f>
        <v/>
      </c>
    </row>
    <row r="287" spans="1:19" x14ac:dyDescent="0.35">
      <c r="A287" s="31" t="s">
        <v>1025</v>
      </c>
      <c r="B287" s="31" t="s">
        <v>478</v>
      </c>
      <c r="C287" s="31" t="s">
        <v>479</v>
      </c>
      <c r="D287" s="31" t="s">
        <v>484</v>
      </c>
      <c r="E287" s="31" t="s">
        <v>186</v>
      </c>
      <c r="F287" s="31" t="s">
        <v>481</v>
      </c>
      <c r="G287" s="32">
        <v>1</v>
      </c>
      <c r="H287" s="33">
        <v>0</v>
      </c>
      <c r="I287" s="34">
        <v>67240.498860267602</v>
      </c>
      <c r="J287" s="34">
        <v>67240.498860267602</v>
      </c>
      <c r="K287" s="31" t="s">
        <v>1036</v>
      </c>
      <c r="L287" s="31">
        <v>1</v>
      </c>
      <c r="M287" s="31" t="s">
        <v>1037</v>
      </c>
      <c r="N287" s="34">
        <v>1.4</v>
      </c>
      <c r="O287" s="35">
        <v>0.71428571428571397</v>
      </c>
      <c r="P287" s="35" t="s">
        <v>212</v>
      </c>
      <c r="Q287" s="35">
        <v>0</v>
      </c>
      <c r="R287" s="36" t="s">
        <v>212</v>
      </c>
      <c r="S287" s="37" t="str">
        <f>IFERROR(_xlfn.XLOOKUP(R287,'1_Presupuesto'!$E:$E,'1_Presupuesto'!$D:$D),"")</f>
        <v/>
      </c>
    </row>
    <row r="288" spans="1:19" x14ac:dyDescent="0.35">
      <c r="A288" s="31" t="s">
        <v>1025</v>
      </c>
      <c r="B288" s="31" t="s">
        <v>478</v>
      </c>
      <c r="C288" s="31" t="s">
        <v>479</v>
      </c>
      <c r="D288" s="31" t="s">
        <v>480</v>
      </c>
      <c r="E288" s="31" t="s">
        <v>183</v>
      </c>
      <c r="F288" s="31" t="s">
        <v>481</v>
      </c>
      <c r="G288" s="32">
        <v>0.75</v>
      </c>
      <c r="H288" s="33">
        <v>0</v>
      </c>
      <c r="I288" s="34">
        <v>94177.137883538904</v>
      </c>
      <c r="J288" s="34">
        <v>70632.853412654207</v>
      </c>
      <c r="K288" s="31" t="s">
        <v>1036</v>
      </c>
      <c r="L288" s="31">
        <v>2</v>
      </c>
      <c r="M288" s="31" t="s">
        <v>1038</v>
      </c>
      <c r="N288" s="34">
        <v>1.4</v>
      </c>
      <c r="O288" s="35">
        <v>0.53571428571428603</v>
      </c>
      <c r="P288" s="35" t="s">
        <v>212</v>
      </c>
      <c r="Q288" s="35">
        <v>0</v>
      </c>
      <c r="R288" s="36" t="s">
        <v>212</v>
      </c>
      <c r="S288" s="37" t="str">
        <f>IFERROR(_xlfn.XLOOKUP(R288,'1_Presupuesto'!$E:$E,'1_Presupuesto'!$D:$D),"")</f>
        <v/>
      </c>
    </row>
    <row r="289" spans="1:19" x14ac:dyDescent="0.35">
      <c r="A289" s="31" t="s">
        <v>1039</v>
      </c>
      <c r="B289" s="31" t="s">
        <v>497</v>
      </c>
      <c r="C289" s="31" t="s">
        <v>498</v>
      </c>
      <c r="D289" s="31" t="s">
        <v>541</v>
      </c>
      <c r="E289" s="31" t="s">
        <v>542</v>
      </c>
      <c r="F289" s="31">
        <v>0</v>
      </c>
      <c r="G289" s="32">
        <v>0.27</v>
      </c>
      <c r="H289" s="33">
        <v>0.1</v>
      </c>
      <c r="I289" s="34">
        <v>7891.74</v>
      </c>
      <c r="J289" s="34">
        <v>2343.8467799999999</v>
      </c>
      <c r="K289" s="31" t="s">
        <v>1040</v>
      </c>
      <c r="L289" s="31">
        <v>1</v>
      </c>
      <c r="M289" s="31" t="s">
        <v>1041</v>
      </c>
      <c r="N289" s="34">
        <v>15</v>
      </c>
      <c r="O289" s="35">
        <v>0</v>
      </c>
      <c r="P289" s="35" t="s">
        <v>212</v>
      </c>
      <c r="Q289" s="35">
        <v>0</v>
      </c>
      <c r="R289" s="36" t="s">
        <v>212</v>
      </c>
      <c r="S289" s="37" t="str">
        <f>IFERROR(_xlfn.XLOOKUP(R289,'1_Presupuesto'!$E:$E,'1_Presupuesto'!$D:$D),"")</f>
        <v/>
      </c>
    </row>
    <row r="290" spans="1:19" x14ac:dyDescent="0.35">
      <c r="A290" s="31" t="s">
        <v>1039</v>
      </c>
      <c r="B290" s="31" t="s">
        <v>497</v>
      </c>
      <c r="C290" s="31" t="s">
        <v>498</v>
      </c>
      <c r="D290" s="31" t="s">
        <v>534</v>
      </c>
      <c r="E290" s="31" t="s">
        <v>535</v>
      </c>
      <c r="F290" s="31">
        <v>0</v>
      </c>
      <c r="G290" s="32">
        <v>0.03</v>
      </c>
      <c r="H290" s="33">
        <v>0.1</v>
      </c>
      <c r="I290" s="34">
        <v>32620.38</v>
      </c>
      <c r="J290" s="34">
        <v>1076.47254</v>
      </c>
      <c r="K290" s="31" t="s">
        <v>1040</v>
      </c>
      <c r="L290" s="31">
        <v>2</v>
      </c>
      <c r="M290" s="31" t="s">
        <v>1042</v>
      </c>
      <c r="N290" s="34">
        <v>15</v>
      </c>
      <c r="O290" s="35">
        <v>0</v>
      </c>
      <c r="P290" s="35" t="s">
        <v>212</v>
      </c>
      <c r="Q290" s="35">
        <v>0</v>
      </c>
      <c r="R290" s="36" t="s">
        <v>212</v>
      </c>
      <c r="S290" s="37" t="str">
        <f>IFERROR(_xlfn.XLOOKUP(R290,'1_Presupuesto'!$E:$E,'1_Presupuesto'!$D:$D),"")</f>
        <v/>
      </c>
    </row>
    <row r="291" spans="1:19" x14ac:dyDescent="0.35">
      <c r="A291" s="31" t="s">
        <v>1039</v>
      </c>
      <c r="B291" s="31" t="s">
        <v>203</v>
      </c>
      <c r="C291" s="31"/>
      <c r="D291" s="31" t="s">
        <v>616</v>
      </c>
      <c r="E291" s="31" t="s">
        <v>617</v>
      </c>
      <c r="F291" s="31"/>
      <c r="G291" s="32">
        <v>1</v>
      </c>
      <c r="H291" s="33">
        <v>0</v>
      </c>
      <c r="I291" s="34">
        <v>1040.43144867052</v>
      </c>
      <c r="J291" s="34">
        <v>1040.43144867052</v>
      </c>
      <c r="K291" s="31" t="s">
        <v>1043</v>
      </c>
      <c r="L291" s="31">
        <v>1</v>
      </c>
      <c r="M291" s="31" t="s">
        <v>1044</v>
      </c>
      <c r="N291" s="34">
        <v>15</v>
      </c>
      <c r="O291" s="35">
        <v>0</v>
      </c>
      <c r="P291" s="35" t="s">
        <v>212</v>
      </c>
      <c r="Q291" s="35">
        <v>0</v>
      </c>
      <c r="R291" s="36" t="s">
        <v>212</v>
      </c>
      <c r="S291" s="37" t="str">
        <f>IFERROR(_xlfn.XLOOKUP(R291,'1_Presupuesto'!$E:$E,'1_Presupuesto'!$D:$D),"")</f>
        <v/>
      </c>
    </row>
    <row r="292" spans="1:19" x14ac:dyDescent="0.35">
      <c r="A292" s="31" t="s">
        <v>1039</v>
      </c>
      <c r="B292" s="31" t="s">
        <v>203</v>
      </c>
      <c r="C292" s="31"/>
      <c r="D292" s="31" t="s">
        <v>609</v>
      </c>
      <c r="E292" s="31" t="s">
        <v>610</v>
      </c>
      <c r="F292" s="31"/>
      <c r="G292" s="32">
        <v>1</v>
      </c>
      <c r="H292" s="33">
        <v>0</v>
      </c>
      <c r="I292" s="34">
        <v>2485.8709964594</v>
      </c>
      <c r="J292" s="34">
        <v>2485.8709964594</v>
      </c>
      <c r="K292" s="31" t="s">
        <v>1043</v>
      </c>
      <c r="L292" s="31">
        <v>2</v>
      </c>
      <c r="M292" s="31" t="s">
        <v>1045</v>
      </c>
      <c r="N292" s="34">
        <v>15</v>
      </c>
      <c r="O292" s="35">
        <v>0</v>
      </c>
      <c r="P292" s="35" t="s">
        <v>212</v>
      </c>
      <c r="Q292" s="35">
        <v>0</v>
      </c>
      <c r="R292" s="36" t="s">
        <v>212</v>
      </c>
      <c r="S292" s="37" t="str">
        <f>IFERROR(_xlfn.XLOOKUP(R292,'1_Presupuesto'!$E:$E,'1_Presupuesto'!$D:$D),"")</f>
        <v/>
      </c>
    </row>
    <row r="293" spans="1:19" x14ac:dyDescent="0.35">
      <c r="A293" s="31" t="s">
        <v>1039</v>
      </c>
      <c r="B293" s="31" t="s">
        <v>478</v>
      </c>
      <c r="C293" s="31" t="s">
        <v>479</v>
      </c>
      <c r="D293" s="31" t="s">
        <v>484</v>
      </c>
      <c r="E293" s="31" t="s">
        <v>186</v>
      </c>
      <c r="F293" s="31" t="s">
        <v>481</v>
      </c>
      <c r="G293" s="32">
        <v>0.45</v>
      </c>
      <c r="H293" s="33">
        <v>0</v>
      </c>
      <c r="I293" s="34">
        <v>67240.498860267602</v>
      </c>
      <c r="J293" s="34">
        <v>30258.224487120398</v>
      </c>
      <c r="K293" s="31" t="s">
        <v>1046</v>
      </c>
      <c r="L293" s="31">
        <v>1</v>
      </c>
      <c r="M293" s="31" t="s">
        <v>1047</v>
      </c>
      <c r="N293" s="34">
        <v>15</v>
      </c>
      <c r="O293" s="35">
        <v>0.03</v>
      </c>
      <c r="P293" s="35" t="s">
        <v>212</v>
      </c>
      <c r="Q293" s="35">
        <v>0</v>
      </c>
      <c r="R293" s="36" t="s">
        <v>212</v>
      </c>
      <c r="S293" s="37" t="str">
        <f>IFERROR(_xlfn.XLOOKUP(R293,'1_Presupuesto'!$E:$E,'1_Presupuesto'!$D:$D),"")</f>
        <v/>
      </c>
    </row>
    <row r="294" spans="1:19" x14ac:dyDescent="0.35">
      <c r="A294" s="31" t="s">
        <v>1039</v>
      </c>
      <c r="B294" s="31" t="s">
        <v>478</v>
      </c>
      <c r="C294" s="31" t="s">
        <v>479</v>
      </c>
      <c r="D294" s="31" t="s">
        <v>480</v>
      </c>
      <c r="E294" s="31" t="s">
        <v>183</v>
      </c>
      <c r="F294" s="31" t="s">
        <v>481</v>
      </c>
      <c r="G294" s="32">
        <v>1</v>
      </c>
      <c r="H294" s="33">
        <v>0</v>
      </c>
      <c r="I294" s="34">
        <v>94177.137883538904</v>
      </c>
      <c r="J294" s="34">
        <v>94177.137883538904</v>
      </c>
      <c r="K294" s="31" t="s">
        <v>1046</v>
      </c>
      <c r="L294" s="31">
        <v>2</v>
      </c>
      <c r="M294" s="31" t="s">
        <v>1048</v>
      </c>
      <c r="N294" s="34">
        <v>15</v>
      </c>
      <c r="O294" s="35">
        <v>6.6666666666666693E-2</v>
      </c>
      <c r="P294" s="35" t="s">
        <v>212</v>
      </c>
      <c r="Q294" s="35">
        <v>0</v>
      </c>
      <c r="R294" s="36" t="s">
        <v>212</v>
      </c>
      <c r="S294" s="37" t="str">
        <f>IFERROR(_xlfn.XLOOKUP(R294,'1_Presupuesto'!$E:$E,'1_Presupuesto'!$D:$D),"")</f>
        <v/>
      </c>
    </row>
    <row r="295" spans="1:19" x14ac:dyDescent="0.35">
      <c r="A295" s="31" t="s">
        <v>1049</v>
      </c>
      <c r="B295" s="31" t="s">
        <v>497</v>
      </c>
      <c r="C295" s="31" t="s">
        <v>498</v>
      </c>
      <c r="D295" s="31" t="s">
        <v>534</v>
      </c>
      <c r="E295" s="31" t="s">
        <v>535</v>
      </c>
      <c r="F295" s="31">
        <v>0</v>
      </c>
      <c r="G295" s="32">
        <v>5.9499999999999997E-2</v>
      </c>
      <c r="H295" s="33">
        <v>0.1</v>
      </c>
      <c r="I295" s="34">
        <v>32620.38</v>
      </c>
      <c r="J295" s="34">
        <v>2135.0038709999999</v>
      </c>
      <c r="K295" s="31" t="s">
        <v>1050</v>
      </c>
      <c r="L295" s="31">
        <v>1</v>
      </c>
      <c r="M295" s="31" t="s">
        <v>1051</v>
      </c>
      <c r="N295" s="34">
        <v>35</v>
      </c>
      <c r="O295" s="35">
        <v>0</v>
      </c>
      <c r="P295" s="35" t="s">
        <v>212</v>
      </c>
      <c r="Q295" s="35">
        <v>0</v>
      </c>
      <c r="R295" s="36" t="s">
        <v>212</v>
      </c>
      <c r="S295" s="37" t="str">
        <f>IFERROR(_xlfn.XLOOKUP(R295,'1_Presupuesto'!$E:$E,'1_Presupuesto'!$D:$D),"")</f>
        <v/>
      </c>
    </row>
    <row r="296" spans="1:19" x14ac:dyDescent="0.35">
      <c r="A296" s="31" t="s">
        <v>1049</v>
      </c>
      <c r="B296" s="31" t="s">
        <v>497</v>
      </c>
      <c r="C296" s="31" t="s">
        <v>498</v>
      </c>
      <c r="D296" s="31" t="s">
        <v>541</v>
      </c>
      <c r="E296" s="31" t="s">
        <v>542</v>
      </c>
      <c r="F296" s="31">
        <v>0</v>
      </c>
      <c r="G296" s="32">
        <v>0.42</v>
      </c>
      <c r="H296" s="33">
        <v>0.1</v>
      </c>
      <c r="I296" s="34">
        <v>7891.74</v>
      </c>
      <c r="J296" s="34">
        <v>3645.9838800000002</v>
      </c>
      <c r="K296" s="31" t="s">
        <v>1050</v>
      </c>
      <c r="L296" s="31">
        <v>2</v>
      </c>
      <c r="M296" s="31" t="s">
        <v>1052</v>
      </c>
      <c r="N296" s="34">
        <v>35</v>
      </c>
      <c r="O296" s="35">
        <v>0</v>
      </c>
      <c r="P296" s="35" t="s">
        <v>212</v>
      </c>
      <c r="Q296" s="35">
        <v>0</v>
      </c>
      <c r="R296" s="36" t="s">
        <v>212</v>
      </c>
      <c r="S296" s="37" t="str">
        <f>IFERROR(_xlfn.XLOOKUP(R296,'1_Presupuesto'!$E:$E,'1_Presupuesto'!$D:$D),"")</f>
        <v/>
      </c>
    </row>
    <row r="297" spans="1:19" x14ac:dyDescent="0.35">
      <c r="A297" s="31" t="s">
        <v>1049</v>
      </c>
      <c r="B297" s="31" t="s">
        <v>497</v>
      </c>
      <c r="C297" s="31" t="s">
        <v>498</v>
      </c>
      <c r="D297" s="31" t="s">
        <v>538</v>
      </c>
      <c r="E297" s="31" t="s">
        <v>539</v>
      </c>
      <c r="F297" s="31">
        <v>0</v>
      </c>
      <c r="G297" s="32">
        <v>0.14000000000000001</v>
      </c>
      <c r="H297" s="33">
        <v>0.1</v>
      </c>
      <c r="I297" s="34">
        <v>3927.28</v>
      </c>
      <c r="J297" s="34">
        <v>604.80111999999997</v>
      </c>
      <c r="K297" s="31" t="s">
        <v>1050</v>
      </c>
      <c r="L297" s="31">
        <v>3</v>
      </c>
      <c r="M297" s="31" t="s">
        <v>1053</v>
      </c>
      <c r="N297" s="34">
        <v>35</v>
      </c>
      <c r="O297" s="35">
        <v>0</v>
      </c>
      <c r="P297" s="35" t="s">
        <v>212</v>
      </c>
      <c r="Q297" s="35">
        <v>0</v>
      </c>
      <c r="R297" s="36" t="s">
        <v>212</v>
      </c>
      <c r="S297" s="37" t="str">
        <f>IFERROR(_xlfn.XLOOKUP(R297,'1_Presupuesto'!$E:$E,'1_Presupuesto'!$D:$D),"")</f>
        <v/>
      </c>
    </row>
    <row r="298" spans="1:19" x14ac:dyDescent="0.35">
      <c r="A298" s="31" t="s">
        <v>1049</v>
      </c>
      <c r="B298" s="31" t="s">
        <v>497</v>
      </c>
      <c r="C298" s="31" t="s">
        <v>498</v>
      </c>
      <c r="D298" s="31" t="s">
        <v>1054</v>
      </c>
      <c r="E298" s="31" t="s">
        <v>1055</v>
      </c>
      <c r="F298" s="31" t="s">
        <v>1056</v>
      </c>
      <c r="G298" s="32">
        <v>2.4499999999999999E-3</v>
      </c>
      <c r="H298" s="33">
        <v>0.05</v>
      </c>
      <c r="I298" s="34">
        <v>129090.91</v>
      </c>
      <c r="J298" s="34">
        <v>332.08636597499998</v>
      </c>
      <c r="K298" s="31" t="s">
        <v>1050</v>
      </c>
      <c r="L298" s="31">
        <v>4</v>
      </c>
      <c r="M298" s="31" t="s">
        <v>1057</v>
      </c>
      <c r="N298" s="34">
        <v>35</v>
      </c>
      <c r="O298" s="35">
        <v>0</v>
      </c>
      <c r="P298" s="35" t="s">
        <v>212</v>
      </c>
      <c r="Q298" s="35">
        <v>0</v>
      </c>
      <c r="R298" s="36" t="s">
        <v>212</v>
      </c>
      <c r="S298" s="37" t="str">
        <f>IFERROR(_xlfn.XLOOKUP(R298,'1_Presupuesto'!$E:$E,'1_Presupuesto'!$D:$D),"")</f>
        <v/>
      </c>
    </row>
    <row r="299" spans="1:19" x14ac:dyDescent="0.35">
      <c r="A299" s="31" t="s">
        <v>1049</v>
      </c>
      <c r="B299" s="31" t="s">
        <v>203</v>
      </c>
      <c r="C299" s="31"/>
      <c r="D299" s="31" t="s">
        <v>616</v>
      </c>
      <c r="E299" s="31" t="s">
        <v>617</v>
      </c>
      <c r="F299" s="31"/>
      <c r="G299" s="32">
        <v>2</v>
      </c>
      <c r="H299" s="33">
        <v>0</v>
      </c>
      <c r="I299" s="34">
        <v>1040.43144867052</v>
      </c>
      <c r="J299" s="34">
        <v>2080.86289734105</v>
      </c>
      <c r="K299" s="31" t="s">
        <v>1058</v>
      </c>
      <c r="L299" s="31">
        <v>1</v>
      </c>
      <c r="M299" s="31" t="s">
        <v>1059</v>
      </c>
      <c r="N299" s="34">
        <v>35</v>
      </c>
      <c r="O299" s="35">
        <v>0</v>
      </c>
      <c r="P299" s="35" t="s">
        <v>212</v>
      </c>
      <c r="Q299" s="35">
        <v>0</v>
      </c>
      <c r="R299" s="36" t="s">
        <v>212</v>
      </c>
      <c r="S299" s="37" t="str">
        <f>IFERROR(_xlfn.XLOOKUP(R299,'1_Presupuesto'!$E:$E,'1_Presupuesto'!$D:$D),"")</f>
        <v/>
      </c>
    </row>
    <row r="300" spans="1:19" x14ac:dyDescent="0.35">
      <c r="A300" s="31" t="s">
        <v>1049</v>
      </c>
      <c r="B300" s="31" t="s">
        <v>203</v>
      </c>
      <c r="C300" s="31"/>
      <c r="D300" s="31" t="s">
        <v>609</v>
      </c>
      <c r="E300" s="31" t="s">
        <v>610</v>
      </c>
      <c r="F300" s="31"/>
      <c r="G300" s="32">
        <v>1</v>
      </c>
      <c r="H300" s="33">
        <v>0</v>
      </c>
      <c r="I300" s="34">
        <v>2485.8709964594</v>
      </c>
      <c r="J300" s="34">
        <v>2485.8709964594</v>
      </c>
      <c r="K300" s="31" t="s">
        <v>1058</v>
      </c>
      <c r="L300" s="31">
        <v>2</v>
      </c>
      <c r="M300" s="31" t="s">
        <v>1060</v>
      </c>
      <c r="N300" s="34">
        <v>35</v>
      </c>
      <c r="O300" s="35">
        <v>0</v>
      </c>
      <c r="P300" s="35" t="s">
        <v>212</v>
      </c>
      <c r="Q300" s="35">
        <v>0</v>
      </c>
      <c r="R300" s="36" t="s">
        <v>212</v>
      </c>
      <c r="S300" s="37" t="str">
        <f>IFERROR(_xlfn.XLOOKUP(R300,'1_Presupuesto'!$E:$E,'1_Presupuesto'!$D:$D),"")</f>
        <v/>
      </c>
    </row>
    <row r="301" spans="1:19" x14ac:dyDescent="0.35">
      <c r="A301" s="31" t="s">
        <v>1049</v>
      </c>
      <c r="B301" s="31" t="s">
        <v>478</v>
      </c>
      <c r="C301" s="31" t="s">
        <v>479</v>
      </c>
      <c r="D301" s="31" t="s">
        <v>484</v>
      </c>
      <c r="E301" s="31" t="s">
        <v>186</v>
      </c>
      <c r="F301" s="31" t="s">
        <v>481</v>
      </c>
      <c r="G301" s="32">
        <v>3</v>
      </c>
      <c r="H301" s="33">
        <v>0</v>
      </c>
      <c r="I301" s="34">
        <v>67240.498860267602</v>
      </c>
      <c r="J301" s="34">
        <v>201721.49658080301</v>
      </c>
      <c r="K301" s="31" t="s">
        <v>1061</v>
      </c>
      <c r="L301" s="31">
        <v>1</v>
      </c>
      <c r="M301" s="31" t="s">
        <v>1062</v>
      </c>
      <c r="N301" s="34">
        <v>35</v>
      </c>
      <c r="O301" s="35">
        <v>8.5714285714285701E-2</v>
      </c>
      <c r="P301" s="35" t="s">
        <v>212</v>
      </c>
      <c r="Q301" s="35">
        <v>0</v>
      </c>
      <c r="R301" s="36" t="s">
        <v>212</v>
      </c>
      <c r="S301" s="37" t="str">
        <f>IFERROR(_xlfn.XLOOKUP(R301,'1_Presupuesto'!$E:$E,'1_Presupuesto'!$D:$D),"")</f>
        <v/>
      </c>
    </row>
    <row r="302" spans="1:19" x14ac:dyDescent="0.35">
      <c r="A302" s="31" t="s">
        <v>1049</v>
      </c>
      <c r="B302" s="31" t="s">
        <v>478</v>
      </c>
      <c r="C302" s="31" t="s">
        <v>479</v>
      </c>
      <c r="D302" s="31" t="s">
        <v>480</v>
      </c>
      <c r="E302" s="31" t="s">
        <v>183</v>
      </c>
      <c r="F302" s="31" t="s">
        <v>481</v>
      </c>
      <c r="G302" s="32">
        <v>2</v>
      </c>
      <c r="H302" s="33">
        <v>0</v>
      </c>
      <c r="I302" s="34">
        <v>94177.137883538904</v>
      </c>
      <c r="J302" s="34">
        <v>188354.27576707801</v>
      </c>
      <c r="K302" s="31" t="s">
        <v>1061</v>
      </c>
      <c r="L302" s="31">
        <v>2</v>
      </c>
      <c r="M302" s="31" t="s">
        <v>1063</v>
      </c>
      <c r="N302" s="34">
        <v>35</v>
      </c>
      <c r="O302" s="35">
        <v>5.7142857142857099E-2</v>
      </c>
      <c r="P302" s="35" t="s">
        <v>212</v>
      </c>
      <c r="Q302" s="35">
        <v>0</v>
      </c>
      <c r="R302" s="36" t="s">
        <v>212</v>
      </c>
      <c r="S302" s="37" t="str">
        <f>IFERROR(_xlfn.XLOOKUP(R302,'1_Presupuesto'!$E:$E,'1_Presupuesto'!$D:$D),"")</f>
        <v/>
      </c>
    </row>
    <row r="303" spans="1:19" x14ac:dyDescent="0.35">
      <c r="A303" s="31" t="s">
        <v>1064</v>
      </c>
      <c r="B303" s="31" t="s">
        <v>497</v>
      </c>
      <c r="C303" s="31" t="s">
        <v>498</v>
      </c>
      <c r="D303" s="31" t="s">
        <v>909</v>
      </c>
      <c r="E303" s="31" t="s">
        <v>910</v>
      </c>
      <c r="F303" s="31">
        <v>0</v>
      </c>
      <c r="G303" s="32">
        <v>0.5</v>
      </c>
      <c r="H303" s="33">
        <v>0.05</v>
      </c>
      <c r="I303" s="34">
        <v>1363.95</v>
      </c>
      <c r="J303" s="34">
        <v>716.07375000000002</v>
      </c>
      <c r="K303" s="31" t="s">
        <v>1065</v>
      </c>
      <c r="L303" s="31">
        <v>1</v>
      </c>
      <c r="M303" s="31" t="s">
        <v>1066</v>
      </c>
      <c r="N303" s="34">
        <v>15</v>
      </c>
      <c r="O303" s="35">
        <v>0</v>
      </c>
      <c r="P303" s="35" t="s">
        <v>212</v>
      </c>
      <c r="Q303" s="35">
        <v>0</v>
      </c>
      <c r="R303" s="36" t="s">
        <v>212</v>
      </c>
      <c r="S303" s="37" t="str">
        <f>IFERROR(_xlfn.XLOOKUP(R303,'1_Presupuesto'!$E:$E,'1_Presupuesto'!$D:$D),"")</f>
        <v/>
      </c>
    </row>
    <row r="304" spans="1:19" x14ac:dyDescent="0.35">
      <c r="A304" s="31" t="s">
        <v>1064</v>
      </c>
      <c r="B304" s="31" t="s">
        <v>497</v>
      </c>
      <c r="C304" s="31" t="s">
        <v>498</v>
      </c>
      <c r="D304" s="31" t="s">
        <v>534</v>
      </c>
      <c r="E304" s="31" t="s">
        <v>535</v>
      </c>
      <c r="F304" s="31">
        <v>0</v>
      </c>
      <c r="G304" s="32">
        <v>0.03</v>
      </c>
      <c r="H304" s="33">
        <v>0.1</v>
      </c>
      <c r="I304" s="34">
        <v>32620.38</v>
      </c>
      <c r="J304" s="34">
        <v>1076.47254</v>
      </c>
      <c r="K304" s="31" t="s">
        <v>1065</v>
      </c>
      <c r="L304" s="31">
        <v>2</v>
      </c>
      <c r="M304" s="31" t="s">
        <v>1067</v>
      </c>
      <c r="N304" s="34">
        <v>15</v>
      </c>
      <c r="O304" s="35">
        <v>0</v>
      </c>
      <c r="P304" s="35" t="s">
        <v>212</v>
      </c>
      <c r="Q304" s="35">
        <v>0</v>
      </c>
      <c r="R304" s="36" t="s">
        <v>212</v>
      </c>
      <c r="S304" s="37" t="str">
        <f>IFERROR(_xlfn.XLOOKUP(R304,'1_Presupuesto'!$E:$E,'1_Presupuesto'!$D:$D),"")</f>
        <v/>
      </c>
    </row>
    <row r="305" spans="1:19" x14ac:dyDescent="0.35">
      <c r="A305" s="31" t="s">
        <v>1064</v>
      </c>
      <c r="B305" s="31" t="s">
        <v>497</v>
      </c>
      <c r="C305" s="31" t="s">
        <v>498</v>
      </c>
      <c r="D305" s="31" t="s">
        <v>541</v>
      </c>
      <c r="E305" s="31" t="s">
        <v>542</v>
      </c>
      <c r="F305" s="31">
        <v>0</v>
      </c>
      <c r="G305" s="32">
        <v>0.27</v>
      </c>
      <c r="H305" s="33">
        <v>0.1</v>
      </c>
      <c r="I305" s="34">
        <v>7891.74</v>
      </c>
      <c r="J305" s="34">
        <v>2343.8467799999999</v>
      </c>
      <c r="K305" s="31" t="s">
        <v>1065</v>
      </c>
      <c r="L305" s="31">
        <v>3</v>
      </c>
      <c r="M305" s="31" t="s">
        <v>1068</v>
      </c>
      <c r="N305" s="34">
        <v>15</v>
      </c>
      <c r="O305" s="35">
        <v>0</v>
      </c>
      <c r="P305" s="35" t="s">
        <v>212</v>
      </c>
      <c r="Q305" s="35">
        <v>0</v>
      </c>
      <c r="R305" s="36" t="s">
        <v>212</v>
      </c>
      <c r="S305" s="37" t="str">
        <f>IFERROR(_xlfn.XLOOKUP(R305,'1_Presupuesto'!$E:$E,'1_Presupuesto'!$D:$D),"")</f>
        <v/>
      </c>
    </row>
    <row r="306" spans="1:19" x14ac:dyDescent="0.35">
      <c r="A306" s="31" t="s">
        <v>1064</v>
      </c>
      <c r="B306" s="31" t="s">
        <v>203</v>
      </c>
      <c r="C306" s="31"/>
      <c r="D306" s="31" t="s">
        <v>616</v>
      </c>
      <c r="E306" s="31" t="s">
        <v>617</v>
      </c>
      <c r="F306" s="31"/>
      <c r="G306" s="32">
        <v>1</v>
      </c>
      <c r="H306" s="33">
        <v>0</v>
      </c>
      <c r="I306" s="34">
        <v>1040.43144867052</v>
      </c>
      <c r="J306" s="34">
        <v>1040.43144867052</v>
      </c>
      <c r="K306" s="31" t="s">
        <v>1069</v>
      </c>
      <c r="L306" s="31">
        <v>1</v>
      </c>
      <c r="M306" s="31" t="s">
        <v>1070</v>
      </c>
      <c r="N306" s="34">
        <v>15</v>
      </c>
      <c r="O306" s="35">
        <v>0</v>
      </c>
      <c r="P306" s="35" t="s">
        <v>212</v>
      </c>
      <c r="Q306" s="35">
        <v>0</v>
      </c>
      <c r="R306" s="36" t="s">
        <v>212</v>
      </c>
      <c r="S306" s="37" t="str">
        <f>IFERROR(_xlfn.XLOOKUP(R306,'1_Presupuesto'!$E:$E,'1_Presupuesto'!$D:$D),"")</f>
        <v/>
      </c>
    </row>
    <row r="307" spans="1:19" x14ac:dyDescent="0.35">
      <c r="A307" s="31" t="s">
        <v>1064</v>
      </c>
      <c r="B307" s="31" t="s">
        <v>203</v>
      </c>
      <c r="C307" s="31"/>
      <c r="D307" s="31" t="s">
        <v>609</v>
      </c>
      <c r="E307" s="31" t="s">
        <v>610</v>
      </c>
      <c r="F307" s="31"/>
      <c r="G307" s="32">
        <v>1</v>
      </c>
      <c r="H307" s="33">
        <v>0</v>
      </c>
      <c r="I307" s="34">
        <v>2485.8709964594</v>
      </c>
      <c r="J307" s="34">
        <v>2485.8709964594</v>
      </c>
      <c r="K307" s="31" t="s">
        <v>1069</v>
      </c>
      <c r="L307" s="31">
        <v>2</v>
      </c>
      <c r="M307" s="31" t="s">
        <v>1071</v>
      </c>
      <c r="N307" s="34">
        <v>15</v>
      </c>
      <c r="O307" s="35">
        <v>0</v>
      </c>
      <c r="P307" s="35" t="s">
        <v>212</v>
      </c>
      <c r="Q307" s="35">
        <v>0</v>
      </c>
      <c r="R307" s="36" t="s">
        <v>212</v>
      </c>
      <c r="S307" s="37" t="str">
        <f>IFERROR(_xlfn.XLOOKUP(R307,'1_Presupuesto'!$E:$E,'1_Presupuesto'!$D:$D),"")</f>
        <v/>
      </c>
    </row>
    <row r="308" spans="1:19" x14ac:dyDescent="0.35">
      <c r="A308" s="31" t="s">
        <v>1064</v>
      </c>
      <c r="B308" s="31" t="s">
        <v>478</v>
      </c>
      <c r="C308" s="31" t="s">
        <v>479</v>
      </c>
      <c r="D308" s="31" t="s">
        <v>480</v>
      </c>
      <c r="E308" s="31" t="s">
        <v>183</v>
      </c>
      <c r="F308" s="31" t="s">
        <v>481</v>
      </c>
      <c r="G308" s="32">
        <v>1</v>
      </c>
      <c r="H308" s="33">
        <v>0</v>
      </c>
      <c r="I308" s="34">
        <v>94177.137883538904</v>
      </c>
      <c r="J308" s="34">
        <v>94177.137883538904</v>
      </c>
      <c r="K308" s="31" t="s">
        <v>1072</v>
      </c>
      <c r="L308" s="31">
        <v>1</v>
      </c>
      <c r="M308" s="31" t="s">
        <v>1073</v>
      </c>
      <c r="N308" s="34">
        <v>15</v>
      </c>
      <c r="O308" s="35">
        <v>6.6666666666666693E-2</v>
      </c>
      <c r="P308" s="35" t="s">
        <v>212</v>
      </c>
      <c r="Q308" s="35">
        <v>0</v>
      </c>
      <c r="R308" s="36" t="s">
        <v>212</v>
      </c>
      <c r="S308" s="37" t="str">
        <f>IFERROR(_xlfn.XLOOKUP(R308,'1_Presupuesto'!$E:$E,'1_Presupuesto'!$D:$D),"")</f>
        <v/>
      </c>
    </row>
    <row r="309" spans="1:19" x14ac:dyDescent="0.35">
      <c r="A309" s="31" t="s">
        <v>1064</v>
      </c>
      <c r="B309" s="31" t="s">
        <v>478</v>
      </c>
      <c r="C309" s="31" t="s">
        <v>479</v>
      </c>
      <c r="D309" s="31" t="s">
        <v>484</v>
      </c>
      <c r="E309" s="31" t="s">
        <v>186</v>
      </c>
      <c r="F309" s="31" t="s">
        <v>481</v>
      </c>
      <c r="G309" s="32">
        <v>0.45</v>
      </c>
      <c r="H309" s="33">
        <v>0</v>
      </c>
      <c r="I309" s="34">
        <v>67240.498860267602</v>
      </c>
      <c r="J309" s="34">
        <v>30258.224487120398</v>
      </c>
      <c r="K309" s="31" t="s">
        <v>1072</v>
      </c>
      <c r="L309" s="31">
        <v>2</v>
      </c>
      <c r="M309" s="31" t="s">
        <v>1074</v>
      </c>
      <c r="N309" s="34">
        <v>15</v>
      </c>
      <c r="O309" s="35">
        <v>0.03</v>
      </c>
      <c r="P309" s="35" t="s">
        <v>212</v>
      </c>
      <c r="Q309" s="35">
        <v>0</v>
      </c>
      <c r="R309" s="36" t="s">
        <v>212</v>
      </c>
      <c r="S309" s="37" t="str">
        <f>IFERROR(_xlfn.XLOOKUP(R309,'1_Presupuesto'!$E:$E,'1_Presupuesto'!$D:$D),"")</f>
        <v/>
      </c>
    </row>
    <row r="310" spans="1:19" x14ac:dyDescent="0.35">
      <c r="A310" s="31" t="s">
        <v>1075</v>
      </c>
      <c r="B310" s="31" t="s">
        <v>497</v>
      </c>
      <c r="C310" s="31" t="s">
        <v>498</v>
      </c>
      <c r="D310" s="31" t="s">
        <v>541</v>
      </c>
      <c r="E310" s="31" t="s">
        <v>542</v>
      </c>
      <c r="F310" s="31">
        <v>0</v>
      </c>
      <c r="G310" s="32">
        <v>0.32400000000000001</v>
      </c>
      <c r="H310" s="33">
        <v>0.1</v>
      </c>
      <c r="I310" s="34">
        <v>7891.74</v>
      </c>
      <c r="J310" s="34">
        <v>2812.6161360000001</v>
      </c>
      <c r="K310" s="31" t="s">
        <v>1076</v>
      </c>
      <c r="L310" s="31">
        <v>1</v>
      </c>
      <c r="M310" s="31" t="s">
        <v>1077</v>
      </c>
      <c r="N310" s="34">
        <v>11.5</v>
      </c>
      <c r="O310" s="35">
        <v>0</v>
      </c>
      <c r="P310" s="35" t="s">
        <v>212</v>
      </c>
      <c r="Q310" s="35">
        <v>0</v>
      </c>
      <c r="R310" s="36" t="s">
        <v>212</v>
      </c>
      <c r="S310" s="37" t="str">
        <f>IFERROR(_xlfn.XLOOKUP(R310,'1_Presupuesto'!$E:$E,'1_Presupuesto'!$D:$D),"")</f>
        <v/>
      </c>
    </row>
    <row r="311" spans="1:19" x14ac:dyDescent="0.35">
      <c r="A311" s="31" t="s">
        <v>1075</v>
      </c>
      <c r="B311" s="31" t="s">
        <v>497</v>
      </c>
      <c r="C311" s="31" t="s">
        <v>498</v>
      </c>
      <c r="D311" s="31" t="s">
        <v>534</v>
      </c>
      <c r="E311" s="31" t="s">
        <v>535</v>
      </c>
      <c r="F311" s="31">
        <v>0</v>
      </c>
      <c r="G311" s="32">
        <v>3.5999999999999997E-2</v>
      </c>
      <c r="H311" s="33">
        <v>0.1</v>
      </c>
      <c r="I311" s="34">
        <v>32620.38</v>
      </c>
      <c r="J311" s="34">
        <v>1291.7670479999999</v>
      </c>
      <c r="K311" s="31" t="s">
        <v>1076</v>
      </c>
      <c r="L311" s="31">
        <v>2</v>
      </c>
      <c r="M311" s="31" t="s">
        <v>1078</v>
      </c>
      <c r="N311" s="34">
        <v>11.5</v>
      </c>
      <c r="O311" s="35">
        <v>0</v>
      </c>
      <c r="P311" s="35" t="s">
        <v>212</v>
      </c>
      <c r="Q311" s="35">
        <v>0</v>
      </c>
      <c r="R311" s="36" t="s">
        <v>212</v>
      </c>
      <c r="S311" s="37" t="str">
        <f>IFERROR(_xlfn.XLOOKUP(R311,'1_Presupuesto'!$E:$E,'1_Presupuesto'!$D:$D),"")</f>
        <v/>
      </c>
    </row>
    <row r="312" spans="1:19" x14ac:dyDescent="0.35">
      <c r="A312" s="31" t="s">
        <v>1075</v>
      </c>
      <c r="B312" s="31" t="s">
        <v>203</v>
      </c>
      <c r="C312" s="31"/>
      <c r="D312" s="31" t="s">
        <v>616</v>
      </c>
      <c r="E312" s="31" t="s">
        <v>617</v>
      </c>
      <c r="F312" s="31"/>
      <c r="G312" s="32">
        <v>1</v>
      </c>
      <c r="H312" s="33">
        <v>0</v>
      </c>
      <c r="I312" s="34">
        <v>1040.43144867052</v>
      </c>
      <c r="J312" s="34">
        <v>1040.43144867052</v>
      </c>
      <c r="K312" s="31" t="s">
        <v>1079</v>
      </c>
      <c r="L312" s="31">
        <v>1</v>
      </c>
      <c r="M312" s="31" t="s">
        <v>1080</v>
      </c>
      <c r="N312" s="34">
        <v>11.5</v>
      </c>
      <c r="O312" s="35">
        <v>0</v>
      </c>
      <c r="P312" s="35" t="s">
        <v>212</v>
      </c>
      <c r="Q312" s="35">
        <v>0</v>
      </c>
      <c r="R312" s="36" t="s">
        <v>212</v>
      </c>
      <c r="S312" s="37" t="str">
        <f>IFERROR(_xlfn.XLOOKUP(R312,'1_Presupuesto'!$E:$E,'1_Presupuesto'!$D:$D),"")</f>
        <v/>
      </c>
    </row>
    <row r="313" spans="1:19" x14ac:dyDescent="0.35">
      <c r="A313" s="31" t="s">
        <v>1075</v>
      </c>
      <c r="B313" s="31" t="s">
        <v>203</v>
      </c>
      <c r="C313" s="31"/>
      <c r="D313" s="31" t="s">
        <v>609</v>
      </c>
      <c r="E313" s="31" t="s">
        <v>610</v>
      </c>
      <c r="F313" s="31"/>
      <c r="G313" s="32">
        <v>1</v>
      </c>
      <c r="H313" s="33">
        <v>0</v>
      </c>
      <c r="I313" s="34">
        <v>2485.8709964594</v>
      </c>
      <c r="J313" s="34">
        <v>2485.8709964594</v>
      </c>
      <c r="K313" s="31" t="s">
        <v>1079</v>
      </c>
      <c r="L313" s="31">
        <v>2</v>
      </c>
      <c r="M313" s="31" t="s">
        <v>1081</v>
      </c>
      <c r="N313" s="34">
        <v>11.5</v>
      </c>
      <c r="O313" s="35">
        <v>0</v>
      </c>
      <c r="P313" s="35" t="s">
        <v>212</v>
      </c>
      <c r="Q313" s="35">
        <v>0</v>
      </c>
      <c r="R313" s="36" t="s">
        <v>212</v>
      </c>
      <c r="S313" s="37" t="str">
        <f>IFERROR(_xlfn.XLOOKUP(R313,'1_Presupuesto'!$E:$E,'1_Presupuesto'!$D:$D),"")</f>
        <v/>
      </c>
    </row>
    <row r="314" spans="1:19" x14ac:dyDescent="0.35">
      <c r="A314" s="31" t="s">
        <v>1075</v>
      </c>
      <c r="B314" s="31" t="s">
        <v>478</v>
      </c>
      <c r="C314" s="31" t="s">
        <v>479</v>
      </c>
      <c r="D314" s="31" t="s">
        <v>484</v>
      </c>
      <c r="E314" s="31" t="s">
        <v>186</v>
      </c>
      <c r="F314" s="31" t="s">
        <v>481</v>
      </c>
      <c r="G314" s="32">
        <v>0.5</v>
      </c>
      <c r="H314" s="33">
        <v>0</v>
      </c>
      <c r="I314" s="34">
        <v>67240.498860267602</v>
      </c>
      <c r="J314" s="34">
        <v>33620.249430133801</v>
      </c>
      <c r="K314" s="31" t="s">
        <v>1082</v>
      </c>
      <c r="L314" s="31">
        <v>1</v>
      </c>
      <c r="M314" s="31" t="s">
        <v>1083</v>
      </c>
      <c r="N314" s="34">
        <v>11.5</v>
      </c>
      <c r="O314" s="35">
        <v>4.3478260869565202E-2</v>
      </c>
      <c r="P314" s="35" t="s">
        <v>212</v>
      </c>
      <c r="Q314" s="35">
        <v>0</v>
      </c>
      <c r="R314" s="36" t="s">
        <v>212</v>
      </c>
      <c r="S314" s="37" t="str">
        <f>IFERROR(_xlfn.XLOOKUP(R314,'1_Presupuesto'!$E:$E,'1_Presupuesto'!$D:$D),"")</f>
        <v/>
      </c>
    </row>
    <row r="315" spans="1:19" x14ac:dyDescent="0.35">
      <c r="A315" s="31" t="s">
        <v>1075</v>
      </c>
      <c r="B315" s="31" t="s">
        <v>478</v>
      </c>
      <c r="C315" s="31" t="s">
        <v>479</v>
      </c>
      <c r="D315" s="31" t="s">
        <v>480</v>
      </c>
      <c r="E315" s="31" t="s">
        <v>183</v>
      </c>
      <c r="F315" s="31" t="s">
        <v>481</v>
      </c>
      <c r="G315" s="32">
        <v>1</v>
      </c>
      <c r="H315" s="33">
        <v>0</v>
      </c>
      <c r="I315" s="34">
        <v>94177.137883538904</v>
      </c>
      <c r="J315" s="34">
        <v>94177.137883538904</v>
      </c>
      <c r="K315" s="31" t="s">
        <v>1082</v>
      </c>
      <c r="L315" s="31">
        <v>2</v>
      </c>
      <c r="M315" s="31" t="s">
        <v>1084</v>
      </c>
      <c r="N315" s="34">
        <v>11.5</v>
      </c>
      <c r="O315" s="35">
        <v>8.6956521739130405E-2</v>
      </c>
      <c r="P315" s="35" t="s">
        <v>212</v>
      </c>
      <c r="Q315" s="35">
        <v>0</v>
      </c>
      <c r="R315" s="36" t="s">
        <v>212</v>
      </c>
      <c r="S315" s="37" t="str">
        <f>IFERROR(_xlfn.XLOOKUP(R315,'1_Presupuesto'!$E:$E,'1_Presupuesto'!$D:$D),"")</f>
        <v/>
      </c>
    </row>
    <row r="316" spans="1:19" x14ac:dyDescent="0.35">
      <c r="A316" s="31" t="s">
        <v>1085</v>
      </c>
      <c r="B316" s="31" t="s">
        <v>497</v>
      </c>
      <c r="C316" s="31" t="s">
        <v>498</v>
      </c>
      <c r="D316" s="31" t="s">
        <v>765</v>
      </c>
      <c r="E316" s="31" t="s">
        <v>766</v>
      </c>
      <c r="F316" s="31">
        <v>0</v>
      </c>
      <c r="G316" s="32">
        <v>4.0000000000000001E-3</v>
      </c>
      <c r="H316" s="33">
        <v>0.05</v>
      </c>
      <c r="I316" s="34">
        <v>42552.892561983499</v>
      </c>
      <c r="J316" s="34">
        <v>178.72214876033101</v>
      </c>
      <c r="K316" s="31" t="s">
        <v>1086</v>
      </c>
      <c r="L316" s="31">
        <v>1</v>
      </c>
      <c r="M316" s="31" t="s">
        <v>1087</v>
      </c>
      <c r="N316" s="34">
        <v>22</v>
      </c>
      <c r="O316" s="35">
        <v>0</v>
      </c>
      <c r="P316" s="35" t="s">
        <v>212</v>
      </c>
      <c r="Q316" s="35">
        <v>0</v>
      </c>
      <c r="R316" s="36" t="s">
        <v>212</v>
      </c>
      <c r="S316" s="37" t="str">
        <f>IFERROR(_xlfn.XLOOKUP(R316,'1_Presupuesto'!$E:$E,'1_Presupuesto'!$D:$D),"")</f>
        <v/>
      </c>
    </row>
    <row r="317" spans="1:19" x14ac:dyDescent="0.35">
      <c r="A317" s="31" t="s">
        <v>1085</v>
      </c>
      <c r="B317" s="31" t="s">
        <v>497</v>
      </c>
      <c r="C317" s="31" t="s">
        <v>498</v>
      </c>
      <c r="D317" s="31" t="s">
        <v>780</v>
      </c>
      <c r="E317" s="31" t="s">
        <v>781</v>
      </c>
      <c r="F317" s="31">
        <v>0</v>
      </c>
      <c r="G317" s="32">
        <v>0.03</v>
      </c>
      <c r="H317" s="33">
        <v>0.1</v>
      </c>
      <c r="I317" s="34">
        <v>41314.049586776899</v>
      </c>
      <c r="J317" s="34">
        <v>1363.3636363636399</v>
      </c>
      <c r="K317" s="31" t="s">
        <v>1086</v>
      </c>
      <c r="L317" s="31">
        <v>2</v>
      </c>
      <c r="M317" s="31" t="s">
        <v>1088</v>
      </c>
      <c r="N317" s="34">
        <v>22</v>
      </c>
      <c r="O317" s="35">
        <v>0</v>
      </c>
      <c r="P317" s="35" t="s">
        <v>212</v>
      </c>
      <c r="Q317" s="35">
        <v>0</v>
      </c>
      <c r="R317" s="36" t="s">
        <v>212</v>
      </c>
      <c r="S317" s="37" t="str">
        <f>IFERROR(_xlfn.XLOOKUP(R317,'1_Presupuesto'!$E:$E,'1_Presupuesto'!$D:$D),"")</f>
        <v/>
      </c>
    </row>
    <row r="318" spans="1:19" x14ac:dyDescent="0.35">
      <c r="A318" s="31" t="s">
        <v>1085</v>
      </c>
      <c r="B318" s="31" t="s">
        <v>497</v>
      </c>
      <c r="C318" s="31" t="s">
        <v>498</v>
      </c>
      <c r="D318" s="31" t="s">
        <v>783</v>
      </c>
      <c r="E318" s="31" t="s">
        <v>784</v>
      </c>
      <c r="F318" s="31">
        <v>0</v>
      </c>
      <c r="G318" s="32">
        <v>1.2500000000000001E-2</v>
      </c>
      <c r="H318" s="33">
        <v>0.1</v>
      </c>
      <c r="I318" s="34">
        <v>143389.25619834699</v>
      </c>
      <c r="J318" s="34">
        <v>1971.60227272727</v>
      </c>
      <c r="K318" s="31" t="s">
        <v>1086</v>
      </c>
      <c r="L318" s="31">
        <v>3</v>
      </c>
      <c r="M318" s="31" t="s">
        <v>1089</v>
      </c>
      <c r="N318" s="34">
        <v>22</v>
      </c>
      <c r="O318" s="35">
        <v>0</v>
      </c>
      <c r="P318" s="35" t="s">
        <v>212</v>
      </c>
      <c r="Q318" s="35">
        <v>0</v>
      </c>
      <c r="R318" s="36" t="s">
        <v>212</v>
      </c>
      <c r="S318" s="37" t="str">
        <f>IFERROR(_xlfn.XLOOKUP(R318,'1_Presupuesto'!$E:$E,'1_Presupuesto'!$D:$D),"")</f>
        <v/>
      </c>
    </row>
    <row r="319" spans="1:19" x14ac:dyDescent="0.35">
      <c r="A319" s="31" t="s">
        <v>1085</v>
      </c>
      <c r="B319" s="31" t="s">
        <v>497</v>
      </c>
      <c r="C319" s="31" t="s">
        <v>498</v>
      </c>
      <c r="D319" s="31" t="s">
        <v>761</v>
      </c>
      <c r="E319" s="31" t="s">
        <v>762</v>
      </c>
      <c r="F319" s="31">
        <v>0</v>
      </c>
      <c r="G319" s="32">
        <v>2.5000000000000001E-3</v>
      </c>
      <c r="H319" s="33">
        <v>0.05</v>
      </c>
      <c r="I319" s="34">
        <v>9927.59</v>
      </c>
      <c r="J319" s="34">
        <v>26.059923749999999</v>
      </c>
      <c r="K319" s="31" t="s">
        <v>1086</v>
      </c>
      <c r="L319" s="31">
        <v>4</v>
      </c>
      <c r="M319" s="31" t="s">
        <v>1090</v>
      </c>
      <c r="N319" s="34">
        <v>22</v>
      </c>
      <c r="O319" s="35">
        <v>0</v>
      </c>
      <c r="P319" s="35" t="s">
        <v>212</v>
      </c>
      <c r="Q319" s="35">
        <v>0</v>
      </c>
      <c r="R319" s="36" t="s">
        <v>212</v>
      </c>
      <c r="S319" s="37" t="str">
        <f>IFERROR(_xlfn.XLOOKUP(R319,'1_Presupuesto'!$E:$E,'1_Presupuesto'!$D:$D),"")</f>
        <v/>
      </c>
    </row>
    <row r="320" spans="1:19" x14ac:dyDescent="0.35">
      <c r="A320" s="31" t="s">
        <v>1085</v>
      </c>
      <c r="B320" s="31" t="s">
        <v>497</v>
      </c>
      <c r="C320" s="31" t="s">
        <v>498</v>
      </c>
      <c r="D320" s="31" t="s">
        <v>512</v>
      </c>
      <c r="E320" s="31" t="s">
        <v>513</v>
      </c>
      <c r="F320" s="31">
        <v>0</v>
      </c>
      <c r="G320" s="32">
        <v>0.03</v>
      </c>
      <c r="H320" s="33">
        <v>0.05</v>
      </c>
      <c r="I320" s="34">
        <v>1182.6446280991699</v>
      </c>
      <c r="J320" s="34">
        <v>37.253305785123899</v>
      </c>
      <c r="K320" s="31" t="s">
        <v>1086</v>
      </c>
      <c r="L320" s="31">
        <v>5</v>
      </c>
      <c r="M320" s="31" t="s">
        <v>1091</v>
      </c>
      <c r="N320" s="34">
        <v>22</v>
      </c>
      <c r="O320" s="35">
        <v>0</v>
      </c>
      <c r="P320" s="35" t="s">
        <v>212</v>
      </c>
      <c r="Q320" s="35">
        <v>0</v>
      </c>
      <c r="R320" s="36" t="s">
        <v>212</v>
      </c>
      <c r="S320" s="37" t="str">
        <f>IFERROR(_xlfn.XLOOKUP(R320,'1_Presupuesto'!$E:$E,'1_Presupuesto'!$D:$D),"")</f>
        <v/>
      </c>
    </row>
    <row r="321" spans="1:19" x14ac:dyDescent="0.35">
      <c r="A321" s="31" t="s">
        <v>1085</v>
      </c>
      <c r="B321" s="31" t="s">
        <v>497</v>
      </c>
      <c r="C321" s="31" t="s">
        <v>498</v>
      </c>
      <c r="D321" s="31" t="s">
        <v>769</v>
      </c>
      <c r="E321" s="31" t="s">
        <v>770</v>
      </c>
      <c r="F321" s="31">
        <v>0</v>
      </c>
      <c r="G321" s="32">
        <v>0.05</v>
      </c>
      <c r="H321" s="33">
        <v>0.1</v>
      </c>
      <c r="I321" s="34">
        <v>5885.9504132231395</v>
      </c>
      <c r="J321" s="34">
        <v>323.72727272727298</v>
      </c>
      <c r="K321" s="31" t="s">
        <v>1086</v>
      </c>
      <c r="L321" s="31">
        <v>6</v>
      </c>
      <c r="M321" s="31" t="s">
        <v>1092</v>
      </c>
      <c r="N321" s="34">
        <v>22</v>
      </c>
      <c r="O321" s="35">
        <v>0</v>
      </c>
      <c r="P321" s="35" t="s">
        <v>212</v>
      </c>
      <c r="Q321" s="35">
        <v>0</v>
      </c>
      <c r="R321" s="36" t="s">
        <v>212</v>
      </c>
      <c r="S321" s="37" t="str">
        <f>IFERROR(_xlfn.XLOOKUP(R321,'1_Presupuesto'!$E:$E,'1_Presupuesto'!$D:$D),"")</f>
        <v/>
      </c>
    </row>
    <row r="322" spans="1:19" x14ac:dyDescent="0.35">
      <c r="A322" s="31" t="s">
        <v>1085</v>
      </c>
      <c r="B322" s="31" t="s">
        <v>497</v>
      </c>
      <c r="C322" s="31" t="s">
        <v>498</v>
      </c>
      <c r="D322" s="31" t="s">
        <v>772</v>
      </c>
      <c r="E322" s="31" t="s">
        <v>773</v>
      </c>
      <c r="F322" s="31">
        <v>0</v>
      </c>
      <c r="G322" s="32">
        <v>2.5000000000000001E-2</v>
      </c>
      <c r="H322" s="33">
        <v>0.05</v>
      </c>
      <c r="I322" s="34">
        <v>7917.3553719008296</v>
      </c>
      <c r="J322" s="34">
        <v>207.83057851239701</v>
      </c>
      <c r="K322" s="31" t="s">
        <v>1086</v>
      </c>
      <c r="L322" s="31">
        <v>7</v>
      </c>
      <c r="M322" s="31" t="s">
        <v>1093</v>
      </c>
      <c r="N322" s="34">
        <v>22</v>
      </c>
      <c r="O322" s="35">
        <v>0</v>
      </c>
      <c r="P322" s="35" t="s">
        <v>212</v>
      </c>
      <c r="Q322" s="35">
        <v>0</v>
      </c>
      <c r="R322" s="36" t="s">
        <v>212</v>
      </c>
      <c r="S322" s="37" t="str">
        <f>IFERROR(_xlfn.XLOOKUP(R322,'1_Presupuesto'!$E:$E,'1_Presupuesto'!$D:$D),"")</f>
        <v/>
      </c>
    </row>
    <row r="323" spans="1:19" x14ac:dyDescent="0.35">
      <c r="A323" s="31" t="s">
        <v>1085</v>
      </c>
      <c r="B323" s="31" t="s">
        <v>497</v>
      </c>
      <c r="C323" s="31" t="s">
        <v>498</v>
      </c>
      <c r="D323" s="31" t="s">
        <v>503</v>
      </c>
      <c r="E323" s="31" t="s">
        <v>504</v>
      </c>
      <c r="F323" s="31" t="s">
        <v>261</v>
      </c>
      <c r="G323" s="32">
        <v>5.0000000000000001E-3</v>
      </c>
      <c r="H323" s="33">
        <v>0.05</v>
      </c>
      <c r="I323" s="34">
        <v>6442.15</v>
      </c>
      <c r="J323" s="34">
        <v>33.821287499999997</v>
      </c>
      <c r="K323" s="31" t="s">
        <v>1086</v>
      </c>
      <c r="L323" s="31">
        <v>8</v>
      </c>
      <c r="M323" s="31" t="s">
        <v>1094</v>
      </c>
      <c r="N323" s="34">
        <v>22</v>
      </c>
      <c r="O323" s="35">
        <v>0</v>
      </c>
      <c r="P323" s="35" t="s">
        <v>212</v>
      </c>
      <c r="Q323" s="35">
        <v>0</v>
      </c>
      <c r="R323" s="36" t="s">
        <v>212</v>
      </c>
      <c r="S323" s="37" t="str">
        <f>IFERROR(_xlfn.XLOOKUP(R323,'1_Presupuesto'!$E:$E,'1_Presupuesto'!$D:$D),"")</f>
        <v/>
      </c>
    </row>
    <row r="324" spans="1:19" x14ac:dyDescent="0.35">
      <c r="A324" s="31" t="s">
        <v>1085</v>
      </c>
      <c r="B324" s="31" t="s">
        <v>203</v>
      </c>
      <c r="C324" s="31"/>
      <c r="D324" s="31" t="s">
        <v>786</v>
      </c>
      <c r="E324" s="31" t="s">
        <v>787</v>
      </c>
      <c r="F324" s="31"/>
      <c r="G324" s="32">
        <v>2</v>
      </c>
      <c r="H324" s="33">
        <v>0</v>
      </c>
      <c r="I324" s="34">
        <v>1873.3963608356801</v>
      </c>
      <c r="J324" s="34">
        <v>3746.7927216713601</v>
      </c>
      <c r="K324" s="31" t="s">
        <v>1095</v>
      </c>
      <c r="L324" s="31">
        <v>1</v>
      </c>
      <c r="M324" s="31" t="s">
        <v>1096</v>
      </c>
      <c r="N324" s="34">
        <v>22</v>
      </c>
      <c r="O324" s="35">
        <v>0</v>
      </c>
      <c r="P324" s="35" t="s">
        <v>212</v>
      </c>
      <c r="Q324" s="35">
        <v>0</v>
      </c>
      <c r="R324" s="36" t="s">
        <v>212</v>
      </c>
      <c r="S324" s="37" t="str">
        <f>IFERROR(_xlfn.XLOOKUP(R324,'1_Presupuesto'!$E:$E,'1_Presupuesto'!$D:$D),"")</f>
        <v/>
      </c>
    </row>
    <row r="325" spans="1:19" x14ac:dyDescent="0.35">
      <c r="A325" s="31" t="s">
        <v>1085</v>
      </c>
      <c r="B325" s="31" t="s">
        <v>478</v>
      </c>
      <c r="C325" s="31" t="s">
        <v>479</v>
      </c>
      <c r="D325" s="31" t="s">
        <v>480</v>
      </c>
      <c r="E325" s="31" t="s">
        <v>183</v>
      </c>
      <c r="F325" s="31" t="s">
        <v>481</v>
      </c>
      <c r="G325" s="32">
        <v>1</v>
      </c>
      <c r="H325" s="33">
        <v>0</v>
      </c>
      <c r="I325" s="34">
        <v>94177.137883538904</v>
      </c>
      <c r="J325" s="34">
        <v>94177.137883538904</v>
      </c>
      <c r="K325" s="31" t="s">
        <v>1097</v>
      </c>
      <c r="L325" s="31">
        <v>1</v>
      </c>
      <c r="M325" s="31" t="s">
        <v>1098</v>
      </c>
      <c r="N325" s="34">
        <v>22</v>
      </c>
      <c r="O325" s="35">
        <v>4.5454545454545497E-2</v>
      </c>
      <c r="P325" s="35" t="s">
        <v>212</v>
      </c>
      <c r="Q325" s="35">
        <v>0</v>
      </c>
      <c r="R325" s="36" t="s">
        <v>212</v>
      </c>
      <c r="S325" s="37" t="str">
        <f>IFERROR(_xlfn.XLOOKUP(R325,'1_Presupuesto'!$E:$E,'1_Presupuesto'!$D:$D),"")</f>
        <v/>
      </c>
    </row>
    <row r="326" spans="1:19" x14ac:dyDescent="0.35">
      <c r="A326" s="31" t="s">
        <v>1085</v>
      </c>
      <c r="B326" s="31" t="s">
        <v>478</v>
      </c>
      <c r="C326" s="31" t="s">
        <v>479</v>
      </c>
      <c r="D326" s="31" t="s">
        <v>494</v>
      </c>
      <c r="E326" s="31" t="s">
        <v>185</v>
      </c>
      <c r="F326" s="31" t="s">
        <v>481</v>
      </c>
      <c r="G326" s="32">
        <v>1.25</v>
      </c>
      <c r="H326" s="33">
        <v>0</v>
      </c>
      <c r="I326" s="34">
        <v>72132.138365590101</v>
      </c>
      <c r="J326" s="34">
        <v>90165.172956987604</v>
      </c>
      <c r="K326" s="31" t="s">
        <v>1097</v>
      </c>
      <c r="L326" s="31">
        <v>2</v>
      </c>
      <c r="M326" s="31" t="s">
        <v>1099</v>
      </c>
      <c r="N326" s="34">
        <v>22</v>
      </c>
      <c r="O326" s="35">
        <v>5.6818181818181802E-2</v>
      </c>
      <c r="P326" s="35" t="s">
        <v>212</v>
      </c>
      <c r="Q326" s="35">
        <v>0</v>
      </c>
      <c r="R326" s="36" t="s">
        <v>212</v>
      </c>
      <c r="S326" s="37" t="str">
        <f>IFERROR(_xlfn.XLOOKUP(R326,'1_Presupuesto'!$E:$E,'1_Presupuesto'!$D:$D),"")</f>
        <v/>
      </c>
    </row>
    <row r="327" spans="1:19" x14ac:dyDescent="0.35">
      <c r="A327" s="31" t="s">
        <v>1100</v>
      </c>
      <c r="B327" s="31" t="s">
        <v>497</v>
      </c>
      <c r="C327" s="31" t="s">
        <v>498</v>
      </c>
      <c r="D327" s="31" t="s">
        <v>765</v>
      </c>
      <c r="E327" s="31" t="s">
        <v>766</v>
      </c>
      <c r="F327" s="31">
        <v>0</v>
      </c>
      <c r="G327" s="32">
        <v>4.0000000000000001E-3</v>
      </c>
      <c r="H327" s="33">
        <v>0.05</v>
      </c>
      <c r="I327" s="34">
        <v>42552.892561983499</v>
      </c>
      <c r="J327" s="34">
        <v>178.72214876033101</v>
      </c>
      <c r="K327" s="31" t="s">
        <v>1101</v>
      </c>
      <c r="L327" s="31">
        <v>1</v>
      </c>
      <c r="M327" s="31" t="s">
        <v>1102</v>
      </c>
      <c r="N327" s="34">
        <v>17.5</v>
      </c>
      <c r="O327" s="35">
        <v>0</v>
      </c>
      <c r="P327" s="35" t="s">
        <v>212</v>
      </c>
      <c r="Q327" s="35">
        <v>0</v>
      </c>
      <c r="R327" s="36" t="s">
        <v>212</v>
      </c>
      <c r="S327" s="37" t="str">
        <f>IFERROR(_xlfn.XLOOKUP(R327,'1_Presupuesto'!$E:$E,'1_Presupuesto'!$D:$D),"")</f>
        <v/>
      </c>
    </row>
    <row r="328" spans="1:19" x14ac:dyDescent="0.35">
      <c r="A328" s="31" t="s">
        <v>1100</v>
      </c>
      <c r="B328" s="31" t="s">
        <v>497</v>
      </c>
      <c r="C328" s="31" t="s">
        <v>498</v>
      </c>
      <c r="D328" s="31" t="s">
        <v>780</v>
      </c>
      <c r="E328" s="31" t="s">
        <v>781</v>
      </c>
      <c r="F328" s="31">
        <v>0</v>
      </c>
      <c r="G328" s="32">
        <v>0.03</v>
      </c>
      <c r="H328" s="33">
        <v>0.1</v>
      </c>
      <c r="I328" s="34">
        <v>41314.049586776899</v>
      </c>
      <c r="J328" s="34">
        <v>1363.3636363636399</v>
      </c>
      <c r="K328" s="31" t="s">
        <v>1101</v>
      </c>
      <c r="L328" s="31">
        <v>2</v>
      </c>
      <c r="M328" s="31" t="s">
        <v>1103</v>
      </c>
      <c r="N328" s="34">
        <v>17.5</v>
      </c>
      <c r="O328" s="35">
        <v>0</v>
      </c>
      <c r="P328" s="35" t="s">
        <v>212</v>
      </c>
      <c r="Q328" s="35">
        <v>0</v>
      </c>
      <c r="R328" s="36" t="s">
        <v>212</v>
      </c>
      <c r="S328" s="37" t="str">
        <f>IFERROR(_xlfn.XLOOKUP(R328,'1_Presupuesto'!$E:$E,'1_Presupuesto'!$D:$D),"")</f>
        <v/>
      </c>
    </row>
    <row r="329" spans="1:19" x14ac:dyDescent="0.35">
      <c r="A329" s="31" t="s">
        <v>1100</v>
      </c>
      <c r="B329" s="31" t="s">
        <v>497</v>
      </c>
      <c r="C329" s="31" t="s">
        <v>498</v>
      </c>
      <c r="D329" s="31" t="s">
        <v>783</v>
      </c>
      <c r="E329" s="31" t="s">
        <v>784</v>
      </c>
      <c r="F329" s="31">
        <v>0</v>
      </c>
      <c r="G329" s="32">
        <v>1.2500000000000001E-2</v>
      </c>
      <c r="H329" s="33">
        <v>0.1</v>
      </c>
      <c r="I329" s="34">
        <v>143389.25619834699</v>
      </c>
      <c r="J329" s="34">
        <v>1971.60227272727</v>
      </c>
      <c r="K329" s="31" t="s">
        <v>1101</v>
      </c>
      <c r="L329" s="31">
        <v>3</v>
      </c>
      <c r="M329" s="31" t="s">
        <v>1104</v>
      </c>
      <c r="N329" s="34">
        <v>17.5</v>
      </c>
      <c r="O329" s="35">
        <v>0</v>
      </c>
      <c r="P329" s="35" t="s">
        <v>212</v>
      </c>
      <c r="Q329" s="35">
        <v>0</v>
      </c>
      <c r="R329" s="36" t="s">
        <v>212</v>
      </c>
      <c r="S329" s="37" t="str">
        <f>IFERROR(_xlfn.XLOOKUP(R329,'1_Presupuesto'!$E:$E,'1_Presupuesto'!$D:$D),"")</f>
        <v/>
      </c>
    </row>
    <row r="330" spans="1:19" x14ac:dyDescent="0.35">
      <c r="A330" s="31" t="s">
        <v>1100</v>
      </c>
      <c r="B330" s="31" t="s">
        <v>497</v>
      </c>
      <c r="C330" s="31" t="s">
        <v>498</v>
      </c>
      <c r="D330" s="31" t="s">
        <v>761</v>
      </c>
      <c r="E330" s="31" t="s">
        <v>762</v>
      </c>
      <c r="F330" s="31">
        <v>0</v>
      </c>
      <c r="G330" s="32">
        <v>2.5000000000000001E-3</v>
      </c>
      <c r="H330" s="33">
        <v>0.05</v>
      </c>
      <c r="I330" s="34">
        <v>9927.59</v>
      </c>
      <c r="J330" s="34">
        <v>26.059923749999999</v>
      </c>
      <c r="K330" s="31" t="s">
        <v>1101</v>
      </c>
      <c r="L330" s="31">
        <v>4</v>
      </c>
      <c r="M330" s="31" t="s">
        <v>1105</v>
      </c>
      <c r="N330" s="34">
        <v>17.5</v>
      </c>
      <c r="O330" s="35">
        <v>0</v>
      </c>
      <c r="P330" s="35" t="s">
        <v>212</v>
      </c>
      <c r="Q330" s="35">
        <v>0</v>
      </c>
      <c r="R330" s="36" t="s">
        <v>212</v>
      </c>
      <c r="S330" s="37" t="str">
        <f>IFERROR(_xlfn.XLOOKUP(R330,'1_Presupuesto'!$E:$E,'1_Presupuesto'!$D:$D),"")</f>
        <v/>
      </c>
    </row>
    <row r="331" spans="1:19" x14ac:dyDescent="0.35">
      <c r="A331" s="31" t="s">
        <v>1100</v>
      </c>
      <c r="B331" s="31" t="s">
        <v>497</v>
      </c>
      <c r="C331" s="31" t="s">
        <v>498</v>
      </c>
      <c r="D331" s="31" t="s">
        <v>512</v>
      </c>
      <c r="E331" s="31" t="s">
        <v>513</v>
      </c>
      <c r="F331" s="31">
        <v>0</v>
      </c>
      <c r="G331" s="32">
        <v>0.03</v>
      </c>
      <c r="H331" s="33">
        <v>0.05</v>
      </c>
      <c r="I331" s="34">
        <v>1182.6446280991699</v>
      </c>
      <c r="J331" s="34">
        <v>37.253305785123899</v>
      </c>
      <c r="K331" s="31" t="s">
        <v>1101</v>
      </c>
      <c r="L331" s="31">
        <v>5</v>
      </c>
      <c r="M331" s="31" t="s">
        <v>1106</v>
      </c>
      <c r="N331" s="34">
        <v>17.5</v>
      </c>
      <c r="O331" s="35">
        <v>0</v>
      </c>
      <c r="P331" s="35" t="s">
        <v>212</v>
      </c>
      <c r="Q331" s="35">
        <v>0</v>
      </c>
      <c r="R331" s="36" t="s">
        <v>212</v>
      </c>
      <c r="S331" s="37" t="str">
        <f>IFERROR(_xlfn.XLOOKUP(R331,'1_Presupuesto'!$E:$E,'1_Presupuesto'!$D:$D),"")</f>
        <v/>
      </c>
    </row>
    <row r="332" spans="1:19" x14ac:dyDescent="0.35">
      <c r="A332" s="31" t="s">
        <v>1100</v>
      </c>
      <c r="B332" s="31" t="s">
        <v>497</v>
      </c>
      <c r="C332" s="31" t="s">
        <v>498</v>
      </c>
      <c r="D332" s="31" t="s">
        <v>769</v>
      </c>
      <c r="E332" s="31" t="s">
        <v>770</v>
      </c>
      <c r="F332" s="31">
        <v>0</v>
      </c>
      <c r="G332" s="32">
        <v>0.05</v>
      </c>
      <c r="H332" s="33">
        <v>0.1</v>
      </c>
      <c r="I332" s="34">
        <v>5885.9504132231395</v>
      </c>
      <c r="J332" s="34">
        <v>323.72727272727298</v>
      </c>
      <c r="K332" s="31" t="s">
        <v>1101</v>
      </c>
      <c r="L332" s="31">
        <v>6</v>
      </c>
      <c r="M332" s="31" t="s">
        <v>1107</v>
      </c>
      <c r="N332" s="34">
        <v>17.5</v>
      </c>
      <c r="O332" s="35">
        <v>0</v>
      </c>
      <c r="P332" s="35" t="s">
        <v>212</v>
      </c>
      <c r="Q332" s="35">
        <v>0</v>
      </c>
      <c r="R332" s="36" t="s">
        <v>212</v>
      </c>
      <c r="S332" s="37" t="str">
        <f>IFERROR(_xlfn.XLOOKUP(R332,'1_Presupuesto'!$E:$E,'1_Presupuesto'!$D:$D),"")</f>
        <v/>
      </c>
    </row>
    <row r="333" spans="1:19" x14ac:dyDescent="0.35">
      <c r="A333" s="31" t="s">
        <v>1100</v>
      </c>
      <c r="B333" s="31" t="s">
        <v>497</v>
      </c>
      <c r="C333" s="31" t="s">
        <v>498</v>
      </c>
      <c r="D333" s="31" t="s">
        <v>772</v>
      </c>
      <c r="E333" s="31" t="s">
        <v>773</v>
      </c>
      <c r="F333" s="31">
        <v>0</v>
      </c>
      <c r="G333" s="32">
        <v>2.5000000000000001E-2</v>
      </c>
      <c r="H333" s="33">
        <v>0.05</v>
      </c>
      <c r="I333" s="34">
        <v>7917.3553719008296</v>
      </c>
      <c r="J333" s="34">
        <v>207.83057851239701</v>
      </c>
      <c r="K333" s="31" t="s">
        <v>1101</v>
      </c>
      <c r="L333" s="31">
        <v>7</v>
      </c>
      <c r="M333" s="31" t="s">
        <v>1108</v>
      </c>
      <c r="N333" s="34">
        <v>17.5</v>
      </c>
      <c r="O333" s="35">
        <v>0</v>
      </c>
      <c r="P333" s="35" t="s">
        <v>212</v>
      </c>
      <c r="Q333" s="35">
        <v>0</v>
      </c>
      <c r="R333" s="36" t="s">
        <v>212</v>
      </c>
      <c r="S333" s="37" t="str">
        <f>IFERROR(_xlfn.XLOOKUP(R333,'1_Presupuesto'!$E:$E,'1_Presupuesto'!$D:$D),"")</f>
        <v/>
      </c>
    </row>
    <row r="334" spans="1:19" x14ac:dyDescent="0.35">
      <c r="A334" s="31" t="s">
        <v>1100</v>
      </c>
      <c r="B334" s="31" t="s">
        <v>497</v>
      </c>
      <c r="C334" s="31" t="s">
        <v>498</v>
      </c>
      <c r="D334" s="31" t="s">
        <v>503</v>
      </c>
      <c r="E334" s="31" t="s">
        <v>504</v>
      </c>
      <c r="F334" s="31" t="s">
        <v>261</v>
      </c>
      <c r="G334" s="32">
        <v>5.0000000000000001E-3</v>
      </c>
      <c r="H334" s="33">
        <v>0.05</v>
      </c>
      <c r="I334" s="34">
        <v>6442.15</v>
      </c>
      <c r="J334" s="34">
        <v>33.821287499999997</v>
      </c>
      <c r="K334" s="31" t="s">
        <v>1101</v>
      </c>
      <c r="L334" s="31">
        <v>8</v>
      </c>
      <c r="M334" s="31" t="s">
        <v>1109</v>
      </c>
      <c r="N334" s="34">
        <v>17.5</v>
      </c>
      <c r="O334" s="35">
        <v>0</v>
      </c>
      <c r="P334" s="35" t="s">
        <v>212</v>
      </c>
      <c r="Q334" s="35">
        <v>0</v>
      </c>
      <c r="R334" s="36" t="s">
        <v>212</v>
      </c>
      <c r="S334" s="37" t="str">
        <f>IFERROR(_xlfn.XLOOKUP(R334,'1_Presupuesto'!$E:$E,'1_Presupuesto'!$D:$D),"")</f>
        <v/>
      </c>
    </row>
    <row r="335" spans="1:19" x14ac:dyDescent="0.35">
      <c r="A335" s="31" t="s">
        <v>1100</v>
      </c>
      <c r="B335" s="31" t="s">
        <v>203</v>
      </c>
      <c r="C335" s="31"/>
      <c r="D335" s="31" t="s">
        <v>613</v>
      </c>
      <c r="E335" s="31" t="s">
        <v>614</v>
      </c>
      <c r="F335" s="31"/>
      <c r="G335" s="32">
        <v>1</v>
      </c>
      <c r="H335" s="33">
        <v>0</v>
      </c>
      <c r="I335" s="34">
        <v>620.81078197718296</v>
      </c>
      <c r="J335" s="34">
        <v>620.81078197718296</v>
      </c>
      <c r="K335" s="31" t="s">
        <v>1110</v>
      </c>
      <c r="L335" s="31">
        <v>1</v>
      </c>
      <c r="M335" s="31" t="s">
        <v>1111</v>
      </c>
      <c r="N335" s="34">
        <v>17.5</v>
      </c>
      <c r="O335" s="35">
        <v>0</v>
      </c>
      <c r="P335" s="35" t="s">
        <v>212</v>
      </c>
      <c r="Q335" s="35">
        <v>0</v>
      </c>
      <c r="R335" s="36" t="s">
        <v>212</v>
      </c>
      <c r="S335" s="37" t="str">
        <f>IFERROR(_xlfn.XLOOKUP(R335,'1_Presupuesto'!$E:$E,'1_Presupuesto'!$D:$D),"")</f>
        <v/>
      </c>
    </row>
    <row r="336" spans="1:19" x14ac:dyDescent="0.35">
      <c r="A336" s="31" t="s">
        <v>1100</v>
      </c>
      <c r="B336" s="31" t="s">
        <v>203</v>
      </c>
      <c r="C336" s="31"/>
      <c r="D336" s="31" t="s">
        <v>786</v>
      </c>
      <c r="E336" s="31" t="s">
        <v>787</v>
      </c>
      <c r="F336" s="31"/>
      <c r="G336" s="32">
        <v>2</v>
      </c>
      <c r="H336" s="33">
        <v>0</v>
      </c>
      <c r="I336" s="34">
        <v>1873.3963608356801</v>
      </c>
      <c r="J336" s="34">
        <v>3746.7927216713601</v>
      </c>
      <c r="K336" s="31" t="s">
        <v>1110</v>
      </c>
      <c r="L336" s="31">
        <v>2</v>
      </c>
      <c r="M336" s="31" t="s">
        <v>1112</v>
      </c>
      <c r="N336" s="34">
        <v>17.5</v>
      </c>
      <c r="O336" s="35">
        <v>0</v>
      </c>
      <c r="P336" s="35" t="s">
        <v>212</v>
      </c>
      <c r="Q336" s="35">
        <v>0</v>
      </c>
      <c r="R336" s="36" t="s">
        <v>212</v>
      </c>
      <c r="S336" s="37" t="str">
        <f>IFERROR(_xlfn.XLOOKUP(R336,'1_Presupuesto'!$E:$E,'1_Presupuesto'!$D:$D),"")</f>
        <v/>
      </c>
    </row>
    <row r="337" spans="1:19" x14ac:dyDescent="0.35">
      <c r="A337" s="31" t="s">
        <v>1100</v>
      </c>
      <c r="B337" s="31" t="s">
        <v>478</v>
      </c>
      <c r="C337" s="31" t="s">
        <v>479</v>
      </c>
      <c r="D337" s="31" t="s">
        <v>494</v>
      </c>
      <c r="E337" s="31" t="s">
        <v>185</v>
      </c>
      <c r="F337" s="31" t="s">
        <v>481</v>
      </c>
      <c r="G337" s="32">
        <v>1</v>
      </c>
      <c r="H337" s="33">
        <v>0</v>
      </c>
      <c r="I337" s="34">
        <v>72132.138365590101</v>
      </c>
      <c r="J337" s="34">
        <v>72132.138365590101</v>
      </c>
      <c r="K337" s="31" t="s">
        <v>1113</v>
      </c>
      <c r="L337" s="31">
        <v>1</v>
      </c>
      <c r="M337" s="31" t="s">
        <v>1114</v>
      </c>
      <c r="N337" s="34">
        <v>17.5</v>
      </c>
      <c r="O337" s="35">
        <v>5.7142857142857099E-2</v>
      </c>
      <c r="P337" s="35" t="s">
        <v>212</v>
      </c>
      <c r="Q337" s="35">
        <v>0</v>
      </c>
      <c r="R337" s="36" t="s">
        <v>212</v>
      </c>
      <c r="S337" s="37" t="str">
        <f>IFERROR(_xlfn.XLOOKUP(R337,'1_Presupuesto'!$E:$E,'1_Presupuesto'!$D:$D),"")</f>
        <v/>
      </c>
    </row>
    <row r="338" spans="1:19" x14ac:dyDescent="0.35">
      <c r="A338" s="31" t="s">
        <v>1100</v>
      </c>
      <c r="B338" s="31" t="s">
        <v>478</v>
      </c>
      <c r="C338" s="31" t="s">
        <v>479</v>
      </c>
      <c r="D338" s="31" t="s">
        <v>480</v>
      </c>
      <c r="E338" s="31" t="s">
        <v>183</v>
      </c>
      <c r="F338" s="31" t="s">
        <v>481</v>
      </c>
      <c r="G338" s="32">
        <v>1</v>
      </c>
      <c r="H338" s="33">
        <v>0</v>
      </c>
      <c r="I338" s="34">
        <v>94177.137883538904</v>
      </c>
      <c r="J338" s="34">
        <v>94177.137883538904</v>
      </c>
      <c r="K338" s="31" t="s">
        <v>1113</v>
      </c>
      <c r="L338" s="31">
        <v>2</v>
      </c>
      <c r="M338" s="31" t="s">
        <v>1115</v>
      </c>
      <c r="N338" s="34">
        <v>17.5</v>
      </c>
      <c r="O338" s="35">
        <v>5.7142857142857099E-2</v>
      </c>
      <c r="P338" s="35" t="s">
        <v>212</v>
      </c>
      <c r="Q338" s="35">
        <v>0</v>
      </c>
      <c r="R338" s="36" t="s">
        <v>212</v>
      </c>
      <c r="S338" s="37" t="str">
        <f>IFERROR(_xlfn.XLOOKUP(R338,'1_Presupuesto'!$E:$E,'1_Presupuesto'!$D:$D),"")</f>
        <v/>
      </c>
    </row>
    <row r="339" spans="1:19" x14ac:dyDescent="0.35">
      <c r="A339" s="31" t="s">
        <v>1116</v>
      </c>
      <c r="B339" s="31" t="s">
        <v>497</v>
      </c>
      <c r="C339" s="31" t="s">
        <v>498</v>
      </c>
      <c r="D339" s="31" t="s">
        <v>765</v>
      </c>
      <c r="E339" s="31" t="s">
        <v>766</v>
      </c>
      <c r="F339" s="31">
        <v>0</v>
      </c>
      <c r="G339" s="32">
        <v>4.0000000000000001E-3</v>
      </c>
      <c r="H339" s="33">
        <v>0.05</v>
      </c>
      <c r="I339" s="34">
        <v>42552.892561983499</v>
      </c>
      <c r="J339" s="34">
        <v>178.72214876033101</v>
      </c>
      <c r="K339" s="31" t="s">
        <v>1117</v>
      </c>
      <c r="L339" s="31">
        <v>1</v>
      </c>
      <c r="M339" s="31" t="s">
        <v>1118</v>
      </c>
      <c r="N339" s="34">
        <v>15.5</v>
      </c>
      <c r="O339" s="35">
        <v>0</v>
      </c>
      <c r="P339" s="35" t="s">
        <v>212</v>
      </c>
      <c r="Q339" s="35">
        <v>0</v>
      </c>
      <c r="R339" s="36" t="s">
        <v>212</v>
      </c>
      <c r="S339" s="37" t="str">
        <f>IFERROR(_xlfn.XLOOKUP(R339,'1_Presupuesto'!$E:$E,'1_Presupuesto'!$D:$D),"")</f>
        <v/>
      </c>
    </row>
    <row r="340" spans="1:19" x14ac:dyDescent="0.35">
      <c r="A340" s="31" t="s">
        <v>1116</v>
      </c>
      <c r="B340" s="31" t="s">
        <v>497</v>
      </c>
      <c r="C340" s="31" t="s">
        <v>498</v>
      </c>
      <c r="D340" s="31" t="s">
        <v>1119</v>
      </c>
      <c r="E340" s="31" t="s">
        <v>1120</v>
      </c>
      <c r="F340" s="31" t="s">
        <v>1121</v>
      </c>
      <c r="G340" s="32">
        <v>1.2500000000000001E-2</v>
      </c>
      <c r="H340" s="33">
        <v>0.1</v>
      </c>
      <c r="I340" s="34">
        <v>176000</v>
      </c>
      <c r="J340" s="34">
        <v>2420</v>
      </c>
      <c r="K340" s="31" t="s">
        <v>1117</v>
      </c>
      <c r="L340" s="31">
        <v>2</v>
      </c>
      <c r="M340" s="31" t="s">
        <v>1122</v>
      </c>
      <c r="N340" s="34">
        <v>15.5</v>
      </c>
      <c r="O340" s="35">
        <v>0</v>
      </c>
      <c r="P340" s="35" t="s">
        <v>212</v>
      </c>
      <c r="Q340" s="35">
        <v>0</v>
      </c>
      <c r="R340" s="36" t="s">
        <v>212</v>
      </c>
      <c r="S340" s="37" t="str">
        <f>IFERROR(_xlfn.XLOOKUP(R340,'1_Presupuesto'!$E:$E,'1_Presupuesto'!$D:$D),"")</f>
        <v/>
      </c>
    </row>
    <row r="341" spans="1:19" x14ac:dyDescent="0.35">
      <c r="A341" s="31" t="s">
        <v>1116</v>
      </c>
      <c r="B341" s="31" t="s">
        <v>497</v>
      </c>
      <c r="C341" s="31" t="s">
        <v>498</v>
      </c>
      <c r="D341" s="31" t="s">
        <v>512</v>
      </c>
      <c r="E341" s="31" t="s">
        <v>513</v>
      </c>
      <c r="F341" s="31">
        <v>0</v>
      </c>
      <c r="G341" s="32">
        <v>0.01</v>
      </c>
      <c r="H341" s="33">
        <v>0.05</v>
      </c>
      <c r="I341" s="34">
        <v>1182.6446280991699</v>
      </c>
      <c r="J341" s="34">
        <v>12.4177685950413</v>
      </c>
      <c r="K341" s="31" t="s">
        <v>1117</v>
      </c>
      <c r="L341" s="31">
        <v>3</v>
      </c>
      <c r="M341" s="31" t="s">
        <v>1123</v>
      </c>
      <c r="N341" s="34">
        <v>15.5</v>
      </c>
      <c r="O341" s="35">
        <v>0</v>
      </c>
      <c r="P341" s="35" t="s">
        <v>212</v>
      </c>
      <c r="Q341" s="35">
        <v>0</v>
      </c>
      <c r="R341" s="36" t="s">
        <v>212</v>
      </c>
      <c r="S341" s="37" t="str">
        <f>IFERROR(_xlfn.XLOOKUP(R341,'1_Presupuesto'!$E:$E,'1_Presupuesto'!$D:$D),"")</f>
        <v/>
      </c>
    </row>
    <row r="342" spans="1:19" x14ac:dyDescent="0.35">
      <c r="A342" s="31" t="s">
        <v>1116</v>
      </c>
      <c r="B342" s="31" t="s">
        <v>497</v>
      </c>
      <c r="C342" s="31" t="s">
        <v>498</v>
      </c>
      <c r="D342" s="31" t="s">
        <v>769</v>
      </c>
      <c r="E342" s="31" t="s">
        <v>770</v>
      </c>
      <c r="F342" s="31">
        <v>0</v>
      </c>
      <c r="G342" s="32">
        <v>0.01</v>
      </c>
      <c r="H342" s="33">
        <v>0.1</v>
      </c>
      <c r="I342" s="34">
        <v>5885.9504132231395</v>
      </c>
      <c r="J342" s="34">
        <v>64.745454545454507</v>
      </c>
      <c r="K342" s="31" t="s">
        <v>1117</v>
      </c>
      <c r="L342" s="31">
        <v>4</v>
      </c>
      <c r="M342" s="31" t="s">
        <v>1124</v>
      </c>
      <c r="N342" s="34">
        <v>15.5</v>
      </c>
      <c r="O342" s="35">
        <v>0</v>
      </c>
      <c r="P342" s="35" t="s">
        <v>212</v>
      </c>
      <c r="Q342" s="35">
        <v>0</v>
      </c>
      <c r="R342" s="36" t="s">
        <v>212</v>
      </c>
      <c r="S342" s="37" t="str">
        <f>IFERROR(_xlfn.XLOOKUP(R342,'1_Presupuesto'!$E:$E,'1_Presupuesto'!$D:$D),"")</f>
        <v/>
      </c>
    </row>
    <row r="343" spans="1:19" x14ac:dyDescent="0.35">
      <c r="A343" s="31" t="s">
        <v>1116</v>
      </c>
      <c r="B343" s="31" t="s">
        <v>497</v>
      </c>
      <c r="C343" s="31" t="s">
        <v>498</v>
      </c>
      <c r="D343" s="31" t="s">
        <v>772</v>
      </c>
      <c r="E343" s="31" t="s">
        <v>773</v>
      </c>
      <c r="F343" s="31">
        <v>0</v>
      </c>
      <c r="G343" s="32">
        <v>0.01</v>
      </c>
      <c r="H343" s="33">
        <v>0.05</v>
      </c>
      <c r="I343" s="34">
        <v>7917.3553719008296</v>
      </c>
      <c r="J343" s="34">
        <v>83.132231404958702</v>
      </c>
      <c r="K343" s="31" t="s">
        <v>1117</v>
      </c>
      <c r="L343" s="31">
        <v>5</v>
      </c>
      <c r="M343" s="31" t="s">
        <v>1125</v>
      </c>
      <c r="N343" s="34">
        <v>15.5</v>
      </c>
      <c r="O343" s="35">
        <v>0</v>
      </c>
      <c r="P343" s="35" t="s">
        <v>212</v>
      </c>
      <c r="Q343" s="35">
        <v>0</v>
      </c>
      <c r="R343" s="36" t="s">
        <v>212</v>
      </c>
      <c r="S343" s="37" t="str">
        <f>IFERROR(_xlfn.XLOOKUP(R343,'1_Presupuesto'!$E:$E,'1_Presupuesto'!$D:$D),"")</f>
        <v/>
      </c>
    </row>
    <row r="344" spans="1:19" x14ac:dyDescent="0.35">
      <c r="A344" s="31" t="s">
        <v>1116</v>
      </c>
      <c r="B344" s="31" t="s">
        <v>203</v>
      </c>
      <c r="C344" s="31"/>
      <c r="D344" s="31" t="s">
        <v>1126</v>
      </c>
      <c r="E344" s="31" t="s">
        <v>1127</v>
      </c>
      <c r="F344" s="31"/>
      <c r="G344" s="32">
        <v>1</v>
      </c>
      <c r="H344" s="33">
        <v>0</v>
      </c>
      <c r="I344" s="34">
        <v>217.65359719478201</v>
      </c>
      <c r="J344" s="34">
        <v>217.65359719478201</v>
      </c>
      <c r="K344" s="31" t="s">
        <v>1128</v>
      </c>
      <c r="L344" s="31">
        <v>1</v>
      </c>
      <c r="M344" s="31" t="s">
        <v>1129</v>
      </c>
      <c r="N344" s="34">
        <v>15.5</v>
      </c>
      <c r="O344" s="35">
        <v>0</v>
      </c>
      <c r="P344" s="35" t="s">
        <v>212</v>
      </c>
      <c r="Q344" s="35">
        <v>0</v>
      </c>
      <c r="R344" s="36" t="s">
        <v>212</v>
      </c>
      <c r="S344" s="37" t="str">
        <f>IFERROR(_xlfn.XLOOKUP(R344,'1_Presupuesto'!$E:$E,'1_Presupuesto'!$D:$D),"")</f>
        <v/>
      </c>
    </row>
    <row r="345" spans="1:19" x14ac:dyDescent="0.35">
      <c r="A345" s="31" t="s">
        <v>1116</v>
      </c>
      <c r="B345" s="31" t="s">
        <v>203</v>
      </c>
      <c r="C345" s="31"/>
      <c r="D345" s="31" t="s">
        <v>786</v>
      </c>
      <c r="E345" s="31" t="s">
        <v>787</v>
      </c>
      <c r="F345" s="31"/>
      <c r="G345" s="32">
        <v>1</v>
      </c>
      <c r="H345" s="33">
        <v>0</v>
      </c>
      <c r="I345" s="34">
        <v>1873.3963608356801</v>
      </c>
      <c r="J345" s="34">
        <v>1873.3963608356801</v>
      </c>
      <c r="K345" s="31" t="s">
        <v>1128</v>
      </c>
      <c r="L345" s="31">
        <v>2</v>
      </c>
      <c r="M345" s="31" t="s">
        <v>1130</v>
      </c>
      <c r="N345" s="34">
        <v>15.5</v>
      </c>
      <c r="O345" s="35">
        <v>0</v>
      </c>
      <c r="P345" s="35" t="s">
        <v>212</v>
      </c>
      <c r="Q345" s="35">
        <v>0</v>
      </c>
      <c r="R345" s="36" t="s">
        <v>212</v>
      </c>
      <c r="S345" s="37" t="str">
        <f>IFERROR(_xlfn.XLOOKUP(R345,'1_Presupuesto'!$E:$E,'1_Presupuesto'!$D:$D),"")</f>
        <v/>
      </c>
    </row>
    <row r="346" spans="1:19" x14ac:dyDescent="0.35">
      <c r="A346" s="31" t="s">
        <v>1116</v>
      </c>
      <c r="B346" s="31" t="s">
        <v>478</v>
      </c>
      <c r="C346" s="31" t="s">
        <v>479</v>
      </c>
      <c r="D346" s="31" t="s">
        <v>480</v>
      </c>
      <c r="E346" s="31" t="s">
        <v>183</v>
      </c>
      <c r="F346" s="31" t="s">
        <v>481</v>
      </c>
      <c r="G346" s="32">
        <v>1</v>
      </c>
      <c r="H346" s="33">
        <v>0</v>
      </c>
      <c r="I346" s="34">
        <v>94177.137883538904</v>
      </c>
      <c r="J346" s="34">
        <v>94177.137883538904</v>
      </c>
      <c r="K346" s="31" t="s">
        <v>1131</v>
      </c>
      <c r="L346" s="31">
        <v>1</v>
      </c>
      <c r="M346" s="31" t="s">
        <v>1132</v>
      </c>
      <c r="N346" s="34">
        <v>15.5</v>
      </c>
      <c r="O346" s="35">
        <v>6.4516129032258104E-2</v>
      </c>
      <c r="P346" s="35" t="s">
        <v>212</v>
      </c>
      <c r="Q346" s="35">
        <v>0</v>
      </c>
      <c r="R346" s="36" t="s">
        <v>212</v>
      </c>
      <c r="S346" s="37" t="str">
        <f>IFERROR(_xlfn.XLOOKUP(R346,'1_Presupuesto'!$E:$E,'1_Presupuesto'!$D:$D),"")</f>
        <v/>
      </c>
    </row>
    <row r="347" spans="1:19" x14ac:dyDescent="0.35">
      <c r="A347" s="31" t="s">
        <v>1133</v>
      </c>
      <c r="B347" s="31" t="s">
        <v>497</v>
      </c>
      <c r="C347" s="31" t="s">
        <v>498</v>
      </c>
      <c r="D347" s="31" t="s">
        <v>765</v>
      </c>
      <c r="E347" s="31" t="s">
        <v>766</v>
      </c>
      <c r="F347" s="31">
        <v>0</v>
      </c>
      <c r="G347" s="32">
        <v>4.0000000000000001E-3</v>
      </c>
      <c r="H347" s="33">
        <v>0.05</v>
      </c>
      <c r="I347" s="34">
        <v>42552.892561983499</v>
      </c>
      <c r="J347" s="34">
        <v>178.72214876033101</v>
      </c>
      <c r="K347" s="31" t="s">
        <v>1134</v>
      </c>
      <c r="L347" s="31">
        <v>1</v>
      </c>
      <c r="M347" s="31" t="s">
        <v>1135</v>
      </c>
      <c r="N347" s="34">
        <v>15.5</v>
      </c>
      <c r="O347" s="35">
        <v>0</v>
      </c>
      <c r="P347" s="35" t="s">
        <v>212</v>
      </c>
      <c r="Q347" s="35">
        <v>0</v>
      </c>
      <c r="R347" s="36" t="s">
        <v>212</v>
      </c>
      <c r="S347" s="37" t="str">
        <f>IFERROR(_xlfn.XLOOKUP(R347,'1_Presupuesto'!$E:$E,'1_Presupuesto'!$D:$D),"")</f>
        <v/>
      </c>
    </row>
    <row r="348" spans="1:19" x14ac:dyDescent="0.35">
      <c r="A348" s="31" t="s">
        <v>1133</v>
      </c>
      <c r="B348" s="31" t="s">
        <v>497</v>
      </c>
      <c r="C348" s="31" t="s">
        <v>498</v>
      </c>
      <c r="D348" s="31" t="s">
        <v>1119</v>
      </c>
      <c r="E348" s="31" t="s">
        <v>1120</v>
      </c>
      <c r="F348" s="31" t="s">
        <v>1121</v>
      </c>
      <c r="G348" s="32">
        <v>1.2500000000000001E-2</v>
      </c>
      <c r="H348" s="33">
        <v>0.1</v>
      </c>
      <c r="I348" s="34">
        <v>176000</v>
      </c>
      <c r="J348" s="34">
        <v>2420</v>
      </c>
      <c r="K348" s="31" t="s">
        <v>1134</v>
      </c>
      <c r="L348" s="31">
        <v>2</v>
      </c>
      <c r="M348" s="31" t="s">
        <v>1136</v>
      </c>
      <c r="N348" s="34">
        <v>15.5</v>
      </c>
      <c r="O348" s="35">
        <v>0</v>
      </c>
      <c r="P348" s="35" t="s">
        <v>212</v>
      </c>
      <c r="Q348" s="35">
        <v>0</v>
      </c>
      <c r="R348" s="36" t="s">
        <v>212</v>
      </c>
      <c r="S348" s="37" t="str">
        <f>IFERROR(_xlfn.XLOOKUP(R348,'1_Presupuesto'!$E:$E,'1_Presupuesto'!$D:$D),"")</f>
        <v/>
      </c>
    </row>
    <row r="349" spans="1:19" x14ac:dyDescent="0.35">
      <c r="A349" s="31" t="s">
        <v>1133</v>
      </c>
      <c r="B349" s="31" t="s">
        <v>497</v>
      </c>
      <c r="C349" s="31" t="s">
        <v>498</v>
      </c>
      <c r="D349" s="31" t="s">
        <v>512</v>
      </c>
      <c r="E349" s="31" t="s">
        <v>513</v>
      </c>
      <c r="F349" s="31">
        <v>0</v>
      </c>
      <c r="G349" s="32">
        <v>0.01</v>
      </c>
      <c r="H349" s="33">
        <v>0.05</v>
      </c>
      <c r="I349" s="34">
        <v>1182.6446280991699</v>
      </c>
      <c r="J349" s="34">
        <v>12.4177685950413</v>
      </c>
      <c r="K349" s="31" t="s">
        <v>1134</v>
      </c>
      <c r="L349" s="31">
        <v>3</v>
      </c>
      <c r="M349" s="31" t="s">
        <v>1137</v>
      </c>
      <c r="N349" s="34">
        <v>15.5</v>
      </c>
      <c r="O349" s="35">
        <v>0</v>
      </c>
      <c r="P349" s="35" t="s">
        <v>212</v>
      </c>
      <c r="Q349" s="35">
        <v>0</v>
      </c>
      <c r="R349" s="36" t="s">
        <v>212</v>
      </c>
      <c r="S349" s="37" t="str">
        <f>IFERROR(_xlfn.XLOOKUP(R349,'1_Presupuesto'!$E:$E,'1_Presupuesto'!$D:$D),"")</f>
        <v/>
      </c>
    </row>
    <row r="350" spans="1:19" x14ac:dyDescent="0.35">
      <c r="A350" s="31" t="s">
        <v>1133</v>
      </c>
      <c r="B350" s="31" t="s">
        <v>497</v>
      </c>
      <c r="C350" s="31" t="s">
        <v>498</v>
      </c>
      <c r="D350" s="31" t="s">
        <v>769</v>
      </c>
      <c r="E350" s="31" t="s">
        <v>770</v>
      </c>
      <c r="F350" s="31">
        <v>0</v>
      </c>
      <c r="G350" s="32">
        <v>0.01</v>
      </c>
      <c r="H350" s="33">
        <v>0.1</v>
      </c>
      <c r="I350" s="34">
        <v>5885.9504132231395</v>
      </c>
      <c r="J350" s="34">
        <v>64.745454545454507</v>
      </c>
      <c r="K350" s="31" t="s">
        <v>1134</v>
      </c>
      <c r="L350" s="31">
        <v>4</v>
      </c>
      <c r="M350" s="31" t="s">
        <v>1138</v>
      </c>
      <c r="N350" s="34">
        <v>15.5</v>
      </c>
      <c r="O350" s="35">
        <v>0</v>
      </c>
      <c r="P350" s="35" t="s">
        <v>212</v>
      </c>
      <c r="Q350" s="35">
        <v>0</v>
      </c>
      <c r="R350" s="36" t="s">
        <v>212</v>
      </c>
      <c r="S350" s="37" t="str">
        <f>IFERROR(_xlfn.XLOOKUP(R350,'1_Presupuesto'!$E:$E,'1_Presupuesto'!$D:$D),"")</f>
        <v/>
      </c>
    </row>
    <row r="351" spans="1:19" x14ac:dyDescent="0.35">
      <c r="A351" s="31" t="s">
        <v>1133</v>
      </c>
      <c r="B351" s="31" t="s">
        <v>497</v>
      </c>
      <c r="C351" s="31" t="s">
        <v>498</v>
      </c>
      <c r="D351" s="31" t="s">
        <v>772</v>
      </c>
      <c r="E351" s="31" t="s">
        <v>773</v>
      </c>
      <c r="F351" s="31">
        <v>0</v>
      </c>
      <c r="G351" s="32">
        <v>0.01</v>
      </c>
      <c r="H351" s="33">
        <v>0.05</v>
      </c>
      <c r="I351" s="34">
        <v>7917.3553719008296</v>
      </c>
      <c r="J351" s="34">
        <v>83.132231404958702</v>
      </c>
      <c r="K351" s="31" t="s">
        <v>1134</v>
      </c>
      <c r="L351" s="31">
        <v>5</v>
      </c>
      <c r="M351" s="31" t="s">
        <v>1139</v>
      </c>
      <c r="N351" s="34">
        <v>15.5</v>
      </c>
      <c r="O351" s="35">
        <v>0</v>
      </c>
      <c r="P351" s="35" t="s">
        <v>212</v>
      </c>
      <c r="Q351" s="35">
        <v>0</v>
      </c>
      <c r="R351" s="36" t="s">
        <v>212</v>
      </c>
      <c r="S351" s="37" t="str">
        <f>IFERROR(_xlfn.XLOOKUP(R351,'1_Presupuesto'!$E:$E,'1_Presupuesto'!$D:$D),"")</f>
        <v/>
      </c>
    </row>
    <row r="352" spans="1:19" x14ac:dyDescent="0.35">
      <c r="A352" s="31" t="s">
        <v>1133</v>
      </c>
      <c r="B352" s="31" t="s">
        <v>497</v>
      </c>
      <c r="C352" s="31" t="s">
        <v>498</v>
      </c>
      <c r="D352" s="31" t="s">
        <v>503</v>
      </c>
      <c r="E352" s="31" t="s">
        <v>504</v>
      </c>
      <c r="F352" s="31" t="s">
        <v>261</v>
      </c>
      <c r="G352" s="32">
        <v>5.0000000000000001E-3</v>
      </c>
      <c r="H352" s="33">
        <v>0.05</v>
      </c>
      <c r="I352" s="34">
        <v>6442.15</v>
      </c>
      <c r="J352" s="34">
        <v>33.821287499999997</v>
      </c>
      <c r="K352" s="31" t="s">
        <v>1134</v>
      </c>
      <c r="L352" s="31">
        <v>6</v>
      </c>
      <c r="M352" s="31" t="s">
        <v>1140</v>
      </c>
      <c r="N352" s="34">
        <v>15.5</v>
      </c>
      <c r="O352" s="35">
        <v>0</v>
      </c>
      <c r="P352" s="35" t="s">
        <v>212</v>
      </c>
      <c r="Q352" s="35">
        <v>0</v>
      </c>
      <c r="R352" s="36" t="s">
        <v>212</v>
      </c>
      <c r="S352" s="37" t="str">
        <f>IFERROR(_xlfn.XLOOKUP(R352,'1_Presupuesto'!$E:$E,'1_Presupuesto'!$D:$D),"")</f>
        <v/>
      </c>
    </row>
    <row r="353" spans="1:19" x14ac:dyDescent="0.35">
      <c r="A353" s="31" t="s">
        <v>1133</v>
      </c>
      <c r="B353" s="31" t="s">
        <v>497</v>
      </c>
      <c r="C353" s="31" t="s">
        <v>498</v>
      </c>
      <c r="D353" s="31" t="s">
        <v>506</v>
      </c>
      <c r="E353" s="31" t="s">
        <v>507</v>
      </c>
      <c r="F353" s="31" t="s">
        <v>261</v>
      </c>
      <c r="G353" s="32">
        <v>5.0000000000000001E-3</v>
      </c>
      <c r="H353" s="33">
        <v>0.05</v>
      </c>
      <c r="I353" s="34">
        <v>4418.1818181818198</v>
      </c>
      <c r="J353" s="34">
        <v>23.195454545454599</v>
      </c>
      <c r="K353" s="31" t="s">
        <v>1134</v>
      </c>
      <c r="L353" s="31">
        <v>7</v>
      </c>
      <c r="M353" s="31" t="s">
        <v>1141</v>
      </c>
      <c r="N353" s="34">
        <v>15.5</v>
      </c>
      <c r="O353" s="35">
        <v>0</v>
      </c>
      <c r="P353" s="35" t="s">
        <v>212</v>
      </c>
      <c r="Q353" s="35">
        <v>0</v>
      </c>
      <c r="R353" s="36" t="s">
        <v>212</v>
      </c>
      <c r="S353" s="37" t="str">
        <f>IFERROR(_xlfn.XLOOKUP(R353,'1_Presupuesto'!$E:$E,'1_Presupuesto'!$D:$D),"")</f>
        <v/>
      </c>
    </row>
    <row r="354" spans="1:19" x14ac:dyDescent="0.35">
      <c r="A354" s="31" t="s">
        <v>1133</v>
      </c>
      <c r="B354" s="31" t="s">
        <v>497</v>
      </c>
      <c r="C354" s="31" t="s">
        <v>498</v>
      </c>
      <c r="D354" s="31" t="s">
        <v>777</v>
      </c>
      <c r="E354" s="31" t="s">
        <v>778</v>
      </c>
      <c r="F354" s="31" t="s">
        <v>261</v>
      </c>
      <c r="G354" s="32">
        <v>0.01</v>
      </c>
      <c r="H354" s="33">
        <v>0.05</v>
      </c>
      <c r="I354" s="34">
        <v>8173.5537190082696</v>
      </c>
      <c r="J354" s="34">
        <v>85.822314049586794</v>
      </c>
      <c r="K354" s="31" t="s">
        <v>1134</v>
      </c>
      <c r="L354" s="31">
        <v>8</v>
      </c>
      <c r="M354" s="31" t="s">
        <v>1142</v>
      </c>
      <c r="N354" s="34">
        <v>15.5</v>
      </c>
      <c r="O354" s="35">
        <v>0</v>
      </c>
      <c r="P354" s="35" t="s">
        <v>212</v>
      </c>
      <c r="Q354" s="35">
        <v>0</v>
      </c>
      <c r="R354" s="36" t="s">
        <v>212</v>
      </c>
      <c r="S354" s="37" t="str">
        <f>IFERROR(_xlfn.XLOOKUP(R354,'1_Presupuesto'!$E:$E,'1_Presupuesto'!$D:$D),"")</f>
        <v/>
      </c>
    </row>
    <row r="355" spans="1:19" x14ac:dyDescent="0.35">
      <c r="A355" s="31" t="s">
        <v>1133</v>
      </c>
      <c r="B355" s="31" t="s">
        <v>203</v>
      </c>
      <c r="C355" s="31"/>
      <c r="D355" s="31" t="s">
        <v>1143</v>
      </c>
      <c r="E355" s="31" t="s">
        <v>1144</v>
      </c>
      <c r="F355" s="31"/>
      <c r="G355" s="32">
        <v>0.75</v>
      </c>
      <c r="H355" s="33">
        <v>0</v>
      </c>
      <c r="I355" s="34">
        <v>2064.2076262094502</v>
      </c>
      <c r="J355" s="34">
        <v>1548.15571965708</v>
      </c>
      <c r="K355" s="31" t="s">
        <v>1145</v>
      </c>
      <c r="L355" s="31">
        <v>1</v>
      </c>
      <c r="M355" s="31" t="s">
        <v>1146</v>
      </c>
      <c r="N355" s="34">
        <v>15.5</v>
      </c>
      <c r="O355" s="35">
        <v>0</v>
      </c>
      <c r="P355" s="35" t="s">
        <v>212</v>
      </c>
      <c r="Q355" s="35">
        <v>0</v>
      </c>
      <c r="R355" s="36" t="s">
        <v>212</v>
      </c>
      <c r="S355" s="37" t="str">
        <f>IFERROR(_xlfn.XLOOKUP(R355,'1_Presupuesto'!$E:$E,'1_Presupuesto'!$D:$D),"")</f>
        <v/>
      </c>
    </row>
    <row r="356" spans="1:19" x14ac:dyDescent="0.35">
      <c r="A356" s="31" t="s">
        <v>1133</v>
      </c>
      <c r="B356" s="31" t="s">
        <v>203</v>
      </c>
      <c r="C356" s="31"/>
      <c r="D356" s="31" t="s">
        <v>613</v>
      </c>
      <c r="E356" s="31" t="s">
        <v>614</v>
      </c>
      <c r="F356" s="31"/>
      <c r="G356" s="32">
        <v>0.5</v>
      </c>
      <c r="H356" s="33">
        <v>0</v>
      </c>
      <c r="I356" s="34">
        <v>620.81078197718296</v>
      </c>
      <c r="J356" s="34">
        <v>310.40539098859199</v>
      </c>
      <c r="K356" s="31" t="s">
        <v>1145</v>
      </c>
      <c r="L356" s="31">
        <v>2</v>
      </c>
      <c r="M356" s="31" t="s">
        <v>1147</v>
      </c>
      <c r="N356" s="34">
        <v>15.5</v>
      </c>
      <c r="O356" s="35">
        <v>0</v>
      </c>
      <c r="P356" s="35" t="s">
        <v>212</v>
      </c>
      <c r="Q356" s="35">
        <v>0</v>
      </c>
      <c r="R356" s="36" t="s">
        <v>212</v>
      </c>
      <c r="S356" s="37" t="str">
        <f>IFERROR(_xlfn.XLOOKUP(R356,'1_Presupuesto'!$E:$E,'1_Presupuesto'!$D:$D),"")</f>
        <v/>
      </c>
    </row>
    <row r="357" spans="1:19" x14ac:dyDescent="0.35">
      <c r="A357" s="31" t="s">
        <v>1133</v>
      </c>
      <c r="B357" s="31" t="s">
        <v>203</v>
      </c>
      <c r="C357" s="31"/>
      <c r="D357" s="31" t="s">
        <v>572</v>
      </c>
      <c r="E357" s="31" t="s">
        <v>573</v>
      </c>
      <c r="F357" s="31"/>
      <c r="G357" s="32">
        <v>1</v>
      </c>
      <c r="H357" s="33">
        <v>0</v>
      </c>
      <c r="I357" s="34">
        <v>152.380274273738</v>
      </c>
      <c r="J357" s="34">
        <v>152.380274273738</v>
      </c>
      <c r="K357" s="31" t="s">
        <v>1145</v>
      </c>
      <c r="L357" s="31">
        <v>3</v>
      </c>
      <c r="M357" s="31" t="s">
        <v>1148</v>
      </c>
      <c r="N357" s="34">
        <v>15.5</v>
      </c>
      <c r="O357" s="35">
        <v>0</v>
      </c>
      <c r="P357" s="35" t="s">
        <v>212</v>
      </c>
      <c r="Q357" s="35">
        <v>0</v>
      </c>
      <c r="R357" s="36" t="s">
        <v>212</v>
      </c>
      <c r="S357" s="37" t="str">
        <f>IFERROR(_xlfn.XLOOKUP(R357,'1_Presupuesto'!$E:$E,'1_Presupuesto'!$D:$D),"")</f>
        <v/>
      </c>
    </row>
    <row r="358" spans="1:19" x14ac:dyDescent="0.35">
      <c r="A358" s="31" t="s">
        <v>1133</v>
      </c>
      <c r="B358" s="31" t="s">
        <v>203</v>
      </c>
      <c r="C358" s="31"/>
      <c r="D358" s="31" t="s">
        <v>786</v>
      </c>
      <c r="E358" s="31" t="s">
        <v>787</v>
      </c>
      <c r="F358" s="31"/>
      <c r="G358" s="32">
        <v>1</v>
      </c>
      <c r="H358" s="33">
        <v>0</v>
      </c>
      <c r="I358" s="34">
        <v>1873.3963608356801</v>
      </c>
      <c r="J358" s="34">
        <v>1873.3963608356801</v>
      </c>
      <c r="K358" s="31" t="s">
        <v>1145</v>
      </c>
      <c r="L358" s="31">
        <v>4</v>
      </c>
      <c r="M358" s="31" t="s">
        <v>1149</v>
      </c>
      <c r="N358" s="34">
        <v>15.5</v>
      </c>
      <c r="O358" s="35">
        <v>0</v>
      </c>
      <c r="P358" s="35" t="s">
        <v>212</v>
      </c>
      <c r="Q358" s="35">
        <v>0</v>
      </c>
      <c r="R358" s="36" t="s">
        <v>212</v>
      </c>
      <c r="S358" s="37" t="str">
        <f>IFERROR(_xlfn.XLOOKUP(R358,'1_Presupuesto'!$E:$E,'1_Presupuesto'!$D:$D),"")</f>
        <v/>
      </c>
    </row>
    <row r="359" spans="1:19" x14ac:dyDescent="0.35">
      <c r="A359" s="31" t="s">
        <v>1133</v>
      </c>
      <c r="B359" s="31" t="s">
        <v>478</v>
      </c>
      <c r="C359" s="31" t="s">
        <v>479</v>
      </c>
      <c r="D359" s="31" t="s">
        <v>480</v>
      </c>
      <c r="E359" s="31" t="s">
        <v>183</v>
      </c>
      <c r="F359" s="31" t="s">
        <v>481</v>
      </c>
      <c r="G359" s="32">
        <v>1</v>
      </c>
      <c r="H359" s="33">
        <v>0</v>
      </c>
      <c r="I359" s="34">
        <v>94177.137883538904</v>
      </c>
      <c r="J359" s="34">
        <v>94177.137883538904</v>
      </c>
      <c r="K359" s="31" t="s">
        <v>1150</v>
      </c>
      <c r="L359" s="31">
        <v>1</v>
      </c>
      <c r="M359" s="31" t="s">
        <v>1151</v>
      </c>
      <c r="N359" s="34">
        <v>15.5</v>
      </c>
      <c r="O359" s="35">
        <v>6.4516129032258104E-2</v>
      </c>
      <c r="P359" s="35" t="s">
        <v>212</v>
      </c>
      <c r="Q359" s="35">
        <v>0</v>
      </c>
      <c r="R359" s="36" t="s">
        <v>212</v>
      </c>
      <c r="S359" s="37" t="str">
        <f>IFERROR(_xlfn.XLOOKUP(R359,'1_Presupuesto'!$E:$E,'1_Presupuesto'!$D:$D),"")</f>
        <v/>
      </c>
    </row>
    <row r="360" spans="1:19" x14ac:dyDescent="0.35">
      <c r="A360" s="31" t="s">
        <v>1152</v>
      </c>
      <c r="B360" s="31" t="s">
        <v>497</v>
      </c>
      <c r="C360" s="31" t="s">
        <v>498</v>
      </c>
      <c r="D360" s="31" t="s">
        <v>1153</v>
      </c>
      <c r="E360" s="31" t="s">
        <v>1154</v>
      </c>
      <c r="F360" s="31">
        <v>0</v>
      </c>
      <c r="G360" s="32">
        <v>6.2460000000000002E-2</v>
      </c>
      <c r="H360" s="33">
        <v>0.1</v>
      </c>
      <c r="I360" s="34">
        <v>50027.272727272699</v>
      </c>
      <c r="J360" s="34">
        <v>3437.1738</v>
      </c>
      <c r="K360" s="31" t="s">
        <v>1155</v>
      </c>
      <c r="L360" s="31">
        <v>1</v>
      </c>
      <c r="M360" s="31" t="s">
        <v>1156</v>
      </c>
      <c r="N360" s="34">
        <v>8</v>
      </c>
      <c r="O360" s="35">
        <v>0</v>
      </c>
      <c r="P360" s="35" t="s">
        <v>212</v>
      </c>
      <c r="Q360" s="35">
        <v>0</v>
      </c>
      <c r="R360" s="36" t="s">
        <v>212</v>
      </c>
      <c r="S360" s="37" t="str">
        <f>IFERROR(_xlfn.XLOOKUP(R360,'1_Presupuesto'!$E:$E,'1_Presupuesto'!$D:$D),"")</f>
        <v/>
      </c>
    </row>
    <row r="361" spans="1:19" x14ac:dyDescent="0.35">
      <c r="A361" s="31" t="s">
        <v>1152</v>
      </c>
      <c r="B361" s="31" t="s">
        <v>497</v>
      </c>
      <c r="C361" s="31" t="s">
        <v>498</v>
      </c>
      <c r="D361" s="31" t="s">
        <v>509</v>
      </c>
      <c r="E361" s="31" t="s">
        <v>510</v>
      </c>
      <c r="F361" s="31">
        <v>0</v>
      </c>
      <c r="G361" s="32">
        <v>5.0400000000000002E-3</v>
      </c>
      <c r="H361" s="33">
        <v>0.1</v>
      </c>
      <c r="I361" s="34">
        <v>58016.528925619801</v>
      </c>
      <c r="J361" s="34">
        <v>321.64363636363601</v>
      </c>
      <c r="K361" s="31" t="s">
        <v>1155</v>
      </c>
      <c r="L361" s="31">
        <v>2</v>
      </c>
      <c r="M361" s="31" t="s">
        <v>1157</v>
      </c>
      <c r="N361" s="34">
        <v>8</v>
      </c>
      <c r="O361" s="35">
        <v>0</v>
      </c>
      <c r="P361" s="35" t="s">
        <v>212</v>
      </c>
      <c r="Q361" s="35">
        <v>0</v>
      </c>
      <c r="R361" s="36" t="s">
        <v>212</v>
      </c>
      <c r="S361" s="37" t="str">
        <f>IFERROR(_xlfn.XLOOKUP(R361,'1_Presupuesto'!$E:$E,'1_Presupuesto'!$D:$D),"")</f>
        <v/>
      </c>
    </row>
    <row r="362" spans="1:19" x14ac:dyDescent="0.35">
      <c r="A362" s="31" t="s">
        <v>1152</v>
      </c>
      <c r="B362" s="31" t="s">
        <v>497</v>
      </c>
      <c r="C362" s="31" t="s">
        <v>498</v>
      </c>
      <c r="D362" s="31" t="s">
        <v>512</v>
      </c>
      <c r="E362" s="31" t="s">
        <v>513</v>
      </c>
      <c r="F362" s="31">
        <v>0</v>
      </c>
      <c r="G362" s="32">
        <v>9.9900000000000006E-3</v>
      </c>
      <c r="H362" s="33">
        <v>0.05</v>
      </c>
      <c r="I362" s="34">
        <v>1182.6446280991699</v>
      </c>
      <c r="J362" s="34">
        <v>12.405350826446201</v>
      </c>
      <c r="K362" s="31" t="s">
        <v>1155</v>
      </c>
      <c r="L362" s="31">
        <v>3</v>
      </c>
      <c r="M362" s="31" t="s">
        <v>1158</v>
      </c>
      <c r="N362" s="34">
        <v>8</v>
      </c>
      <c r="O362" s="35">
        <v>0</v>
      </c>
      <c r="P362" s="35" t="s">
        <v>212</v>
      </c>
      <c r="Q362" s="35">
        <v>0</v>
      </c>
      <c r="R362" s="36" t="s">
        <v>212</v>
      </c>
      <c r="S362" s="37" t="str">
        <f>IFERROR(_xlfn.XLOOKUP(R362,'1_Presupuesto'!$E:$E,'1_Presupuesto'!$D:$D),"")</f>
        <v/>
      </c>
    </row>
    <row r="363" spans="1:19" x14ac:dyDescent="0.35">
      <c r="A363" s="31" t="s">
        <v>1152</v>
      </c>
      <c r="B363" s="31" t="s">
        <v>497</v>
      </c>
      <c r="C363" s="31" t="s">
        <v>498</v>
      </c>
      <c r="D363" s="31" t="s">
        <v>769</v>
      </c>
      <c r="E363" s="31" t="s">
        <v>770</v>
      </c>
      <c r="F363" s="31">
        <v>0</v>
      </c>
      <c r="G363" s="32">
        <v>5.0040000000000001E-2</v>
      </c>
      <c r="H363" s="33">
        <v>0.1</v>
      </c>
      <c r="I363" s="34">
        <v>5885.9504132231395</v>
      </c>
      <c r="J363" s="34">
        <v>323.98625454545498</v>
      </c>
      <c r="K363" s="31" t="s">
        <v>1155</v>
      </c>
      <c r="L363" s="31">
        <v>4</v>
      </c>
      <c r="M363" s="31" t="s">
        <v>1159</v>
      </c>
      <c r="N363" s="34">
        <v>8</v>
      </c>
      <c r="O363" s="35">
        <v>0</v>
      </c>
      <c r="P363" s="35" t="s">
        <v>212</v>
      </c>
      <c r="Q363" s="35">
        <v>0</v>
      </c>
      <c r="R363" s="36" t="s">
        <v>212</v>
      </c>
      <c r="S363" s="37" t="str">
        <f>IFERROR(_xlfn.XLOOKUP(R363,'1_Presupuesto'!$E:$E,'1_Presupuesto'!$D:$D),"")</f>
        <v/>
      </c>
    </row>
    <row r="364" spans="1:19" x14ac:dyDescent="0.35">
      <c r="A364" s="31" t="s">
        <v>1152</v>
      </c>
      <c r="B364" s="31" t="s">
        <v>497</v>
      </c>
      <c r="C364" s="31" t="s">
        <v>498</v>
      </c>
      <c r="D364" s="31" t="s">
        <v>772</v>
      </c>
      <c r="E364" s="31" t="s">
        <v>773</v>
      </c>
      <c r="F364" s="31">
        <v>0</v>
      </c>
      <c r="G364" s="32">
        <v>1.9980000000000001E-2</v>
      </c>
      <c r="H364" s="33">
        <v>0.05</v>
      </c>
      <c r="I364" s="34">
        <v>7917.3553719008296</v>
      </c>
      <c r="J364" s="34">
        <v>166.098198347108</v>
      </c>
      <c r="K364" s="31" t="s">
        <v>1155</v>
      </c>
      <c r="L364" s="31">
        <v>5</v>
      </c>
      <c r="M364" s="31" t="s">
        <v>1160</v>
      </c>
      <c r="N364" s="34">
        <v>8</v>
      </c>
      <c r="O364" s="35">
        <v>0</v>
      </c>
      <c r="P364" s="35" t="s">
        <v>212</v>
      </c>
      <c r="Q364" s="35">
        <v>0</v>
      </c>
      <c r="R364" s="36" t="s">
        <v>212</v>
      </c>
      <c r="S364" s="37" t="str">
        <f>IFERROR(_xlfn.XLOOKUP(R364,'1_Presupuesto'!$E:$E,'1_Presupuesto'!$D:$D),"")</f>
        <v/>
      </c>
    </row>
    <row r="365" spans="1:19" x14ac:dyDescent="0.35">
      <c r="A365" s="31" t="s">
        <v>1152</v>
      </c>
      <c r="B365" s="31" t="s">
        <v>497</v>
      </c>
      <c r="C365" s="31" t="s">
        <v>498</v>
      </c>
      <c r="D365" s="31" t="s">
        <v>503</v>
      </c>
      <c r="E365" s="31" t="s">
        <v>504</v>
      </c>
      <c r="F365" s="31" t="s">
        <v>261</v>
      </c>
      <c r="G365" s="32">
        <v>0.01</v>
      </c>
      <c r="H365" s="33">
        <v>0.05</v>
      </c>
      <c r="I365" s="34">
        <v>6442.15</v>
      </c>
      <c r="J365" s="34">
        <v>67.642574999999994</v>
      </c>
      <c r="K365" s="31" t="s">
        <v>1155</v>
      </c>
      <c r="L365" s="31">
        <v>6</v>
      </c>
      <c r="M365" s="31" t="s">
        <v>1161</v>
      </c>
      <c r="N365" s="34">
        <v>8</v>
      </c>
      <c r="O365" s="35">
        <v>0</v>
      </c>
      <c r="P365" s="35" t="s">
        <v>212</v>
      </c>
      <c r="Q365" s="35">
        <v>0</v>
      </c>
      <c r="R365" s="36" t="s">
        <v>212</v>
      </c>
      <c r="S365" s="37" t="str">
        <f>IFERROR(_xlfn.XLOOKUP(R365,'1_Presupuesto'!$E:$E,'1_Presupuesto'!$D:$D),"")</f>
        <v/>
      </c>
    </row>
    <row r="366" spans="1:19" x14ac:dyDescent="0.35">
      <c r="A366" s="31" t="s">
        <v>1152</v>
      </c>
      <c r="B366" s="31" t="s">
        <v>203</v>
      </c>
      <c r="C366" s="31"/>
      <c r="D366" s="31" t="s">
        <v>1126</v>
      </c>
      <c r="E366" s="31" t="s">
        <v>1127</v>
      </c>
      <c r="F366" s="31"/>
      <c r="G366" s="32">
        <v>1</v>
      </c>
      <c r="H366" s="33">
        <v>0</v>
      </c>
      <c r="I366" s="34">
        <v>217.65359719478201</v>
      </c>
      <c r="J366" s="34">
        <v>217.65359719478201</v>
      </c>
      <c r="K366" s="31" t="s">
        <v>1162</v>
      </c>
      <c r="L366" s="31">
        <v>1</v>
      </c>
      <c r="M366" s="31" t="s">
        <v>1163</v>
      </c>
      <c r="N366" s="34">
        <v>8</v>
      </c>
      <c r="O366" s="35">
        <v>0</v>
      </c>
      <c r="P366" s="35" t="s">
        <v>212</v>
      </c>
      <c r="Q366" s="35">
        <v>0</v>
      </c>
      <c r="R366" s="36" t="s">
        <v>212</v>
      </c>
      <c r="S366" s="37" t="str">
        <f>IFERROR(_xlfn.XLOOKUP(R366,'1_Presupuesto'!$E:$E,'1_Presupuesto'!$D:$D),"")</f>
        <v/>
      </c>
    </row>
    <row r="367" spans="1:19" x14ac:dyDescent="0.35">
      <c r="A367" s="31" t="s">
        <v>1152</v>
      </c>
      <c r="B367" s="31" t="s">
        <v>203</v>
      </c>
      <c r="C367" s="31"/>
      <c r="D367" s="31" t="s">
        <v>786</v>
      </c>
      <c r="E367" s="31" t="s">
        <v>787</v>
      </c>
      <c r="F367" s="31"/>
      <c r="G367" s="32">
        <v>1</v>
      </c>
      <c r="H367" s="33">
        <v>0</v>
      </c>
      <c r="I367" s="34">
        <v>1873.3963608356801</v>
      </c>
      <c r="J367" s="34">
        <v>1873.3963608356801</v>
      </c>
      <c r="K367" s="31" t="s">
        <v>1162</v>
      </c>
      <c r="L367" s="31">
        <v>2</v>
      </c>
      <c r="M367" s="31" t="s">
        <v>1164</v>
      </c>
      <c r="N367" s="34">
        <v>8</v>
      </c>
      <c r="O367" s="35">
        <v>0</v>
      </c>
      <c r="P367" s="35" t="s">
        <v>212</v>
      </c>
      <c r="Q367" s="35">
        <v>0</v>
      </c>
      <c r="R367" s="36" t="s">
        <v>212</v>
      </c>
      <c r="S367" s="37" t="str">
        <f>IFERROR(_xlfn.XLOOKUP(R367,'1_Presupuesto'!$E:$E,'1_Presupuesto'!$D:$D),"")</f>
        <v/>
      </c>
    </row>
    <row r="368" spans="1:19" x14ac:dyDescent="0.35">
      <c r="A368" s="31" t="s">
        <v>1152</v>
      </c>
      <c r="B368" s="31" t="s">
        <v>478</v>
      </c>
      <c r="C368" s="31" t="s">
        <v>479</v>
      </c>
      <c r="D368" s="31" t="s">
        <v>480</v>
      </c>
      <c r="E368" s="31" t="s">
        <v>183</v>
      </c>
      <c r="F368" s="31" t="s">
        <v>481</v>
      </c>
      <c r="G368" s="32">
        <v>1</v>
      </c>
      <c r="H368" s="33">
        <v>0</v>
      </c>
      <c r="I368" s="34">
        <v>94177.137883538904</v>
      </c>
      <c r="J368" s="34">
        <v>94177.137883538904</v>
      </c>
      <c r="K368" s="31" t="s">
        <v>1165</v>
      </c>
      <c r="L368" s="31">
        <v>1</v>
      </c>
      <c r="M368" s="31" t="s">
        <v>1166</v>
      </c>
      <c r="N368" s="34">
        <v>8</v>
      </c>
      <c r="O368" s="35">
        <v>0.125</v>
      </c>
      <c r="P368" s="35" t="s">
        <v>212</v>
      </c>
      <c r="Q368" s="35">
        <v>0</v>
      </c>
      <c r="R368" s="36" t="s">
        <v>212</v>
      </c>
      <c r="S368" s="37" t="str">
        <f>IFERROR(_xlfn.XLOOKUP(R368,'1_Presupuesto'!$E:$E,'1_Presupuesto'!$D:$D),"")</f>
        <v/>
      </c>
    </row>
    <row r="369" spans="1:19" x14ac:dyDescent="0.35">
      <c r="A369" s="31" t="s">
        <v>1167</v>
      </c>
      <c r="B369" s="31" t="s">
        <v>497</v>
      </c>
      <c r="C369" s="31" t="s">
        <v>498</v>
      </c>
      <c r="D369" s="31" t="s">
        <v>1168</v>
      </c>
      <c r="E369" s="31" t="s">
        <v>1169</v>
      </c>
      <c r="F369" s="31" t="s">
        <v>261</v>
      </c>
      <c r="G369" s="32">
        <v>7.3999999999999996E-2</v>
      </c>
      <c r="H369" s="33">
        <v>0.1</v>
      </c>
      <c r="I369" s="34">
        <v>66598.347106999994</v>
      </c>
      <c r="J369" s="34">
        <v>5421.1054545098004</v>
      </c>
      <c r="K369" s="31" t="s">
        <v>1170</v>
      </c>
      <c r="L369" s="31">
        <v>1</v>
      </c>
      <c r="M369" s="31" t="s">
        <v>1171</v>
      </c>
      <c r="N369" s="34">
        <v>20</v>
      </c>
      <c r="O369" s="35">
        <v>0</v>
      </c>
      <c r="P369" s="35" t="s">
        <v>212</v>
      </c>
      <c r="Q369" s="35">
        <v>0</v>
      </c>
      <c r="R369" s="36" t="s">
        <v>212</v>
      </c>
      <c r="S369" s="37" t="str">
        <f>IFERROR(_xlfn.XLOOKUP(R369,'1_Presupuesto'!$E:$E,'1_Presupuesto'!$D:$D),"")</f>
        <v/>
      </c>
    </row>
    <row r="370" spans="1:19" x14ac:dyDescent="0.35">
      <c r="A370" s="31" t="s">
        <v>1167</v>
      </c>
      <c r="B370" s="31" t="s">
        <v>497</v>
      </c>
      <c r="C370" s="31" t="s">
        <v>498</v>
      </c>
      <c r="D370" s="31" t="s">
        <v>1172</v>
      </c>
      <c r="E370" s="31" t="s">
        <v>1173</v>
      </c>
      <c r="F370" s="31" t="s">
        <v>261</v>
      </c>
      <c r="G370" s="32">
        <v>1.0999999999999999E-2</v>
      </c>
      <c r="H370" s="33">
        <v>0.1</v>
      </c>
      <c r="I370" s="34">
        <v>102070.247934</v>
      </c>
      <c r="J370" s="34">
        <v>1235.0500000013999</v>
      </c>
      <c r="K370" s="31" t="s">
        <v>1170</v>
      </c>
      <c r="L370" s="31">
        <v>2</v>
      </c>
      <c r="M370" s="31" t="s">
        <v>1174</v>
      </c>
      <c r="N370" s="34">
        <v>20</v>
      </c>
      <c r="O370" s="35">
        <v>0</v>
      </c>
      <c r="P370" s="35" t="s">
        <v>212</v>
      </c>
      <c r="Q370" s="35">
        <v>0</v>
      </c>
      <c r="R370" s="36" t="s">
        <v>212</v>
      </c>
      <c r="S370" s="37" t="str">
        <f>IFERROR(_xlfn.XLOOKUP(R370,'1_Presupuesto'!$E:$E,'1_Presupuesto'!$D:$D),"")</f>
        <v/>
      </c>
    </row>
    <row r="371" spans="1:19" x14ac:dyDescent="0.35">
      <c r="A371" s="31" t="s">
        <v>1167</v>
      </c>
      <c r="B371" s="31" t="s">
        <v>497</v>
      </c>
      <c r="C371" s="31" t="s">
        <v>498</v>
      </c>
      <c r="D371" s="31" t="s">
        <v>1175</v>
      </c>
      <c r="E371" s="31" t="s">
        <v>1176</v>
      </c>
      <c r="F371" s="31" t="s">
        <v>261</v>
      </c>
      <c r="G371" s="32">
        <v>0.01</v>
      </c>
      <c r="H371" s="33">
        <v>0.1</v>
      </c>
      <c r="I371" s="34">
        <v>13876.033058000001</v>
      </c>
      <c r="J371" s="34">
        <v>152.63636363800001</v>
      </c>
      <c r="K371" s="31" t="s">
        <v>1170</v>
      </c>
      <c r="L371" s="31">
        <v>3</v>
      </c>
      <c r="M371" s="31" t="s">
        <v>1177</v>
      </c>
      <c r="N371" s="34">
        <v>20</v>
      </c>
      <c r="O371" s="35">
        <v>0</v>
      </c>
      <c r="P371" s="35" t="s">
        <v>212</v>
      </c>
      <c r="Q371" s="35">
        <v>0</v>
      </c>
      <c r="R371" s="36" t="s">
        <v>212</v>
      </c>
      <c r="S371" s="37" t="str">
        <f>IFERROR(_xlfn.XLOOKUP(R371,'1_Presupuesto'!$E:$E,'1_Presupuesto'!$D:$D),"")</f>
        <v/>
      </c>
    </row>
    <row r="372" spans="1:19" x14ac:dyDescent="0.35">
      <c r="A372" s="31" t="s">
        <v>1167</v>
      </c>
      <c r="B372" s="31" t="s">
        <v>497</v>
      </c>
      <c r="C372" s="31" t="s">
        <v>498</v>
      </c>
      <c r="D372" s="31" t="s">
        <v>503</v>
      </c>
      <c r="E372" s="31" t="s">
        <v>504</v>
      </c>
      <c r="F372" s="31" t="s">
        <v>261</v>
      </c>
      <c r="G372" s="32">
        <v>5.0000000000000001E-3</v>
      </c>
      <c r="H372" s="33">
        <v>0.05</v>
      </c>
      <c r="I372" s="34">
        <v>6442.15</v>
      </c>
      <c r="J372" s="34">
        <v>33.821287499999997</v>
      </c>
      <c r="K372" s="31" t="s">
        <v>1170</v>
      </c>
      <c r="L372" s="31">
        <v>4</v>
      </c>
      <c r="M372" s="31" t="s">
        <v>1178</v>
      </c>
      <c r="N372" s="34">
        <v>20</v>
      </c>
      <c r="O372" s="35">
        <v>0</v>
      </c>
      <c r="P372" s="35" t="s">
        <v>212</v>
      </c>
      <c r="Q372" s="35">
        <v>0</v>
      </c>
      <c r="R372" s="36" t="s">
        <v>212</v>
      </c>
      <c r="S372" s="37" t="str">
        <f>IFERROR(_xlfn.XLOOKUP(R372,'1_Presupuesto'!$E:$E,'1_Presupuesto'!$D:$D),"")</f>
        <v/>
      </c>
    </row>
    <row r="373" spans="1:19" x14ac:dyDescent="0.35">
      <c r="A373" s="31" t="s">
        <v>1167</v>
      </c>
      <c r="B373" s="31" t="s">
        <v>497</v>
      </c>
      <c r="C373" s="31" t="s">
        <v>498</v>
      </c>
      <c r="D373" s="31" t="s">
        <v>512</v>
      </c>
      <c r="E373" s="31" t="s">
        <v>513</v>
      </c>
      <c r="F373" s="31">
        <v>0</v>
      </c>
      <c r="G373" s="32">
        <v>5.0000000000000001E-3</v>
      </c>
      <c r="H373" s="33">
        <v>0.05</v>
      </c>
      <c r="I373" s="34">
        <v>1182.6446280991699</v>
      </c>
      <c r="J373" s="34">
        <v>6.2088842975206404</v>
      </c>
      <c r="K373" s="31" t="s">
        <v>1170</v>
      </c>
      <c r="L373" s="31">
        <v>5</v>
      </c>
      <c r="M373" s="31" t="s">
        <v>1179</v>
      </c>
      <c r="N373" s="34">
        <v>20</v>
      </c>
      <c r="O373" s="35">
        <v>0</v>
      </c>
      <c r="P373" s="35" t="s">
        <v>212</v>
      </c>
      <c r="Q373" s="35">
        <v>0</v>
      </c>
      <c r="R373" s="36" t="s">
        <v>212</v>
      </c>
      <c r="S373" s="37" t="str">
        <f>IFERROR(_xlfn.XLOOKUP(R373,'1_Presupuesto'!$E:$E,'1_Presupuesto'!$D:$D),"")</f>
        <v/>
      </c>
    </row>
    <row r="374" spans="1:19" x14ac:dyDescent="0.35">
      <c r="A374" s="31" t="s">
        <v>1167</v>
      </c>
      <c r="B374" s="31" t="s">
        <v>497</v>
      </c>
      <c r="C374" s="31" t="s">
        <v>498</v>
      </c>
      <c r="D374" s="31" t="s">
        <v>769</v>
      </c>
      <c r="E374" s="31" t="s">
        <v>770</v>
      </c>
      <c r="F374" s="31">
        <v>0</v>
      </c>
      <c r="G374" s="32">
        <v>0.01</v>
      </c>
      <c r="H374" s="33">
        <v>0.05</v>
      </c>
      <c r="I374" s="34">
        <v>5885.9504132231395</v>
      </c>
      <c r="J374" s="34">
        <v>61.802479338843</v>
      </c>
      <c r="K374" s="31" t="s">
        <v>1170</v>
      </c>
      <c r="L374" s="31">
        <v>6</v>
      </c>
      <c r="M374" s="31" t="s">
        <v>1180</v>
      </c>
      <c r="N374" s="34">
        <v>20</v>
      </c>
      <c r="O374" s="35">
        <v>0</v>
      </c>
      <c r="P374" s="35" t="s">
        <v>212</v>
      </c>
      <c r="Q374" s="35">
        <v>0</v>
      </c>
      <c r="R374" s="36" t="s">
        <v>212</v>
      </c>
      <c r="S374" s="37" t="str">
        <f>IFERROR(_xlfn.XLOOKUP(R374,'1_Presupuesto'!$E:$E,'1_Presupuesto'!$D:$D),"")</f>
        <v/>
      </c>
    </row>
    <row r="375" spans="1:19" x14ac:dyDescent="0.35">
      <c r="A375" s="31" t="s">
        <v>1167</v>
      </c>
      <c r="B375" s="31" t="s">
        <v>203</v>
      </c>
      <c r="C375" s="31"/>
      <c r="D375" s="31" t="s">
        <v>1143</v>
      </c>
      <c r="E375" s="31" t="s">
        <v>1144</v>
      </c>
      <c r="F375" s="31"/>
      <c r="G375" s="32">
        <v>0.75</v>
      </c>
      <c r="H375" s="33">
        <v>0</v>
      </c>
      <c r="I375" s="34">
        <v>2064.2076262094502</v>
      </c>
      <c r="J375" s="34">
        <v>1548.15571965708</v>
      </c>
      <c r="K375" s="31" t="s">
        <v>1181</v>
      </c>
      <c r="L375" s="31">
        <v>1</v>
      </c>
      <c r="M375" s="31" t="s">
        <v>1182</v>
      </c>
      <c r="N375" s="34">
        <v>20</v>
      </c>
      <c r="O375" s="35">
        <v>0</v>
      </c>
      <c r="P375" s="35" t="s">
        <v>212</v>
      </c>
      <c r="Q375" s="35">
        <v>0</v>
      </c>
      <c r="R375" s="36" t="s">
        <v>212</v>
      </c>
      <c r="S375" s="37" t="str">
        <f>IFERROR(_xlfn.XLOOKUP(R375,'1_Presupuesto'!$E:$E,'1_Presupuesto'!$D:$D),"")</f>
        <v/>
      </c>
    </row>
    <row r="376" spans="1:19" x14ac:dyDescent="0.35">
      <c r="A376" s="31" t="s">
        <v>1167</v>
      </c>
      <c r="B376" s="31" t="s">
        <v>203</v>
      </c>
      <c r="C376" s="31"/>
      <c r="D376" s="31" t="s">
        <v>613</v>
      </c>
      <c r="E376" s="31" t="s">
        <v>614</v>
      </c>
      <c r="F376" s="31"/>
      <c r="G376" s="32">
        <v>0.5</v>
      </c>
      <c r="H376" s="33">
        <v>0</v>
      </c>
      <c r="I376" s="34">
        <v>620.81078197718296</v>
      </c>
      <c r="J376" s="34">
        <v>310.40539098859199</v>
      </c>
      <c r="K376" s="31" t="s">
        <v>1181</v>
      </c>
      <c r="L376" s="31">
        <v>2</v>
      </c>
      <c r="M376" s="31" t="s">
        <v>1183</v>
      </c>
      <c r="N376" s="34">
        <v>20</v>
      </c>
      <c r="O376" s="35">
        <v>0</v>
      </c>
      <c r="P376" s="35" t="s">
        <v>212</v>
      </c>
      <c r="Q376" s="35">
        <v>0</v>
      </c>
      <c r="R376" s="36" t="s">
        <v>212</v>
      </c>
      <c r="S376" s="37" t="str">
        <f>IFERROR(_xlfn.XLOOKUP(R376,'1_Presupuesto'!$E:$E,'1_Presupuesto'!$D:$D),"")</f>
        <v/>
      </c>
    </row>
    <row r="377" spans="1:19" x14ac:dyDescent="0.35">
      <c r="A377" s="31" t="s">
        <v>1167</v>
      </c>
      <c r="B377" s="31" t="s">
        <v>203</v>
      </c>
      <c r="C377" s="31"/>
      <c r="D377" s="31" t="s">
        <v>1126</v>
      </c>
      <c r="E377" s="31" t="s">
        <v>1127</v>
      </c>
      <c r="F377" s="31"/>
      <c r="G377" s="32">
        <v>1</v>
      </c>
      <c r="H377" s="33">
        <v>0</v>
      </c>
      <c r="I377" s="34">
        <v>217.65359719478201</v>
      </c>
      <c r="J377" s="34">
        <v>217.65359719478201</v>
      </c>
      <c r="K377" s="31" t="s">
        <v>1181</v>
      </c>
      <c r="L377" s="31">
        <v>3</v>
      </c>
      <c r="M377" s="31" t="s">
        <v>1184</v>
      </c>
      <c r="N377" s="34">
        <v>20</v>
      </c>
      <c r="O377" s="35">
        <v>0</v>
      </c>
      <c r="P377" s="35" t="s">
        <v>212</v>
      </c>
      <c r="Q377" s="35">
        <v>0</v>
      </c>
      <c r="R377" s="36" t="s">
        <v>212</v>
      </c>
      <c r="S377" s="37" t="str">
        <f>IFERROR(_xlfn.XLOOKUP(R377,'1_Presupuesto'!$E:$E,'1_Presupuesto'!$D:$D),"")</f>
        <v/>
      </c>
    </row>
    <row r="378" spans="1:19" x14ac:dyDescent="0.35">
      <c r="A378" s="31" t="s">
        <v>1167</v>
      </c>
      <c r="B378" s="31" t="s">
        <v>203</v>
      </c>
      <c r="C378" s="31"/>
      <c r="D378" s="31" t="s">
        <v>786</v>
      </c>
      <c r="E378" s="31" t="s">
        <v>787</v>
      </c>
      <c r="F378" s="31"/>
      <c r="G378" s="32">
        <v>1</v>
      </c>
      <c r="H378" s="33">
        <v>0</v>
      </c>
      <c r="I378" s="34">
        <v>1873.3963608356801</v>
      </c>
      <c r="J378" s="34">
        <v>1873.3963608356801</v>
      </c>
      <c r="K378" s="31" t="s">
        <v>1181</v>
      </c>
      <c r="L378" s="31">
        <v>4</v>
      </c>
      <c r="M378" s="31" t="s">
        <v>1185</v>
      </c>
      <c r="N378" s="34">
        <v>20</v>
      </c>
      <c r="O378" s="35">
        <v>0</v>
      </c>
      <c r="P378" s="35" t="s">
        <v>212</v>
      </c>
      <c r="Q378" s="35">
        <v>0</v>
      </c>
      <c r="R378" s="36" t="s">
        <v>212</v>
      </c>
      <c r="S378" s="37" t="str">
        <f>IFERROR(_xlfn.XLOOKUP(R378,'1_Presupuesto'!$E:$E,'1_Presupuesto'!$D:$D),"")</f>
        <v/>
      </c>
    </row>
    <row r="379" spans="1:19" x14ac:dyDescent="0.35">
      <c r="A379" s="31" t="s">
        <v>1167</v>
      </c>
      <c r="B379" s="31" t="s">
        <v>478</v>
      </c>
      <c r="C379" s="31" t="s">
        <v>479</v>
      </c>
      <c r="D379" s="31" t="s">
        <v>494</v>
      </c>
      <c r="E379" s="31" t="s">
        <v>185</v>
      </c>
      <c r="F379" s="31" t="s">
        <v>481</v>
      </c>
      <c r="G379" s="32">
        <v>1</v>
      </c>
      <c r="H379" s="33">
        <v>0</v>
      </c>
      <c r="I379" s="34">
        <v>72132.138365590101</v>
      </c>
      <c r="J379" s="34">
        <v>72132.138365590101</v>
      </c>
      <c r="K379" s="31" t="s">
        <v>1186</v>
      </c>
      <c r="L379" s="31">
        <v>1</v>
      </c>
      <c r="M379" s="31" t="s">
        <v>1187</v>
      </c>
      <c r="N379" s="34">
        <v>20</v>
      </c>
      <c r="O379" s="35">
        <v>0.05</v>
      </c>
      <c r="P379" s="35" t="s">
        <v>212</v>
      </c>
      <c r="Q379" s="35">
        <v>0</v>
      </c>
      <c r="R379" s="36" t="s">
        <v>212</v>
      </c>
      <c r="S379" s="37" t="str">
        <f>IFERROR(_xlfn.XLOOKUP(R379,'1_Presupuesto'!$E:$E,'1_Presupuesto'!$D:$D),"")</f>
        <v/>
      </c>
    </row>
    <row r="380" spans="1:19" x14ac:dyDescent="0.35">
      <c r="A380" s="31" t="s">
        <v>1167</v>
      </c>
      <c r="B380" s="31" t="s">
        <v>478</v>
      </c>
      <c r="C380" s="31" t="s">
        <v>479</v>
      </c>
      <c r="D380" s="31" t="s">
        <v>480</v>
      </c>
      <c r="E380" s="31" t="s">
        <v>183</v>
      </c>
      <c r="F380" s="31" t="s">
        <v>481</v>
      </c>
      <c r="G380" s="32">
        <v>1.5</v>
      </c>
      <c r="H380" s="33">
        <v>0</v>
      </c>
      <c r="I380" s="34">
        <v>94177.137883538904</v>
      </c>
      <c r="J380" s="34">
        <v>141265.70682530801</v>
      </c>
      <c r="K380" s="31" t="s">
        <v>1186</v>
      </c>
      <c r="L380" s="31">
        <v>2</v>
      </c>
      <c r="M380" s="31" t="s">
        <v>1188</v>
      </c>
      <c r="N380" s="34">
        <v>20</v>
      </c>
      <c r="O380" s="35">
        <v>7.4999999999999997E-2</v>
      </c>
      <c r="P380" s="35" t="s">
        <v>212</v>
      </c>
      <c r="Q380" s="35">
        <v>0</v>
      </c>
      <c r="R380" s="36" t="s">
        <v>212</v>
      </c>
      <c r="S380" s="37" t="str">
        <f>IFERROR(_xlfn.XLOOKUP(R380,'1_Presupuesto'!$E:$E,'1_Presupuesto'!$D:$D),"")</f>
        <v/>
      </c>
    </row>
    <row r="381" spans="1:19" x14ac:dyDescent="0.35">
      <c r="A381" s="31" t="s">
        <v>1167</v>
      </c>
      <c r="B381" s="31" t="s">
        <v>478</v>
      </c>
      <c r="C381" s="31" t="s">
        <v>479</v>
      </c>
      <c r="D381" s="31" t="s">
        <v>494</v>
      </c>
      <c r="E381" s="31" t="s">
        <v>185</v>
      </c>
      <c r="F381" s="31" t="s">
        <v>481</v>
      </c>
      <c r="G381" s="32">
        <v>0.5</v>
      </c>
      <c r="H381" s="33">
        <v>0</v>
      </c>
      <c r="I381" s="34">
        <v>72132.138365590101</v>
      </c>
      <c r="J381" s="34">
        <v>36066.069182795101</v>
      </c>
      <c r="K381" s="31" t="s">
        <v>1186</v>
      </c>
      <c r="L381" s="31">
        <v>3</v>
      </c>
      <c r="M381" s="31" t="s">
        <v>1189</v>
      </c>
      <c r="N381" s="34">
        <v>20</v>
      </c>
      <c r="O381" s="35">
        <v>2.5000000000000001E-2</v>
      </c>
      <c r="P381" s="35" t="s">
        <v>212</v>
      </c>
      <c r="Q381" s="35">
        <v>0</v>
      </c>
      <c r="R381" s="36" t="s">
        <v>212</v>
      </c>
      <c r="S381" s="37" t="str">
        <f>IFERROR(_xlfn.XLOOKUP(R381,'1_Presupuesto'!$E:$E,'1_Presupuesto'!$D:$D),"")</f>
        <v/>
      </c>
    </row>
    <row r="382" spans="1:19" x14ac:dyDescent="0.35">
      <c r="A382" s="31" t="s">
        <v>1190</v>
      </c>
      <c r="B382" s="31" t="s">
        <v>497</v>
      </c>
      <c r="C382" s="31" t="s">
        <v>498</v>
      </c>
      <c r="D382" s="31" t="s">
        <v>1191</v>
      </c>
      <c r="E382" s="31" t="s">
        <v>1192</v>
      </c>
      <c r="F382" s="31" t="s">
        <v>739</v>
      </c>
      <c r="G382" s="32">
        <v>0.2</v>
      </c>
      <c r="H382" s="33">
        <v>0.2</v>
      </c>
      <c r="I382" s="34">
        <v>17106.768</v>
      </c>
      <c r="J382" s="34">
        <v>4105.6243199999999</v>
      </c>
      <c r="K382" s="31" t="s">
        <v>1193</v>
      </c>
      <c r="L382" s="31">
        <v>1</v>
      </c>
      <c r="M382" s="31" t="s">
        <v>1194</v>
      </c>
      <c r="N382" s="34">
        <v>13</v>
      </c>
      <c r="O382" s="35">
        <v>0</v>
      </c>
      <c r="P382" s="35" t="s">
        <v>212</v>
      </c>
      <c r="Q382" s="35">
        <v>0</v>
      </c>
      <c r="R382" s="36" t="s">
        <v>212</v>
      </c>
      <c r="S382" s="37" t="str">
        <f>IFERROR(_xlfn.XLOOKUP(R382,'1_Presupuesto'!$E:$E,'1_Presupuesto'!$D:$D),"")</f>
        <v/>
      </c>
    </row>
    <row r="383" spans="1:19" x14ac:dyDescent="0.35">
      <c r="A383" s="31" t="s">
        <v>1190</v>
      </c>
      <c r="B383" s="31" t="s">
        <v>497</v>
      </c>
      <c r="C383" s="31" t="s">
        <v>498</v>
      </c>
      <c r="D383" s="31" t="s">
        <v>1195</v>
      </c>
      <c r="E383" s="31" t="s">
        <v>1196</v>
      </c>
      <c r="F383" s="31" t="s">
        <v>261</v>
      </c>
      <c r="G383" s="32">
        <v>4.0000000000000001E-3</v>
      </c>
      <c r="H383" s="33">
        <v>0.05</v>
      </c>
      <c r="I383" s="34">
        <v>11376</v>
      </c>
      <c r="J383" s="34">
        <v>47.779200000000003</v>
      </c>
      <c r="K383" s="31" t="s">
        <v>1193</v>
      </c>
      <c r="L383" s="31">
        <v>2</v>
      </c>
      <c r="M383" s="31" t="s">
        <v>1197</v>
      </c>
      <c r="N383" s="34">
        <v>13</v>
      </c>
      <c r="O383" s="35">
        <v>0</v>
      </c>
      <c r="P383" s="35" t="s">
        <v>212</v>
      </c>
      <c r="Q383" s="35">
        <v>0</v>
      </c>
      <c r="R383" s="36" t="s">
        <v>212</v>
      </c>
      <c r="S383" s="37" t="str">
        <f>IFERROR(_xlfn.XLOOKUP(R383,'1_Presupuesto'!$E:$E,'1_Presupuesto'!$D:$D),"")</f>
        <v/>
      </c>
    </row>
    <row r="384" spans="1:19" x14ac:dyDescent="0.35">
      <c r="A384" s="31" t="s">
        <v>1190</v>
      </c>
      <c r="B384" s="31" t="s">
        <v>497</v>
      </c>
      <c r="C384" s="31" t="s">
        <v>498</v>
      </c>
      <c r="D384" s="31" t="s">
        <v>1198</v>
      </c>
      <c r="E384" s="31" t="s">
        <v>1199</v>
      </c>
      <c r="F384" s="31" t="s">
        <v>739</v>
      </c>
      <c r="G384" s="32">
        <v>0.04</v>
      </c>
      <c r="H384" s="33">
        <v>0.05</v>
      </c>
      <c r="I384" s="34">
        <v>47272.727272727301</v>
      </c>
      <c r="J384" s="34">
        <v>1985.45454545455</v>
      </c>
      <c r="K384" s="31" t="s">
        <v>1193</v>
      </c>
      <c r="L384" s="31">
        <v>3</v>
      </c>
      <c r="M384" s="31" t="s">
        <v>1200</v>
      </c>
      <c r="N384" s="34">
        <v>13</v>
      </c>
      <c r="O384" s="35">
        <v>0</v>
      </c>
      <c r="P384" s="35" t="s">
        <v>212</v>
      </c>
      <c r="Q384" s="35">
        <v>0</v>
      </c>
      <c r="R384" s="36" t="s">
        <v>212</v>
      </c>
      <c r="S384" s="37" t="str">
        <f>IFERROR(_xlfn.XLOOKUP(R384,'1_Presupuesto'!$E:$E,'1_Presupuesto'!$D:$D),"")</f>
        <v/>
      </c>
    </row>
    <row r="385" spans="1:19" x14ac:dyDescent="0.35">
      <c r="A385" s="31" t="s">
        <v>1190</v>
      </c>
      <c r="B385" s="31" t="s">
        <v>497</v>
      </c>
      <c r="C385" s="31" t="s">
        <v>498</v>
      </c>
      <c r="D385" s="31" t="s">
        <v>512</v>
      </c>
      <c r="E385" s="31" t="s">
        <v>513</v>
      </c>
      <c r="F385" s="31">
        <v>0</v>
      </c>
      <c r="G385" s="32">
        <v>0.01</v>
      </c>
      <c r="H385" s="33">
        <v>0.03</v>
      </c>
      <c r="I385" s="34">
        <v>1182.6446280991699</v>
      </c>
      <c r="J385" s="34">
        <v>12.181239669421499</v>
      </c>
      <c r="K385" s="31" t="s">
        <v>1193</v>
      </c>
      <c r="L385" s="31">
        <v>4</v>
      </c>
      <c r="M385" s="31" t="s">
        <v>1201</v>
      </c>
      <c r="N385" s="34">
        <v>13</v>
      </c>
      <c r="O385" s="35">
        <v>0</v>
      </c>
      <c r="P385" s="35" t="s">
        <v>212</v>
      </c>
      <c r="Q385" s="35">
        <v>0</v>
      </c>
      <c r="R385" s="36" t="s">
        <v>212</v>
      </c>
      <c r="S385" s="37" t="str">
        <f>IFERROR(_xlfn.XLOOKUP(R385,'1_Presupuesto'!$E:$E,'1_Presupuesto'!$D:$D),"")</f>
        <v/>
      </c>
    </row>
    <row r="386" spans="1:19" x14ac:dyDescent="0.35">
      <c r="A386" s="31" t="s">
        <v>1190</v>
      </c>
      <c r="B386" s="31" t="s">
        <v>203</v>
      </c>
      <c r="C386" s="31"/>
      <c r="D386" s="31" t="s">
        <v>1202</v>
      </c>
      <c r="E386" s="31" t="s">
        <v>1203</v>
      </c>
      <c r="F386" s="31"/>
      <c r="G386" s="32">
        <v>1</v>
      </c>
      <c r="H386" s="33">
        <v>0</v>
      </c>
      <c r="I386" s="34">
        <v>2866.2900480746998</v>
      </c>
      <c r="J386" s="34">
        <v>2866.2900480746998</v>
      </c>
      <c r="K386" s="31" t="s">
        <v>1204</v>
      </c>
      <c r="L386" s="31">
        <v>1</v>
      </c>
      <c r="M386" s="31" t="s">
        <v>1205</v>
      </c>
      <c r="N386" s="34">
        <v>13</v>
      </c>
      <c r="O386" s="35">
        <v>0</v>
      </c>
      <c r="P386" s="35" t="s">
        <v>212</v>
      </c>
      <c r="Q386" s="35">
        <v>0</v>
      </c>
      <c r="R386" s="36" t="s">
        <v>212</v>
      </c>
      <c r="S386" s="37" t="str">
        <f>IFERROR(_xlfn.XLOOKUP(R386,'1_Presupuesto'!$E:$E,'1_Presupuesto'!$D:$D),"")</f>
        <v/>
      </c>
    </row>
    <row r="387" spans="1:19" x14ac:dyDescent="0.35">
      <c r="A387" s="31" t="s">
        <v>1190</v>
      </c>
      <c r="B387" s="31" t="s">
        <v>478</v>
      </c>
      <c r="C387" s="31" t="s">
        <v>479</v>
      </c>
      <c r="D387" s="31" t="s">
        <v>494</v>
      </c>
      <c r="E387" s="31" t="s">
        <v>185</v>
      </c>
      <c r="F387" s="31" t="s">
        <v>481</v>
      </c>
      <c r="G387" s="32">
        <v>1</v>
      </c>
      <c r="H387" s="33">
        <v>0</v>
      </c>
      <c r="I387" s="34">
        <v>72132.138365590101</v>
      </c>
      <c r="J387" s="34">
        <v>72132.138365590101</v>
      </c>
      <c r="K387" s="31" t="s">
        <v>1206</v>
      </c>
      <c r="L387" s="31">
        <v>1</v>
      </c>
      <c r="M387" s="31" t="s">
        <v>1207</v>
      </c>
      <c r="N387" s="34">
        <v>13</v>
      </c>
      <c r="O387" s="35">
        <v>7.69230769230769E-2</v>
      </c>
      <c r="P387" s="35" t="s">
        <v>212</v>
      </c>
      <c r="Q387" s="35">
        <v>0</v>
      </c>
      <c r="R387" s="36" t="s">
        <v>212</v>
      </c>
      <c r="S387" s="37" t="str">
        <f>IFERROR(_xlfn.XLOOKUP(R387,'1_Presupuesto'!$E:$E,'1_Presupuesto'!$D:$D),"")</f>
        <v/>
      </c>
    </row>
    <row r="388" spans="1:19" x14ac:dyDescent="0.35">
      <c r="A388" s="31" t="s">
        <v>1190</v>
      </c>
      <c r="B388" s="31" t="s">
        <v>478</v>
      </c>
      <c r="C388" s="31" t="s">
        <v>479</v>
      </c>
      <c r="D388" s="31" t="s">
        <v>480</v>
      </c>
      <c r="E388" s="31" t="s">
        <v>183</v>
      </c>
      <c r="F388" s="31" t="s">
        <v>481</v>
      </c>
      <c r="G388" s="32">
        <v>1</v>
      </c>
      <c r="H388" s="33">
        <v>0</v>
      </c>
      <c r="I388" s="34">
        <v>94177.137883538904</v>
      </c>
      <c r="J388" s="34">
        <v>94177.137883538904</v>
      </c>
      <c r="K388" s="31" t="s">
        <v>1206</v>
      </c>
      <c r="L388" s="31">
        <v>2</v>
      </c>
      <c r="M388" s="31" t="s">
        <v>1208</v>
      </c>
      <c r="N388" s="34">
        <v>13</v>
      </c>
      <c r="O388" s="35">
        <v>7.69230769230769E-2</v>
      </c>
      <c r="P388" s="35" t="s">
        <v>212</v>
      </c>
      <c r="Q388" s="35">
        <v>0</v>
      </c>
      <c r="R388" s="36" t="s">
        <v>212</v>
      </c>
      <c r="S388" s="37" t="str">
        <f>IFERROR(_xlfn.XLOOKUP(R388,'1_Presupuesto'!$E:$E,'1_Presupuesto'!$D:$D),"")</f>
        <v/>
      </c>
    </row>
    <row r="389" spans="1:19" x14ac:dyDescent="0.35">
      <c r="A389" s="31" t="s">
        <v>1209</v>
      </c>
      <c r="B389" s="31" t="s">
        <v>497</v>
      </c>
      <c r="C389" s="31" t="s">
        <v>498</v>
      </c>
      <c r="D389" s="31" t="s">
        <v>1191</v>
      </c>
      <c r="E389" s="31" t="s">
        <v>1192</v>
      </c>
      <c r="F389" s="31" t="s">
        <v>739</v>
      </c>
      <c r="G389" s="32">
        <v>0.2</v>
      </c>
      <c r="H389" s="33">
        <v>0.2</v>
      </c>
      <c r="I389" s="34">
        <v>17106.768</v>
      </c>
      <c r="J389" s="34">
        <v>4105.6243199999999</v>
      </c>
      <c r="K389" s="31" t="s">
        <v>1210</v>
      </c>
      <c r="L389" s="31">
        <v>1</v>
      </c>
      <c r="M389" s="31" t="s">
        <v>1211</v>
      </c>
      <c r="N389" s="34">
        <v>10</v>
      </c>
      <c r="O389" s="35">
        <v>0</v>
      </c>
      <c r="P389" s="35" t="s">
        <v>212</v>
      </c>
      <c r="Q389" s="35">
        <v>0</v>
      </c>
      <c r="R389" s="36" t="s">
        <v>212</v>
      </c>
      <c r="S389" s="37" t="str">
        <f>IFERROR(_xlfn.XLOOKUP(R389,'1_Presupuesto'!$E:$E,'1_Presupuesto'!$D:$D),"")</f>
        <v/>
      </c>
    </row>
    <row r="390" spans="1:19" x14ac:dyDescent="0.35">
      <c r="A390" s="31" t="s">
        <v>1209</v>
      </c>
      <c r="B390" s="31" t="s">
        <v>497</v>
      </c>
      <c r="C390" s="31" t="s">
        <v>498</v>
      </c>
      <c r="D390" s="31" t="s">
        <v>1195</v>
      </c>
      <c r="E390" s="31" t="s">
        <v>1196</v>
      </c>
      <c r="F390" s="31" t="s">
        <v>261</v>
      </c>
      <c r="G390" s="32">
        <v>4.0000000000000001E-3</v>
      </c>
      <c r="H390" s="33">
        <v>0.05</v>
      </c>
      <c r="I390" s="34">
        <v>11376</v>
      </c>
      <c r="J390" s="34">
        <v>47.779200000000003</v>
      </c>
      <c r="K390" s="31" t="s">
        <v>1210</v>
      </c>
      <c r="L390" s="31">
        <v>2</v>
      </c>
      <c r="M390" s="31" t="s">
        <v>1212</v>
      </c>
      <c r="N390" s="34">
        <v>10</v>
      </c>
      <c r="O390" s="35">
        <v>0</v>
      </c>
      <c r="P390" s="35" t="s">
        <v>212</v>
      </c>
      <c r="Q390" s="35">
        <v>0</v>
      </c>
      <c r="R390" s="36" t="s">
        <v>212</v>
      </c>
      <c r="S390" s="37" t="str">
        <f>IFERROR(_xlfn.XLOOKUP(R390,'1_Presupuesto'!$E:$E,'1_Presupuesto'!$D:$D),"")</f>
        <v/>
      </c>
    </row>
    <row r="391" spans="1:19" x14ac:dyDescent="0.35">
      <c r="A391" s="31" t="s">
        <v>1209</v>
      </c>
      <c r="B391" s="31" t="s">
        <v>497</v>
      </c>
      <c r="C391" s="31" t="s">
        <v>498</v>
      </c>
      <c r="D391" s="31" t="s">
        <v>1198</v>
      </c>
      <c r="E391" s="31" t="s">
        <v>1199</v>
      </c>
      <c r="F391" s="31" t="s">
        <v>739</v>
      </c>
      <c r="G391" s="32">
        <v>0.04</v>
      </c>
      <c r="H391" s="33">
        <v>0.05</v>
      </c>
      <c r="I391" s="34">
        <v>47272.727272727301</v>
      </c>
      <c r="J391" s="34">
        <v>1985.45454545455</v>
      </c>
      <c r="K391" s="31" t="s">
        <v>1210</v>
      </c>
      <c r="L391" s="31">
        <v>3</v>
      </c>
      <c r="M391" s="31" t="s">
        <v>1213</v>
      </c>
      <c r="N391" s="34">
        <v>10</v>
      </c>
      <c r="O391" s="35">
        <v>0</v>
      </c>
      <c r="P391" s="35" t="s">
        <v>212</v>
      </c>
      <c r="Q391" s="35">
        <v>0</v>
      </c>
      <c r="R391" s="36" t="s">
        <v>212</v>
      </c>
      <c r="S391" s="37" t="str">
        <f>IFERROR(_xlfn.XLOOKUP(R391,'1_Presupuesto'!$E:$E,'1_Presupuesto'!$D:$D),"")</f>
        <v/>
      </c>
    </row>
    <row r="392" spans="1:19" x14ac:dyDescent="0.35">
      <c r="A392" s="31" t="s">
        <v>1209</v>
      </c>
      <c r="B392" s="31" t="s">
        <v>497</v>
      </c>
      <c r="C392" s="31" t="s">
        <v>498</v>
      </c>
      <c r="D392" s="31" t="s">
        <v>512</v>
      </c>
      <c r="E392" s="31" t="s">
        <v>513</v>
      </c>
      <c r="F392" s="31">
        <v>0</v>
      </c>
      <c r="G392" s="32">
        <v>0.01</v>
      </c>
      <c r="H392" s="33">
        <v>0.03</v>
      </c>
      <c r="I392" s="34">
        <v>1182.6446280991699</v>
      </c>
      <c r="J392" s="34">
        <v>12.181239669421499</v>
      </c>
      <c r="K392" s="31" t="s">
        <v>1210</v>
      </c>
      <c r="L392" s="31">
        <v>4</v>
      </c>
      <c r="M392" s="31" t="s">
        <v>1214</v>
      </c>
      <c r="N392" s="34">
        <v>10</v>
      </c>
      <c r="O392" s="35">
        <v>0</v>
      </c>
      <c r="P392" s="35" t="s">
        <v>212</v>
      </c>
      <c r="Q392" s="35">
        <v>0</v>
      </c>
      <c r="R392" s="36" t="s">
        <v>212</v>
      </c>
      <c r="S392" s="37" t="str">
        <f>IFERROR(_xlfn.XLOOKUP(R392,'1_Presupuesto'!$E:$E,'1_Presupuesto'!$D:$D),"")</f>
        <v/>
      </c>
    </row>
    <row r="393" spans="1:19" x14ac:dyDescent="0.35">
      <c r="A393" s="31" t="s">
        <v>1209</v>
      </c>
      <c r="B393" s="31" t="s">
        <v>203</v>
      </c>
      <c r="C393" s="31"/>
      <c r="D393" s="31" t="s">
        <v>1202</v>
      </c>
      <c r="E393" s="31" t="s">
        <v>1203</v>
      </c>
      <c r="F393" s="31"/>
      <c r="G393" s="32">
        <v>1</v>
      </c>
      <c r="H393" s="33">
        <v>0</v>
      </c>
      <c r="I393" s="34">
        <v>2866.2900480746998</v>
      </c>
      <c r="J393" s="34">
        <v>2866.2900480746998</v>
      </c>
      <c r="K393" s="31" t="s">
        <v>1215</v>
      </c>
      <c r="L393" s="31">
        <v>1</v>
      </c>
      <c r="M393" s="31" t="s">
        <v>1216</v>
      </c>
      <c r="N393" s="34">
        <v>10</v>
      </c>
      <c r="O393" s="35">
        <v>0</v>
      </c>
      <c r="P393" s="35" t="s">
        <v>212</v>
      </c>
      <c r="Q393" s="35">
        <v>0</v>
      </c>
      <c r="R393" s="36" t="s">
        <v>212</v>
      </c>
      <c r="S393" s="37" t="str">
        <f>IFERROR(_xlfn.XLOOKUP(R393,'1_Presupuesto'!$E:$E,'1_Presupuesto'!$D:$D),"")</f>
        <v/>
      </c>
    </row>
    <row r="394" spans="1:19" x14ac:dyDescent="0.35">
      <c r="A394" s="31" t="s">
        <v>1209</v>
      </c>
      <c r="B394" s="31" t="s">
        <v>478</v>
      </c>
      <c r="C394" s="31" t="s">
        <v>479</v>
      </c>
      <c r="D394" s="31" t="s">
        <v>494</v>
      </c>
      <c r="E394" s="31" t="s">
        <v>185</v>
      </c>
      <c r="F394" s="31" t="s">
        <v>481</v>
      </c>
      <c r="G394" s="32">
        <v>1</v>
      </c>
      <c r="H394" s="33">
        <v>0</v>
      </c>
      <c r="I394" s="34">
        <v>72132.138365590101</v>
      </c>
      <c r="J394" s="34">
        <v>72132.138365590101</v>
      </c>
      <c r="K394" s="31" t="s">
        <v>1217</v>
      </c>
      <c r="L394" s="31">
        <v>1</v>
      </c>
      <c r="M394" s="31" t="s">
        <v>1218</v>
      </c>
      <c r="N394" s="34">
        <v>10</v>
      </c>
      <c r="O394" s="35">
        <v>0.1</v>
      </c>
      <c r="P394" s="35" t="s">
        <v>212</v>
      </c>
      <c r="Q394" s="35">
        <v>0</v>
      </c>
      <c r="R394" s="36" t="s">
        <v>212</v>
      </c>
      <c r="S394" s="37" t="str">
        <f>IFERROR(_xlfn.XLOOKUP(R394,'1_Presupuesto'!$E:$E,'1_Presupuesto'!$D:$D),"")</f>
        <v/>
      </c>
    </row>
    <row r="395" spans="1:19" x14ac:dyDescent="0.35">
      <c r="A395" s="31" t="s">
        <v>1209</v>
      </c>
      <c r="B395" s="31" t="s">
        <v>478</v>
      </c>
      <c r="C395" s="31" t="s">
        <v>479</v>
      </c>
      <c r="D395" s="31" t="s">
        <v>480</v>
      </c>
      <c r="E395" s="31" t="s">
        <v>183</v>
      </c>
      <c r="F395" s="31" t="s">
        <v>481</v>
      </c>
      <c r="G395" s="32">
        <v>1</v>
      </c>
      <c r="H395" s="33">
        <v>0</v>
      </c>
      <c r="I395" s="34">
        <v>94177.137883538904</v>
      </c>
      <c r="J395" s="34">
        <v>94177.137883538904</v>
      </c>
      <c r="K395" s="31" t="s">
        <v>1217</v>
      </c>
      <c r="L395" s="31">
        <v>2</v>
      </c>
      <c r="M395" s="31" t="s">
        <v>1219</v>
      </c>
      <c r="N395" s="34">
        <v>10</v>
      </c>
      <c r="O395" s="35">
        <v>0.1</v>
      </c>
      <c r="P395" s="35" t="s">
        <v>212</v>
      </c>
      <c r="Q395" s="35">
        <v>0</v>
      </c>
      <c r="R395" s="36" t="s">
        <v>212</v>
      </c>
      <c r="S395" s="37" t="str">
        <f>IFERROR(_xlfn.XLOOKUP(R395,'1_Presupuesto'!$E:$E,'1_Presupuesto'!$D:$D),"")</f>
        <v/>
      </c>
    </row>
    <row r="396" spans="1:19" x14ac:dyDescent="0.35">
      <c r="A396" s="31" t="s">
        <v>1220</v>
      </c>
      <c r="B396" s="31" t="s">
        <v>497</v>
      </c>
      <c r="C396" s="31" t="s">
        <v>498</v>
      </c>
      <c r="D396" s="31" t="s">
        <v>1191</v>
      </c>
      <c r="E396" s="31" t="s">
        <v>1192</v>
      </c>
      <c r="F396" s="31" t="s">
        <v>739</v>
      </c>
      <c r="G396" s="32">
        <v>0.04</v>
      </c>
      <c r="H396" s="33">
        <v>0.2</v>
      </c>
      <c r="I396" s="34">
        <v>17106.768</v>
      </c>
      <c r="J396" s="34">
        <v>821.124864</v>
      </c>
      <c r="K396" s="31" t="s">
        <v>1221</v>
      </c>
      <c r="L396" s="31">
        <v>1</v>
      </c>
      <c r="M396" s="31" t="s">
        <v>1222</v>
      </c>
      <c r="N396" s="34">
        <v>30</v>
      </c>
      <c r="O396" s="35">
        <v>0</v>
      </c>
      <c r="P396" s="35" t="s">
        <v>212</v>
      </c>
      <c r="Q396" s="35">
        <v>0</v>
      </c>
      <c r="R396" s="36" t="s">
        <v>212</v>
      </c>
      <c r="S396" s="37" t="str">
        <f>IFERROR(_xlfn.XLOOKUP(R396,'1_Presupuesto'!$E:$E,'1_Presupuesto'!$D:$D),"")</f>
        <v/>
      </c>
    </row>
    <row r="397" spans="1:19" x14ac:dyDescent="0.35">
      <c r="A397" s="31" t="s">
        <v>1220</v>
      </c>
      <c r="B397" s="31" t="s">
        <v>497</v>
      </c>
      <c r="C397" s="31" t="s">
        <v>498</v>
      </c>
      <c r="D397" s="31" t="s">
        <v>1195</v>
      </c>
      <c r="E397" s="31" t="s">
        <v>1196</v>
      </c>
      <c r="F397" s="31" t="s">
        <v>261</v>
      </c>
      <c r="G397" s="32">
        <v>1E-3</v>
      </c>
      <c r="H397" s="33">
        <v>0.05</v>
      </c>
      <c r="I397" s="34">
        <v>11376</v>
      </c>
      <c r="J397" s="34">
        <v>11.944800000000001</v>
      </c>
      <c r="K397" s="31" t="s">
        <v>1221</v>
      </c>
      <c r="L397" s="31">
        <v>2</v>
      </c>
      <c r="M397" s="31" t="s">
        <v>1223</v>
      </c>
      <c r="N397" s="34">
        <v>30</v>
      </c>
      <c r="O397" s="35">
        <v>0</v>
      </c>
      <c r="P397" s="35" t="s">
        <v>212</v>
      </c>
      <c r="Q397" s="35">
        <v>0</v>
      </c>
      <c r="R397" s="36" t="s">
        <v>212</v>
      </c>
      <c r="S397" s="37" t="str">
        <f>IFERROR(_xlfn.XLOOKUP(R397,'1_Presupuesto'!$E:$E,'1_Presupuesto'!$D:$D),"")</f>
        <v/>
      </c>
    </row>
    <row r="398" spans="1:19" x14ac:dyDescent="0.35">
      <c r="A398" s="31" t="s">
        <v>1220</v>
      </c>
      <c r="B398" s="31" t="s">
        <v>497</v>
      </c>
      <c r="C398" s="31" t="s">
        <v>498</v>
      </c>
      <c r="D398" s="31" t="s">
        <v>1224</v>
      </c>
      <c r="E398" s="31" t="s">
        <v>1225</v>
      </c>
      <c r="F398" s="31" t="s">
        <v>739</v>
      </c>
      <c r="G398" s="32">
        <v>0.04</v>
      </c>
      <c r="H398" s="33">
        <v>0.05</v>
      </c>
      <c r="I398" s="34">
        <v>3720.15</v>
      </c>
      <c r="J398" s="34">
        <v>156.24629999999999</v>
      </c>
      <c r="K398" s="31" t="s">
        <v>1221</v>
      </c>
      <c r="L398" s="31">
        <v>3</v>
      </c>
      <c r="M398" s="31" t="s">
        <v>1226</v>
      </c>
      <c r="N398" s="34">
        <v>30</v>
      </c>
      <c r="O398" s="35">
        <v>0</v>
      </c>
      <c r="P398" s="35" t="s">
        <v>212</v>
      </c>
      <c r="Q398" s="35">
        <v>0</v>
      </c>
      <c r="R398" s="36" t="s">
        <v>212</v>
      </c>
      <c r="S398" s="37" t="str">
        <f>IFERROR(_xlfn.XLOOKUP(R398,'1_Presupuesto'!$E:$E,'1_Presupuesto'!$D:$D),"")</f>
        <v/>
      </c>
    </row>
    <row r="399" spans="1:19" x14ac:dyDescent="0.35">
      <c r="A399" s="31" t="s">
        <v>1220</v>
      </c>
      <c r="B399" s="31" t="s">
        <v>497</v>
      </c>
      <c r="C399" s="31" t="s">
        <v>498</v>
      </c>
      <c r="D399" s="31" t="s">
        <v>512</v>
      </c>
      <c r="E399" s="31" t="s">
        <v>513</v>
      </c>
      <c r="F399" s="31">
        <v>0</v>
      </c>
      <c r="G399" s="32">
        <v>0.01</v>
      </c>
      <c r="H399" s="33">
        <v>0.03</v>
      </c>
      <c r="I399" s="34">
        <v>1182.6446280991699</v>
      </c>
      <c r="J399" s="34">
        <v>12.181239669421499</v>
      </c>
      <c r="K399" s="31" t="s">
        <v>1221</v>
      </c>
      <c r="L399" s="31">
        <v>4</v>
      </c>
      <c r="M399" s="31" t="s">
        <v>1227</v>
      </c>
      <c r="N399" s="34">
        <v>30</v>
      </c>
      <c r="O399" s="35">
        <v>0</v>
      </c>
      <c r="P399" s="35" t="s">
        <v>212</v>
      </c>
      <c r="Q399" s="35">
        <v>0</v>
      </c>
      <c r="R399" s="36" t="s">
        <v>212</v>
      </c>
      <c r="S399" s="37" t="str">
        <f>IFERROR(_xlfn.XLOOKUP(R399,'1_Presupuesto'!$E:$E,'1_Presupuesto'!$D:$D),"")</f>
        <v/>
      </c>
    </row>
    <row r="400" spans="1:19" x14ac:dyDescent="0.35">
      <c r="A400" s="31" t="s">
        <v>1220</v>
      </c>
      <c r="B400" s="31" t="s">
        <v>203</v>
      </c>
      <c r="C400" s="31"/>
      <c r="D400" s="31" t="s">
        <v>1202</v>
      </c>
      <c r="E400" s="31" t="s">
        <v>1203</v>
      </c>
      <c r="F400" s="31"/>
      <c r="G400" s="32">
        <v>1</v>
      </c>
      <c r="H400" s="33">
        <v>0</v>
      </c>
      <c r="I400" s="34">
        <v>2866.2900480746998</v>
      </c>
      <c r="J400" s="34">
        <v>2866.2900480746998</v>
      </c>
      <c r="K400" s="31" t="s">
        <v>1228</v>
      </c>
      <c r="L400" s="31">
        <v>1</v>
      </c>
      <c r="M400" s="31" t="s">
        <v>1229</v>
      </c>
      <c r="N400" s="34">
        <v>30</v>
      </c>
      <c r="O400" s="35">
        <v>0</v>
      </c>
      <c r="P400" s="35" t="s">
        <v>212</v>
      </c>
      <c r="Q400" s="35">
        <v>0</v>
      </c>
      <c r="R400" s="36" t="s">
        <v>212</v>
      </c>
      <c r="S400" s="37" t="str">
        <f>IFERROR(_xlfn.XLOOKUP(R400,'1_Presupuesto'!$E:$E,'1_Presupuesto'!$D:$D),"")</f>
        <v/>
      </c>
    </row>
    <row r="401" spans="1:19" x14ac:dyDescent="0.35">
      <c r="A401" s="31" t="s">
        <v>1220</v>
      </c>
      <c r="B401" s="31" t="s">
        <v>478</v>
      </c>
      <c r="C401" s="31" t="s">
        <v>479</v>
      </c>
      <c r="D401" s="31" t="s">
        <v>494</v>
      </c>
      <c r="E401" s="31" t="s">
        <v>185</v>
      </c>
      <c r="F401" s="31" t="s">
        <v>481</v>
      </c>
      <c r="G401" s="32">
        <v>1</v>
      </c>
      <c r="H401" s="33">
        <v>0</v>
      </c>
      <c r="I401" s="34">
        <v>72132.138365590101</v>
      </c>
      <c r="J401" s="34">
        <v>72132.138365590101</v>
      </c>
      <c r="K401" s="31" t="s">
        <v>1230</v>
      </c>
      <c r="L401" s="31">
        <v>1</v>
      </c>
      <c r="M401" s="31" t="s">
        <v>1231</v>
      </c>
      <c r="N401" s="34">
        <v>30</v>
      </c>
      <c r="O401" s="35">
        <v>3.3333333333333298E-2</v>
      </c>
      <c r="P401" s="35" t="s">
        <v>212</v>
      </c>
      <c r="Q401" s="35">
        <v>0</v>
      </c>
      <c r="R401" s="36" t="s">
        <v>212</v>
      </c>
      <c r="S401" s="37" t="str">
        <f>IFERROR(_xlfn.XLOOKUP(R401,'1_Presupuesto'!$E:$E,'1_Presupuesto'!$D:$D),"")</f>
        <v/>
      </c>
    </row>
    <row r="402" spans="1:19" x14ac:dyDescent="0.35">
      <c r="A402" s="31" t="s">
        <v>1220</v>
      </c>
      <c r="B402" s="31" t="s">
        <v>478</v>
      </c>
      <c r="C402" s="31" t="s">
        <v>479</v>
      </c>
      <c r="D402" s="31" t="s">
        <v>480</v>
      </c>
      <c r="E402" s="31" t="s">
        <v>183</v>
      </c>
      <c r="F402" s="31" t="s">
        <v>481</v>
      </c>
      <c r="G402" s="32">
        <v>1</v>
      </c>
      <c r="H402" s="33">
        <v>0</v>
      </c>
      <c r="I402" s="34">
        <v>94177.137883538904</v>
      </c>
      <c r="J402" s="34">
        <v>94177.137883538904</v>
      </c>
      <c r="K402" s="31" t="s">
        <v>1230</v>
      </c>
      <c r="L402" s="31">
        <v>2</v>
      </c>
      <c r="M402" s="31" t="s">
        <v>1232</v>
      </c>
      <c r="N402" s="34">
        <v>30</v>
      </c>
      <c r="O402" s="35">
        <v>3.3333333333333298E-2</v>
      </c>
      <c r="P402" s="35" t="s">
        <v>212</v>
      </c>
      <c r="Q402" s="35">
        <v>0</v>
      </c>
      <c r="R402" s="36" t="s">
        <v>212</v>
      </c>
      <c r="S402" s="37" t="str">
        <f>IFERROR(_xlfn.XLOOKUP(R402,'1_Presupuesto'!$E:$E,'1_Presupuesto'!$D:$D),"")</f>
        <v/>
      </c>
    </row>
    <row r="403" spans="1:19" x14ac:dyDescent="0.35">
      <c r="A403" s="31" t="s">
        <v>1233</v>
      </c>
      <c r="B403" s="31" t="s">
        <v>497</v>
      </c>
      <c r="C403" s="31" t="s">
        <v>498</v>
      </c>
      <c r="D403" s="31" t="s">
        <v>765</v>
      </c>
      <c r="E403" s="31" t="s">
        <v>766</v>
      </c>
      <c r="F403" s="31">
        <v>0</v>
      </c>
      <c r="G403" s="32">
        <v>4.0000000000000001E-3</v>
      </c>
      <c r="H403" s="33">
        <v>0.05</v>
      </c>
      <c r="I403" s="34">
        <v>42552.892561983499</v>
      </c>
      <c r="J403" s="34">
        <v>178.72214876033101</v>
      </c>
      <c r="K403" s="31" t="s">
        <v>1234</v>
      </c>
      <c r="L403" s="31">
        <v>1</v>
      </c>
      <c r="M403" s="31" t="s">
        <v>1235</v>
      </c>
      <c r="N403" s="34">
        <v>11</v>
      </c>
      <c r="O403" s="35">
        <v>0</v>
      </c>
      <c r="P403" s="35" t="s">
        <v>212</v>
      </c>
      <c r="Q403" s="35">
        <v>0</v>
      </c>
      <c r="R403" s="36" t="s">
        <v>212</v>
      </c>
      <c r="S403" s="37" t="str">
        <f>IFERROR(_xlfn.XLOOKUP(R403,'1_Presupuesto'!$E:$E,'1_Presupuesto'!$D:$D),"")</f>
        <v/>
      </c>
    </row>
    <row r="404" spans="1:19" x14ac:dyDescent="0.35">
      <c r="A404" s="31" t="s">
        <v>1233</v>
      </c>
      <c r="B404" s="31" t="s">
        <v>497</v>
      </c>
      <c r="C404" s="31" t="s">
        <v>498</v>
      </c>
      <c r="D404" s="31" t="s">
        <v>780</v>
      </c>
      <c r="E404" s="31" t="s">
        <v>781</v>
      </c>
      <c r="F404" s="31">
        <v>0</v>
      </c>
      <c r="G404" s="32">
        <v>0.05</v>
      </c>
      <c r="H404" s="33">
        <v>0.1</v>
      </c>
      <c r="I404" s="34">
        <v>41314.049586776899</v>
      </c>
      <c r="J404" s="34">
        <v>2272.2727272727302</v>
      </c>
      <c r="K404" s="31" t="s">
        <v>1234</v>
      </c>
      <c r="L404" s="31">
        <v>2</v>
      </c>
      <c r="M404" s="31" t="s">
        <v>1236</v>
      </c>
      <c r="N404" s="34">
        <v>11</v>
      </c>
      <c r="O404" s="35">
        <v>0</v>
      </c>
      <c r="P404" s="35" t="s">
        <v>212</v>
      </c>
      <c r="Q404" s="35">
        <v>0</v>
      </c>
      <c r="R404" s="36" t="s">
        <v>212</v>
      </c>
      <c r="S404" s="37" t="str">
        <f>IFERROR(_xlfn.XLOOKUP(R404,'1_Presupuesto'!$E:$E,'1_Presupuesto'!$D:$D),"")</f>
        <v/>
      </c>
    </row>
    <row r="405" spans="1:19" x14ac:dyDescent="0.35">
      <c r="A405" s="31" t="s">
        <v>1233</v>
      </c>
      <c r="B405" s="31" t="s">
        <v>497</v>
      </c>
      <c r="C405" s="31" t="s">
        <v>498</v>
      </c>
      <c r="D405" s="31" t="s">
        <v>1237</v>
      </c>
      <c r="E405" s="31" t="s">
        <v>1238</v>
      </c>
      <c r="F405" s="31" t="s">
        <v>1121</v>
      </c>
      <c r="G405" s="32">
        <v>1.2500000000000001E-2</v>
      </c>
      <c r="H405" s="33">
        <v>0.1</v>
      </c>
      <c r="I405" s="34">
        <v>239668.595041322</v>
      </c>
      <c r="J405" s="34">
        <v>3295.4431818181802</v>
      </c>
      <c r="K405" s="31" t="s">
        <v>1234</v>
      </c>
      <c r="L405" s="31">
        <v>3</v>
      </c>
      <c r="M405" s="31" t="s">
        <v>1239</v>
      </c>
      <c r="N405" s="34">
        <v>11</v>
      </c>
      <c r="O405" s="35">
        <v>0</v>
      </c>
      <c r="P405" s="35" t="s">
        <v>212</v>
      </c>
      <c r="Q405" s="35">
        <v>0</v>
      </c>
      <c r="R405" s="36" t="s">
        <v>212</v>
      </c>
      <c r="S405" s="37" t="str">
        <f>IFERROR(_xlfn.XLOOKUP(R405,'1_Presupuesto'!$E:$E,'1_Presupuesto'!$D:$D),"")</f>
        <v/>
      </c>
    </row>
    <row r="406" spans="1:19" x14ac:dyDescent="0.35">
      <c r="A406" s="31" t="s">
        <v>1233</v>
      </c>
      <c r="B406" s="31" t="s">
        <v>497</v>
      </c>
      <c r="C406" s="31" t="s">
        <v>498</v>
      </c>
      <c r="D406" s="31" t="s">
        <v>761</v>
      </c>
      <c r="E406" s="31" t="s">
        <v>762</v>
      </c>
      <c r="F406" s="31">
        <v>0</v>
      </c>
      <c r="G406" s="32">
        <v>2.5000000000000001E-3</v>
      </c>
      <c r="H406" s="33">
        <v>0.05</v>
      </c>
      <c r="I406" s="34">
        <v>9927.59</v>
      </c>
      <c r="J406" s="34">
        <v>26.059923749999999</v>
      </c>
      <c r="K406" s="31" t="s">
        <v>1234</v>
      </c>
      <c r="L406" s="31">
        <v>4</v>
      </c>
      <c r="M406" s="31" t="s">
        <v>1240</v>
      </c>
      <c r="N406" s="34">
        <v>11</v>
      </c>
      <c r="O406" s="35">
        <v>0</v>
      </c>
      <c r="P406" s="35" t="s">
        <v>212</v>
      </c>
      <c r="Q406" s="35">
        <v>0</v>
      </c>
      <c r="R406" s="36" t="s">
        <v>212</v>
      </c>
      <c r="S406" s="37" t="str">
        <f>IFERROR(_xlfn.XLOOKUP(R406,'1_Presupuesto'!$E:$E,'1_Presupuesto'!$D:$D),"")</f>
        <v/>
      </c>
    </row>
    <row r="407" spans="1:19" x14ac:dyDescent="0.35">
      <c r="A407" s="31" t="s">
        <v>1233</v>
      </c>
      <c r="B407" s="31" t="s">
        <v>497</v>
      </c>
      <c r="C407" s="31" t="s">
        <v>498</v>
      </c>
      <c r="D407" s="31" t="s">
        <v>512</v>
      </c>
      <c r="E407" s="31" t="s">
        <v>513</v>
      </c>
      <c r="F407" s="31">
        <v>0</v>
      </c>
      <c r="G407" s="32">
        <v>0.03</v>
      </c>
      <c r="H407" s="33">
        <v>0.05</v>
      </c>
      <c r="I407" s="34">
        <v>1182.6446280991699</v>
      </c>
      <c r="J407" s="34">
        <v>37.253305785123899</v>
      </c>
      <c r="K407" s="31" t="s">
        <v>1234</v>
      </c>
      <c r="L407" s="31">
        <v>5</v>
      </c>
      <c r="M407" s="31" t="s">
        <v>1241</v>
      </c>
      <c r="N407" s="34">
        <v>11</v>
      </c>
      <c r="O407" s="35">
        <v>0</v>
      </c>
      <c r="P407" s="35" t="s">
        <v>212</v>
      </c>
      <c r="Q407" s="35">
        <v>0</v>
      </c>
      <c r="R407" s="36" t="s">
        <v>212</v>
      </c>
      <c r="S407" s="37" t="str">
        <f>IFERROR(_xlfn.XLOOKUP(R407,'1_Presupuesto'!$E:$E,'1_Presupuesto'!$D:$D),"")</f>
        <v/>
      </c>
    </row>
    <row r="408" spans="1:19" x14ac:dyDescent="0.35">
      <c r="A408" s="31" t="s">
        <v>1233</v>
      </c>
      <c r="B408" s="31" t="s">
        <v>497</v>
      </c>
      <c r="C408" s="31" t="s">
        <v>498</v>
      </c>
      <c r="D408" s="31" t="s">
        <v>769</v>
      </c>
      <c r="E408" s="31" t="s">
        <v>770</v>
      </c>
      <c r="F408" s="31">
        <v>0</v>
      </c>
      <c r="G408" s="32">
        <v>0.05</v>
      </c>
      <c r="H408" s="33">
        <v>0.1</v>
      </c>
      <c r="I408" s="34">
        <v>5885.9504132231395</v>
      </c>
      <c r="J408" s="34">
        <v>323.72727272727298</v>
      </c>
      <c r="K408" s="31" t="s">
        <v>1234</v>
      </c>
      <c r="L408" s="31">
        <v>6</v>
      </c>
      <c r="M408" s="31" t="s">
        <v>1242</v>
      </c>
      <c r="N408" s="34">
        <v>11</v>
      </c>
      <c r="O408" s="35">
        <v>0</v>
      </c>
      <c r="P408" s="35" t="s">
        <v>212</v>
      </c>
      <c r="Q408" s="35">
        <v>0</v>
      </c>
      <c r="R408" s="36" t="s">
        <v>212</v>
      </c>
      <c r="S408" s="37" t="str">
        <f>IFERROR(_xlfn.XLOOKUP(R408,'1_Presupuesto'!$E:$E,'1_Presupuesto'!$D:$D),"")</f>
        <v/>
      </c>
    </row>
    <row r="409" spans="1:19" x14ac:dyDescent="0.35">
      <c r="A409" s="31" t="s">
        <v>1233</v>
      </c>
      <c r="B409" s="31" t="s">
        <v>497</v>
      </c>
      <c r="C409" s="31" t="s">
        <v>498</v>
      </c>
      <c r="D409" s="31" t="s">
        <v>772</v>
      </c>
      <c r="E409" s="31" t="s">
        <v>773</v>
      </c>
      <c r="F409" s="31">
        <v>0</v>
      </c>
      <c r="G409" s="32">
        <v>0.05</v>
      </c>
      <c r="H409" s="33">
        <v>0.05</v>
      </c>
      <c r="I409" s="34">
        <v>7917.3553719008296</v>
      </c>
      <c r="J409" s="34">
        <v>415.66115702479402</v>
      </c>
      <c r="K409" s="31" t="s">
        <v>1234</v>
      </c>
      <c r="L409" s="31">
        <v>7</v>
      </c>
      <c r="M409" s="31" t="s">
        <v>1243</v>
      </c>
      <c r="N409" s="34">
        <v>11</v>
      </c>
      <c r="O409" s="35">
        <v>0</v>
      </c>
      <c r="P409" s="35" t="s">
        <v>212</v>
      </c>
      <c r="Q409" s="35">
        <v>0</v>
      </c>
      <c r="R409" s="36" t="s">
        <v>212</v>
      </c>
      <c r="S409" s="37" t="str">
        <f>IFERROR(_xlfn.XLOOKUP(R409,'1_Presupuesto'!$E:$E,'1_Presupuesto'!$D:$D),"")</f>
        <v/>
      </c>
    </row>
    <row r="410" spans="1:19" x14ac:dyDescent="0.35">
      <c r="A410" s="31" t="s">
        <v>1233</v>
      </c>
      <c r="B410" s="31" t="s">
        <v>497</v>
      </c>
      <c r="C410" s="31" t="s">
        <v>498</v>
      </c>
      <c r="D410" s="31" t="s">
        <v>503</v>
      </c>
      <c r="E410" s="31" t="s">
        <v>504</v>
      </c>
      <c r="F410" s="31" t="s">
        <v>261</v>
      </c>
      <c r="G410" s="32">
        <v>5.0000000000000001E-3</v>
      </c>
      <c r="H410" s="33">
        <v>0.05</v>
      </c>
      <c r="I410" s="34">
        <v>6442.15</v>
      </c>
      <c r="J410" s="34">
        <v>33.821287499999997</v>
      </c>
      <c r="K410" s="31" t="s">
        <v>1234</v>
      </c>
      <c r="L410" s="31">
        <v>8</v>
      </c>
      <c r="M410" s="31" t="s">
        <v>1244</v>
      </c>
      <c r="N410" s="34">
        <v>11</v>
      </c>
      <c r="O410" s="35">
        <v>0</v>
      </c>
      <c r="P410" s="35" t="s">
        <v>212</v>
      </c>
      <c r="Q410" s="35">
        <v>0</v>
      </c>
      <c r="R410" s="36" t="s">
        <v>212</v>
      </c>
      <c r="S410" s="37" t="str">
        <f>IFERROR(_xlfn.XLOOKUP(R410,'1_Presupuesto'!$E:$E,'1_Presupuesto'!$D:$D),"")</f>
        <v/>
      </c>
    </row>
    <row r="411" spans="1:19" x14ac:dyDescent="0.35">
      <c r="A411" s="31" t="s">
        <v>1233</v>
      </c>
      <c r="B411" s="31" t="s">
        <v>497</v>
      </c>
      <c r="C411" s="31" t="s">
        <v>498</v>
      </c>
      <c r="D411" s="31" t="s">
        <v>506</v>
      </c>
      <c r="E411" s="31" t="s">
        <v>507</v>
      </c>
      <c r="F411" s="31" t="s">
        <v>261</v>
      </c>
      <c r="G411" s="32">
        <v>5.0000000000000001E-3</v>
      </c>
      <c r="H411" s="33">
        <v>0.05</v>
      </c>
      <c r="I411" s="34">
        <v>4418.1818181818198</v>
      </c>
      <c r="J411" s="34">
        <v>23.195454545454599</v>
      </c>
      <c r="K411" s="31" t="s">
        <v>1234</v>
      </c>
      <c r="L411" s="31">
        <v>9</v>
      </c>
      <c r="M411" s="31" t="s">
        <v>1245</v>
      </c>
      <c r="N411" s="34">
        <v>11</v>
      </c>
      <c r="O411" s="35">
        <v>0</v>
      </c>
      <c r="P411" s="35" t="s">
        <v>212</v>
      </c>
      <c r="Q411" s="35">
        <v>0</v>
      </c>
      <c r="R411" s="36" t="s">
        <v>212</v>
      </c>
      <c r="S411" s="37" t="str">
        <f>IFERROR(_xlfn.XLOOKUP(R411,'1_Presupuesto'!$E:$E,'1_Presupuesto'!$D:$D),"")</f>
        <v/>
      </c>
    </row>
    <row r="412" spans="1:19" x14ac:dyDescent="0.35">
      <c r="A412" s="31" t="s">
        <v>1233</v>
      </c>
      <c r="B412" s="31" t="s">
        <v>497</v>
      </c>
      <c r="C412" s="31" t="s">
        <v>498</v>
      </c>
      <c r="D412" s="31" t="s">
        <v>777</v>
      </c>
      <c r="E412" s="31" t="s">
        <v>778</v>
      </c>
      <c r="F412" s="31" t="s">
        <v>261</v>
      </c>
      <c r="G412" s="32">
        <v>0.01</v>
      </c>
      <c r="H412" s="33">
        <v>0.05</v>
      </c>
      <c r="I412" s="34">
        <v>8173.5537190082696</v>
      </c>
      <c r="J412" s="34">
        <v>85.822314049586794</v>
      </c>
      <c r="K412" s="31" t="s">
        <v>1234</v>
      </c>
      <c r="L412" s="31">
        <v>10</v>
      </c>
      <c r="M412" s="31" t="s">
        <v>1246</v>
      </c>
      <c r="N412" s="34">
        <v>11</v>
      </c>
      <c r="O412" s="35">
        <v>0</v>
      </c>
      <c r="P412" s="35" t="s">
        <v>212</v>
      </c>
      <c r="Q412" s="35">
        <v>0</v>
      </c>
      <c r="R412" s="36" t="s">
        <v>212</v>
      </c>
      <c r="S412" s="37" t="str">
        <f>IFERROR(_xlfn.XLOOKUP(R412,'1_Presupuesto'!$E:$E,'1_Presupuesto'!$D:$D),"")</f>
        <v/>
      </c>
    </row>
    <row r="413" spans="1:19" x14ac:dyDescent="0.35">
      <c r="A413" s="31" t="s">
        <v>1233</v>
      </c>
      <c r="B413" s="31" t="s">
        <v>203</v>
      </c>
      <c r="C413" s="31"/>
      <c r="D413" s="31" t="s">
        <v>1126</v>
      </c>
      <c r="E413" s="31" t="s">
        <v>1127</v>
      </c>
      <c r="F413" s="31"/>
      <c r="G413" s="32">
        <v>1</v>
      </c>
      <c r="H413" s="33">
        <v>0</v>
      </c>
      <c r="I413" s="34">
        <v>217.65359719478201</v>
      </c>
      <c r="J413" s="34">
        <v>217.65359719478201</v>
      </c>
      <c r="K413" s="31" t="s">
        <v>1247</v>
      </c>
      <c r="L413" s="31">
        <v>1</v>
      </c>
      <c r="M413" s="31" t="s">
        <v>1248</v>
      </c>
      <c r="N413" s="34">
        <v>11</v>
      </c>
      <c r="O413" s="35">
        <v>0</v>
      </c>
      <c r="P413" s="35" t="s">
        <v>212</v>
      </c>
      <c r="Q413" s="35">
        <v>0</v>
      </c>
      <c r="R413" s="36" t="s">
        <v>212</v>
      </c>
      <c r="S413" s="37" t="str">
        <f>IFERROR(_xlfn.XLOOKUP(R413,'1_Presupuesto'!$E:$E,'1_Presupuesto'!$D:$D),"")</f>
        <v/>
      </c>
    </row>
    <row r="414" spans="1:19" x14ac:dyDescent="0.35">
      <c r="A414" s="31" t="s">
        <v>1233</v>
      </c>
      <c r="B414" s="31" t="s">
        <v>203</v>
      </c>
      <c r="C414" s="31"/>
      <c r="D414" s="31" t="s">
        <v>786</v>
      </c>
      <c r="E414" s="31" t="s">
        <v>787</v>
      </c>
      <c r="F414" s="31"/>
      <c r="G414" s="32">
        <v>2</v>
      </c>
      <c r="H414" s="33">
        <v>0</v>
      </c>
      <c r="I414" s="34">
        <v>1873.3963608356801</v>
      </c>
      <c r="J414" s="34">
        <v>3746.7927216713601</v>
      </c>
      <c r="K414" s="31" t="s">
        <v>1247</v>
      </c>
      <c r="L414" s="31">
        <v>2</v>
      </c>
      <c r="M414" s="31" t="s">
        <v>1249</v>
      </c>
      <c r="N414" s="34">
        <v>11</v>
      </c>
      <c r="O414" s="35">
        <v>0</v>
      </c>
      <c r="P414" s="35" t="s">
        <v>212</v>
      </c>
      <c r="Q414" s="35">
        <v>0</v>
      </c>
      <c r="R414" s="36" t="s">
        <v>212</v>
      </c>
      <c r="S414" s="37" t="str">
        <f>IFERROR(_xlfn.XLOOKUP(R414,'1_Presupuesto'!$E:$E,'1_Presupuesto'!$D:$D),"")</f>
        <v/>
      </c>
    </row>
    <row r="415" spans="1:19" x14ac:dyDescent="0.35">
      <c r="A415" s="31" t="s">
        <v>1233</v>
      </c>
      <c r="B415" s="31" t="s">
        <v>478</v>
      </c>
      <c r="C415" s="31" t="s">
        <v>479</v>
      </c>
      <c r="D415" s="31" t="s">
        <v>480</v>
      </c>
      <c r="E415" s="31" t="s">
        <v>183</v>
      </c>
      <c r="F415" s="31" t="s">
        <v>481</v>
      </c>
      <c r="G415" s="32">
        <v>1</v>
      </c>
      <c r="H415" s="33">
        <v>0</v>
      </c>
      <c r="I415" s="34">
        <v>94177.137883538904</v>
      </c>
      <c r="J415" s="34">
        <v>94177.137883538904</v>
      </c>
      <c r="K415" s="31" t="s">
        <v>1250</v>
      </c>
      <c r="L415" s="31">
        <v>1</v>
      </c>
      <c r="M415" s="31" t="s">
        <v>1251</v>
      </c>
      <c r="N415" s="34">
        <v>11</v>
      </c>
      <c r="O415" s="35">
        <v>9.0909090909090898E-2</v>
      </c>
      <c r="P415" s="35" t="s">
        <v>212</v>
      </c>
      <c r="Q415" s="35">
        <v>0</v>
      </c>
      <c r="R415" s="36" t="s">
        <v>212</v>
      </c>
      <c r="S415" s="37" t="str">
        <f>IFERROR(_xlfn.XLOOKUP(R415,'1_Presupuesto'!$E:$E,'1_Presupuesto'!$D:$D),"")</f>
        <v/>
      </c>
    </row>
    <row r="416" spans="1:19" x14ac:dyDescent="0.35">
      <c r="A416" s="31" t="s">
        <v>1233</v>
      </c>
      <c r="B416" s="31" t="s">
        <v>478</v>
      </c>
      <c r="C416" s="31" t="s">
        <v>479</v>
      </c>
      <c r="D416" s="31" t="s">
        <v>494</v>
      </c>
      <c r="E416" s="31" t="s">
        <v>185</v>
      </c>
      <c r="F416" s="31" t="s">
        <v>481</v>
      </c>
      <c r="G416" s="32">
        <v>1</v>
      </c>
      <c r="H416" s="33">
        <v>0</v>
      </c>
      <c r="I416" s="34">
        <v>72132.138365590101</v>
      </c>
      <c r="J416" s="34">
        <v>72132.138365590101</v>
      </c>
      <c r="K416" s="31" t="s">
        <v>1250</v>
      </c>
      <c r="L416" s="31">
        <v>2</v>
      </c>
      <c r="M416" s="31" t="s">
        <v>1252</v>
      </c>
      <c r="N416" s="34">
        <v>11</v>
      </c>
      <c r="O416" s="35">
        <v>9.0909090909090898E-2</v>
      </c>
      <c r="P416" s="35" t="s">
        <v>212</v>
      </c>
      <c r="Q416" s="35">
        <v>0</v>
      </c>
      <c r="R416" s="36" t="s">
        <v>212</v>
      </c>
      <c r="S416" s="37" t="str">
        <f>IFERROR(_xlfn.XLOOKUP(R416,'1_Presupuesto'!$E:$E,'1_Presupuesto'!$D:$D),"")</f>
        <v/>
      </c>
    </row>
    <row r="417" spans="1:19" x14ac:dyDescent="0.35">
      <c r="A417" s="31" t="s">
        <v>590</v>
      </c>
      <c r="B417" s="31" t="s">
        <v>497</v>
      </c>
      <c r="C417" s="31" t="s">
        <v>498</v>
      </c>
      <c r="D417" s="31" t="s">
        <v>1253</v>
      </c>
      <c r="E417" s="31" t="s">
        <v>1254</v>
      </c>
      <c r="F417" s="31" t="s">
        <v>261</v>
      </c>
      <c r="G417" s="32">
        <v>0.50770000000000004</v>
      </c>
      <c r="H417" s="33">
        <v>0.1</v>
      </c>
      <c r="I417" s="34">
        <v>2244.87</v>
      </c>
      <c r="J417" s="34">
        <v>1253.6925489</v>
      </c>
      <c r="K417" s="31" t="s">
        <v>1255</v>
      </c>
      <c r="L417" s="31">
        <v>1</v>
      </c>
      <c r="M417" s="31" t="s">
        <v>1256</v>
      </c>
      <c r="N417" s="34">
        <v>9.5</v>
      </c>
      <c r="O417" s="35">
        <v>0</v>
      </c>
      <c r="P417" s="35" t="s">
        <v>212</v>
      </c>
      <c r="Q417" s="35">
        <v>0</v>
      </c>
      <c r="R417" s="36" t="s">
        <v>212</v>
      </c>
      <c r="S417" s="37" t="str">
        <f>IFERROR(_xlfn.XLOOKUP(R417,'1_Presupuesto'!$E:$E,'1_Presupuesto'!$D:$D),"")</f>
        <v/>
      </c>
    </row>
    <row r="418" spans="1:19" x14ac:dyDescent="0.35">
      <c r="A418" s="31" t="s">
        <v>590</v>
      </c>
      <c r="B418" s="31" t="s">
        <v>497</v>
      </c>
      <c r="C418" s="31" t="s">
        <v>498</v>
      </c>
      <c r="D418" s="31" t="s">
        <v>1257</v>
      </c>
      <c r="E418" s="31" t="s">
        <v>1258</v>
      </c>
      <c r="F418" s="31" t="s">
        <v>261</v>
      </c>
      <c r="G418" s="32">
        <v>1.2307999999999999</v>
      </c>
      <c r="H418" s="33">
        <v>0.1</v>
      </c>
      <c r="I418" s="34">
        <v>2574.7199999999998</v>
      </c>
      <c r="J418" s="34">
        <v>3485.8619136000002</v>
      </c>
      <c r="K418" s="31" t="s">
        <v>1255</v>
      </c>
      <c r="L418" s="31">
        <v>2</v>
      </c>
      <c r="M418" s="31" t="s">
        <v>1259</v>
      </c>
      <c r="N418" s="34">
        <v>9.5</v>
      </c>
      <c r="O418" s="35">
        <v>0</v>
      </c>
      <c r="P418" s="35" t="s">
        <v>212</v>
      </c>
      <c r="Q418" s="35">
        <v>0</v>
      </c>
      <c r="R418" s="36" t="s">
        <v>212</v>
      </c>
      <c r="S418" s="37" t="str">
        <f>IFERROR(_xlfn.XLOOKUP(R418,'1_Presupuesto'!$E:$E,'1_Presupuesto'!$D:$D),"")</f>
        <v/>
      </c>
    </row>
    <row r="419" spans="1:19" x14ac:dyDescent="0.35">
      <c r="A419" s="31" t="s">
        <v>590</v>
      </c>
      <c r="B419" s="31" t="s">
        <v>497</v>
      </c>
      <c r="C419" s="31" t="s">
        <v>498</v>
      </c>
      <c r="D419" s="31" t="s">
        <v>1260</v>
      </c>
      <c r="E419" s="31" t="s">
        <v>1261</v>
      </c>
      <c r="F419" s="31" t="s">
        <v>261</v>
      </c>
      <c r="G419" s="32">
        <v>16</v>
      </c>
      <c r="H419" s="33">
        <v>0.05</v>
      </c>
      <c r="I419" s="34">
        <v>26.153884000000001</v>
      </c>
      <c r="J419" s="34">
        <v>439.38525120000003</v>
      </c>
      <c r="K419" s="31" t="s">
        <v>1255</v>
      </c>
      <c r="L419" s="31">
        <v>3</v>
      </c>
      <c r="M419" s="31" t="s">
        <v>1262</v>
      </c>
      <c r="N419" s="34">
        <v>9.5</v>
      </c>
      <c r="O419" s="35">
        <v>0</v>
      </c>
      <c r="P419" s="35" t="s">
        <v>212</v>
      </c>
      <c r="Q419" s="35">
        <v>0</v>
      </c>
      <c r="R419" s="36" t="s">
        <v>212</v>
      </c>
      <c r="S419" s="37" t="str">
        <f>IFERROR(_xlfn.XLOOKUP(R419,'1_Presupuesto'!$E:$E,'1_Presupuesto'!$D:$D),"")</f>
        <v/>
      </c>
    </row>
    <row r="420" spans="1:19" x14ac:dyDescent="0.35">
      <c r="A420" s="31" t="s">
        <v>590</v>
      </c>
      <c r="B420" s="31" t="s">
        <v>497</v>
      </c>
      <c r="C420" s="31" t="s">
        <v>498</v>
      </c>
      <c r="D420" s="31" t="s">
        <v>587</v>
      </c>
      <c r="E420" s="31" t="s">
        <v>588</v>
      </c>
      <c r="F420" s="31" t="s">
        <v>261</v>
      </c>
      <c r="G420" s="32">
        <v>18</v>
      </c>
      <c r="H420" s="33">
        <v>0.05</v>
      </c>
      <c r="I420" s="34">
        <v>9.1146919999999998</v>
      </c>
      <c r="J420" s="34">
        <v>172.2676788</v>
      </c>
      <c r="K420" s="31" t="s">
        <v>1255</v>
      </c>
      <c r="L420" s="31">
        <v>4</v>
      </c>
      <c r="M420" s="31" t="s">
        <v>1263</v>
      </c>
      <c r="N420" s="34">
        <v>9.5</v>
      </c>
      <c r="O420" s="35">
        <v>0</v>
      </c>
      <c r="P420" s="35" t="s">
        <v>212</v>
      </c>
      <c r="Q420" s="35">
        <v>0</v>
      </c>
      <c r="R420" s="36" t="s">
        <v>212</v>
      </c>
      <c r="S420" s="37" t="str">
        <f>IFERROR(_xlfn.XLOOKUP(R420,'1_Presupuesto'!$E:$E,'1_Presupuesto'!$D:$D),"")</f>
        <v/>
      </c>
    </row>
    <row r="421" spans="1:19" x14ac:dyDescent="0.35">
      <c r="A421" s="31" t="s">
        <v>590</v>
      </c>
      <c r="B421" s="31" t="s">
        <v>497</v>
      </c>
      <c r="C421" s="31" t="s">
        <v>498</v>
      </c>
      <c r="D421" s="31" t="s">
        <v>562</v>
      </c>
      <c r="E421" s="31" t="s">
        <v>563</v>
      </c>
      <c r="F421" s="31" t="s">
        <v>261</v>
      </c>
      <c r="G421" s="32">
        <v>6</v>
      </c>
      <c r="H421" s="33">
        <v>0.05</v>
      </c>
      <c r="I421" s="34">
        <v>63.381982999999998</v>
      </c>
      <c r="J421" s="34">
        <v>399.30649290000002</v>
      </c>
      <c r="K421" s="31" t="s">
        <v>1255</v>
      </c>
      <c r="L421" s="31">
        <v>5</v>
      </c>
      <c r="M421" s="31" t="s">
        <v>1264</v>
      </c>
      <c r="N421" s="34">
        <v>9.5</v>
      </c>
      <c r="O421" s="35">
        <v>0</v>
      </c>
      <c r="P421" s="35" t="s">
        <v>212</v>
      </c>
      <c r="Q421" s="35">
        <v>0</v>
      </c>
      <c r="R421" s="36" t="s">
        <v>212</v>
      </c>
      <c r="S421" s="37" t="str">
        <f>IFERROR(_xlfn.XLOOKUP(R421,'1_Presupuesto'!$E:$E,'1_Presupuesto'!$D:$D),"")</f>
        <v/>
      </c>
    </row>
    <row r="422" spans="1:19" x14ac:dyDescent="0.35">
      <c r="A422" s="31" t="s">
        <v>590</v>
      </c>
      <c r="B422" s="31" t="s">
        <v>497</v>
      </c>
      <c r="C422" s="31" t="s">
        <v>498</v>
      </c>
      <c r="D422" s="31" t="s">
        <v>1265</v>
      </c>
      <c r="E422" s="31" t="s">
        <v>1266</v>
      </c>
      <c r="F422" s="31" t="s">
        <v>261</v>
      </c>
      <c r="G422" s="32">
        <v>1.83E-2</v>
      </c>
      <c r="H422" s="33">
        <v>0.05</v>
      </c>
      <c r="I422" s="34">
        <v>4734.07</v>
      </c>
      <c r="J422" s="34">
        <v>90.965155050000007</v>
      </c>
      <c r="K422" s="31" t="s">
        <v>1255</v>
      </c>
      <c r="L422" s="31">
        <v>6</v>
      </c>
      <c r="M422" s="31" t="s">
        <v>1267</v>
      </c>
      <c r="N422" s="34">
        <v>9.5</v>
      </c>
      <c r="O422" s="35">
        <v>0</v>
      </c>
      <c r="P422" s="35" t="s">
        <v>212</v>
      </c>
      <c r="Q422" s="35">
        <v>0</v>
      </c>
      <c r="R422" s="36" t="s">
        <v>212</v>
      </c>
      <c r="S422" s="37" t="str">
        <f>IFERROR(_xlfn.XLOOKUP(R422,'1_Presupuesto'!$E:$E,'1_Presupuesto'!$D:$D),"")</f>
        <v/>
      </c>
    </row>
    <row r="423" spans="1:19" x14ac:dyDescent="0.35">
      <c r="A423" s="31" t="s">
        <v>590</v>
      </c>
      <c r="B423" s="31" t="s">
        <v>497</v>
      </c>
      <c r="C423" s="31" t="s">
        <v>498</v>
      </c>
      <c r="D423" s="31" t="s">
        <v>1268</v>
      </c>
      <c r="E423" s="31" t="s">
        <v>1269</v>
      </c>
      <c r="F423" s="31" t="s">
        <v>261</v>
      </c>
      <c r="G423" s="32">
        <v>2.81E-2</v>
      </c>
      <c r="H423" s="33">
        <v>0.05</v>
      </c>
      <c r="I423" s="34">
        <v>23166.59</v>
      </c>
      <c r="J423" s="34">
        <v>683.53023795000001</v>
      </c>
      <c r="K423" s="31" t="s">
        <v>1255</v>
      </c>
      <c r="L423" s="31">
        <v>7</v>
      </c>
      <c r="M423" s="31" t="s">
        <v>1270</v>
      </c>
      <c r="N423" s="34">
        <v>9.5</v>
      </c>
      <c r="O423" s="35">
        <v>0</v>
      </c>
      <c r="P423" s="35" t="s">
        <v>212</v>
      </c>
      <c r="Q423" s="35">
        <v>0</v>
      </c>
      <c r="R423" s="36" t="s">
        <v>212</v>
      </c>
      <c r="S423" s="37" t="str">
        <f>IFERROR(_xlfn.XLOOKUP(R423,'1_Presupuesto'!$E:$E,'1_Presupuesto'!$D:$D),"")</f>
        <v/>
      </c>
    </row>
    <row r="424" spans="1:19" x14ac:dyDescent="0.35">
      <c r="A424" s="31" t="s">
        <v>590</v>
      </c>
      <c r="B424" s="31" t="s">
        <v>497</v>
      </c>
      <c r="C424" s="31" t="s">
        <v>498</v>
      </c>
      <c r="D424" s="31" t="s">
        <v>1271</v>
      </c>
      <c r="E424" s="31" t="s">
        <v>1272</v>
      </c>
      <c r="F424" s="31" t="s">
        <v>261</v>
      </c>
      <c r="G424" s="32">
        <v>0.36</v>
      </c>
      <c r="H424" s="33">
        <v>0.1</v>
      </c>
      <c r="I424" s="34">
        <v>10458</v>
      </c>
      <c r="J424" s="34">
        <v>4141.3680000000004</v>
      </c>
      <c r="K424" s="31" t="s">
        <v>1255</v>
      </c>
      <c r="L424" s="31">
        <v>8</v>
      </c>
      <c r="M424" s="31" t="s">
        <v>1273</v>
      </c>
      <c r="N424" s="34">
        <v>9.5</v>
      </c>
      <c r="O424" s="35">
        <v>0</v>
      </c>
      <c r="P424" s="35" t="s">
        <v>212</v>
      </c>
      <c r="Q424" s="35">
        <v>0</v>
      </c>
      <c r="R424" s="36" t="s">
        <v>212</v>
      </c>
      <c r="S424" s="37" t="str">
        <f>IFERROR(_xlfn.XLOOKUP(R424,'1_Presupuesto'!$E:$E,'1_Presupuesto'!$D:$D),"")</f>
        <v/>
      </c>
    </row>
    <row r="425" spans="1:19" x14ac:dyDescent="0.35">
      <c r="A425" s="31" t="s">
        <v>1274</v>
      </c>
      <c r="B425" s="31" t="s">
        <v>203</v>
      </c>
      <c r="C425" s="31"/>
      <c r="D425" s="31" t="s">
        <v>572</v>
      </c>
      <c r="E425" s="31" t="s">
        <v>573</v>
      </c>
      <c r="F425" s="31"/>
      <c r="G425" s="32">
        <v>1</v>
      </c>
      <c r="H425" s="33">
        <v>0</v>
      </c>
      <c r="I425" s="34">
        <v>152.380274273738</v>
      </c>
      <c r="J425" s="34">
        <v>152.380274273738</v>
      </c>
      <c r="K425" s="31" t="s">
        <v>1275</v>
      </c>
      <c r="L425" s="31">
        <v>1</v>
      </c>
      <c r="M425" s="31" t="s">
        <v>1276</v>
      </c>
      <c r="N425" s="34">
        <v>9.5</v>
      </c>
      <c r="O425" s="35">
        <v>0</v>
      </c>
      <c r="P425" s="35">
        <v>62</v>
      </c>
      <c r="Q425" s="35">
        <v>0</v>
      </c>
      <c r="R425" s="36">
        <v>14.03</v>
      </c>
      <c r="S425" s="37" t="str">
        <f>IFERROR(_xlfn.XLOOKUP(R425,'1_Presupuesto'!$E:$E,'1_Presupuesto'!$D:$D),"")</f>
        <v>Durlock MO</v>
      </c>
    </row>
    <row r="426" spans="1:19" x14ac:dyDescent="0.35">
      <c r="A426" s="31" t="s">
        <v>590</v>
      </c>
      <c r="B426" s="31" t="s">
        <v>478</v>
      </c>
      <c r="C426" s="31" t="s">
        <v>479</v>
      </c>
      <c r="D426" s="31" t="s">
        <v>480</v>
      </c>
      <c r="E426" s="31" t="s">
        <v>183</v>
      </c>
      <c r="F426" s="31" t="s">
        <v>481</v>
      </c>
      <c r="G426" s="32">
        <v>1</v>
      </c>
      <c r="H426" s="33">
        <v>0</v>
      </c>
      <c r="I426" s="34">
        <v>94177.137883538904</v>
      </c>
      <c r="J426" s="34">
        <v>94177.137883538904</v>
      </c>
      <c r="K426" s="31" t="s">
        <v>1277</v>
      </c>
      <c r="L426" s="31">
        <v>1</v>
      </c>
      <c r="M426" s="31" t="s">
        <v>1278</v>
      </c>
      <c r="N426" s="34">
        <v>9.5</v>
      </c>
      <c r="O426" s="35">
        <v>0.105263157894737</v>
      </c>
      <c r="P426" s="35" t="s">
        <v>212</v>
      </c>
      <c r="Q426" s="35">
        <v>0</v>
      </c>
      <c r="R426" s="36" t="s">
        <v>212</v>
      </c>
      <c r="S426" s="37" t="str">
        <f>IFERROR(_xlfn.XLOOKUP(R426,'1_Presupuesto'!$E:$E,'1_Presupuesto'!$D:$D),"")</f>
        <v/>
      </c>
    </row>
    <row r="427" spans="1:19" x14ac:dyDescent="0.35">
      <c r="A427" s="31" t="s">
        <v>590</v>
      </c>
      <c r="B427" s="31" t="s">
        <v>478</v>
      </c>
      <c r="C427" s="31" t="s">
        <v>479</v>
      </c>
      <c r="D427" s="31" t="s">
        <v>494</v>
      </c>
      <c r="E427" s="31" t="s">
        <v>185</v>
      </c>
      <c r="F427" s="31" t="s">
        <v>481</v>
      </c>
      <c r="G427" s="32">
        <v>1</v>
      </c>
      <c r="H427" s="33">
        <v>0</v>
      </c>
      <c r="I427" s="34">
        <v>72132.138365590101</v>
      </c>
      <c r="J427" s="34">
        <v>72132.138365590101</v>
      </c>
      <c r="K427" s="31" t="s">
        <v>1277</v>
      </c>
      <c r="L427" s="31">
        <v>2</v>
      </c>
      <c r="M427" s="31" t="s">
        <v>1279</v>
      </c>
      <c r="N427" s="34">
        <v>9.5</v>
      </c>
      <c r="O427" s="35">
        <v>0.105263157894737</v>
      </c>
      <c r="P427" s="35" t="s">
        <v>212</v>
      </c>
      <c r="Q427" s="35">
        <v>0</v>
      </c>
      <c r="R427" s="36" t="s">
        <v>212</v>
      </c>
      <c r="S427" s="37" t="str">
        <f>IFERROR(_xlfn.XLOOKUP(R427,'1_Presupuesto'!$E:$E,'1_Presupuesto'!$D:$D),"")</f>
        <v/>
      </c>
    </row>
    <row r="428" spans="1:19" x14ac:dyDescent="0.35">
      <c r="A428" s="31" t="s">
        <v>1280</v>
      </c>
      <c r="B428" s="31" t="s">
        <v>497</v>
      </c>
      <c r="C428" s="31" t="s">
        <v>498</v>
      </c>
      <c r="D428" s="31" t="s">
        <v>1281</v>
      </c>
      <c r="E428" s="31" t="s">
        <v>1282</v>
      </c>
      <c r="F428" s="31" t="s">
        <v>261</v>
      </c>
      <c r="G428" s="32">
        <v>0.50770000000000004</v>
      </c>
      <c r="H428" s="33">
        <v>0.1</v>
      </c>
      <c r="I428" s="34">
        <v>3084.79</v>
      </c>
      <c r="J428" s="34">
        <v>1722.7626713</v>
      </c>
      <c r="K428" s="31" t="s">
        <v>1283</v>
      </c>
      <c r="L428" s="31">
        <v>1</v>
      </c>
      <c r="M428" s="31" t="s">
        <v>1284</v>
      </c>
      <c r="N428" s="34">
        <v>9.5</v>
      </c>
      <c r="O428" s="35">
        <v>0</v>
      </c>
      <c r="P428" s="35" t="s">
        <v>212</v>
      </c>
      <c r="Q428" s="35">
        <v>0</v>
      </c>
      <c r="R428" s="36" t="s">
        <v>212</v>
      </c>
      <c r="S428" s="37" t="str">
        <f>IFERROR(_xlfn.XLOOKUP(R428,'1_Presupuesto'!$E:$E,'1_Presupuesto'!$D:$D),"")</f>
        <v/>
      </c>
    </row>
    <row r="429" spans="1:19" x14ac:dyDescent="0.35">
      <c r="A429" s="31" t="s">
        <v>1280</v>
      </c>
      <c r="B429" s="31" t="s">
        <v>497</v>
      </c>
      <c r="C429" s="31" t="s">
        <v>498</v>
      </c>
      <c r="D429" s="31" t="s">
        <v>1285</v>
      </c>
      <c r="E429" s="31" t="s">
        <v>1286</v>
      </c>
      <c r="F429" s="31" t="s">
        <v>261</v>
      </c>
      <c r="G429" s="32">
        <v>1.2307999999999999</v>
      </c>
      <c r="H429" s="33">
        <v>0.1</v>
      </c>
      <c r="I429" s="34">
        <v>3385.62</v>
      </c>
      <c r="J429" s="34">
        <v>4583.7232056000003</v>
      </c>
      <c r="K429" s="31" t="s">
        <v>1283</v>
      </c>
      <c r="L429" s="31">
        <v>2</v>
      </c>
      <c r="M429" s="31" t="s">
        <v>1287</v>
      </c>
      <c r="N429" s="34">
        <v>9.5</v>
      </c>
      <c r="O429" s="35">
        <v>0</v>
      </c>
      <c r="P429" s="35" t="s">
        <v>212</v>
      </c>
      <c r="Q429" s="35">
        <v>0</v>
      </c>
      <c r="R429" s="36" t="s">
        <v>212</v>
      </c>
      <c r="S429" s="37" t="str">
        <f>IFERROR(_xlfn.XLOOKUP(R429,'1_Presupuesto'!$E:$E,'1_Presupuesto'!$D:$D),"")</f>
        <v/>
      </c>
    </row>
    <row r="430" spans="1:19" x14ac:dyDescent="0.35">
      <c r="A430" s="31" t="s">
        <v>1280</v>
      </c>
      <c r="B430" s="31" t="s">
        <v>497</v>
      </c>
      <c r="C430" s="31" t="s">
        <v>498</v>
      </c>
      <c r="D430" s="31" t="s">
        <v>1260</v>
      </c>
      <c r="E430" s="31" t="s">
        <v>1261</v>
      </c>
      <c r="F430" s="31" t="s">
        <v>261</v>
      </c>
      <c r="G430" s="32">
        <v>16</v>
      </c>
      <c r="H430" s="33">
        <v>0.05</v>
      </c>
      <c r="I430" s="34">
        <v>26.153884000000001</v>
      </c>
      <c r="J430" s="34">
        <v>439.38525120000003</v>
      </c>
      <c r="K430" s="31" t="s">
        <v>1283</v>
      </c>
      <c r="L430" s="31">
        <v>3</v>
      </c>
      <c r="M430" s="31" t="s">
        <v>1288</v>
      </c>
      <c r="N430" s="34">
        <v>9.5</v>
      </c>
      <c r="O430" s="35">
        <v>0</v>
      </c>
      <c r="P430" s="35" t="s">
        <v>212</v>
      </c>
      <c r="Q430" s="35">
        <v>0</v>
      </c>
      <c r="R430" s="36" t="s">
        <v>212</v>
      </c>
      <c r="S430" s="37" t="str">
        <f>IFERROR(_xlfn.XLOOKUP(R430,'1_Presupuesto'!$E:$E,'1_Presupuesto'!$D:$D),"")</f>
        <v/>
      </c>
    </row>
    <row r="431" spans="1:19" x14ac:dyDescent="0.35">
      <c r="A431" s="31" t="s">
        <v>1280</v>
      </c>
      <c r="B431" s="31" t="s">
        <v>497</v>
      </c>
      <c r="C431" s="31" t="s">
        <v>498</v>
      </c>
      <c r="D431" s="31" t="s">
        <v>587</v>
      </c>
      <c r="E431" s="31" t="s">
        <v>588</v>
      </c>
      <c r="F431" s="31" t="s">
        <v>261</v>
      </c>
      <c r="G431" s="32">
        <v>18</v>
      </c>
      <c r="H431" s="33">
        <v>0.05</v>
      </c>
      <c r="I431" s="34">
        <v>9.1146919999999998</v>
      </c>
      <c r="J431" s="34">
        <v>172.2676788</v>
      </c>
      <c r="K431" s="31" t="s">
        <v>1283</v>
      </c>
      <c r="L431" s="31">
        <v>4</v>
      </c>
      <c r="M431" s="31" t="s">
        <v>1289</v>
      </c>
      <c r="N431" s="34">
        <v>9.5</v>
      </c>
      <c r="O431" s="35">
        <v>0</v>
      </c>
      <c r="P431" s="35" t="s">
        <v>212</v>
      </c>
      <c r="Q431" s="35">
        <v>0</v>
      </c>
      <c r="R431" s="36" t="s">
        <v>212</v>
      </c>
      <c r="S431" s="37" t="str">
        <f>IFERROR(_xlfn.XLOOKUP(R431,'1_Presupuesto'!$E:$E,'1_Presupuesto'!$D:$D),"")</f>
        <v/>
      </c>
    </row>
    <row r="432" spans="1:19" x14ac:dyDescent="0.35">
      <c r="A432" s="31" t="s">
        <v>1280</v>
      </c>
      <c r="B432" s="31" t="s">
        <v>497</v>
      </c>
      <c r="C432" s="31" t="s">
        <v>498</v>
      </c>
      <c r="D432" s="31" t="s">
        <v>562</v>
      </c>
      <c r="E432" s="31" t="s">
        <v>563</v>
      </c>
      <c r="F432" s="31" t="s">
        <v>261</v>
      </c>
      <c r="G432" s="32">
        <v>6</v>
      </c>
      <c r="H432" s="33">
        <v>0.05</v>
      </c>
      <c r="I432" s="34">
        <v>63.381982999999998</v>
      </c>
      <c r="J432" s="34">
        <v>399.30649290000002</v>
      </c>
      <c r="K432" s="31" t="s">
        <v>1283</v>
      </c>
      <c r="L432" s="31">
        <v>5</v>
      </c>
      <c r="M432" s="31" t="s">
        <v>1290</v>
      </c>
      <c r="N432" s="34">
        <v>9.5</v>
      </c>
      <c r="O432" s="35">
        <v>0</v>
      </c>
      <c r="P432" s="35" t="s">
        <v>212</v>
      </c>
      <c r="Q432" s="35">
        <v>0</v>
      </c>
      <c r="R432" s="36" t="s">
        <v>212</v>
      </c>
      <c r="S432" s="37" t="str">
        <f>IFERROR(_xlfn.XLOOKUP(R432,'1_Presupuesto'!$E:$E,'1_Presupuesto'!$D:$D),"")</f>
        <v/>
      </c>
    </row>
    <row r="433" spans="1:19" x14ac:dyDescent="0.35">
      <c r="A433" s="31" t="s">
        <v>1280</v>
      </c>
      <c r="B433" s="31" t="s">
        <v>497</v>
      </c>
      <c r="C433" s="31" t="s">
        <v>498</v>
      </c>
      <c r="D433" s="31" t="s">
        <v>1265</v>
      </c>
      <c r="E433" s="31" t="s">
        <v>1266</v>
      </c>
      <c r="F433" s="31" t="s">
        <v>261</v>
      </c>
      <c r="G433" s="32">
        <v>1.83E-2</v>
      </c>
      <c r="H433" s="33">
        <v>0.05</v>
      </c>
      <c r="I433" s="34">
        <v>4734.07</v>
      </c>
      <c r="J433" s="34">
        <v>90.965155050000007</v>
      </c>
      <c r="K433" s="31" t="s">
        <v>1283</v>
      </c>
      <c r="L433" s="31">
        <v>6</v>
      </c>
      <c r="M433" s="31" t="s">
        <v>1291</v>
      </c>
      <c r="N433" s="34">
        <v>9.5</v>
      </c>
      <c r="O433" s="35">
        <v>0</v>
      </c>
      <c r="P433" s="35" t="s">
        <v>212</v>
      </c>
      <c r="Q433" s="35">
        <v>0</v>
      </c>
      <c r="R433" s="36" t="s">
        <v>212</v>
      </c>
      <c r="S433" s="37" t="str">
        <f>IFERROR(_xlfn.XLOOKUP(R433,'1_Presupuesto'!$E:$E,'1_Presupuesto'!$D:$D),"")</f>
        <v/>
      </c>
    </row>
    <row r="434" spans="1:19" x14ac:dyDescent="0.35">
      <c r="A434" s="31" t="s">
        <v>1280</v>
      </c>
      <c r="B434" s="31" t="s">
        <v>497</v>
      </c>
      <c r="C434" s="31" t="s">
        <v>498</v>
      </c>
      <c r="D434" s="31" t="s">
        <v>1268</v>
      </c>
      <c r="E434" s="31" t="s">
        <v>1269</v>
      </c>
      <c r="F434" s="31" t="s">
        <v>261</v>
      </c>
      <c r="G434" s="32">
        <v>2.81E-2</v>
      </c>
      <c r="H434" s="33">
        <v>0.05</v>
      </c>
      <c r="I434" s="34">
        <v>23166.59</v>
      </c>
      <c r="J434" s="34">
        <v>683.53023795000001</v>
      </c>
      <c r="K434" s="31" t="s">
        <v>1283</v>
      </c>
      <c r="L434" s="31">
        <v>7</v>
      </c>
      <c r="M434" s="31" t="s">
        <v>1292</v>
      </c>
      <c r="N434" s="34">
        <v>9.5</v>
      </c>
      <c r="O434" s="35">
        <v>0</v>
      </c>
      <c r="P434" s="35" t="s">
        <v>212</v>
      </c>
      <c r="Q434" s="35">
        <v>0</v>
      </c>
      <c r="R434" s="36" t="s">
        <v>212</v>
      </c>
      <c r="S434" s="37" t="str">
        <f>IFERROR(_xlfn.XLOOKUP(R434,'1_Presupuesto'!$E:$E,'1_Presupuesto'!$D:$D),"")</f>
        <v/>
      </c>
    </row>
    <row r="435" spans="1:19" x14ac:dyDescent="0.35">
      <c r="A435" s="31" t="s">
        <v>1280</v>
      </c>
      <c r="B435" s="31" t="s">
        <v>497</v>
      </c>
      <c r="C435" s="31" t="s">
        <v>498</v>
      </c>
      <c r="D435" s="31" t="s">
        <v>1293</v>
      </c>
      <c r="E435" s="31" t="s">
        <v>1294</v>
      </c>
      <c r="F435" s="31" t="s">
        <v>261</v>
      </c>
      <c r="G435" s="32">
        <v>0.36</v>
      </c>
      <c r="H435" s="33">
        <v>0.1</v>
      </c>
      <c r="I435" s="34">
        <v>16808.400000000001</v>
      </c>
      <c r="J435" s="34">
        <v>6656.1264000000001</v>
      </c>
      <c r="K435" s="31" t="s">
        <v>1283</v>
      </c>
      <c r="L435" s="31">
        <v>8</v>
      </c>
      <c r="M435" s="31" t="s">
        <v>1295</v>
      </c>
      <c r="N435" s="34">
        <v>9.5</v>
      </c>
      <c r="O435" s="35">
        <v>0</v>
      </c>
      <c r="P435" s="35" t="s">
        <v>212</v>
      </c>
      <c r="Q435" s="35">
        <v>0</v>
      </c>
      <c r="R435" s="36" t="s">
        <v>212</v>
      </c>
      <c r="S435" s="37" t="str">
        <f>IFERROR(_xlfn.XLOOKUP(R435,'1_Presupuesto'!$E:$E,'1_Presupuesto'!$D:$D),"")</f>
        <v/>
      </c>
    </row>
    <row r="436" spans="1:19" x14ac:dyDescent="0.35">
      <c r="A436" s="31" t="s">
        <v>1280</v>
      </c>
      <c r="B436" s="31" t="s">
        <v>203</v>
      </c>
      <c r="C436" s="31"/>
      <c r="D436" s="31" t="s">
        <v>572</v>
      </c>
      <c r="E436" s="31" t="s">
        <v>573</v>
      </c>
      <c r="F436" s="31"/>
      <c r="G436" s="32">
        <v>1</v>
      </c>
      <c r="H436" s="33">
        <v>0</v>
      </c>
      <c r="I436" s="34">
        <v>152.380274273738</v>
      </c>
      <c r="J436" s="34">
        <v>152.380274273738</v>
      </c>
      <c r="K436" s="31" t="s">
        <v>1296</v>
      </c>
      <c r="L436" s="31">
        <v>1</v>
      </c>
      <c r="M436" s="31" t="s">
        <v>1297</v>
      </c>
      <c r="N436" s="34">
        <v>9.5</v>
      </c>
      <c r="O436" s="35">
        <v>0</v>
      </c>
      <c r="P436" s="35" t="s">
        <v>212</v>
      </c>
      <c r="Q436" s="35">
        <v>0</v>
      </c>
      <c r="R436" s="36" t="s">
        <v>212</v>
      </c>
      <c r="S436" s="37" t="str">
        <f>IFERROR(_xlfn.XLOOKUP(R436,'1_Presupuesto'!$E:$E,'1_Presupuesto'!$D:$D),"")</f>
        <v/>
      </c>
    </row>
    <row r="437" spans="1:19" x14ac:dyDescent="0.35">
      <c r="A437" s="31" t="s">
        <v>1280</v>
      </c>
      <c r="B437" s="31" t="s">
        <v>478</v>
      </c>
      <c r="C437" s="31" t="s">
        <v>479</v>
      </c>
      <c r="D437" s="31" t="s">
        <v>480</v>
      </c>
      <c r="E437" s="31" t="s">
        <v>183</v>
      </c>
      <c r="F437" s="31" t="s">
        <v>481</v>
      </c>
      <c r="G437" s="32">
        <v>1</v>
      </c>
      <c r="H437" s="33">
        <v>0</v>
      </c>
      <c r="I437" s="34">
        <v>94177.137883538904</v>
      </c>
      <c r="J437" s="34">
        <v>94177.137883538904</v>
      </c>
      <c r="K437" s="31" t="s">
        <v>1298</v>
      </c>
      <c r="L437" s="31">
        <v>1</v>
      </c>
      <c r="M437" s="31" t="s">
        <v>1299</v>
      </c>
      <c r="N437" s="34">
        <v>9.5</v>
      </c>
      <c r="O437" s="35">
        <v>0.105263157894737</v>
      </c>
      <c r="P437" s="35" t="s">
        <v>212</v>
      </c>
      <c r="Q437" s="35">
        <v>0</v>
      </c>
      <c r="R437" s="36" t="s">
        <v>212</v>
      </c>
      <c r="S437" s="37" t="str">
        <f>IFERROR(_xlfn.XLOOKUP(R437,'1_Presupuesto'!$E:$E,'1_Presupuesto'!$D:$D),"")</f>
        <v/>
      </c>
    </row>
    <row r="438" spans="1:19" x14ac:dyDescent="0.35">
      <c r="A438" s="31" t="s">
        <v>1280</v>
      </c>
      <c r="B438" s="31" t="s">
        <v>478</v>
      </c>
      <c r="C438" s="31" t="s">
        <v>479</v>
      </c>
      <c r="D438" s="31" t="s">
        <v>494</v>
      </c>
      <c r="E438" s="31" t="s">
        <v>185</v>
      </c>
      <c r="F438" s="31" t="s">
        <v>481</v>
      </c>
      <c r="G438" s="32">
        <v>1</v>
      </c>
      <c r="H438" s="33">
        <v>0</v>
      </c>
      <c r="I438" s="34">
        <v>72132.138365590101</v>
      </c>
      <c r="J438" s="34">
        <v>72132.138365590101</v>
      </c>
      <c r="K438" s="31" t="s">
        <v>1298</v>
      </c>
      <c r="L438" s="31">
        <v>2</v>
      </c>
      <c r="M438" s="31" t="s">
        <v>1300</v>
      </c>
      <c r="N438" s="34">
        <v>9.5</v>
      </c>
      <c r="O438" s="35">
        <v>0.105263157894737</v>
      </c>
      <c r="P438" s="35" t="s">
        <v>212</v>
      </c>
      <c r="Q438" s="35">
        <v>0</v>
      </c>
      <c r="R438" s="36" t="s">
        <v>212</v>
      </c>
      <c r="S438" s="37" t="str">
        <f>IFERROR(_xlfn.XLOOKUP(R438,'1_Presupuesto'!$E:$E,'1_Presupuesto'!$D:$D),"")</f>
        <v/>
      </c>
    </row>
    <row r="439" spans="1:19" x14ac:dyDescent="0.35">
      <c r="A439" s="31" t="s">
        <v>1301</v>
      </c>
      <c r="B439" s="31" t="s">
        <v>497</v>
      </c>
      <c r="C439" s="31" t="s">
        <v>498</v>
      </c>
      <c r="D439" s="31" t="s">
        <v>1281</v>
      </c>
      <c r="E439" s="31" t="s">
        <v>1282</v>
      </c>
      <c r="F439" s="31" t="s">
        <v>261</v>
      </c>
      <c r="G439" s="32">
        <v>0.50770000000000004</v>
      </c>
      <c r="H439" s="33">
        <v>0.1</v>
      </c>
      <c r="I439" s="34">
        <v>3084.79</v>
      </c>
      <c r="J439" s="34">
        <v>1722.7626713</v>
      </c>
      <c r="K439" s="31" t="s">
        <v>1302</v>
      </c>
      <c r="L439" s="31">
        <v>1</v>
      </c>
      <c r="M439" s="31" t="s">
        <v>1303</v>
      </c>
      <c r="N439" s="34">
        <v>9.5</v>
      </c>
      <c r="O439" s="35">
        <v>0</v>
      </c>
      <c r="P439" s="35" t="s">
        <v>212</v>
      </c>
      <c r="Q439" s="35">
        <v>0</v>
      </c>
      <c r="R439" s="36" t="s">
        <v>212</v>
      </c>
      <c r="S439" s="37" t="str">
        <f>IFERROR(_xlfn.XLOOKUP(R439,'1_Presupuesto'!$E:$E,'1_Presupuesto'!$D:$D),"")</f>
        <v/>
      </c>
    </row>
    <row r="440" spans="1:19" x14ac:dyDescent="0.35">
      <c r="A440" s="31" t="s">
        <v>1301</v>
      </c>
      <c r="B440" s="31" t="s">
        <v>497</v>
      </c>
      <c r="C440" s="31" t="s">
        <v>498</v>
      </c>
      <c r="D440" s="31" t="s">
        <v>1285</v>
      </c>
      <c r="E440" s="31" t="s">
        <v>1286</v>
      </c>
      <c r="F440" s="31" t="s">
        <v>261</v>
      </c>
      <c r="G440" s="32">
        <v>1.2307999999999999</v>
      </c>
      <c r="H440" s="33">
        <v>0.1</v>
      </c>
      <c r="I440" s="34">
        <v>3385.62</v>
      </c>
      <c r="J440" s="34">
        <v>4583.7232056000003</v>
      </c>
      <c r="K440" s="31" t="s">
        <v>1302</v>
      </c>
      <c r="L440" s="31">
        <v>2</v>
      </c>
      <c r="M440" s="31" t="s">
        <v>1304</v>
      </c>
      <c r="N440" s="34">
        <v>9.5</v>
      </c>
      <c r="O440" s="35">
        <v>0</v>
      </c>
      <c r="P440" s="35" t="s">
        <v>212</v>
      </c>
      <c r="Q440" s="35">
        <v>0</v>
      </c>
      <c r="R440" s="36" t="s">
        <v>212</v>
      </c>
      <c r="S440" s="37" t="str">
        <f>IFERROR(_xlfn.XLOOKUP(R440,'1_Presupuesto'!$E:$E,'1_Presupuesto'!$D:$D),"")</f>
        <v/>
      </c>
    </row>
    <row r="441" spans="1:19" x14ac:dyDescent="0.35">
      <c r="A441" s="31" t="s">
        <v>1301</v>
      </c>
      <c r="B441" s="31" t="s">
        <v>497</v>
      </c>
      <c r="C441" s="31" t="s">
        <v>498</v>
      </c>
      <c r="D441" s="31" t="s">
        <v>1260</v>
      </c>
      <c r="E441" s="31" t="s">
        <v>1261</v>
      </c>
      <c r="F441" s="31" t="s">
        <v>261</v>
      </c>
      <c r="G441" s="32">
        <v>16</v>
      </c>
      <c r="H441" s="33">
        <v>0.05</v>
      </c>
      <c r="I441" s="34">
        <v>26.153884000000001</v>
      </c>
      <c r="J441" s="34">
        <v>439.38525120000003</v>
      </c>
      <c r="K441" s="31" t="s">
        <v>1302</v>
      </c>
      <c r="L441" s="31">
        <v>3</v>
      </c>
      <c r="M441" s="31" t="s">
        <v>1305</v>
      </c>
      <c r="N441" s="34">
        <v>9.5</v>
      </c>
      <c r="O441" s="35">
        <v>0</v>
      </c>
      <c r="P441" s="35" t="s">
        <v>212</v>
      </c>
      <c r="Q441" s="35">
        <v>0</v>
      </c>
      <c r="R441" s="36" t="s">
        <v>212</v>
      </c>
      <c r="S441" s="37" t="str">
        <f>IFERROR(_xlfn.XLOOKUP(R441,'1_Presupuesto'!$E:$E,'1_Presupuesto'!$D:$D),"")</f>
        <v/>
      </c>
    </row>
    <row r="442" spans="1:19" x14ac:dyDescent="0.35">
      <c r="A442" s="31" t="s">
        <v>1301</v>
      </c>
      <c r="B442" s="31" t="s">
        <v>497</v>
      </c>
      <c r="C442" s="31" t="s">
        <v>498</v>
      </c>
      <c r="D442" s="31" t="s">
        <v>587</v>
      </c>
      <c r="E442" s="31" t="s">
        <v>588</v>
      </c>
      <c r="F442" s="31" t="s">
        <v>261</v>
      </c>
      <c r="G442" s="32">
        <v>18</v>
      </c>
      <c r="H442" s="33">
        <v>0.05</v>
      </c>
      <c r="I442" s="34">
        <v>9.1146919999999998</v>
      </c>
      <c r="J442" s="34">
        <v>172.2676788</v>
      </c>
      <c r="K442" s="31" t="s">
        <v>1302</v>
      </c>
      <c r="L442" s="31">
        <v>4</v>
      </c>
      <c r="M442" s="31" t="s">
        <v>1306</v>
      </c>
      <c r="N442" s="34">
        <v>9.5</v>
      </c>
      <c r="O442" s="35">
        <v>0</v>
      </c>
      <c r="P442" s="35" t="s">
        <v>212</v>
      </c>
      <c r="Q442" s="35">
        <v>0</v>
      </c>
      <c r="R442" s="36" t="s">
        <v>212</v>
      </c>
      <c r="S442" s="37" t="str">
        <f>IFERROR(_xlfn.XLOOKUP(R442,'1_Presupuesto'!$E:$E,'1_Presupuesto'!$D:$D),"")</f>
        <v/>
      </c>
    </row>
    <row r="443" spans="1:19" x14ac:dyDescent="0.35">
      <c r="A443" s="31" t="s">
        <v>1301</v>
      </c>
      <c r="B443" s="31" t="s">
        <v>497</v>
      </c>
      <c r="C443" s="31" t="s">
        <v>498</v>
      </c>
      <c r="D443" s="31" t="s">
        <v>562</v>
      </c>
      <c r="E443" s="31" t="s">
        <v>563</v>
      </c>
      <c r="F443" s="31" t="s">
        <v>261</v>
      </c>
      <c r="G443" s="32">
        <v>6</v>
      </c>
      <c r="H443" s="33">
        <v>0.05</v>
      </c>
      <c r="I443" s="34">
        <v>63.381982999999998</v>
      </c>
      <c r="J443" s="34">
        <v>399.30649290000002</v>
      </c>
      <c r="K443" s="31" t="s">
        <v>1302</v>
      </c>
      <c r="L443" s="31">
        <v>5</v>
      </c>
      <c r="M443" s="31" t="s">
        <v>1307</v>
      </c>
      <c r="N443" s="34">
        <v>9.5</v>
      </c>
      <c r="O443" s="35">
        <v>0</v>
      </c>
      <c r="P443" s="35" t="s">
        <v>212</v>
      </c>
      <c r="Q443" s="35">
        <v>0</v>
      </c>
      <c r="R443" s="36" t="s">
        <v>212</v>
      </c>
      <c r="S443" s="37" t="str">
        <f>IFERROR(_xlfn.XLOOKUP(R443,'1_Presupuesto'!$E:$E,'1_Presupuesto'!$D:$D),"")</f>
        <v/>
      </c>
    </row>
    <row r="444" spans="1:19" x14ac:dyDescent="0.35">
      <c r="A444" s="31" t="s">
        <v>1301</v>
      </c>
      <c r="B444" s="31" t="s">
        <v>497</v>
      </c>
      <c r="C444" s="31" t="s">
        <v>498</v>
      </c>
      <c r="D444" s="31" t="s">
        <v>1265</v>
      </c>
      <c r="E444" s="31" t="s">
        <v>1266</v>
      </c>
      <c r="F444" s="31" t="s">
        <v>261</v>
      </c>
      <c r="G444" s="32">
        <v>1.83E-2</v>
      </c>
      <c r="H444" s="33">
        <v>0.05</v>
      </c>
      <c r="I444" s="34">
        <v>4734.07</v>
      </c>
      <c r="J444" s="34">
        <v>90.965155050000007</v>
      </c>
      <c r="K444" s="31" t="s">
        <v>1302</v>
      </c>
      <c r="L444" s="31">
        <v>6</v>
      </c>
      <c r="M444" s="31" t="s">
        <v>1308</v>
      </c>
      <c r="N444" s="34">
        <v>9.5</v>
      </c>
      <c r="O444" s="35">
        <v>0</v>
      </c>
      <c r="P444" s="35" t="s">
        <v>212</v>
      </c>
      <c r="Q444" s="35">
        <v>0</v>
      </c>
      <c r="R444" s="36" t="s">
        <v>212</v>
      </c>
      <c r="S444" s="37" t="str">
        <f>IFERROR(_xlfn.XLOOKUP(R444,'1_Presupuesto'!$E:$E,'1_Presupuesto'!$D:$D),"")</f>
        <v/>
      </c>
    </row>
    <row r="445" spans="1:19" x14ac:dyDescent="0.35">
      <c r="A445" s="31" t="s">
        <v>1301</v>
      </c>
      <c r="B445" s="31" t="s">
        <v>497</v>
      </c>
      <c r="C445" s="31" t="s">
        <v>498</v>
      </c>
      <c r="D445" s="31" t="s">
        <v>1268</v>
      </c>
      <c r="E445" s="31" t="s">
        <v>1269</v>
      </c>
      <c r="F445" s="31" t="s">
        <v>261</v>
      </c>
      <c r="G445" s="32">
        <v>2.81E-2</v>
      </c>
      <c r="H445" s="33">
        <v>0.05</v>
      </c>
      <c r="I445" s="34">
        <v>23166.59</v>
      </c>
      <c r="J445" s="34">
        <v>683.53023795000001</v>
      </c>
      <c r="K445" s="31" t="s">
        <v>1302</v>
      </c>
      <c r="L445" s="31">
        <v>7</v>
      </c>
      <c r="M445" s="31" t="s">
        <v>1309</v>
      </c>
      <c r="N445" s="34">
        <v>9.5</v>
      </c>
      <c r="O445" s="35">
        <v>0</v>
      </c>
      <c r="P445" s="35" t="s">
        <v>212</v>
      </c>
      <c r="Q445" s="35">
        <v>0</v>
      </c>
      <c r="R445" s="36" t="s">
        <v>212</v>
      </c>
      <c r="S445" s="37" t="str">
        <f>IFERROR(_xlfn.XLOOKUP(R445,'1_Presupuesto'!$E:$E,'1_Presupuesto'!$D:$D),"")</f>
        <v/>
      </c>
    </row>
    <row r="446" spans="1:19" x14ac:dyDescent="0.35">
      <c r="A446" s="31" t="s">
        <v>1301</v>
      </c>
      <c r="B446" s="31" t="s">
        <v>497</v>
      </c>
      <c r="C446" s="31" t="s">
        <v>498</v>
      </c>
      <c r="D446" s="31" t="s">
        <v>1310</v>
      </c>
      <c r="E446" s="31" t="s">
        <v>1311</v>
      </c>
      <c r="F446" s="31" t="s">
        <v>261</v>
      </c>
      <c r="G446" s="32">
        <v>0.36</v>
      </c>
      <c r="H446" s="33">
        <v>0.1</v>
      </c>
      <c r="I446" s="34">
        <v>14786.1</v>
      </c>
      <c r="J446" s="34">
        <v>5855.2956000000004</v>
      </c>
      <c r="K446" s="31" t="s">
        <v>1302</v>
      </c>
      <c r="L446" s="31">
        <v>8</v>
      </c>
      <c r="M446" s="31" t="s">
        <v>1312</v>
      </c>
      <c r="N446" s="34">
        <v>9.5</v>
      </c>
      <c r="O446" s="35">
        <v>0</v>
      </c>
      <c r="P446" s="35" t="s">
        <v>212</v>
      </c>
      <c r="Q446" s="35">
        <v>0</v>
      </c>
      <c r="R446" s="36" t="s">
        <v>212</v>
      </c>
      <c r="S446" s="37" t="str">
        <f>IFERROR(_xlfn.XLOOKUP(R446,'1_Presupuesto'!$E:$E,'1_Presupuesto'!$D:$D),"")</f>
        <v/>
      </c>
    </row>
    <row r="447" spans="1:19" x14ac:dyDescent="0.35">
      <c r="A447" s="31" t="s">
        <v>1301</v>
      </c>
      <c r="B447" s="31" t="s">
        <v>203</v>
      </c>
      <c r="C447" s="31"/>
      <c r="D447" s="31" t="s">
        <v>572</v>
      </c>
      <c r="E447" s="31" t="s">
        <v>573</v>
      </c>
      <c r="F447" s="31"/>
      <c r="G447" s="32">
        <v>1</v>
      </c>
      <c r="H447" s="33">
        <v>0</v>
      </c>
      <c r="I447" s="34">
        <v>152.380274273738</v>
      </c>
      <c r="J447" s="34">
        <v>152.380274273738</v>
      </c>
      <c r="K447" s="31" t="s">
        <v>1313</v>
      </c>
      <c r="L447" s="31">
        <v>1</v>
      </c>
      <c r="M447" s="31" t="s">
        <v>1314</v>
      </c>
      <c r="N447" s="34">
        <v>9.5</v>
      </c>
      <c r="O447" s="35">
        <v>0</v>
      </c>
      <c r="P447" s="35" t="s">
        <v>212</v>
      </c>
      <c r="Q447" s="35">
        <v>0</v>
      </c>
      <c r="R447" s="36" t="s">
        <v>212</v>
      </c>
      <c r="S447" s="37" t="str">
        <f>IFERROR(_xlfn.XLOOKUP(R447,'1_Presupuesto'!$E:$E,'1_Presupuesto'!$D:$D),"")</f>
        <v/>
      </c>
    </row>
    <row r="448" spans="1:19" x14ac:dyDescent="0.35">
      <c r="A448" s="31" t="s">
        <v>1301</v>
      </c>
      <c r="B448" s="31" t="s">
        <v>203</v>
      </c>
      <c r="C448" s="31"/>
      <c r="D448" s="31" t="s">
        <v>576</v>
      </c>
      <c r="E448" s="31" t="s">
        <v>577</v>
      </c>
      <c r="F448" s="31"/>
      <c r="G448" s="32">
        <v>1</v>
      </c>
      <c r="H448" s="33">
        <v>0</v>
      </c>
      <c r="I448" s="34">
        <v>2570.7599166666701</v>
      </c>
      <c r="J448" s="34">
        <v>2570.7599166666701</v>
      </c>
      <c r="K448" s="31" t="s">
        <v>1313</v>
      </c>
      <c r="L448" s="31">
        <v>2</v>
      </c>
      <c r="M448" s="31" t="s">
        <v>1315</v>
      </c>
      <c r="N448" s="34">
        <v>9.5</v>
      </c>
      <c r="O448" s="35">
        <v>0</v>
      </c>
      <c r="P448" s="35" t="s">
        <v>212</v>
      </c>
      <c r="Q448" s="35">
        <v>0</v>
      </c>
      <c r="R448" s="36" t="s">
        <v>212</v>
      </c>
      <c r="S448" s="37" t="str">
        <f>IFERROR(_xlfn.XLOOKUP(R448,'1_Presupuesto'!$E:$E,'1_Presupuesto'!$D:$D),"")</f>
        <v/>
      </c>
    </row>
    <row r="449" spans="1:19" x14ac:dyDescent="0.35">
      <c r="A449" s="31" t="s">
        <v>1301</v>
      </c>
      <c r="B449" s="31" t="s">
        <v>478</v>
      </c>
      <c r="C449" s="31" t="s">
        <v>479</v>
      </c>
      <c r="D449" s="31" t="s">
        <v>480</v>
      </c>
      <c r="E449" s="31" t="s">
        <v>183</v>
      </c>
      <c r="F449" s="31" t="s">
        <v>481</v>
      </c>
      <c r="G449" s="32">
        <v>1</v>
      </c>
      <c r="H449" s="33">
        <v>0</v>
      </c>
      <c r="I449" s="34">
        <v>94177.137883538904</v>
      </c>
      <c r="J449" s="34">
        <v>94177.137883538904</v>
      </c>
      <c r="K449" s="31" t="s">
        <v>1316</v>
      </c>
      <c r="L449" s="31">
        <v>1</v>
      </c>
      <c r="M449" s="31" t="s">
        <v>1317</v>
      </c>
      <c r="N449" s="34">
        <v>9.5</v>
      </c>
      <c r="O449" s="35">
        <v>0.105263157894737</v>
      </c>
      <c r="P449" s="35" t="s">
        <v>212</v>
      </c>
      <c r="Q449" s="35">
        <v>0</v>
      </c>
      <c r="R449" s="36" t="s">
        <v>212</v>
      </c>
      <c r="S449" s="37" t="str">
        <f>IFERROR(_xlfn.XLOOKUP(R449,'1_Presupuesto'!$E:$E,'1_Presupuesto'!$D:$D),"")</f>
        <v/>
      </c>
    </row>
    <row r="450" spans="1:19" x14ac:dyDescent="0.35">
      <c r="A450" s="31" t="s">
        <v>1301</v>
      </c>
      <c r="B450" s="31" t="s">
        <v>478</v>
      </c>
      <c r="C450" s="31" t="s">
        <v>479</v>
      </c>
      <c r="D450" s="31" t="s">
        <v>494</v>
      </c>
      <c r="E450" s="31" t="s">
        <v>185</v>
      </c>
      <c r="F450" s="31" t="s">
        <v>481</v>
      </c>
      <c r="G450" s="32">
        <v>1</v>
      </c>
      <c r="H450" s="33">
        <v>0</v>
      </c>
      <c r="I450" s="34">
        <v>72132.138365590101</v>
      </c>
      <c r="J450" s="34">
        <v>72132.138365590101</v>
      </c>
      <c r="K450" s="31" t="s">
        <v>1316</v>
      </c>
      <c r="L450" s="31">
        <v>2</v>
      </c>
      <c r="M450" s="31" t="s">
        <v>1318</v>
      </c>
      <c r="N450" s="34">
        <v>9.5</v>
      </c>
      <c r="O450" s="35">
        <v>0.105263157894737</v>
      </c>
      <c r="P450" s="35" t="s">
        <v>212</v>
      </c>
      <c r="Q450" s="35">
        <v>0</v>
      </c>
      <c r="R450" s="36" t="s">
        <v>212</v>
      </c>
      <c r="S450" s="37" t="str">
        <f>IFERROR(_xlfn.XLOOKUP(R450,'1_Presupuesto'!$E:$E,'1_Presupuesto'!$D:$D),"")</f>
        <v/>
      </c>
    </row>
    <row r="451" spans="1:19" x14ac:dyDescent="0.35">
      <c r="A451" s="31" t="s">
        <v>1319</v>
      </c>
      <c r="B451" s="31" t="s">
        <v>497</v>
      </c>
      <c r="C451" s="31" t="s">
        <v>498</v>
      </c>
      <c r="D451" s="31" t="s">
        <v>549</v>
      </c>
      <c r="E451" s="31" t="s">
        <v>550</v>
      </c>
      <c r="F451" s="31" t="s">
        <v>261</v>
      </c>
      <c r="G451" s="32">
        <v>0.49</v>
      </c>
      <c r="H451" s="33">
        <v>0.1</v>
      </c>
      <c r="I451" s="34">
        <v>3028.942149</v>
      </c>
      <c r="J451" s="34">
        <v>1632.599818311</v>
      </c>
      <c r="K451" s="31" t="s">
        <v>1320</v>
      </c>
      <c r="L451" s="31">
        <v>1</v>
      </c>
      <c r="M451" s="31" t="s">
        <v>1321</v>
      </c>
      <c r="N451" s="34">
        <v>10</v>
      </c>
      <c r="O451" s="35">
        <v>0</v>
      </c>
      <c r="P451" s="35" t="s">
        <v>212</v>
      </c>
      <c r="Q451" s="35">
        <v>0</v>
      </c>
      <c r="R451" s="36" t="s">
        <v>212</v>
      </c>
      <c r="S451" s="37" t="str">
        <f>IFERROR(_xlfn.XLOOKUP(R451,'1_Presupuesto'!$E:$E,'1_Presupuesto'!$D:$D),"")</f>
        <v/>
      </c>
    </row>
    <row r="452" spans="1:19" x14ac:dyDescent="0.35">
      <c r="A452" s="31" t="s">
        <v>1319</v>
      </c>
      <c r="B452" s="31" t="s">
        <v>497</v>
      </c>
      <c r="C452" s="31" t="s">
        <v>498</v>
      </c>
      <c r="D452" s="31" t="s">
        <v>553</v>
      </c>
      <c r="E452" s="31" t="s">
        <v>554</v>
      </c>
      <c r="F452" s="31" t="s">
        <v>261</v>
      </c>
      <c r="G452" s="32">
        <v>0.44</v>
      </c>
      <c r="H452" s="33">
        <v>0.05</v>
      </c>
      <c r="I452" s="34">
        <v>4774.9090910000004</v>
      </c>
      <c r="J452" s="34">
        <v>2206.0080000419998</v>
      </c>
      <c r="K452" s="31" t="s">
        <v>1320</v>
      </c>
      <c r="L452" s="31">
        <v>2</v>
      </c>
      <c r="M452" s="31" t="s">
        <v>1322</v>
      </c>
      <c r="N452" s="34">
        <v>10</v>
      </c>
      <c r="O452" s="35">
        <v>0</v>
      </c>
      <c r="P452" s="35" t="s">
        <v>212</v>
      </c>
      <c r="Q452" s="35">
        <v>0</v>
      </c>
      <c r="R452" s="36" t="s">
        <v>212</v>
      </c>
      <c r="S452" s="37" t="str">
        <f>IFERROR(_xlfn.XLOOKUP(R452,'1_Presupuesto'!$E:$E,'1_Presupuesto'!$D:$D),"")</f>
        <v/>
      </c>
    </row>
    <row r="453" spans="1:19" x14ac:dyDescent="0.35">
      <c r="A453" s="31" t="s">
        <v>1319</v>
      </c>
      <c r="B453" s="31" t="s">
        <v>497</v>
      </c>
      <c r="C453" s="31" t="s">
        <v>498</v>
      </c>
      <c r="D453" s="31" t="s">
        <v>559</v>
      </c>
      <c r="E453" s="31" t="s">
        <v>560</v>
      </c>
      <c r="F453" s="31" t="s">
        <v>261</v>
      </c>
      <c r="G453" s="32">
        <v>2.67</v>
      </c>
      <c r="H453" s="33">
        <v>0.05</v>
      </c>
      <c r="I453" s="34">
        <v>793.53719000000001</v>
      </c>
      <c r="J453" s="34">
        <v>2224.6815121650002</v>
      </c>
      <c r="K453" s="31" t="s">
        <v>1320</v>
      </c>
      <c r="L453" s="31">
        <v>3</v>
      </c>
      <c r="M453" s="31" t="s">
        <v>1323</v>
      </c>
      <c r="N453" s="34">
        <v>10</v>
      </c>
      <c r="O453" s="35">
        <v>0</v>
      </c>
      <c r="P453" s="35" t="s">
        <v>212</v>
      </c>
      <c r="Q453" s="35">
        <v>0</v>
      </c>
      <c r="R453" s="36" t="s">
        <v>212</v>
      </c>
      <c r="S453" s="37" t="str">
        <f>IFERROR(_xlfn.XLOOKUP(R453,'1_Presupuesto'!$E:$E,'1_Presupuesto'!$D:$D),"")</f>
        <v/>
      </c>
    </row>
    <row r="454" spans="1:19" x14ac:dyDescent="0.35">
      <c r="A454" s="31" t="s">
        <v>1319</v>
      </c>
      <c r="B454" s="31" t="s">
        <v>497</v>
      </c>
      <c r="C454" s="31" t="s">
        <v>498</v>
      </c>
      <c r="D454" s="31" t="s">
        <v>562</v>
      </c>
      <c r="E454" s="31" t="s">
        <v>563</v>
      </c>
      <c r="F454" s="31" t="s">
        <v>261</v>
      </c>
      <c r="G454" s="32">
        <v>6</v>
      </c>
      <c r="H454" s="33">
        <v>0.05</v>
      </c>
      <c r="I454" s="34">
        <v>63.381982999999998</v>
      </c>
      <c r="J454" s="34">
        <v>399.30649290000002</v>
      </c>
      <c r="K454" s="31" t="s">
        <v>1320</v>
      </c>
      <c r="L454" s="31">
        <v>4</v>
      </c>
      <c r="M454" s="31" t="s">
        <v>1324</v>
      </c>
      <c r="N454" s="34">
        <v>10</v>
      </c>
      <c r="O454" s="35">
        <v>0</v>
      </c>
      <c r="P454" s="35" t="s">
        <v>212</v>
      </c>
      <c r="Q454" s="35">
        <v>0</v>
      </c>
      <c r="R454" s="36" t="s">
        <v>212</v>
      </c>
      <c r="S454" s="37" t="str">
        <f>IFERROR(_xlfn.XLOOKUP(R454,'1_Presupuesto'!$E:$E,'1_Presupuesto'!$D:$D),"")</f>
        <v/>
      </c>
    </row>
    <row r="455" spans="1:19" x14ac:dyDescent="0.35">
      <c r="A455" s="31" t="s">
        <v>1319</v>
      </c>
      <c r="B455" s="31" t="s">
        <v>497</v>
      </c>
      <c r="C455" s="31" t="s">
        <v>498</v>
      </c>
      <c r="D455" s="31" t="s">
        <v>565</v>
      </c>
      <c r="E455" s="31" t="s">
        <v>566</v>
      </c>
      <c r="F455" s="31" t="s">
        <v>567</v>
      </c>
      <c r="G455" s="32">
        <v>0.06</v>
      </c>
      <c r="H455" s="33">
        <v>0.05</v>
      </c>
      <c r="I455" s="34">
        <v>2755.61157</v>
      </c>
      <c r="J455" s="34">
        <v>173.60352890999999</v>
      </c>
      <c r="K455" s="31" t="s">
        <v>1320</v>
      </c>
      <c r="L455" s="31">
        <v>5</v>
      </c>
      <c r="M455" s="31" t="s">
        <v>1325</v>
      </c>
      <c r="N455" s="34">
        <v>10</v>
      </c>
      <c r="O455" s="35">
        <v>0</v>
      </c>
      <c r="P455" s="35" t="s">
        <v>212</v>
      </c>
      <c r="Q455" s="35">
        <v>0</v>
      </c>
      <c r="R455" s="36" t="s">
        <v>212</v>
      </c>
      <c r="S455" s="37" t="str">
        <f>IFERROR(_xlfn.XLOOKUP(R455,'1_Presupuesto'!$E:$E,'1_Presupuesto'!$D:$D),"")</f>
        <v/>
      </c>
    </row>
    <row r="456" spans="1:19" x14ac:dyDescent="0.35">
      <c r="A456" s="31" t="s">
        <v>1319</v>
      </c>
      <c r="B456" s="31" t="s">
        <v>203</v>
      </c>
      <c r="C456" s="31"/>
      <c r="D456" s="31" t="s">
        <v>572</v>
      </c>
      <c r="E456" s="31" t="s">
        <v>573</v>
      </c>
      <c r="F456" s="31"/>
      <c r="G456" s="32">
        <v>1</v>
      </c>
      <c r="H456" s="33">
        <v>0</v>
      </c>
      <c r="I456" s="34">
        <v>152.380274273738</v>
      </c>
      <c r="J456" s="34">
        <v>152.380274273738</v>
      </c>
      <c r="K456" s="31" t="s">
        <v>1326</v>
      </c>
      <c r="L456" s="31">
        <v>1</v>
      </c>
      <c r="M456" s="31" t="s">
        <v>1327</v>
      </c>
      <c r="N456" s="34">
        <v>10</v>
      </c>
      <c r="O456" s="35">
        <v>0</v>
      </c>
      <c r="P456" s="35" t="s">
        <v>212</v>
      </c>
      <c r="Q456" s="35">
        <v>0</v>
      </c>
      <c r="R456" s="36" t="s">
        <v>212</v>
      </c>
      <c r="S456" s="37" t="str">
        <f>IFERROR(_xlfn.XLOOKUP(R456,'1_Presupuesto'!$E:$E,'1_Presupuesto'!$D:$D),"")</f>
        <v/>
      </c>
    </row>
    <row r="457" spans="1:19" x14ac:dyDescent="0.35">
      <c r="A457" s="31" t="s">
        <v>1319</v>
      </c>
      <c r="B457" s="31" t="s">
        <v>478</v>
      </c>
      <c r="C457" s="31" t="s">
        <v>479</v>
      </c>
      <c r="D457" s="31" t="s">
        <v>480</v>
      </c>
      <c r="E457" s="31" t="s">
        <v>183</v>
      </c>
      <c r="F457" s="31" t="s">
        <v>481</v>
      </c>
      <c r="G457" s="32">
        <v>1</v>
      </c>
      <c r="H457" s="33">
        <v>0</v>
      </c>
      <c r="I457" s="34">
        <v>94177.137883538904</v>
      </c>
      <c r="J457" s="34">
        <v>94177.137883538904</v>
      </c>
      <c r="K457" s="31" t="s">
        <v>1328</v>
      </c>
      <c r="L457" s="31">
        <v>1</v>
      </c>
      <c r="M457" s="31" t="s">
        <v>1329</v>
      </c>
      <c r="N457" s="34">
        <v>10</v>
      </c>
      <c r="O457" s="35">
        <v>0.1</v>
      </c>
      <c r="P457" s="35" t="s">
        <v>212</v>
      </c>
      <c r="Q457" s="35">
        <v>0</v>
      </c>
      <c r="R457" s="36" t="s">
        <v>212</v>
      </c>
      <c r="S457" s="37" t="str">
        <f>IFERROR(_xlfn.XLOOKUP(R457,'1_Presupuesto'!$E:$E,'1_Presupuesto'!$D:$D),"")</f>
        <v/>
      </c>
    </row>
    <row r="458" spans="1:19" x14ac:dyDescent="0.35">
      <c r="A458" s="31" t="s">
        <v>1319</v>
      </c>
      <c r="B458" s="31" t="s">
        <v>478</v>
      </c>
      <c r="C458" s="31" t="s">
        <v>479</v>
      </c>
      <c r="D458" s="31" t="s">
        <v>494</v>
      </c>
      <c r="E458" s="31" t="s">
        <v>185</v>
      </c>
      <c r="F458" s="31" t="s">
        <v>481</v>
      </c>
      <c r="G458" s="32">
        <v>1</v>
      </c>
      <c r="H458" s="33">
        <v>0</v>
      </c>
      <c r="I458" s="34">
        <v>72132.138365590101</v>
      </c>
      <c r="J458" s="34">
        <v>72132.138365590101</v>
      </c>
      <c r="K458" s="31" t="s">
        <v>1328</v>
      </c>
      <c r="L458" s="31">
        <v>2</v>
      </c>
      <c r="M458" s="31" t="s">
        <v>1330</v>
      </c>
      <c r="N458" s="34">
        <v>10</v>
      </c>
      <c r="O458" s="35">
        <v>0.1</v>
      </c>
      <c r="P458" s="35" t="s">
        <v>212</v>
      </c>
      <c r="Q458" s="35">
        <v>0</v>
      </c>
      <c r="R458" s="36" t="s">
        <v>212</v>
      </c>
      <c r="S458" s="37" t="str">
        <f>IFERROR(_xlfn.XLOOKUP(R458,'1_Presupuesto'!$E:$E,'1_Presupuesto'!$D:$D),"")</f>
        <v/>
      </c>
    </row>
    <row r="459" spans="1:19" x14ac:dyDescent="0.35">
      <c r="A459" s="31" t="s">
        <v>1331</v>
      </c>
      <c r="B459" s="31" t="s">
        <v>497</v>
      </c>
      <c r="C459" s="31" t="s">
        <v>498</v>
      </c>
      <c r="D459" s="31" t="s">
        <v>549</v>
      </c>
      <c r="E459" s="31" t="s">
        <v>550</v>
      </c>
      <c r="F459" s="31" t="s">
        <v>261</v>
      </c>
      <c r="G459" s="32">
        <v>0.49</v>
      </c>
      <c r="H459" s="33">
        <v>0.1</v>
      </c>
      <c r="I459" s="34">
        <v>3028.942149</v>
      </c>
      <c r="J459" s="34">
        <v>1632.599818311</v>
      </c>
      <c r="K459" s="31" t="s">
        <v>1332</v>
      </c>
      <c r="L459" s="31">
        <v>1</v>
      </c>
      <c r="M459" s="31" t="s">
        <v>1333</v>
      </c>
      <c r="N459" s="34">
        <v>10</v>
      </c>
      <c r="O459" s="35">
        <v>0</v>
      </c>
      <c r="P459" s="35" t="s">
        <v>212</v>
      </c>
      <c r="Q459" s="35">
        <v>0</v>
      </c>
      <c r="R459" s="36" t="s">
        <v>212</v>
      </c>
      <c r="S459" s="37" t="str">
        <f>IFERROR(_xlfn.XLOOKUP(R459,'1_Presupuesto'!$E:$E,'1_Presupuesto'!$D:$D),"")</f>
        <v/>
      </c>
    </row>
    <row r="460" spans="1:19" x14ac:dyDescent="0.35">
      <c r="A460" s="31" t="s">
        <v>1331</v>
      </c>
      <c r="B460" s="31" t="s">
        <v>497</v>
      </c>
      <c r="C460" s="31" t="s">
        <v>498</v>
      </c>
      <c r="D460" s="31" t="s">
        <v>553</v>
      </c>
      <c r="E460" s="31" t="s">
        <v>554</v>
      </c>
      <c r="F460" s="31" t="s">
        <v>261</v>
      </c>
      <c r="G460" s="32">
        <v>0.44</v>
      </c>
      <c r="H460" s="33">
        <v>0.05</v>
      </c>
      <c r="I460" s="34">
        <v>4774.9090910000004</v>
      </c>
      <c r="J460" s="34">
        <v>2206.0080000419998</v>
      </c>
      <c r="K460" s="31" t="s">
        <v>1332</v>
      </c>
      <c r="L460" s="31">
        <v>2</v>
      </c>
      <c r="M460" s="31" t="s">
        <v>1334</v>
      </c>
      <c r="N460" s="34">
        <v>10</v>
      </c>
      <c r="O460" s="35">
        <v>0</v>
      </c>
      <c r="P460" s="35" t="s">
        <v>212</v>
      </c>
      <c r="Q460" s="35">
        <v>0</v>
      </c>
      <c r="R460" s="36" t="s">
        <v>212</v>
      </c>
      <c r="S460" s="37" t="str">
        <f>IFERROR(_xlfn.XLOOKUP(R460,'1_Presupuesto'!$E:$E,'1_Presupuesto'!$D:$D),"")</f>
        <v/>
      </c>
    </row>
    <row r="461" spans="1:19" x14ac:dyDescent="0.35">
      <c r="A461" s="31" t="s">
        <v>1331</v>
      </c>
      <c r="B461" s="31" t="s">
        <v>497</v>
      </c>
      <c r="C461" s="31" t="s">
        <v>498</v>
      </c>
      <c r="D461" s="31" t="s">
        <v>559</v>
      </c>
      <c r="E461" s="31" t="s">
        <v>560</v>
      </c>
      <c r="F461" s="31" t="s">
        <v>261</v>
      </c>
      <c r="G461" s="32">
        <v>2.67</v>
      </c>
      <c r="H461" s="33">
        <v>0.05</v>
      </c>
      <c r="I461" s="34">
        <v>793.53719000000001</v>
      </c>
      <c r="J461" s="34">
        <v>2224.6815121650002</v>
      </c>
      <c r="K461" s="31" t="s">
        <v>1332</v>
      </c>
      <c r="L461" s="31">
        <v>3</v>
      </c>
      <c r="M461" s="31" t="s">
        <v>1335</v>
      </c>
      <c r="N461" s="34">
        <v>10</v>
      </c>
      <c r="O461" s="35">
        <v>0</v>
      </c>
      <c r="P461" s="35" t="s">
        <v>212</v>
      </c>
      <c r="Q461" s="35">
        <v>0</v>
      </c>
      <c r="R461" s="36" t="s">
        <v>212</v>
      </c>
      <c r="S461" s="37" t="str">
        <f>IFERROR(_xlfn.XLOOKUP(R461,'1_Presupuesto'!$E:$E,'1_Presupuesto'!$D:$D),"")</f>
        <v/>
      </c>
    </row>
    <row r="462" spans="1:19" x14ac:dyDescent="0.35">
      <c r="A462" s="31" t="s">
        <v>1331</v>
      </c>
      <c r="B462" s="31" t="s">
        <v>497</v>
      </c>
      <c r="C462" s="31" t="s">
        <v>498</v>
      </c>
      <c r="D462" s="31" t="s">
        <v>562</v>
      </c>
      <c r="E462" s="31" t="s">
        <v>563</v>
      </c>
      <c r="F462" s="31" t="s">
        <v>261</v>
      </c>
      <c r="G462" s="32">
        <v>6</v>
      </c>
      <c r="H462" s="33">
        <v>0.05</v>
      </c>
      <c r="I462" s="34">
        <v>63.381982999999998</v>
      </c>
      <c r="J462" s="34">
        <v>399.30649290000002</v>
      </c>
      <c r="K462" s="31" t="s">
        <v>1332</v>
      </c>
      <c r="L462" s="31">
        <v>4</v>
      </c>
      <c r="M462" s="31" t="s">
        <v>1336</v>
      </c>
      <c r="N462" s="34">
        <v>10</v>
      </c>
      <c r="O462" s="35">
        <v>0</v>
      </c>
      <c r="P462" s="35" t="s">
        <v>212</v>
      </c>
      <c r="Q462" s="35">
        <v>0</v>
      </c>
      <c r="R462" s="36" t="s">
        <v>212</v>
      </c>
      <c r="S462" s="37" t="str">
        <f>IFERROR(_xlfn.XLOOKUP(R462,'1_Presupuesto'!$E:$E,'1_Presupuesto'!$D:$D),"")</f>
        <v/>
      </c>
    </row>
    <row r="463" spans="1:19" x14ac:dyDescent="0.35">
      <c r="A463" s="31" t="s">
        <v>1331</v>
      </c>
      <c r="B463" s="31" t="s">
        <v>497</v>
      </c>
      <c r="C463" s="31" t="s">
        <v>498</v>
      </c>
      <c r="D463" s="31" t="s">
        <v>565</v>
      </c>
      <c r="E463" s="31" t="s">
        <v>566</v>
      </c>
      <c r="F463" s="31" t="s">
        <v>567</v>
      </c>
      <c r="G463" s="32">
        <v>0.06</v>
      </c>
      <c r="H463" s="33">
        <v>0.05</v>
      </c>
      <c r="I463" s="34">
        <v>2755.61157</v>
      </c>
      <c r="J463" s="34">
        <v>173.60352890999999</v>
      </c>
      <c r="K463" s="31" t="s">
        <v>1332</v>
      </c>
      <c r="L463" s="31">
        <v>5</v>
      </c>
      <c r="M463" s="31" t="s">
        <v>1337</v>
      </c>
      <c r="N463" s="34">
        <v>10</v>
      </c>
      <c r="O463" s="35">
        <v>0</v>
      </c>
      <c r="P463" s="35" t="s">
        <v>212</v>
      </c>
      <c r="Q463" s="35">
        <v>0</v>
      </c>
      <c r="R463" s="36" t="s">
        <v>212</v>
      </c>
      <c r="S463" s="37" t="str">
        <f>IFERROR(_xlfn.XLOOKUP(R463,'1_Presupuesto'!$E:$E,'1_Presupuesto'!$D:$D),"")</f>
        <v/>
      </c>
    </row>
    <row r="464" spans="1:19" x14ac:dyDescent="0.35">
      <c r="A464" s="31" t="s">
        <v>1331</v>
      </c>
      <c r="B464" s="31" t="s">
        <v>203</v>
      </c>
      <c r="C464" s="31"/>
      <c r="D464" s="31" t="s">
        <v>572</v>
      </c>
      <c r="E464" s="31" t="s">
        <v>573</v>
      </c>
      <c r="F464" s="31"/>
      <c r="G464" s="32">
        <v>1</v>
      </c>
      <c r="H464" s="33">
        <v>0</v>
      </c>
      <c r="I464" s="34">
        <v>152.380274273738</v>
      </c>
      <c r="J464" s="34">
        <v>152.380274273738</v>
      </c>
      <c r="K464" s="31" t="s">
        <v>1338</v>
      </c>
      <c r="L464" s="31">
        <v>1</v>
      </c>
      <c r="M464" s="31" t="s">
        <v>1339</v>
      </c>
      <c r="N464" s="34">
        <v>10</v>
      </c>
      <c r="O464" s="35">
        <v>0</v>
      </c>
      <c r="P464" s="35" t="s">
        <v>212</v>
      </c>
      <c r="Q464" s="35">
        <v>0</v>
      </c>
      <c r="R464" s="36" t="s">
        <v>212</v>
      </c>
      <c r="S464" s="37" t="str">
        <f>IFERROR(_xlfn.XLOOKUP(R464,'1_Presupuesto'!$E:$E,'1_Presupuesto'!$D:$D),"")</f>
        <v/>
      </c>
    </row>
    <row r="465" spans="1:19" x14ac:dyDescent="0.35">
      <c r="A465" s="31" t="s">
        <v>1331</v>
      </c>
      <c r="B465" s="31" t="s">
        <v>203</v>
      </c>
      <c r="C465" s="31"/>
      <c r="D465" s="31" t="s">
        <v>576</v>
      </c>
      <c r="E465" s="31" t="s">
        <v>577</v>
      </c>
      <c r="F465" s="31"/>
      <c r="G465" s="32">
        <v>1</v>
      </c>
      <c r="H465" s="33">
        <v>0</v>
      </c>
      <c r="I465" s="34">
        <v>2570.7599166666701</v>
      </c>
      <c r="J465" s="34">
        <v>2570.7599166666701</v>
      </c>
      <c r="K465" s="31" t="s">
        <v>1338</v>
      </c>
      <c r="L465" s="31">
        <v>2</v>
      </c>
      <c r="M465" s="31" t="s">
        <v>1340</v>
      </c>
      <c r="N465" s="34">
        <v>10</v>
      </c>
      <c r="O465" s="35">
        <v>0</v>
      </c>
      <c r="P465" s="35" t="s">
        <v>212</v>
      </c>
      <c r="Q465" s="35">
        <v>0</v>
      </c>
      <c r="R465" s="36" t="s">
        <v>212</v>
      </c>
      <c r="S465" s="37" t="str">
        <f>IFERROR(_xlfn.XLOOKUP(R465,'1_Presupuesto'!$E:$E,'1_Presupuesto'!$D:$D),"")</f>
        <v/>
      </c>
    </row>
    <row r="466" spans="1:19" x14ac:dyDescent="0.35">
      <c r="A466" s="31" t="s">
        <v>1331</v>
      </c>
      <c r="B466" s="31" t="s">
        <v>478</v>
      </c>
      <c r="C466" s="31" t="s">
        <v>479</v>
      </c>
      <c r="D466" s="31" t="s">
        <v>480</v>
      </c>
      <c r="E466" s="31" t="s">
        <v>183</v>
      </c>
      <c r="F466" s="31" t="s">
        <v>481</v>
      </c>
      <c r="G466" s="32">
        <v>1</v>
      </c>
      <c r="H466" s="33">
        <v>0</v>
      </c>
      <c r="I466" s="34">
        <v>94177.137883538904</v>
      </c>
      <c r="J466" s="34">
        <v>94177.137883538904</v>
      </c>
      <c r="K466" s="31" t="s">
        <v>1341</v>
      </c>
      <c r="L466" s="31">
        <v>1</v>
      </c>
      <c r="M466" s="31" t="s">
        <v>1342</v>
      </c>
      <c r="N466" s="34">
        <v>10</v>
      </c>
      <c r="O466" s="35">
        <v>0.1</v>
      </c>
      <c r="P466" s="35" t="s">
        <v>212</v>
      </c>
      <c r="Q466" s="35">
        <v>0</v>
      </c>
      <c r="R466" s="36" t="s">
        <v>212</v>
      </c>
      <c r="S466" s="37" t="str">
        <f>IFERROR(_xlfn.XLOOKUP(R466,'1_Presupuesto'!$E:$E,'1_Presupuesto'!$D:$D),"")</f>
        <v/>
      </c>
    </row>
    <row r="467" spans="1:19" x14ac:dyDescent="0.35">
      <c r="A467" s="31" t="s">
        <v>1331</v>
      </c>
      <c r="B467" s="31" t="s">
        <v>478</v>
      </c>
      <c r="C467" s="31" t="s">
        <v>479</v>
      </c>
      <c r="D467" s="31" t="s">
        <v>494</v>
      </c>
      <c r="E467" s="31" t="s">
        <v>185</v>
      </c>
      <c r="F467" s="31" t="s">
        <v>481</v>
      </c>
      <c r="G467" s="32">
        <v>1</v>
      </c>
      <c r="H467" s="33">
        <v>0</v>
      </c>
      <c r="I467" s="34">
        <v>72132.138365590101</v>
      </c>
      <c r="J467" s="34">
        <v>72132.138365590101</v>
      </c>
      <c r="K467" s="31" t="s">
        <v>1341</v>
      </c>
      <c r="L467" s="31">
        <v>2</v>
      </c>
      <c r="M467" s="31" t="s">
        <v>1343</v>
      </c>
      <c r="N467" s="34">
        <v>10</v>
      </c>
      <c r="O467" s="35">
        <v>0.1</v>
      </c>
      <c r="P467" s="35" t="s">
        <v>212</v>
      </c>
      <c r="Q467" s="35">
        <v>0</v>
      </c>
      <c r="R467" s="36" t="s">
        <v>212</v>
      </c>
      <c r="S467" s="37" t="str">
        <f>IFERROR(_xlfn.XLOOKUP(R467,'1_Presupuesto'!$E:$E,'1_Presupuesto'!$D:$D),"")</f>
        <v/>
      </c>
    </row>
    <row r="468" spans="1:19" x14ac:dyDescent="0.35">
      <c r="A468" s="31" t="s">
        <v>1344</v>
      </c>
      <c r="B468" s="31" t="s">
        <v>497</v>
      </c>
      <c r="C468" s="31" t="s">
        <v>498</v>
      </c>
      <c r="D468" s="31" t="s">
        <v>1281</v>
      </c>
      <c r="E468" s="31" t="s">
        <v>1282</v>
      </c>
      <c r="F468" s="31" t="s">
        <v>261</v>
      </c>
      <c r="G468" s="32">
        <v>0.46150000000000002</v>
      </c>
      <c r="H468" s="33">
        <v>0.1</v>
      </c>
      <c r="I468" s="34">
        <v>3084.79</v>
      </c>
      <c r="J468" s="34">
        <v>1565.9936435</v>
      </c>
      <c r="K468" s="31" t="s">
        <v>1345</v>
      </c>
      <c r="L468" s="31">
        <v>1</v>
      </c>
      <c r="M468" s="31" t="s">
        <v>1346</v>
      </c>
      <c r="N468" s="34">
        <v>7</v>
      </c>
      <c r="O468" s="35">
        <v>0</v>
      </c>
      <c r="P468" s="35" t="s">
        <v>212</v>
      </c>
      <c r="Q468" s="35">
        <v>0</v>
      </c>
      <c r="R468" s="36" t="s">
        <v>212</v>
      </c>
      <c r="S468" s="37" t="str">
        <f>IFERROR(_xlfn.XLOOKUP(R468,'1_Presupuesto'!$E:$E,'1_Presupuesto'!$D:$D),"")</f>
        <v/>
      </c>
    </row>
    <row r="469" spans="1:19" x14ac:dyDescent="0.35">
      <c r="A469" s="31" t="s">
        <v>1344</v>
      </c>
      <c r="B469" s="31" t="s">
        <v>497</v>
      </c>
      <c r="C469" s="31" t="s">
        <v>498</v>
      </c>
      <c r="D469" s="31" t="s">
        <v>1285</v>
      </c>
      <c r="E469" s="31" t="s">
        <v>1286</v>
      </c>
      <c r="F469" s="31" t="s">
        <v>261</v>
      </c>
      <c r="G469" s="32">
        <v>1.1537999999999999</v>
      </c>
      <c r="H469" s="33">
        <v>0.1</v>
      </c>
      <c r="I469" s="34">
        <v>3385.62</v>
      </c>
      <c r="J469" s="34">
        <v>4296.9611916000003</v>
      </c>
      <c r="K469" s="31" t="s">
        <v>1345</v>
      </c>
      <c r="L469" s="31">
        <v>2</v>
      </c>
      <c r="M469" s="31" t="s">
        <v>1347</v>
      </c>
      <c r="N469" s="34">
        <v>7</v>
      </c>
      <c r="O469" s="35">
        <v>0</v>
      </c>
      <c r="P469" s="35" t="s">
        <v>212</v>
      </c>
      <c r="Q469" s="35">
        <v>0</v>
      </c>
      <c r="R469" s="36" t="s">
        <v>212</v>
      </c>
      <c r="S469" s="37" t="str">
        <f>IFERROR(_xlfn.XLOOKUP(R469,'1_Presupuesto'!$E:$E,'1_Presupuesto'!$D:$D),"")</f>
        <v/>
      </c>
    </row>
    <row r="470" spans="1:19" x14ac:dyDescent="0.35">
      <c r="A470" s="31" t="s">
        <v>1344</v>
      </c>
      <c r="B470" s="31" t="s">
        <v>497</v>
      </c>
      <c r="C470" s="31" t="s">
        <v>498</v>
      </c>
      <c r="D470" s="31" t="s">
        <v>1260</v>
      </c>
      <c r="E470" s="31" t="s">
        <v>1261</v>
      </c>
      <c r="F470" s="31" t="s">
        <v>261</v>
      </c>
      <c r="G470" s="32">
        <v>10</v>
      </c>
      <c r="H470" s="33">
        <v>0.05</v>
      </c>
      <c r="I470" s="34">
        <v>26.153884000000001</v>
      </c>
      <c r="J470" s="34">
        <v>274.61578200000002</v>
      </c>
      <c r="K470" s="31" t="s">
        <v>1345</v>
      </c>
      <c r="L470" s="31">
        <v>3</v>
      </c>
      <c r="M470" s="31" t="s">
        <v>1348</v>
      </c>
      <c r="N470" s="34">
        <v>7</v>
      </c>
      <c r="O470" s="35">
        <v>0</v>
      </c>
      <c r="P470" s="35" t="s">
        <v>212</v>
      </c>
      <c r="Q470" s="35">
        <v>0</v>
      </c>
      <c r="R470" s="36" t="s">
        <v>212</v>
      </c>
      <c r="S470" s="37" t="str">
        <f>IFERROR(_xlfn.XLOOKUP(R470,'1_Presupuesto'!$E:$E,'1_Presupuesto'!$D:$D),"")</f>
        <v/>
      </c>
    </row>
    <row r="471" spans="1:19" x14ac:dyDescent="0.35">
      <c r="A471" s="31" t="s">
        <v>1344</v>
      </c>
      <c r="B471" s="31" t="s">
        <v>497</v>
      </c>
      <c r="C471" s="31" t="s">
        <v>498</v>
      </c>
      <c r="D471" s="31" t="s">
        <v>587</v>
      </c>
      <c r="E471" s="31" t="s">
        <v>588</v>
      </c>
      <c r="F471" s="31" t="s">
        <v>261</v>
      </c>
      <c r="G471" s="32">
        <v>30</v>
      </c>
      <c r="H471" s="33">
        <v>0.05</v>
      </c>
      <c r="I471" s="34">
        <v>9.1146919999999998</v>
      </c>
      <c r="J471" s="34">
        <v>287.112798</v>
      </c>
      <c r="K471" s="31" t="s">
        <v>1345</v>
      </c>
      <c r="L471" s="31">
        <v>4</v>
      </c>
      <c r="M471" s="31" t="s">
        <v>1349</v>
      </c>
      <c r="N471" s="34">
        <v>7</v>
      </c>
      <c r="O471" s="35">
        <v>0</v>
      </c>
      <c r="P471" s="35" t="s">
        <v>212</v>
      </c>
      <c r="Q471" s="35">
        <v>0</v>
      </c>
      <c r="R471" s="36" t="s">
        <v>212</v>
      </c>
      <c r="S471" s="37" t="str">
        <f>IFERROR(_xlfn.XLOOKUP(R471,'1_Presupuesto'!$E:$E,'1_Presupuesto'!$D:$D),"")</f>
        <v/>
      </c>
    </row>
    <row r="472" spans="1:19" x14ac:dyDescent="0.35">
      <c r="A472" s="31" t="s">
        <v>1344</v>
      </c>
      <c r="B472" s="31" t="s">
        <v>497</v>
      </c>
      <c r="C472" s="31" t="s">
        <v>498</v>
      </c>
      <c r="D472" s="31" t="s">
        <v>562</v>
      </c>
      <c r="E472" s="31" t="s">
        <v>563</v>
      </c>
      <c r="F472" s="31" t="s">
        <v>261</v>
      </c>
      <c r="G472" s="32">
        <v>3.5</v>
      </c>
      <c r="H472" s="33">
        <v>0.05</v>
      </c>
      <c r="I472" s="34">
        <v>63.381982999999998</v>
      </c>
      <c r="J472" s="34">
        <v>232.92878752499999</v>
      </c>
      <c r="K472" s="31" t="s">
        <v>1345</v>
      </c>
      <c r="L472" s="31">
        <v>5</v>
      </c>
      <c r="M472" s="31" t="s">
        <v>1350</v>
      </c>
      <c r="N472" s="34">
        <v>7</v>
      </c>
      <c r="O472" s="35">
        <v>0</v>
      </c>
      <c r="P472" s="35" t="s">
        <v>212</v>
      </c>
      <c r="Q472" s="35">
        <v>0</v>
      </c>
      <c r="R472" s="36" t="s">
        <v>212</v>
      </c>
      <c r="S472" s="37" t="str">
        <f>IFERROR(_xlfn.XLOOKUP(R472,'1_Presupuesto'!$E:$E,'1_Presupuesto'!$D:$D),"")</f>
        <v/>
      </c>
    </row>
    <row r="473" spans="1:19" x14ac:dyDescent="0.35">
      <c r="A473" s="31" t="s">
        <v>1344</v>
      </c>
      <c r="B473" s="31" t="s">
        <v>497</v>
      </c>
      <c r="C473" s="31" t="s">
        <v>498</v>
      </c>
      <c r="D473" s="31" t="s">
        <v>1265</v>
      </c>
      <c r="E473" s="31" t="s">
        <v>1266</v>
      </c>
      <c r="F473" s="31" t="s">
        <v>261</v>
      </c>
      <c r="G473" s="32">
        <v>0.04</v>
      </c>
      <c r="H473" s="33">
        <v>0.05</v>
      </c>
      <c r="I473" s="34">
        <v>4734.07</v>
      </c>
      <c r="J473" s="34">
        <v>198.83094</v>
      </c>
      <c r="K473" s="31" t="s">
        <v>1345</v>
      </c>
      <c r="L473" s="31">
        <v>6</v>
      </c>
      <c r="M473" s="31" t="s">
        <v>1351</v>
      </c>
      <c r="N473" s="34">
        <v>7</v>
      </c>
      <c r="O473" s="35">
        <v>0</v>
      </c>
      <c r="P473" s="35" t="s">
        <v>212</v>
      </c>
      <c r="Q473" s="35">
        <v>0</v>
      </c>
      <c r="R473" s="36" t="s">
        <v>212</v>
      </c>
      <c r="S473" s="37" t="str">
        <f>IFERROR(_xlfn.XLOOKUP(R473,'1_Presupuesto'!$E:$E,'1_Presupuesto'!$D:$D),"")</f>
        <v/>
      </c>
    </row>
    <row r="474" spans="1:19" x14ac:dyDescent="0.35">
      <c r="A474" s="31" t="s">
        <v>1344</v>
      </c>
      <c r="B474" s="31" t="s">
        <v>497</v>
      </c>
      <c r="C474" s="31" t="s">
        <v>498</v>
      </c>
      <c r="D474" s="31" t="s">
        <v>1268</v>
      </c>
      <c r="E474" s="31" t="s">
        <v>1269</v>
      </c>
      <c r="F474" s="31" t="s">
        <v>261</v>
      </c>
      <c r="G474" s="32">
        <v>5.6300000000000003E-2</v>
      </c>
      <c r="H474" s="33">
        <v>0.05</v>
      </c>
      <c r="I474" s="34">
        <v>23166.59</v>
      </c>
      <c r="J474" s="34">
        <v>1369.49296785</v>
      </c>
      <c r="K474" s="31" t="s">
        <v>1345</v>
      </c>
      <c r="L474" s="31">
        <v>7</v>
      </c>
      <c r="M474" s="31" t="s">
        <v>1352</v>
      </c>
      <c r="N474" s="34">
        <v>7</v>
      </c>
      <c r="O474" s="35">
        <v>0</v>
      </c>
      <c r="P474" s="35" t="s">
        <v>212</v>
      </c>
      <c r="Q474" s="35">
        <v>0</v>
      </c>
      <c r="R474" s="36" t="s">
        <v>212</v>
      </c>
      <c r="S474" s="37" t="str">
        <f>IFERROR(_xlfn.XLOOKUP(R474,'1_Presupuesto'!$E:$E,'1_Presupuesto'!$D:$D),"")</f>
        <v/>
      </c>
    </row>
    <row r="475" spans="1:19" x14ac:dyDescent="0.35">
      <c r="A475" s="31" t="s">
        <v>1344</v>
      </c>
      <c r="B475" s="31" t="s">
        <v>497</v>
      </c>
      <c r="C475" s="31" t="s">
        <v>498</v>
      </c>
      <c r="D475" s="31" t="s">
        <v>1353</v>
      </c>
      <c r="E475" s="31" t="s">
        <v>1354</v>
      </c>
      <c r="F475" s="31" t="s">
        <v>261</v>
      </c>
      <c r="G475" s="32">
        <v>0</v>
      </c>
      <c r="H475" s="33">
        <v>0</v>
      </c>
      <c r="I475" s="34">
        <v>77226.259999999995</v>
      </c>
      <c r="J475" s="34">
        <v>0</v>
      </c>
      <c r="K475" s="31" t="s">
        <v>1345</v>
      </c>
      <c r="L475" s="31">
        <v>8</v>
      </c>
      <c r="M475" s="31" t="s">
        <v>1355</v>
      </c>
      <c r="N475" s="34">
        <v>7</v>
      </c>
      <c r="O475" s="35">
        <v>0</v>
      </c>
      <c r="P475" s="35" t="s">
        <v>212</v>
      </c>
      <c r="Q475" s="35">
        <v>0</v>
      </c>
      <c r="R475" s="36" t="s">
        <v>212</v>
      </c>
      <c r="S475" s="37" t="str">
        <f>IFERROR(_xlfn.XLOOKUP(R475,'1_Presupuesto'!$E:$E,'1_Presupuesto'!$D:$D),"")</f>
        <v/>
      </c>
    </row>
    <row r="476" spans="1:19" x14ac:dyDescent="0.35">
      <c r="A476" s="31" t="s">
        <v>1344</v>
      </c>
      <c r="B476" s="31" t="s">
        <v>497</v>
      </c>
      <c r="C476" s="31" t="s">
        <v>498</v>
      </c>
      <c r="D476" s="31" t="s">
        <v>1271</v>
      </c>
      <c r="E476" s="31" t="s">
        <v>1272</v>
      </c>
      <c r="F476" s="31" t="s">
        <v>261</v>
      </c>
      <c r="G476" s="32">
        <v>0.71</v>
      </c>
      <c r="H476" s="33">
        <v>0.1</v>
      </c>
      <c r="I476" s="34">
        <v>10458</v>
      </c>
      <c r="J476" s="34">
        <v>8167.6980000000003</v>
      </c>
      <c r="K476" s="31" t="s">
        <v>1345</v>
      </c>
      <c r="L476" s="31">
        <v>9</v>
      </c>
      <c r="M476" s="31" t="s">
        <v>1356</v>
      </c>
      <c r="N476" s="34">
        <v>7</v>
      </c>
      <c r="O476" s="35">
        <v>0</v>
      </c>
      <c r="P476" s="35" t="s">
        <v>212</v>
      </c>
      <c r="Q476" s="35">
        <v>0</v>
      </c>
      <c r="R476" s="36" t="s">
        <v>212</v>
      </c>
      <c r="S476" s="37" t="str">
        <f>IFERROR(_xlfn.XLOOKUP(R476,'1_Presupuesto'!$E:$E,'1_Presupuesto'!$D:$D),"")</f>
        <v/>
      </c>
    </row>
    <row r="477" spans="1:19" x14ac:dyDescent="0.35">
      <c r="A477" s="31" t="s">
        <v>1344</v>
      </c>
      <c r="B477" s="31" t="s">
        <v>203</v>
      </c>
      <c r="C477" s="31"/>
      <c r="D477" s="31" t="s">
        <v>572</v>
      </c>
      <c r="E477" s="31" t="s">
        <v>573</v>
      </c>
      <c r="F477" s="31"/>
      <c r="G477" s="32">
        <v>0.5</v>
      </c>
      <c r="H477" s="33">
        <v>0</v>
      </c>
      <c r="I477" s="34">
        <v>152.380274273738</v>
      </c>
      <c r="J477" s="34">
        <v>76.190137136869097</v>
      </c>
      <c r="K477" s="31" t="s">
        <v>1357</v>
      </c>
      <c r="L477" s="31">
        <v>1</v>
      </c>
      <c r="M477" s="31" t="s">
        <v>1358</v>
      </c>
      <c r="N477" s="34">
        <v>7</v>
      </c>
      <c r="O477" s="35">
        <v>0</v>
      </c>
      <c r="P477" s="35" t="s">
        <v>212</v>
      </c>
      <c r="Q477" s="35">
        <v>0</v>
      </c>
      <c r="R477" s="36" t="s">
        <v>212</v>
      </c>
      <c r="S477" s="37" t="str">
        <f>IFERROR(_xlfn.XLOOKUP(R477,'1_Presupuesto'!$E:$E,'1_Presupuesto'!$D:$D),"")</f>
        <v/>
      </c>
    </row>
    <row r="478" spans="1:19" x14ac:dyDescent="0.35">
      <c r="A478" s="31" t="s">
        <v>1344</v>
      </c>
      <c r="B478" s="31" t="s">
        <v>203</v>
      </c>
      <c r="C478" s="31"/>
      <c r="D478" s="31" t="s">
        <v>576</v>
      </c>
      <c r="E478" s="31" t="s">
        <v>577</v>
      </c>
      <c r="F478" s="31"/>
      <c r="G478" s="32">
        <v>1</v>
      </c>
      <c r="H478" s="33">
        <v>0</v>
      </c>
      <c r="I478" s="34">
        <v>2570.7599166666701</v>
      </c>
      <c r="J478" s="34">
        <v>2570.7599166666701</v>
      </c>
      <c r="K478" s="31" t="s">
        <v>1357</v>
      </c>
      <c r="L478" s="31">
        <v>2</v>
      </c>
      <c r="M478" s="31" t="s">
        <v>1359</v>
      </c>
      <c r="N478" s="34">
        <v>7</v>
      </c>
      <c r="O478" s="35">
        <v>0</v>
      </c>
      <c r="P478" s="35" t="s">
        <v>212</v>
      </c>
      <c r="Q478" s="35">
        <v>0</v>
      </c>
      <c r="R478" s="36" t="s">
        <v>212</v>
      </c>
      <c r="S478" s="37" t="str">
        <f>IFERROR(_xlfn.XLOOKUP(R478,'1_Presupuesto'!$E:$E,'1_Presupuesto'!$D:$D),"")</f>
        <v/>
      </c>
    </row>
    <row r="479" spans="1:19" x14ac:dyDescent="0.35">
      <c r="A479" s="31" t="s">
        <v>1344</v>
      </c>
      <c r="B479" s="31" t="s">
        <v>478</v>
      </c>
      <c r="C479" s="31" t="s">
        <v>479</v>
      </c>
      <c r="D479" s="31" t="s">
        <v>480</v>
      </c>
      <c r="E479" s="31" t="s">
        <v>183</v>
      </c>
      <c r="F479" s="31" t="s">
        <v>481</v>
      </c>
      <c r="G479" s="32">
        <v>1</v>
      </c>
      <c r="H479" s="33">
        <v>0</v>
      </c>
      <c r="I479" s="34">
        <v>94177.137883538904</v>
      </c>
      <c r="J479" s="34">
        <v>94177.137883538904</v>
      </c>
      <c r="K479" s="31" t="s">
        <v>1360</v>
      </c>
      <c r="L479" s="31">
        <v>1</v>
      </c>
      <c r="M479" s="31" t="s">
        <v>1361</v>
      </c>
      <c r="N479" s="34">
        <v>7</v>
      </c>
      <c r="O479" s="35">
        <v>0.14285714285714299</v>
      </c>
      <c r="P479" s="35" t="s">
        <v>212</v>
      </c>
      <c r="Q479" s="35">
        <v>0</v>
      </c>
      <c r="R479" s="36" t="s">
        <v>212</v>
      </c>
      <c r="S479" s="37" t="str">
        <f>IFERROR(_xlfn.XLOOKUP(R479,'1_Presupuesto'!$E:$E,'1_Presupuesto'!$D:$D),"")</f>
        <v/>
      </c>
    </row>
    <row r="480" spans="1:19" x14ac:dyDescent="0.35">
      <c r="A480" s="31" t="s">
        <v>1344</v>
      </c>
      <c r="B480" s="31" t="s">
        <v>478</v>
      </c>
      <c r="C480" s="31" t="s">
        <v>479</v>
      </c>
      <c r="D480" s="31" t="s">
        <v>494</v>
      </c>
      <c r="E480" s="31" t="s">
        <v>185</v>
      </c>
      <c r="F480" s="31" t="s">
        <v>481</v>
      </c>
      <c r="G480" s="32">
        <v>1</v>
      </c>
      <c r="H480" s="33">
        <v>0</v>
      </c>
      <c r="I480" s="34">
        <v>72132.138365590101</v>
      </c>
      <c r="J480" s="34">
        <v>72132.138365590101</v>
      </c>
      <c r="K480" s="31" t="s">
        <v>1360</v>
      </c>
      <c r="L480" s="31">
        <v>2</v>
      </c>
      <c r="M480" s="31" t="s">
        <v>1362</v>
      </c>
      <c r="N480" s="34">
        <v>7</v>
      </c>
      <c r="O480" s="35">
        <v>0.14285714285714299</v>
      </c>
      <c r="P480" s="35" t="s">
        <v>212</v>
      </c>
      <c r="Q480" s="35">
        <v>0</v>
      </c>
      <c r="R480" s="36" t="s">
        <v>212</v>
      </c>
      <c r="S480" s="37" t="str">
        <f>IFERROR(_xlfn.XLOOKUP(R480,'1_Presupuesto'!$E:$E,'1_Presupuesto'!$D:$D),"")</f>
        <v/>
      </c>
    </row>
    <row r="481" spans="1:19" x14ac:dyDescent="0.35">
      <c r="A481" s="31" t="s">
        <v>1363</v>
      </c>
      <c r="B481" s="31" t="s">
        <v>497</v>
      </c>
      <c r="C481" s="31" t="s">
        <v>498</v>
      </c>
      <c r="D481" s="31" t="s">
        <v>1281</v>
      </c>
      <c r="E481" s="31" t="s">
        <v>1282</v>
      </c>
      <c r="F481" s="31" t="s">
        <v>261</v>
      </c>
      <c r="G481" s="32">
        <v>0.46150000000000002</v>
      </c>
      <c r="H481" s="33">
        <v>0.1</v>
      </c>
      <c r="I481" s="34">
        <v>3084.79</v>
      </c>
      <c r="J481" s="34">
        <v>1565.9936435</v>
      </c>
      <c r="K481" s="31" t="s">
        <v>1364</v>
      </c>
      <c r="L481" s="31">
        <v>1</v>
      </c>
      <c r="M481" s="31" t="s">
        <v>1365</v>
      </c>
      <c r="N481" s="34">
        <v>6</v>
      </c>
      <c r="O481" s="35">
        <v>0</v>
      </c>
      <c r="P481" s="35" t="s">
        <v>212</v>
      </c>
      <c r="Q481" s="35">
        <v>0</v>
      </c>
      <c r="R481" s="36" t="s">
        <v>212</v>
      </c>
      <c r="S481" s="37" t="str">
        <f>IFERROR(_xlfn.XLOOKUP(R481,'1_Presupuesto'!$E:$E,'1_Presupuesto'!$D:$D),"")</f>
        <v/>
      </c>
    </row>
    <row r="482" spans="1:19" x14ac:dyDescent="0.35">
      <c r="A482" s="31" t="s">
        <v>1363</v>
      </c>
      <c r="B482" s="31" t="s">
        <v>497</v>
      </c>
      <c r="C482" s="31" t="s">
        <v>498</v>
      </c>
      <c r="D482" s="31" t="s">
        <v>1285</v>
      </c>
      <c r="E482" s="31" t="s">
        <v>1286</v>
      </c>
      <c r="F482" s="31" t="s">
        <v>261</v>
      </c>
      <c r="G482" s="32">
        <v>1.1537999999999999</v>
      </c>
      <c r="H482" s="33">
        <v>0.1</v>
      </c>
      <c r="I482" s="34">
        <v>3385.62</v>
      </c>
      <c r="J482" s="34">
        <v>4296.9611916000003</v>
      </c>
      <c r="K482" s="31" t="s">
        <v>1364</v>
      </c>
      <c r="L482" s="31">
        <v>2</v>
      </c>
      <c r="M482" s="31" t="s">
        <v>1366</v>
      </c>
      <c r="N482" s="34">
        <v>6</v>
      </c>
      <c r="O482" s="35">
        <v>0</v>
      </c>
      <c r="P482" s="35" t="s">
        <v>212</v>
      </c>
      <c r="Q482" s="35">
        <v>0</v>
      </c>
      <c r="R482" s="36" t="s">
        <v>212</v>
      </c>
      <c r="S482" s="37" t="str">
        <f>IFERROR(_xlfn.XLOOKUP(R482,'1_Presupuesto'!$E:$E,'1_Presupuesto'!$D:$D),"")</f>
        <v/>
      </c>
    </row>
    <row r="483" spans="1:19" x14ac:dyDescent="0.35">
      <c r="A483" s="31" t="s">
        <v>1363</v>
      </c>
      <c r="B483" s="31" t="s">
        <v>497</v>
      </c>
      <c r="C483" s="31" t="s">
        <v>498</v>
      </c>
      <c r="D483" s="31" t="s">
        <v>1260</v>
      </c>
      <c r="E483" s="31" t="s">
        <v>1261</v>
      </c>
      <c r="F483" s="31" t="s">
        <v>261</v>
      </c>
      <c r="G483" s="32">
        <v>10</v>
      </c>
      <c r="H483" s="33">
        <v>0.05</v>
      </c>
      <c r="I483" s="34">
        <v>26.153884000000001</v>
      </c>
      <c r="J483" s="34">
        <v>274.61578200000002</v>
      </c>
      <c r="K483" s="31" t="s">
        <v>1364</v>
      </c>
      <c r="L483" s="31">
        <v>3</v>
      </c>
      <c r="M483" s="31" t="s">
        <v>1367</v>
      </c>
      <c r="N483" s="34">
        <v>6</v>
      </c>
      <c r="O483" s="35">
        <v>0</v>
      </c>
      <c r="P483" s="35" t="s">
        <v>212</v>
      </c>
      <c r="Q483" s="35">
        <v>0</v>
      </c>
      <c r="R483" s="36" t="s">
        <v>212</v>
      </c>
      <c r="S483" s="37" t="str">
        <f>IFERROR(_xlfn.XLOOKUP(R483,'1_Presupuesto'!$E:$E,'1_Presupuesto'!$D:$D),"")</f>
        <v/>
      </c>
    </row>
    <row r="484" spans="1:19" x14ac:dyDescent="0.35">
      <c r="A484" s="31" t="s">
        <v>1363</v>
      </c>
      <c r="B484" s="31" t="s">
        <v>497</v>
      </c>
      <c r="C484" s="31" t="s">
        <v>498</v>
      </c>
      <c r="D484" s="31" t="s">
        <v>587</v>
      </c>
      <c r="E484" s="31" t="s">
        <v>588</v>
      </c>
      <c r="F484" s="31" t="s">
        <v>261</v>
      </c>
      <c r="G484" s="32">
        <v>15</v>
      </c>
      <c r="H484" s="33">
        <v>0.05</v>
      </c>
      <c r="I484" s="34">
        <v>9.1146919999999998</v>
      </c>
      <c r="J484" s="34">
        <v>143.556399</v>
      </c>
      <c r="K484" s="31" t="s">
        <v>1364</v>
      </c>
      <c r="L484" s="31">
        <v>4</v>
      </c>
      <c r="M484" s="31" t="s">
        <v>1368</v>
      </c>
      <c r="N484" s="34">
        <v>6</v>
      </c>
      <c r="O484" s="35">
        <v>0</v>
      </c>
      <c r="P484" s="35" t="s">
        <v>212</v>
      </c>
      <c r="Q484" s="35">
        <v>0</v>
      </c>
      <c r="R484" s="36" t="s">
        <v>212</v>
      </c>
      <c r="S484" s="37" t="str">
        <f>IFERROR(_xlfn.XLOOKUP(R484,'1_Presupuesto'!$E:$E,'1_Presupuesto'!$D:$D),"")</f>
        <v/>
      </c>
    </row>
    <row r="485" spans="1:19" x14ac:dyDescent="0.35">
      <c r="A485" s="31" t="s">
        <v>1363</v>
      </c>
      <c r="B485" s="31" t="s">
        <v>497</v>
      </c>
      <c r="C485" s="31" t="s">
        <v>498</v>
      </c>
      <c r="D485" s="31" t="s">
        <v>1369</v>
      </c>
      <c r="E485" s="31" t="s">
        <v>1370</v>
      </c>
      <c r="F485" s="31" t="s">
        <v>261</v>
      </c>
      <c r="G485" s="32">
        <v>30</v>
      </c>
      <c r="H485" s="33">
        <v>0.05</v>
      </c>
      <c r="I485" s="34">
        <v>18.832004000000001</v>
      </c>
      <c r="J485" s="34">
        <v>593.20812599999999</v>
      </c>
      <c r="K485" s="31" t="s">
        <v>1364</v>
      </c>
      <c r="L485" s="31">
        <v>5</v>
      </c>
      <c r="M485" s="31" t="s">
        <v>1371</v>
      </c>
      <c r="N485" s="34">
        <v>6</v>
      </c>
      <c r="O485" s="35">
        <v>0</v>
      </c>
      <c r="P485" s="35" t="s">
        <v>212</v>
      </c>
      <c r="Q485" s="35">
        <v>0</v>
      </c>
      <c r="R485" s="36" t="s">
        <v>212</v>
      </c>
      <c r="S485" s="37" t="str">
        <f>IFERROR(_xlfn.XLOOKUP(R485,'1_Presupuesto'!$E:$E,'1_Presupuesto'!$D:$D),"")</f>
        <v/>
      </c>
    </row>
    <row r="486" spans="1:19" x14ac:dyDescent="0.35">
      <c r="A486" s="31" t="s">
        <v>1363</v>
      </c>
      <c r="B486" s="31" t="s">
        <v>497</v>
      </c>
      <c r="C486" s="31" t="s">
        <v>498</v>
      </c>
      <c r="D486" s="31" t="s">
        <v>562</v>
      </c>
      <c r="E486" s="31" t="s">
        <v>563</v>
      </c>
      <c r="F486" s="31" t="s">
        <v>261</v>
      </c>
      <c r="G486" s="32">
        <v>3.5</v>
      </c>
      <c r="H486" s="33">
        <v>0.05</v>
      </c>
      <c r="I486" s="34">
        <v>63.381982999999998</v>
      </c>
      <c r="J486" s="34">
        <v>232.92878752499999</v>
      </c>
      <c r="K486" s="31" t="s">
        <v>1364</v>
      </c>
      <c r="L486" s="31">
        <v>6</v>
      </c>
      <c r="M486" s="31" t="s">
        <v>1372</v>
      </c>
      <c r="N486" s="34">
        <v>6</v>
      </c>
      <c r="O486" s="35">
        <v>0</v>
      </c>
      <c r="P486" s="35" t="s">
        <v>212</v>
      </c>
      <c r="Q486" s="35">
        <v>0</v>
      </c>
      <c r="R486" s="36" t="s">
        <v>212</v>
      </c>
      <c r="S486" s="37" t="str">
        <f>IFERROR(_xlfn.XLOOKUP(R486,'1_Presupuesto'!$E:$E,'1_Presupuesto'!$D:$D),"")</f>
        <v/>
      </c>
    </row>
    <row r="487" spans="1:19" x14ac:dyDescent="0.35">
      <c r="A487" s="31" t="s">
        <v>1363</v>
      </c>
      <c r="B487" s="31" t="s">
        <v>497</v>
      </c>
      <c r="C487" s="31" t="s">
        <v>498</v>
      </c>
      <c r="D487" s="31" t="s">
        <v>1265</v>
      </c>
      <c r="E487" s="31" t="s">
        <v>1266</v>
      </c>
      <c r="F487" s="31" t="s">
        <v>261</v>
      </c>
      <c r="G487" s="32">
        <v>0.04</v>
      </c>
      <c r="H487" s="33">
        <v>0.05</v>
      </c>
      <c r="I487" s="34">
        <v>4734.07</v>
      </c>
      <c r="J487" s="34">
        <v>198.83094</v>
      </c>
      <c r="K487" s="31" t="s">
        <v>1364</v>
      </c>
      <c r="L487" s="31">
        <v>7</v>
      </c>
      <c r="M487" s="31" t="s">
        <v>1373</v>
      </c>
      <c r="N487" s="34">
        <v>6</v>
      </c>
      <c r="O487" s="35">
        <v>0</v>
      </c>
      <c r="P487" s="35" t="s">
        <v>212</v>
      </c>
      <c r="Q487" s="35">
        <v>0</v>
      </c>
      <c r="R487" s="36" t="s">
        <v>212</v>
      </c>
      <c r="S487" s="37" t="str">
        <f>IFERROR(_xlfn.XLOOKUP(R487,'1_Presupuesto'!$E:$E,'1_Presupuesto'!$D:$D),"")</f>
        <v/>
      </c>
    </row>
    <row r="488" spans="1:19" x14ac:dyDescent="0.35">
      <c r="A488" s="31" t="s">
        <v>1363</v>
      </c>
      <c r="B488" s="31" t="s">
        <v>497</v>
      </c>
      <c r="C488" s="31" t="s">
        <v>498</v>
      </c>
      <c r="D488" s="31" t="s">
        <v>1268</v>
      </c>
      <c r="E488" s="31" t="s">
        <v>1269</v>
      </c>
      <c r="F488" s="31" t="s">
        <v>261</v>
      </c>
      <c r="G488" s="32">
        <v>5.6300000000000003E-2</v>
      </c>
      <c r="H488" s="33">
        <v>0.05</v>
      </c>
      <c r="I488" s="34">
        <v>23166.59</v>
      </c>
      <c r="J488" s="34">
        <v>1369.49296785</v>
      </c>
      <c r="K488" s="31" t="s">
        <v>1364</v>
      </c>
      <c r="L488" s="31">
        <v>8</v>
      </c>
      <c r="M488" s="31" t="s">
        <v>1374</v>
      </c>
      <c r="N488" s="34">
        <v>6</v>
      </c>
      <c r="O488" s="35">
        <v>0</v>
      </c>
      <c r="P488" s="35" t="s">
        <v>212</v>
      </c>
      <c r="Q488" s="35">
        <v>0</v>
      </c>
      <c r="R488" s="36" t="s">
        <v>212</v>
      </c>
      <c r="S488" s="37" t="str">
        <f>IFERROR(_xlfn.XLOOKUP(R488,'1_Presupuesto'!$E:$E,'1_Presupuesto'!$D:$D),"")</f>
        <v/>
      </c>
    </row>
    <row r="489" spans="1:19" x14ac:dyDescent="0.35">
      <c r="A489" s="31" t="s">
        <v>1363</v>
      </c>
      <c r="B489" s="31" t="s">
        <v>497</v>
      </c>
      <c r="C489" s="31" t="s">
        <v>498</v>
      </c>
      <c r="D489" s="31" t="s">
        <v>1353</v>
      </c>
      <c r="E489" s="31" t="s">
        <v>1354</v>
      </c>
      <c r="F489" s="31" t="s">
        <v>261</v>
      </c>
      <c r="G489" s="32">
        <v>4.6300000000000001E-2</v>
      </c>
      <c r="H489" s="33">
        <v>0.1</v>
      </c>
      <c r="I489" s="34">
        <v>77226.259999999995</v>
      </c>
      <c r="J489" s="34">
        <v>3933.1334218000002</v>
      </c>
      <c r="K489" s="31" t="s">
        <v>1364</v>
      </c>
      <c r="L489" s="31">
        <v>9</v>
      </c>
      <c r="M489" s="31" t="s">
        <v>1375</v>
      </c>
      <c r="N489" s="34">
        <v>6</v>
      </c>
      <c r="O489" s="35">
        <v>0</v>
      </c>
      <c r="P489" s="35" t="s">
        <v>212</v>
      </c>
      <c r="Q489" s="35">
        <v>0</v>
      </c>
      <c r="R489" s="36" t="s">
        <v>212</v>
      </c>
      <c r="S489" s="37" t="str">
        <f>IFERROR(_xlfn.XLOOKUP(R489,'1_Presupuesto'!$E:$E,'1_Presupuesto'!$D:$D),"")</f>
        <v/>
      </c>
    </row>
    <row r="490" spans="1:19" x14ac:dyDescent="0.35">
      <c r="A490" s="31" t="s">
        <v>1363</v>
      </c>
      <c r="B490" s="31" t="s">
        <v>497</v>
      </c>
      <c r="C490" s="31" t="s">
        <v>498</v>
      </c>
      <c r="D490" s="31" t="s">
        <v>1271</v>
      </c>
      <c r="E490" s="31" t="s">
        <v>1272</v>
      </c>
      <c r="F490" s="31" t="s">
        <v>261</v>
      </c>
      <c r="G490" s="32">
        <v>1.42</v>
      </c>
      <c r="H490" s="33">
        <v>0.1</v>
      </c>
      <c r="I490" s="34">
        <v>10458</v>
      </c>
      <c r="J490" s="34">
        <v>16335.396000000001</v>
      </c>
      <c r="K490" s="31" t="s">
        <v>1364</v>
      </c>
      <c r="L490" s="31">
        <v>10</v>
      </c>
      <c r="M490" s="31" t="s">
        <v>1376</v>
      </c>
      <c r="N490" s="34">
        <v>6</v>
      </c>
      <c r="O490" s="35">
        <v>0</v>
      </c>
      <c r="P490" s="35" t="s">
        <v>212</v>
      </c>
      <c r="Q490" s="35">
        <v>0</v>
      </c>
      <c r="R490" s="36" t="s">
        <v>212</v>
      </c>
      <c r="S490" s="37" t="str">
        <f>IFERROR(_xlfn.XLOOKUP(R490,'1_Presupuesto'!$E:$E,'1_Presupuesto'!$D:$D),"")</f>
        <v/>
      </c>
    </row>
    <row r="491" spans="1:19" x14ac:dyDescent="0.35">
      <c r="A491" s="31" t="s">
        <v>1363</v>
      </c>
      <c r="B491" s="31" t="s">
        <v>203</v>
      </c>
      <c r="C491" s="31"/>
      <c r="D491" s="31" t="s">
        <v>572</v>
      </c>
      <c r="E491" s="31" t="s">
        <v>573</v>
      </c>
      <c r="F491" s="31"/>
      <c r="G491" s="32">
        <v>0.5</v>
      </c>
      <c r="H491" s="33">
        <v>0</v>
      </c>
      <c r="I491" s="34">
        <v>152.380274273738</v>
      </c>
      <c r="J491" s="34">
        <v>76.190137136869097</v>
      </c>
      <c r="K491" s="31" t="s">
        <v>1377</v>
      </c>
      <c r="L491" s="31">
        <v>1</v>
      </c>
      <c r="M491" s="31" t="s">
        <v>1378</v>
      </c>
      <c r="N491" s="34">
        <v>6</v>
      </c>
      <c r="O491" s="35">
        <v>0</v>
      </c>
      <c r="P491" s="35" t="s">
        <v>212</v>
      </c>
      <c r="Q491" s="35">
        <v>0</v>
      </c>
      <c r="R491" s="36" t="s">
        <v>212</v>
      </c>
      <c r="S491" s="37" t="str">
        <f>IFERROR(_xlfn.XLOOKUP(R491,'1_Presupuesto'!$E:$E,'1_Presupuesto'!$D:$D),"")</f>
        <v/>
      </c>
    </row>
    <row r="492" spans="1:19" x14ac:dyDescent="0.35">
      <c r="A492" s="31" t="s">
        <v>1363</v>
      </c>
      <c r="B492" s="31" t="s">
        <v>203</v>
      </c>
      <c r="C492" s="31"/>
      <c r="D492" s="31" t="s">
        <v>576</v>
      </c>
      <c r="E492" s="31" t="s">
        <v>577</v>
      </c>
      <c r="F492" s="31"/>
      <c r="G492" s="32">
        <v>1</v>
      </c>
      <c r="H492" s="33">
        <v>0</v>
      </c>
      <c r="I492" s="34">
        <v>2570.7599166666701</v>
      </c>
      <c r="J492" s="34">
        <v>2570.7599166666701</v>
      </c>
      <c r="K492" s="31" t="s">
        <v>1377</v>
      </c>
      <c r="L492" s="31">
        <v>2</v>
      </c>
      <c r="M492" s="31" t="s">
        <v>1379</v>
      </c>
      <c r="N492" s="34">
        <v>6</v>
      </c>
      <c r="O492" s="35">
        <v>0</v>
      </c>
      <c r="P492" s="35" t="s">
        <v>212</v>
      </c>
      <c r="Q492" s="35">
        <v>0</v>
      </c>
      <c r="R492" s="36" t="s">
        <v>212</v>
      </c>
      <c r="S492" s="37" t="str">
        <f>IFERROR(_xlfn.XLOOKUP(R492,'1_Presupuesto'!$E:$E,'1_Presupuesto'!$D:$D),"")</f>
        <v/>
      </c>
    </row>
    <row r="493" spans="1:19" x14ac:dyDescent="0.35">
      <c r="A493" s="31" t="s">
        <v>1363</v>
      </c>
      <c r="B493" s="31" t="s">
        <v>478</v>
      </c>
      <c r="C493" s="31" t="s">
        <v>479</v>
      </c>
      <c r="D493" s="31" t="s">
        <v>480</v>
      </c>
      <c r="E493" s="31" t="s">
        <v>183</v>
      </c>
      <c r="F493" s="31" t="s">
        <v>481</v>
      </c>
      <c r="G493" s="32">
        <v>1</v>
      </c>
      <c r="H493" s="33">
        <v>0</v>
      </c>
      <c r="I493" s="34">
        <v>94177.137883538904</v>
      </c>
      <c r="J493" s="34">
        <v>94177.137883538904</v>
      </c>
      <c r="K493" s="31" t="s">
        <v>1380</v>
      </c>
      <c r="L493" s="31">
        <v>1</v>
      </c>
      <c r="M493" s="31" t="s">
        <v>1381</v>
      </c>
      <c r="N493" s="34">
        <v>6</v>
      </c>
      <c r="O493" s="35">
        <v>0.16666666666666699</v>
      </c>
      <c r="P493" s="35" t="s">
        <v>212</v>
      </c>
      <c r="Q493" s="35">
        <v>0</v>
      </c>
      <c r="R493" s="36" t="s">
        <v>212</v>
      </c>
      <c r="S493" s="37" t="str">
        <f>IFERROR(_xlfn.XLOOKUP(R493,'1_Presupuesto'!$E:$E,'1_Presupuesto'!$D:$D),"")</f>
        <v/>
      </c>
    </row>
    <row r="494" spans="1:19" x14ac:dyDescent="0.35">
      <c r="A494" s="31" t="s">
        <v>1363</v>
      </c>
      <c r="B494" s="31" t="s">
        <v>478</v>
      </c>
      <c r="C494" s="31" t="s">
        <v>479</v>
      </c>
      <c r="D494" s="31" t="s">
        <v>494</v>
      </c>
      <c r="E494" s="31" t="s">
        <v>185</v>
      </c>
      <c r="F494" s="31" t="s">
        <v>481</v>
      </c>
      <c r="G494" s="32">
        <v>1</v>
      </c>
      <c r="H494" s="33">
        <v>0</v>
      </c>
      <c r="I494" s="34">
        <v>72132.138365590101</v>
      </c>
      <c r="J494" s="34">
        <v>72132.138365590101</v>
      </c>
      <c r="K494" s="31" t="s">
        <v>1380</v>
      </c>
      <c r="L494" s="31">
        <v>2</v>
      </c>
      <c r="M494" s="31" t="s">
        <v>1382</v>
      </c>
      <c r="N494" s="34">
        <v>6</v>
      </c>
      <c r="O494" s="35">
        <v>0.16666666666666699</v>
      </c>
      <c r="P494" s="35" t="s">
        <v>212</v>
      </c>
      <c r="Q494" s="35">
        <v>0</v>
      </c>
      <c r="R494" s="36" t="s">
        <v>212</v>
      </c>
      <c r="S494" s="37" t="str">
        <f>IFERROR(_xlfn.XLOOKUP(R494,'1_Presupuesto'!$E:$E,'1_Presupuesto'!$D:$D),"")</f>
        <v/>
      </c>
    </row>
    <row r="495" spans="1:19" x14ac:dyDescent="0.35">
      <c r="A495" s="31" t="s">
        <v>1383</v>
      </c>
      <c r="B495" s="31" t="s">
        <v>497</v>
      </c>
      <c r="C495" s="31" t="s">
        <v>498</v>
      </c>
      <c r="D495" s="31" t="s">
        <v>1281</v>
      </c>
      <c r="E495" s="31" t="s">
        <v>1282</v>
      </c>
      <c r="F495" s="31" t="s">
        <v>261</v>
      </c>
      <c r="G495" s="32">
        <v>0.46150000000000002</v>
      </c>
      <c r="H495" s="33">
        <v>0.1</v>
      </c>
      <c r="I495" s="34">
        <v>3084.79</v>
      </c>
      <c r="J495" s="34">
        <v>1565.9936435</v>
      </c>
      <c r="K495" s="31" t="s">
        <v>1384</v>
      </c>
      <c r="L495" s="31">
        <v>1</v>
      </c>
      <c r="M495" s="31" t="s">
        <v>1385</v>
      </c>
      <c r="N495" s="34">
        <v>11</v>
      </c>
      <c r="O495" s="35">
        <v>0</v>
      </c>
      <c r="P495" s="35" t="s">
        <v>212</v>
      </c>
      <c r="Q495" s="35">
        <v>0</v>
      </c>
      <c r="R495" s="36" t="s">
        <v>212</v>
      </c>
      <c r="S495" s="37" t="str">
        <f>IFERROR(_xlfn.XLOOKUP(R495,'1_Presupuesto'!$E:$E,'1_Presupuesto'!$D:$D),"")</f>
        <v/>
      </c>
    </row>
    <row r="496" spans="1:19" x14ac:dyDescent="0.35">
      <c r="A496" s="31" t="s">
        <v>1383</v>
      </c>
      <c r="B496" s="31" t="s">
        <v>497</v>
      </c>
      <c r="C496" s="31" t="s">
        <v>498</v>
      </c>
      <c r="D496" s="31" t="s">
        <v>1285</v>
      </c>
      <c r="E496" s="31" t="s">
        <v>1286</v>
      </c>
      <c r="F496" s="31" t="s">
        <v>261</v>
      </c>
      <c r="G496" s="32">
        <v>1.1537999999999999</v>
      </c>
      <c r="H496" s="33">
        <v>0.1</v>
      </c>
      <c r="I496" s="34">
        <v>3385.62</v>
      </c>
      <c r="J496" s="34">
        <v>4296.9611916000003</v>
      </c>
      <c r="K496" s="31" t="s">
        <v>1384</v>
      </c>
      <c r="L496" s="31">
        <v>2</v>
      </c>
      <c r="M496" s="31" t="s">
        <v>1386</v>
      </c>
      <c r="N496" s="34">
        <v>11</v>
      </c>
      <c r="O496" s="35">
        <v>0</v>
      </c>
      <c r="P496" s="35" t="s">
        <v>212</v>
      </c>
      <c r="Q496" s="35">
        <v>0</v>
      </c>
      <c r="R496" s="36" t="s">
        <v>212</v>
      </c>
      <c r="S496" s="37" t="str">
        <f>IFERROR(_xlfn.XLOOKUP(R496,'1_Presupuesto'!$E:$E,'1_Presupuesto'!$D:$D),"")</f>
        <v/>
      </c>
    </row>
    <row r="497" spans="1:19" x14ac:dyDescent="0.35">
      <c r="A497" s="31" t="s">
        <v>1383</v>
      </c>
      <c r="B497" s="31" t="s">
        <v>497</v>
      </c>
      <c r="C497" s="31" t="s">
        <v>498</v>
      </c>
      <c r="D497" s="31" t="s">
        <v>1260</v>
      </c>
      <c r="E497" s="31" t="s">
        <v>1261</v>
      </c>
      <c r="F497" s="31" t="s">
        <v>261</v>
      </c>
      <c r="G497" s="32">
        <v>10</v>
      </c>
      <c r="H497" s="33">
        <v>0.1</v>
      </c>
      <c r="I497" s="34">
        <v>26.153884000000001</v>
      </c>
      <c r="J497" s="34">
        <v>287.692724</v>
      </c>
      <c r="K497" s="31" t="s">
        <v>1384</v>
      </c>
      <c r="L497" s="31">
        <v>3</v>
      </c>
      <c r="M497" s="31" t="s">
        <v>1387</v>
      </c>
      <c r="N497" s="34">
        <v>11</v>
      </c>
      <c r="O497" s="35">
        <v>0</v>
      </c>
      <c r="P497" s="35" t="s">
        <v>212</v>
      </c>
      <c r="Q497" s="35">
        <v>0</v>
      </c>
      <c r="R497" s="36" t="s">
        <v>212</v>
      </c>
      <c r="S497" s="37" t="str">
        <f>IFERROR(_xlfn.XLOOKUP(R497,'1_Presupuesto'!$E:$E,'1_Presupuesto'!$D:$D),"")</f>
        <v/>
      </c>
    </row>
    <row r="498" spans="1:19" x14ac:dyDescent="0.35">
      <c r="A498" s="31" t="s">
        <v>1383</v>
      </c>
      <c r="B498" s="31" t="s">
        <v>497</v>
      </c>
      <c r="C498" s="31" t="s">
        <v>498</v>
      </c>
      <c r="D498" s="31" t="s">
        <v>587</v>
      </c>
      <c r="E498" s="31" t="s">
        <v>588</v>
      </c>
      <c r="F498" s="31" t="s">
        <v>261</v>
      </c>
      <c r="G498" s="32">
        <v>15</v>
      </c>
      <c r="H498" s="33">
        <v>0.1</v>
      </c>
      <c r="I498" s="34">
        <v>9.1146919999999998</v>
      </c>
      <c r="J498" s="34">
        <v>150.39241799999999</v>
      </c>
      <c r="K498" s="31" t="s">
        <v>1384</v>
      </c>
      <c r="L498" s="31">
        <v>4</v>
      </c>
      <c r="M498" s="31" t="s">
        <v>1388</v>
      </c>
      <c r="N498" s="34">
        <v>11</v>
      </c>
      <c r="O498" s="35">
        <v>0</v>
      </c>
      <c r="P498" s="35" t="s">
        <v>212</v>
      </c>
      <c r="Q498" s="35">
        <v>0</v>
      </c>
      <c r="R498" s="36" t="s">
        <v>212</v>
      </c>
      <c r="S498" s="37" t="str">
        <f>IFERROR(_xlfn.XLOOKUP(R498,'1_Presupuesto'!$E:$E,'1_Presupuesto'!$D:$D),"")</f>
        <v/>
      </c>
    </row>
    <row r="499" spans="1:19" x14ac:dyDescent="0.35">
      <c r="A499" s="31" t="s">
        <v>1383</v>
      </c>
      <c r="B499" s="31" t="s">
        <v>497</v>
      </c>
      <c r="C499" s="31" t="s">
        <v>498</v>
      </c>
      <c r="D499" s="31" t="s">
        <v>562</v>
      </c>
      <c r="E499" s="31" t="s">
        <v>563</v>
      </c>
      <c r="F499" s="31" t="s">
        <v>261</v>
      </c>
      <c r="G499" s="32">
        <v>3.5</v>
      </c>
      <c r="H499" s="33">
        <v>0.1</v>
      </c>
      <c r="I499" s="34">
        <v>63.381982999999998</v>
      </c>
      <c r="J499" s="34">
        <v>244.02063455000001</v>
      </c>
      <c r="K499" s="31" t="s">
        <v>1384</v>
      </c>
      <c r="L499" s="31">
        <v>5</v>
      </c>
      <c r="M499" s="31" t="s">
        <v>1389</v>
      </c>
      <c r="N499" s="34">
        <v>11</v>
      </c>
      <c r="O499" s="35">
        <v>0</v>
      </c>
      <c r="P499" s="35" t="s">
        <v>212</v>
      </c>
      <c r="Q499" s="35">
        <v>0</v>
      </c>
      <c r="R499" s="36" t="s">
        <v>212</v>
      </c>
      <c r="S499" s="37" t="str">
        <f>IFERROR(_xlfn.XLOOKUP(R499,'1_Presupuesto'!$E:$E,'1_Presupuesto'!$D:$D),"")</f>
        <v/>
      </c>
    </row>
    <row r="500" spans="1:19" x14ac:dyDescent="0.35">
      <c r="A500" s="31" t="s">
        <v>1383</v>
      </c>
      <c r="B500" s="31" t="s">
        <v>497</v>
      </c>
      <c r="C500" s="31" t="s">
        <v>498</v>
      </c>
      <c r="D500" s="31" t="s">
        <v>1265</v>
      </c>
      <c r="E500" s="31" t="s">
        <v>1266</v>
      </c>
      <c r="F500" s="31" t="s">
        <v>261</v>
      </c>
      <c r="G500" s="32">
        <v>0.02</v>
      </c>
      <c r="H500" s="33">
        <v>0.1</v>
      </c>
      <c r="I500" s="34">
        <v>4734.07</v>
      </c>
      <c r="J500" s="34">
        <v>104.14954</v>
      </c>
      <c r="K500" s="31" t="s">
        <v>1384</v>
      </c>
      <c r="L500" s="31">
        <v>6</v>
      </c>
      <c r="M500" s="31" t="s">
        <v>1390</v>
      </c>
      <c r="N500" s="34">
        <v>11</v>
      </c>
      <c r="O500" s="35">
        <v>0</v>
      </c>
      <c r="P500" s="35" t="s">
        <v>212</v>
      </c>
      <c r="Q500" s="35">
        <v>0</v>
      </c>
      <c r="R500" s="36" t="s">
        <v>212</v>
      </c>
      <c r="S500" s="37" t="str">
        <f>IFERROR(_xlfn.XLOOKUP(R500,'1_Presupuesto'!$E:$E,'1_Presupuesto'!$D:$D),"")</f>
        <v/>
      </c>
    </row>
    <row r="501" spans="1:19" x14ac:dyDescent="0.35">
      <c r="A501" s="31" t="s">
        <v>1383</v>
      </c>
      <c r="B501" s="31" t="s">
        <v>497</v>
      </c>
      <c r="C501" s="31" t="s">
        <v>498</v>
      </c>
      <c r="D501" s="31" t="s">
        <v>1268</v>
      </c>
      <c r="E501" s="31" t="s">
        <v>1269</v>
      </c>
      <c r="F501" s="31" t="s">
        <v>261</v>
      </c>
      <c r="G501" s="32">
        <v>2.81E-2</v>
      </c>
      <c r="H501" s="33">
        <v>0.1</v>
      </c>
      <c r="I501" s="34">
        <v>23166.59</v>
      </c>
      <c r="J501" s="34">
        <v>716.07929690000003</v>
      </c>
      <c r="K501" s="31" t="s">
        <v>1384</v>
      </c>
      <c r="L501" s="31">
        <v>7</v>
      </c>
      <c r="M501" s="31" t="s">
        <v>1391</v>
      </c>
      <c r="N501" s="34">
        <v>11</v>
      </c>
      <c r="O501" s="35">
        <v>0</v>
      </c>
      <c r="P501" s="35" t="s">
        <v>212</v>
      </c>
      <c r="Q501" s="35">
        <v>0</v>
      </c>
      <c r="R501" s="36" t="s">
        <v>212</v>
      </c>
      <c r="S501" s="37" t="str">
        <f>IFERROR(_xlfn.XLOOKUP(R501,'1_Presupuesto'!$E:$E,'1_Presupuesto'!$D:$D),"")</f>
        <v/>
      </c>
    </row>
    <row r="502" spans="1:19" x14ac:dyDescent="0.35">
      <c r="A502" s="31" t="s">
        <v>1383</v>
      </c>
      <c r="B502" s="31" t="s">
        <v>497</v>
      </c>
      <c r="C502" s="31" t="s">
        <v>498</v>
      </c>
      <c r="D502" s="31" t="s">
        <v>1271</v>
      </c>
      <c r="E502" s="31" t="s">
        <v>1272</v>
      </c>
      <c r="F502" s="31" t="s">
        <v>261</v>
      </c>
      <c r="G502" s="32">
        <v>0.36</v>
      </c>
      <c r="H502" s="33">
        <v>0.1</v>
      </c>
      <c r="I502" s="34">
        <v>10458</v>
      </c>
      <c r="J502" s="34">
        <v>4141.3680000000004</v>
      </c>
      <c r="K502" s="31" t="s">
        <v>1384</v>
      </c>
      <c r="L502" s="31">
        <v>8</v>
      </c>
      <c r="M502" s="31" t="s">
        <v>1392</v>
      </c>
      <c r="N502" s="34">
        <v>11</v>
      </c>
      <c r="O502" s="35">
        <v>0</v>
      </c>
      <c r="P502" s="35" t="s">
        <v>212</v>
      </c>
      <c r="Q502" s="35">
        <v>0</v>
      </c>
      <c r="R502" s="36" t="s">
        <v>212</v>
      </c>
      <c r="S502" s="37" t="str">
        <f>IFERROR(_xlfn.XLOOKUP(R502,'1_Presupuesto'!$E:$E,'1_Presupuesto'!$D:$D),"")</f>
        <v/>
      </c>
    </row>
    <row r="503" spans="1:19" x14ac:dyDescent="0.35">
      <c r="A503" s="31" t="s">
        <v>1383</v>
      </c>
      <c r="B503" s="31" t="s">
        <v>203</v>
      </c>
      <c r="C503" s="31"/>
      <c r="D503" s="31" t="s">
        <v>572</v>
      </c>
      <c r="E503" s="31" t="s">
        <v>573</v>
      </c>
      <c r="F503" s="31"/>
      <c r="G503" s="32">
        <v>0.5</v>
      </c>
      <c r="H503" s="33">
        <v>0</v>
      </c>
      <c r="I503" s="34">
        <v>152.380274273738</v>
      </c>
      <c r="J503" s="34">
        <v>76.190137136869097</v>
      </c>
      <c r="K503" s="31" t="s">
        <v>1393</v>
      </c>
      <c r="L503" s="31">
        <v>1</v>
      </c>
      <c r="M503" s="31" t="s">
        <v>1394</v>
      </c>
      <c r="N503" s="34">
        <v>11</v>
      </c>
      <c r="O503" s="35">
        <v>0</v>
      </c>
      <c r="P503" s="35" t="s">
        <v>212</v>
      </c>
      <c r="Q503" s="35">
        <v>0</v>
      </c>
      <c r="R503" s="36" t="s">
        <v>212</v>
      </c>
      <c r="S503" s="37" t="str">
        <f>IFERROR(_xlfn.XLOOKUP(R503,'1_Presupuesto'!$E:$E,'1_Presupuesto'!$D:$D),"")</f>
        <v/>
      </c>
    </row>
    <row r="504" spans="1:19" x14ac:dyDescent="0.35">
      <c r="A504" s="31" t="s">
        <v>1383</v>
      </c>
      <c r="B504" s="31" t="s">
        <v>203</v>
      </c>
      <c r="C504" s="31"/>
      <c r="D504" s="31" t="s">
        <v>576</v>
      </c>
      <c r="E504" s="31" t="s">
        <v>577</v>
      </c>
      <c r="F504" s="31"/>
      <c r="G504" s="32">
        <v>1</v>
      </c>
      <c r="H504" s="33">
        <v>0</v>
      </c>
      <c r="I504" s="34">
        <v>2570.7599166666701</v>
      </c>
      <c r="J504" s="34">
        <v>2570.7599166666701</v>
      </c>
      <c r="K504" s="31" t="s">
        <v>1393</v>
      </c>
      <c r="L504" s="31">
        <v>2</v>
      </c>
      <c r="M504" s="31" t="s">
        <v>1395</v>
      </c>
      <c r="N504" s="34">
        <v>11</v>
      </c>
      <c r="O504" s="35">
        <v>0</v>
      </c>
      <c r="P504" s="35" t="s">
        <v>212</v>
      </c>
      <c r="Q504" s="35">
        <v>0</v>
      </c>
      <c r="R504" s="36" t="s">
        <v>212</v>
      </c>
      <c r="S504" s="37" t="str">
        <f>IFERROR(_xlfn.XLOOKUP(R504,'1_Presupuesto'!$E:$E,'1_Presupuesto'!$D:$D),"")</f>
        <v/>
      </c>
    </row>
    <row r="505" spans="1:19" x14ac:dyDescent="0.35">
      <c r="A505" s="31" t="s">
        <v>1383</v>
      </c>
      <c r="B505" s="31" t="s">
        <v>478</v>
      </c>
      <c r="C505" s="31" t="s">
        <v>479</v>
      </c>
      <c r="D505" s="31" t="s">
        <v>480</v>
      </c>
      <c r="E505" s="31" t="s">
        <v>183</v>
      </c>
      <c r="F505" s="31" t="s">
        <v>481</v>
      </c>
      <c r="G505" s="32">
        <v>1</v>
      </c>
      <c r="H505" s="33">
        <v>0</v>
      </c>
      <c r="I505" s="34">
        <v>94177.137883538904</v>
      </c>
      <c r="J505" s="34">
        <v>94177.137883538904</v>
      </c>
      <c r="K505" s="31" t="s">
        <v>1396</v>
      </c>
      <c r="L505" s="31">
        <v>1</v>
      </c>
      <c r="M505" s="31" t="s">
        <v>1397</v>
      </c>
      <c r="N505" s="34">
        <v>11</v>
      </c>
      <c r="O505" s="35">
        <v>9.0909090909090898E-2</v>
      </c>
      <c r="P505" s="35" t="s">
        <v>212</v>
      </c>
      <c r="Q505" s="35">
        <v>0</v>
      </c>
      <c r="R505" s="36" t="s">
        <v>212</v>
      </c>
      <c r="S505" s="37" t="str">
        <f>IFERROR(_xlfn.XLOOKUP(R505,'1_Presupuesto'!$E:$E,'1_Presupuesto'!$D:$D),"")</f>
        <v/>
      </c>
    </row>
    <row r="506" spans="1:19" x14ac:dyDescent="0.35">
      <c r="A506" s="31" t="s">
        <v>1383</v>
      </c>
      <c r="B506" s="31" t="s">
        <v>478</v>
      </c>
      <c r="C506" s="31" t="s">
        <v>479</v>
      </c>
      <c r="D506" s="31" t="s">
        <v>494</v>
      </c>
      <c r="E506" s="31" t="s">
        <v>185</v>
      </c>
      <c r="F506" s="31" t="s">
        <v>481</v>
      </c>
      <c r="G506" s="32">
        <v>1</v>
      </c>
      <c r="H506" s="33">
        <v>0</v>
      </c>
      <c r="I506" s="34">
        <v>72132.138365590101</v>
      </c>
      <c r="J506" s="34">
        <v>72132.138365590101</v>
      </c>
      <c r="K506" s="31" t="s">
        <v>1396</v>
      </c>
      <c r="L506" s="31">
        <v>2</v>
      </c>
      <c r="M506" s="31" t="s">
        <v>1398</v>
      </c>
      <c r="N506" s="34">
        <v>11</v>
      </c>
      <c r="O506" s="35">
        <v>9.0909090909090898E-2</v>
      </c>
      <c r="P506" s="35" t="s">
        <v>212</v>
      </c>
      <c r="Q506" s="35">
        <v>0</v>
      </c>
      <c r="R506" s="36" t="s">
        <v>212</v>
      </c>
      <c r="S506" s="37" t="str">
        <f>IFERROR(_xlfn.XLOOKUP(R506,'1_Presupuesto'!$E:$E,'1_Presupuesto'!$D:$D),"")</f>
        <v/>
      </c>
    </row>
    <row r="507" spans="1:19" x14ac:dyDescent="0.35">
      <c r="A507" s="31" t="s">
        <v>1399</v>
      </c>
      <c r="B507" s="31" t="s">
        <v>497</v>
      </c>
      <c r="C507" s="31" t="s">
        <v>498</v>
      </c>
      <c r="D507" s="31" t="s">
        <v>1153</v>
      </c>
      <c r="E507" s="31" t="s">
        <v>1154</v>
      </c>
      <c r="F507" s="31">
        <v>0</v>
      </c>
      <c r="G507" s="32">
        <v>6.25E-2</v>
      </c>
      <c r="H507" s="33">
        <v>0.1</v>
      </c>
      <c r="I507" s="34">
        <v>50027.272727272699</v>
      </c>
      <c r="J507" s="34">
        <v>3439.375</v>
      </c>
      <c r="K507" s="31" t="s">
        <v>1400</v>
      </c>
      <c r="L507" s="31">
        <v>1</v>
      </c>
      <c r="M507" s="31" t="s">
        <v>1401</v>
      </c>
      <c r="N507" s="34">
        <v>20</v>
      </c>
      <c r="O507" s="35">
        <v>0</v>
      </c>
      <c r="P507" s="35" t="s">
        <v>212</v>
      </c>
      <c r="Q507" s="35">
        <v>0</v>
      </c>
      <c r="R507" s="36" t="s">
        <v>212</v>
      </c>
      <c r="S507" s="37" t="str">
        <f>IFERROR(_xlfn.XLOOKUP(R507,'1_Presupuesto'!$E:$E,'1_Presupuesto'!$D:$D),"")</f>
        <v/>
      </c>
    </row>
    <row r="508" spans="1:19" x14ac:dyDescent="0.35">
      <c r="A508" s="31" t="s">
        <v>1399</v>
      </c>
      <c r="B508" s="31" t="s">
        <v>497</v>
      </c>
      <c r="C508" s="31" t="s">
        <v>498</v>
      </c>
      <c r="D508" s="31" t="s">
        <v>509</v>
      </c>
      <c r="E508" s="31" t="s">
        <v>510</v>
      </c>
      <c r="F508" s="31">
        <v>0</v>
      </c>
      <c r="G508" s="32">
        <v>0.01</v>
      </c>
      <c r="H508" s="33">
        <v>0.1</v>
      </c>
      <c r="I508" s="34">
        <v>58016.528925619801</v>
      </c>
      <c r="J508" s="34">
        <v>638.18181818181802</v>
      </c>
      <c r="K508" s="31" t="s">
        <v>1400</v>
      </c>
      <c r="L508" s="31">
        <v>2</v>
      </c>
      <c r="M508" s="31" t="s">
        <v>1402</v>
      </c>
      <c r="N508" s="34">
        <v>20</v>
      </c>
      <c r="O508" s="35">
        <v>0</v>
      </c>
      <c r="P508" s="35" t="s">
        <v>212</v>
      </c>
      <c r="Q508" s="35">
        <v>0</v>
      </c>
      <c r="R508" s="36" t="s">
        <v>212</v>
      </c>
      <c r="S508" s="37" t="str">
        <f>IFERROR(_xlfn.XLOOKUP(R508,'1_Presupuesto'!$E:$E,'1_Presupuesto'!$D:$D),"")</f>
        <v/>
      </c>
    </row>
    <row r="509" spans="1:19" x14ac:dyDescent="0.35">
      <c r="A509" s="31" t="s">
        <v>1399</v>
      </c>
      <c r="B509" s="31" t="s">
        <v>497</v>
      </c>
      <c r="C509" s="31" t="s">
        <v>498</v>
      </c>
      <c r="D509" s="31" t="s">
        <v>512</v>
      </c>
      <c r="E509" s="31" t="s">
        <v>513</v>
      </c>
      <c r="F509" s="31">
        <v>0</v>
      </c>
      <c r="G509" s="32">
        <v>0.03</v>
      </c>
      <c r="H509" s="33">
        <v>0.05</v>
      </c>
      <c r="I509" s="34">
        <v>1182.6446280991699</v>
      </c>
      <c r="J509" s="34">
        <v>37.253305785123899</v>
      </c>
      <c r="K509" s="31" t="s">
        <v>1400</v>
      </c>
      <c r="L509" s="31">
        <v>3</v>
      </c>
      <c r="M509" s="31" t="s">
        <v>1403</v>
      </c>
      <c r="N509" s="34">
        <v>20</v>
      </c>
      <c r="O509" s="35">
        <v>0</v>
      </c>
      <c r="P509" s="35" t="s">
        <v>212</v>
      </c>
      <c r="Q509" s="35">
        <v>0</v>
      </c>
      <c r="R509" s="36" t="s">
        <v>212</v>
      </c>
      <c r="S509" s="37" t="str">
        <f>IFERROR(_xlfn.XLOOKUP(R509,'1_Presupuesto'!$E:$E,'1_Presupuesto'!$D:$D),"")</f>
        <v/>
      </c>
    </row>
    <row r="510" spans="1:19" x14ac:dyDescent="0.35">
      <c r="A510" s="31" t="s">
        <v>1399</v>
      </c>
      <c r="B510" s="31" t="s">
        <v>497</v>
      </c>
      <c r="C510" s="31" t="s">
        <v>498</v>
      </c>
      <c r="D510" s="31" t="s">
        <v>769</v>
      </c>
      <c r="E510" s="31" t="s">
        <v>770</v>
      </c>
      <c r="F510" s="31">
        <v>0</v>
      </c>
      <c r="G510" s="32">
        <v>0.05</v>
      </c>
      <c r="H510" s="33">
        <v>0.1</v>
      </c>
      <c r="I510" s="34">
        <v>5885.9504132231395</v>
      </c>
      <c r="J510" s="34">
        <v>323.72727272727298</v>
      </c>
      <c r="K510" s="31" t="s">
        <v>1400</v>
      </c>
      <c r="L510" s="31">
        <v>4</v>
      </c>
      <c r="M510" s="31" t="s">
        <v>1404</v>
      </c>
      <c r="N510" s="34">
        <v>20</v>
      </c>
      <c r="O510" s="35">
        <v>0</v>
      </c>
      <c r="P510" s="35" t="s">
        <v>212</v>
      </c>
      <c r="Q510" s="35">
        <v>0</v>
      </c>
      <c r="R510" s="36" t="s">
        <v>212</v>
      </c>
      <c r="S510" s="37" t="str">
        <f>IFERROR(_xlfn.XLOOKUP(R510,'1_Presupuesto'!$E:$E,'1_Presupuesto'!$D:$D),"")</f>
        <v/>
      </c>
    </row>
    <row r="511" spans="1:19" x14ac:dyDescent="0.35">
      <c r="A511" s="31" t="s">
        <v>1399</v>
      </c>
      <c r="B511" s="31" t="s">
        <v>497</v>
      </c>
      <c r="C511" s="31" t="s">
        <v>498</v>
      </c>
      <c r="D511" s="31" t="s">
        <v>772</v>
      </c>
      <c r="E511" s="31" t="s">
        <v>773</v>
      </c>
      <c r="F511" s="31">
        <v>0</v>
      </c>
      <c r="G511" s="32">
        <v>0.02</v>
      </c>
      <c r="H511" s="33">
        <v>0.05</v>
      </c>
      <c r="I511" s="34">
        <v>7917.3553719008296</v>
      </c>
      <c r="J511" s="34">
        <v>166.26446280991701</v>
      </c>
      <c r="K511" s="31" t="s">
        <v>1400</v>
      </c>
      <c r="L511" s="31">
        <v>5</v>
      </c>
      <c r="M511" s="31" t="s">
        <v>1405</v>
      </c>
      <c r="N511" s="34">
        <v>20</v>
      </c>
      <c r="O511" s="35">
        <v>0</v>
      </c>
      <c r="P511" s="35" t="s">
        <v>212</v>
      </c>
      <c r="Q511" s="35">
        <v>0</v>
      </c>
      <c r="R511" s="36" t="s">
        <v>212</v>
      </c>
      <c r="S511" s="37" t="str">
        <f>IFERROR(_xlfn.XLOOKUP(R511,'1_Presupuesto'!$E:$E,'1_Presupuesto'!$D:$D),"")</f>
        <v/>
      </c>
    </row>
    <row r="512" spans="1:19" x14ac:dyDescent="0.35">
      <c r="A512" s="31" t="s">
        <v>1399</v>
      </c>
      <c r="B512" s="31" t="s">
        <v>497</v>
      </c>
      <c r="C512" s="31" t="s">
        <v>498</v>
      </c>
      <c r="D512" s="31" t="s">
        <v>503</v>
      </c>
      <c r="E512" s="31" t="s">
        <v>504</v>
      </c>
      <c r="F512" s="31" t="s">
        <v>261</v>
      </c>
      <c r="G512" s="32">
        <v>0.01</v>
      </c>
      <c r="H512" s="33">
        <v>0.05</v>
      </c>
      <c r="I512" s="34">
        <v>6442.15</v>
      </c>
      <c r="J512" s="34">
        <v>67.642574999999994</v>
      </c>
      <c r="K512" s="31" t="s">
        <v>1400</v>
      </c>
      <c r="L512" s="31">
        <v>6</v>
      </c>
      <c r="M512" s="31" t="s">
        <v>1406</v>
      </c>
      <c r="N512" s="34">
        <v>20</v>
      </c>
      <c r="O512" s="35">
        <v>0</v>
      </c>
      <c r="P512" s="35" t="s">
        <v>212</v>
      </c>
      <c r="Q512" s="35">
        <v>0</v>
      </c>
      <c r="R512" s="36" t="s">
        <v>212</v>
      </c>
      <c r="S512" s="37" t="str">
        <f>IFERROR(_xlfn.XLOOKUP(R512,'1_Presupuesto'!$E:$E,'1_Presupuesto'!$D:$D),"")</f>
        <v/>
      </c>
    </row>
    <row r="513" spans="1:19" x14ac:dyDescent="0.35">
      <c r="A513" s="31" t="s">
        <v>1399</v>
      </c>
      <c r="B513" s="31" t="s">
        <v>497</v>
      </c>
      <c r="C513" s="31" t="s">
        <v>498</v>
      </c>
      <c r="D513" s="31" t="s">
        <v>506</v>
      </c>
      <c r="E513" s="31" t="s">
        <v>507</v>
      </c>
      <c r="F513" s="31" t="s">
        <v>261</v>
      </c>
      <c r="G513" s="32">
        <v>0.01</v>
      </c>
      <c r="H513" s="33">
        <v>0.05</v>
      </c>
      <c r="I513" s="34">
        <v>4418.1818181818198</v>
      </c>
      <c r="J513" s="34">
        <v>46.390909090909098</v>
      </c>
      <c r="K513" s="31" t="s">
        <v>1400</v>
      </c>
      <c r="L513" s="31">
        <v>7</v>
      </c>
      <c r="M513" s="31" t="s">
        <v>1407</v>
      </c>
      <c r="N513" s="34">
        <v>20</v>
      </c>
      <c r="O513" s="35">
        <v>0</v>
      </c>
      <c r="P513" s="35" t="s">
        <v>212</v>
      </c>
      <c r="Q513" s="35">
        <v>0</v>
      </c>
      <c r="R513" s="36" t="s">
        <v>212</v>
      </c>
      <c r="S513" s="37" t="str">
        <f>IFERROR(_xlfn.XLOOKUP(R513,'1_Presupuesto'!$E:$E,'1_Presupuesto'!$D:$D),"")</f>
        <v/>
      </c>
    </row>
    <row r="514" spans="1:19" x14ac:dyDescent="0.35">
      <c r="A514" s="31" t="s">
        <v>1399</v>
      </c>
      <c r="B514" s="31" t="s">
        <v>497</v>
      </c>
      <c r="C514" s="31" t="s">
        <v>498</v>
      </c>
      <c r="D514" s="31" t="s">
        <v>777</v>
      </c>
      <c r="E514" s="31" t="s">
        <v>778</v>
      </c>
      <c r="F514" s="31" t="s">
        <v>261</v>
      </c>
      <c r="G514" s="32">
        <v>0.02</v>
      </c>
      <c r="H514" s="33">
        <v>0.05</v>
      </c>
      <c r="I514" s="34">
        <v>8173.5537190082696</v>
      </c>
      <c r="J514" s="34">
        <v>171.64462809917401</v>
      </c>
      <c r="K514" s="31" t="s">
        <v>1400</v>
      </c>
      <c r="L514" s="31">
        <v>8</v>
      </c>
      <c r="M514" s="31" t="s">
        <v>1408</v>
      </c>
      <c r="N514" s="34">
        <v>20</v>
      </c>
      <c r="O514" s="35">
        <v>0</v>
      </c>
      <c r="P514" s="35" t="s">
        <v>212</v>
      </c>
      <c r="Q514" s="35">
        <v>0</v>
      </c>
      <c r="R514" s="36" t="s">
        <v>212</v>
      </c>
      <c r="S514" s="37" t="str">
        <f>IFERROR(_xlfn.XLOOKUP(R514,'1_Presupuesto'!$E:$E,'1_Presupuesto'!$D:$D),"")</f>
        <v/>
      </c>
    </row>
    <row r="515" spans="1:19" x14ac:dyDescent="0.35">
      <c r="A515" s="31" t="s">
        <v>1399</v>
      </c>
      <c r="B515" s="31" t="s">
        <v>497</v>
      </c>
      <c r="C515" s="31" t="s">
        <v>498</v>
      </c>
      <c r="D515" s="31" t="s">
        <v>780</v>
      </c>
      <c r="E515" s="31" t="s">
        <v>781</v>
      </c>
      <c r="F515" s="31">
        <v>0</v>
      </c>
      <c r="G515" s="32">
        <v>2E-3</v>
      </c>
      <c r="H515" s="33">
        <v>0.1</v>
      </c>
      <c r="I515" s="34">
        <v>41314.049586776899</v>
      </c>
      <c r="J515" s="34">
        <v>90.890909090909204</v>
      </c>
      <c r="K515" s="31" t="s">
        <v>1400</v>
      </c>
      <c r="L515" s="31">
        <v>9</v>
      </c>
      <c r="M515" s="31" t="s">
        <v>1409</v>
      </c>
      <c r="N515" s="34">
        <v>20</v>
      </c>
      <c r="O515" s="35">
        <v>0</v>
      </c>
      <c r="P515" s="35" t="s">
        <v>212</v>
      </c>
      <c r="Q515" s="35">
        <v>0</v>
      </c>
      <c r="R515" s="36" t="s">
        <v>212</v>
      </c>
      <c r="S515" s="37" t="str">
        <f>IFERROR(_xlfn.XLOOKUP(R515,'1_Presupuesto'!$E:$E,'1_Presupuesto'!$D:$D),"")</f>
        <v/>
      </c>
    </row>
    <row r="516" spans="1:19" x14ac:dyDescent="0.35">
      <c r="A516" s="31" t="s">
        <v>1399</v>
      </c>
      <c r="B516" s="31" t="s">
        <v>203</v>
      </c>
      <c r="C516" s="31"/>
      <c r="D516" s="31" t="s">
        <v>1126</v>
      </c>
      <c r="E516" s="31" t="s">
        <v>1127</v>
      </c>
      <c r="F516" s="31"/>
      <c r="G516" s="32">
        <v>1</v>
      </c>
      <c r="H516" s="33">
        <v>0</v>
      </c>
      <c r="I516" s="34">
        <v>217.65359719478201</v>
      </c>
      <c r="J516" s="34">
        <v>217.65359719478201</v>
      </c>
      <c r="K516" s="31" t="s">
        <v>1410</v>
      </c>
      <c r="L516" s="31">
        <v>1</v>
      </c>
      <c r="M516" s="31" t="s">
        <v>1411</v>
      </c>
      <c r="N516" s="34">
        <v>20</v>
      </c>
      <c r="O516" s="35">
        <v>0</v>
      </c>
      <c r="P516" s="35" t="s">
        <v>212</v>
      </c>
      <c r="Q516" s="35">
        <v>0</v>
      </c>
      <c r="R516" s="36" t="s">
        <v>212</v>
      </c>
      <c r="S516" s="37" t="str">
        <f>IFERROR(_xlfn.XLOOKUP(R516,'1_Presupuesto'!$E:$E,'1_Presupuesto'!$D:$D),"")</f>
        <v/>
      </c>
    </row>
    <row r="517" spans="1:19" x14ac:dyDescent="0.35">
      <c r="A517" s="31" t="s">
        <v>1399</v>
      </c>
      <c r="B517" s="31" t="s">
        <v>203</v>
      </c>
      <c r="C517" s="31"/>
      <c r="D517" s="31" t="s">
        <v>786</v>
      </c>
      <c r="E517" s="31" t="s">
        <v>787</v>
      </c>
      <c r="F517" s="31"/>
      <c r="G517" s="32">
        <v>1</v>
      </c>
      <c r="H517" s="33">
        <v>0</v>
      </c>
      <c r="I517" s="34">
        <v>1873.3963608356801</v>
      </c>
      <c r="J517" s="34">
        <v>1873.3963608356801</v>
      </c>
      <c r="K517" s="31" t="s">
        <v>1410</v>
      </c>
      <c r="L517" s="31">
        <v>2</v>
      </c>
      <c r="M517" s="31" t="s">
        <v>1412</v>
      </c>
      <c r="N517" s="34">
        <v>20</v>
      </c>
      <c r="O517" s="35">
        <v>0</v>
      </c>
      <c r="P517" s="35" t="s">
        <v>212</v>
      </c>
      <c r="Q517" s="35">
        <v>0</v>
      </c>
      <c r="R517" s="36" t="s">
        <v>212</v>
      </c>
      <c r="S517" s="37" t="str">
        <f>IFERROR(_xlfn.XLOOKUP(R517,'1_Presupuesto'!$E:$E,'1_Presupuesto'!$D:$D),"")</f>
        <v/>
      </c>
    </row>
    <row r="518" spans="1:19" x14ac:dyDescent="0.35">
      <c r="A518" s="31" t="s">
        <v>1399</v>
      </c>
      <c r="B518" s="31" t="s">
        <v>478</v>
      </c>
      <c r="C518" s="31" t="s">
        <v>479</v>
      </c>
      <c r="D518" s="31" t="s">
        <v>480</v>
      </c>
      <c r="E518" s="31" t="s">
        <v>183</v>
      </c>
      <c r="F518" s="31" t="s">
        <v>481</v>
      </c>
      <c r="G518" s="32">
        <v>1</v>
      </c>
      <c r="H518" s="33">
        <v>0</v>
      </c>
      <c r="I518" s="34">
        <v>94177.137883538904</v>
      </c>
      <c r="J518" s="34">
        <v>94177.137883538904</v>
      </c>
      <c r="K518" s="31" t="s">
        <v>1413</v>
      </c>
      <c r="L518" s="31">
        <v>1</v>
      </c>
      <c r="M518" s="31" t="s">
        <v>1414</v>
      </c>
      <c r="N518" s="34">
        <v>20</v>
      </c>
      <c r="O518" s="35">
        <v>0.05</v>
      </c>
      <c r="P518" s="35" t="s">
        <v>212</v>
      </c>
      <c r="Q518" s="35">
        <v>0</v>
      </c>
      <c r="R518" s="36" t="s">
        <v>212</v>
      </c>
      <c r="S518" s="37" t="str">
        <f>IFERROR(_xlfn.XLOOKUP(R518,'1_Presupuesto'!$E:$E,'1_Presupuesto'!$D:$D),"")</f>
        <v/>
      </c>
    </row>
    <row r="519" spans="1:19" x14ac:dyDescent="0.35">
      <c r="A519" s="31" t="s">
        <v>1399</v>
      </c>
      <c r="B519" s="31" t="s">
        <v>478</v>
      </c>
      <c r="C519" s="31" t="s">
        <v>479</v>
      </c>
      <c r="D519" s="31" t="s">
        <v>494</v>
      </c>
      <c r="E519" s="31" t="s">
        <v>185</v>
      </c>
      <c r="F519" s="31" t="s">
        <v>481</v>
      </c>
      <c r="G519" s="32">
        <v>1</v>
      </c>
      <c r="H519" s="33">
        <v>0</v>
      </c>
      <c r="I519" s="34">
        <v>72132.138365590101</v>
      </c>
      <c r="J519" s="34">
        <v>72132.138365590101</v>
      </c>
      <c r="K519" s="31" t="s">
        <v>1413</v>
      </c>
      <c r="L519" s="31">
        <v>2</v>
      </c>
      <c r="M519" s="31" t="s">
        <v>1415</v>
      </c>
      <c r="N519" s="34">
        <v>20</v>
      </c>
      <c r="O519" s="35">
        <v>0.05</v>
      </c>
      <c r="P519" s="35" t="s">
        <v>212</v>
      </c>
      <c r="Q519" s="35">
        <v>0</v>
      </c>
      <c r="R519" s="36" t="s">
        <v>212</v>
      </c>
      <c r="S519" s="37" t="str">
        <f>IFERROR(_xlfn.XLOOKUP(R519,'1_Presupuesto'!$E:$E,'1_Presupuesto'!$D:$D),"")</f>
        <v/>
      </c>
    </row>
    <row r="520" spans="1:19" x14ac:dyDescent="0.35">
      <c r="A520" s="31" t="s">
        <v>1416</v>
      </c>
      <c r="B520" s="31" t="s">
        <v>497</v>
      </c>
      <c r="C520" s="31" t="s">
        <v>498</v>
      </c>
      <c r="D520" s="31" t="s">
        <v>1417</v>
      </c>
      <c r="E520" s="31" t="s">
        <v>1418</v>
      </c>
      <c r="F520" s="31" t="s">
        <v>261</v>
      </c>
      <c r="G520" s="32">
        <v>15</v>
      </c>
      <c r="H520" s="33">
        <v>0.05</v>
      </c>
      <c r="I520" s="34">
        <v>0</v>
      </c>
      <c r="J520" s="34">
        <v>0</v>
      </c>
      <c r="K520" s="31" t="s">
        <v>1419</v>
      </c>
      <c r="L520" s="31">
        <v>1</v>
      </c>
      <c r="M520" s="31" t="s">
        <v>1420</v>
      </c>
      <c r="N520" s="34">
        <v>15</v>
      </c>
      <c r="O520" s="35">
        <v>0</v>
      </c>
      <c r="P520" s="35" t="s">
        <v>212</v>
      </c>
      <c r="Q520" s="35">
        <v>0</v>
      </c>
      <c r="R520" s="36" t="s">
        <v>212</v>
      </c>
      <c r="S520" s="37" t="str">
        <f>IFERROR(_xlfn.XLOOKUP(R520,'1_Presupuesto'!$E:$E,'1_Presupuesto'!$D:$D),"")</f>
        <v/>
      </c>
    </row>
    <row r="521" spans="1:19" x14ac:dyDescent="0.35">
      <c r="A521" s="31" t="s">
        <v>1416</v>
      </c>
      <c r="B521" s="31" t="s">
        <v>497</v>
      </c>
      <c r="C521" s="31" t="s">
        <v>498</v>
      </c>
      <c r="D521" s="31" t="s">
        <v>601</v>
      </c>
      <c r="E521" s="31" t="s">
        <v>602</v>
      </c>
      <c r="F521" s="31">
        <v>0</v>
      </c>
      <c r="G521" s="32">
        <v>0.17</v>
      </c>
      <c r="H521" s="33">
        <v>0.1</v>
      </c>
      <c r="I521" s="34">
        <v>3620.13</v>
      </c>
      <c r="J521" s="34">
        <v>676.96430999999995</v>
      </c>
      <c r="K521" s="31" t="s">
        <v>1419</v>
      </c>
      <c r="L521" s="31">
        <v>2</v>
      </c>
      <c r="M521" s="31" t="s">
        <v>1421</v>
      </c>
      <c r="N521" s="34">
        <v>15</v>
      </c>
      <c r="O521" s="35">
        <v>0</v>
      </c>
      <c r="P521" s="35" t="s">
        <v>212</v>
      </c>
      <c r="Q521" s="35">
        <v>0</v>
      </c>
      <c r="R521" s="36" t="s">
        <v>212</v>
      </c>
      <c r="S521" s="37" t="str">
        <f>IFERROR(_xlfn.XLOOKUP(R521,'1_Presupuesto'!$E:$E,'1_Presupuesto'!$D:$D),"")</f>
        <v/>
      </c>
    </row>
    <row r="522" spans="1:19" x14ac:dyDescent="0.35">
      <c r="A522" s="31" t="s">
        <v>1416</v>
      </c>
      <c r="B522" s="31" t="s">
        <v>497</v>
      </c>
      <c r="C522" s="31" t="s">
        <v>498</v>
      </c>
      <c r="D522" s="31" t="s">
        <v>538</v>
      </c>
      <c r="E522" s="31" t="s">
        <v>539</v>
      </c>
      <c r="F522" s="31">
        <v>0</v>
      </c>
      <c r="G522" s="32">
        <v>0.25</v>
      </c>
      <c r="H522" s="33">
        <v>0.05</v>
      </c>
      <c r="I522" s="34">
        <v>3927.28</v>
      </c>
      <c r="J522" s="34">
        <v>1030.9110000000001</v>
      </c>
      <c r="K522" s="31" t="s">
        <v>1419</v>
      </c>
      <c r="L522" s="31">
        <v>3</v>
      </c>
      <c r="M522" s="31" t="s">
        <v>1422</v>
      </c>
      <c r="N522" s="34">
        <v>15</v>
      </c>
      <c r="O522" s="35">
        <v>0</v>
      </c>
      <c r="P522" s="35" t="s">
        <v>212</v>
      </c>
      <c r="Q522" s="35">
        <v>0</v>
      </c>
      <c r="R522" s="36" t="s">
        <v>212</v>
      </c>
      <c r="S522" s="37" t="str">
        <f>IFERROR(_xlfn.XLOOKUP(R522,'1_Presupuesto'!$E:$E,'1_Presupuesto'!$D:$D),"")</f>
        <v/>
      </c>
    </row>
    <row r="523" spans="1:19" x14ac:dyDescent="0.35">
      <c r="A523" s="31" t="s">
        <v>1416</v>
      </c>
      <c r="B523" s="31" t="s">
        <v>497</v>
      </c>
      <c r="C523" s="31" t="s">
        <v>498</v>
      </c>
      <c r="D523" s="31" t="s">
        <v>541</v>
      </c>
      <c r="E523" s="31" t="s">
        <v>542</v>
      </c>
      <c r="F523" s="31">
        <v>0</v>
      </c>
      <c r="G523" s="32">
        <v>0.125</v>
      </c>
      <c r="H523" s="33">
        <v>0.03</v>
      </c>
      <c r="I523" s="34">
        <v>7891.74</v>
      </c>
      <c r="J523" s="34">
        <v>1016.061525</v>
      </c>
      <c r="K523" s="31" t="s">
        <v>1419</v>
      </c>
      <c r="L523" s="31">
        <v>4</v>
      </c>
      <c r="M523" s="31" t="s">
        <v>1423</v>
      </c>
      <c r="N523" s="34">
        <v>15</v>
      </c>
      <c r="O523" s="35">
        <v>0</v>
      </c>
      <c r="P523" s="35" t="s">
        <v>212</v>
      </c>
      <c r="Q523" s="35">
        <v>0</v>
      </c>
      <c r="R523" s="36" t="s">
        <v>212</v>
      </c>
      <c r="S523" s="37" t="str">
        <f>IFERROR(_xlfn.XLOOKUP(R523,'1_Presupuesto'!$E:$E,'1_Presupuesto'!$D:$D),"")</f>
        <v/>
      </c>
    </row>
    <row r="524" spans="1:19" x14ac:dyDescent="0.35">
      <c r="A524" s="31" t="s">
        <v>1416</v>
      </c>
      <c r="B524" s="31" t="s">
        <v>497</v>
      </c>
      <c r="C524" s="31" t="s">
        <v>498</v>
      </c>
      <c r="D524" s="31" t="s">
        <v>534</v>
      </c>
      <c r="E524" s="31" t="s">
        <v>535</v>
      </c>
      <c r="F524" s="31">
        <v>0</v>
      </c>
      <c r="G524" s="32">
        <v>0.03</v>
      </c>
      <c r="H524" s="33">
        <v>0.05</v>
      </c>
      <c r="I524" s="34">
        <v>32620.38</v>
      </c>
      <c r="J524" s="34">
        <v>1027.54197</v>
      </c>
      <c r="K524" s="31" t="s">
        <v>1419</v>
      </c>
      <c r="L524" s="31">
        <v>5</v>
      </c>
      <c r="M524" s="31" t="s">
        <v>1424</v>
      </c>
      <c r="N524" s="34">
        <v>15</v>
      </c>
      <c r="O524" s="35">
        <v>0</v>
      </c>
      <c r="P524" s="35" t="s">
        <v>212</v>
      </c>
      <c r="Q524" s="35">
        <v>0</v>
      </c>
      <c r="R524" s="36" t="s">
        <v>212</v>
      </c>
      <c r="S524" s="37" t="str">
        <f>IFERROR(_xlfn.XLOOKUP(R524,'1_Presupuesto'!$E:$E,'1_Presupuesto'!$D:$D),"")</f>
        <v/>
      </c>
    </row>
    <row r="525" spans="1:19" x14ac:dyDescent="0.35">
      <c r="A525" s="31" t="s">
        <v>1416</v>
      </c>
      <c r="B525" s="31" t="s">
        <v>203</v>
      </c>
      <c r="C525" s="31"/>
      <c r="D525" s="31" t="s">
        <v>609</v>
      </c>
      <c r="E525" s="31" t="s">
        <v>610</v>
      </c>
      <c r="F525" s="31"/>
      <c r="G525" s="32">
        <v>1</v>
      </c>
      <c r="H525" s="33">
        <v>0</v>
      </c>
      <c r="I525" s="34">
        <v>2485.8709964594</v>
      </c>
      <c r="J525" s="34">
        <v>2485.8709964594</v>
      </c>
      <c r="K525" s="31" t="s">
        <v>1425</v>
      </c>
      <c r="L525" s="31">
        <v>1</v>
      </c>
      <c r="M525" s="31" t="s">
        <v>1426</v>
      </c>
      <c r="N525" s="34">
        <v>15</v>
      </c>
      <c r="O525" s="35">
        <v>0</v>
      </c>
      <c r="P525" s="35" t="s">
        <v>212</v>
      </c>
      <c r="Q525" s="35">
        <v>0</v>
      </c>
      <c r="R525" s="36" t="s">
        <v>212</v>
      </c>
      <c r="S525" s="37" t="str">
        <f>IFERROR(_xlfn.XLOOKUP(R525,'1_Presupuesto'!$E:$E,'1_Presupuesto'!$D:$D),"")</f>
        <v/>
      </c>
    </row>
    <row r="526" spans="1:19" x14ac:dyDescent="0.35">
      <c r="A526" s="31" t="s">
        <v>1416</v>
      </c>
      <c r="B526" s="31" t="s">
        <v>203</v>
      </c>
      <c r="C526" s="31"/>
      <c r="D526" s="31" t="s">
        <v>613</v>
      </c>
      <c r="E526" s="31" t="s">
        <v>614</v>
      </c>
      <c r="F526" s="31"/>
      <c r="G526" s="32">
        <v>0.5</v>
      </c>
      <c r="H526" s="33">
        <v>0</v>
      </c>
      <c r="I526" s="34">
        <v>620.81078197718296</v>
      </c>
      <c r="J526" s="34">
        <v>310.40539098859199</v>
      </c>
      <c r="K526" s="31" t="s">
        <v>1425</v>
      </c>
      <c r="L526" s="31">
        <v>2</v>
      </c>
      <c r="M526" s="31" t="s">
        <v>1427</v>
      </c>
      <c r="N526" s="34">
        <v>15</v>
      </c>
      <c r="O526" s="35">
        <v>0</v>
      </c>
      <c r="P526" s="35" t="s">
        <v>212</v>
      </c>
      <c r="Q526" s="35">
        <v>0</v>
      </c>
      <c r="R526" s="36" t="s">
        <v>212</v>
      </c>
      <c r="S526" s="37" t="str">
        <f>IFERROR(_xlfn.XLOOKUP(R526,'1_Presupuesto'!$E:$E,'1_Presupuesto'!$D:$D),"")</f>
        <v/>
      </c>
    </row>
    <row r="527" spans="1:19" x14ac:dyDescent="0.35">
      <c r="A527" s="31" t="s">
        <v>1416</v>
      </c>
      <c r="B527" s="31" t="s">
        <v>203</v>
      </c>
      <c r="C527" s="31"/>
      <c r="D527" s="31" t="s">
        <v>616</v>
      </c>
      <c r="E527" s="31" t="s">
        <v>617</v>
      </c>
      <c r="F527" s="31"/>
      <c r="G527" s="32">
        <v>1</v>
      </c>
      <c r="H527" s="33">
        <v>0</v>
      </c>
      <c r="I527" s="34">
        <v>1040.43144867052</v>
      </c>
      <c r="J527" s="34">
        <v>1040.43144867052</v>
      </c>
      <c r="K527" s="31" t="s">
        <v>1425</v>
      </c>
      <c r="L527" s="31">
        <v>3</v>
      </c>
      <c r="M527" s="31" t="s">
        <v>1428</v>
      </c>
      <c r="N527" s="34">
        <v>15</v>
      </c>
      <c r="O527" s="35">
        <v>0</v>
      </c>
      <c r="P527" s="35" t="s">
        <v>212</v>
      </c>
      <c r="Q527" s="35">
        <v>0</v>
      </c>
      <c r="R527" s="36" t="s">
        <v>212</v>
      </c>
      <c r="S527" s="37" t="str">
        <f>IFERROR(_xlfn.XLOOKUP(R527,'1_Presupuesto'!$E:$E,'1_Presupuesto'!$D:$D),"")</f>
        <v/>
      </c>
    </row>
    <row r="528" spans="1:19" x14ac:dyDescent="0.35">
      <c r="A528" s="31" t="s">
        <v>1416</v>
      </c>
      <c r="B528" s="31" t="s">
        <v>478</v>
      </c>
      <c r="C528" s="31" t="s">
        <v>479</v>
      </c>
      <c r="D528" s="31" t="s">
        <v>480</v>
      </c>
      <c r="E528" s="31" t="s">
        <v>183</v>
      </c>
      <c r="F528" s="31" t="s">
        <v>481</v>
      </c>
      <c r="G528" s="32">
        <v>1</v>
      </c>
      <c r="H528" s="33">
        <v>0</v>
      </c>
      <c r="I528" s="34">
        <v>94177.137883538904</v>
      </c>
      <c r="J528" s="34">
        <v>94177.137883538904</v>
      </c>
      <c r="K528" s="31" t="s">
        <v>1429</v>
      </c>
      <c r="L528" s="31">
        <v>1</v>
      </c>
      <c r="M528" s="31" t="s">
        <v>1430</v>
      </c>
      <c r="N528" s="34">
        <v>15</v>
      </c>
      <c r="O528" s="35">
        <v>6.6666666666666693E-2</v>
      </c>
      <c r="P528" s="35" t="s">
        <v>212</v>
      </c>
      <c r="Q528" s="35">
        <v>0</v>
      </c>
      <c r="R528" s="36" t="s">
        <v>212</v>
      </c>
      <c r="S528" s="37" t="str">
        <f>IFERROR(_xlfn.XLOOKUP(R528,'1_Presupuesto'!$E:$E,'1_Presupuesto'!$D:$D),"")</f>
        <v/>
      </c>
    </row>
    <row r="529" spans="1:19" x14ac:dyDescent="0.35">
      <c r="A529" s="31" t="s">
        <v>1416</v>
      </c>
      <c r="B529" s="31" t="s">
        <v>478</v>
      </c>
      <c r="C529" s="31" t="s">
        <v>479</v>
      </c>
      <c r="D529" s="31" t="s">
        <v>484</v>
      </c>
      <c r="E529" s="31" t="s">
        <v>186</v>
      </c>
      <c r="F529" s="31" t="s">
        <v>481</v>
      </c>
      <c r="G529" s="32">
        <v>1</v>
      </c>
      <c r="H529" s="33">
        <v>0</v>
      </c>
      <c r="I529" s="34">
        <v>67240.498860267602</v>
      </c>
      <c r="J529" s="34">
        <v>67240.498860267602</v>
      </c>
      <c r="K529" s="31" t="s">
        <v>1429</v>
      </c>
      <c r="L529" s="31">
        <v>2</v>
      </c>
      <c r="M529" s="31" t="s">
        <v>1431</v>
      </c>
      <c r="N529" s="34">
        <v>15</v>
      </c>
      <c r="O529" s="35">
        <v>6.6666666666666693E-2</v>
      </c>
      <c r="P529" s="35" t="s">
        <v>212</v>
      </c>
      <c r="Q529" s="35">
        <v>0</v>
      </c>
      <c r="R529" s="36" t="s">
        <v>212</v>
      </c>
      <c r="S529" s="37" t="str">
        <f>IFERROR(_xlfn.XLOOKUP(R529,'1_Presupuesto'!$E:$E,'1_Presupuesto'!$D:$D),"")</f>
        <v/>
      </c>
    </row>
    <row r="530" spans="1:19" x14ac:dyDescent="0.35">
      <c r="A530" s="31" t="s">
        <v>1432</v>
      </c>
      <c r="B530" s="31" t="s">
        <v>497</v>
      </c>
      <c r="C530" s="31" t="s">
        <v>498</v>
      </c>
      <c r="D530" s="31" t="s">
        <v>499</v>
      </c>
      <c r="E530" s="31" t="s">
        <v>500</v>
      </c>
      <c r="F530" s="31">
        <v>0</v>
      </c>
      <c r="G530" s="32">
        <v>2.7778000000000001E-2</v>
      </c>
      <c r="H530" s="33">
        <v>0.1</v>
      </c>
      <c r="I530" s="34">
        <v>35525.949999999997</v>
      </c>
      <c r="J530" s="34">
        <v>1085.5238230099999</v>
      </c>
      <c r="K530" s="31" t="s">
        <v>1433</v>
      </c>
      <c r="L530" s="31">
        <v>1</v>
      </c>
      <c r="M530" s="31" t="s">
        <v>1434</v>
      </c>
      <c r="N530" s="34">
        <v>25</v>
      </c>
      <c r="O530" s="35">
        <v>0</v>
      </c>
      <c r="P530" s="35" t="s">
        <v>212</v>
      </c>
      <c r="Q530" s="35">
        <v>0</v>
      </c>
      <c r="R530" s="36" t="s">
        <v>212</v>
      </c>
      <c r="S530" s="37" t="str">
        <f>IFERROR(_xlfn.XLOOKUP(R530,'1_Presupuesto'!$E:$E,'1_Presupuesto'!$D:$D),"")</f>
        <v/>
      </c>
    </row>
    <row r="531" spans="1:19" x14ac:dyDescent="0.35">
      <c r="A531" s="31" t="s">
        <v>1432</v>
      </c>
      <c r="B531" s="31" t="s">
        <v>497</v>
      </c>
      <c r="C531" s="31" t="s">
        <v>498</v>
      </c>
      <c r="D531" s="31" t="s">
        <v>525</v>
      </c>
      <c r="E531" s="31" t="s">
        <v>526</v>
      </c>
      <c r="F531" s="31" t="s">
        <v>261</v>
      </c>
      <c r="G531" s="32">
        <v>0.1</v>
      </c>
      <c r="H531" s="33">
        <v>0.1</v>
      </c>
      <c r="I531" s="34">
        <v>57227.91</v>
      </c>
      <c r="J531" s="34">
        <v>6295.0700999999999</v>
      </c>
      <c r="K531" s="31" t="s">
        <v>1433</v>
      </c>
      <c r="L531" s="31">
        <v>2</v>
      </c>
      <c r="M531" s="31" t="s">
        <v>1435</v>
      </c>
      <c r="N531" s="34">
        <v>25</v>
      </c>
      <c r="O531" s="35">
        <v>0</v>
      </c>
      <c r="P531" s="35" t="s">
        <v>212</v>
      </c>
      <c r="Q531" s="35">
        <v>0</v>
      </c>
      <c r="R531" s="36" t="s">
        <v>212</v>
      </c>
      <c r="S531" s="37" t="str">
        <f>IFERROR(_xlfn.XLOOKUP(R531,'1_Presupuesto'!$E:$E,'1_Presupuesto'!$D:$D),"")</f>
        <v/>
      </c>
    </row>
    <row r="532" spans="1:19" x14ac:dyDescent="0.35">
      <c r="A532" s="31" t="s">
        <v>1432</v>
      </c>
      <c r="B532" s="31" t="s">
        <v>497</v>
      </c>
      <c r="C532" s="31" t="s">
        <v>498</v>
      </c>
      <c r="D532" s="31" t="s">
        <v>503</v>
      </c>
      <c r="E532" s="31" t="s">
        <v>504</v>
      </c>
      <c r="F532" s="31" t="s">
        <v>261</v>
      </c>
      <c r="G532" s="32">
        <v>0.01</v>
      </c>
      <c r="H532" s="33">
        <v>0.05</v>
      </c>
      <c r="I532" s="34">
        <v>6442.15</v>
      </c>
      <c r="J532" s="34">
        <v>67.642574999999994</v>
      </c>
      <c r="K532" s="31" t="s">
        <v>1433</v>
      </c>
      <c r="L532" s="31">
        <v>3</v>
      </c>
      <c r="M532" s="31" t="s">
        <v>1436</v>
      </c>
      <c r="N532" s="34">
        <v>25</v>
      </c>
      <c r="O532" s="35">
        <v>0</v>
      </c>
      <c r="P532" s="35" t="s">
        <v>212</v>
      </c>
      <c r="Q532" s="35">
        <v>0</v>
      </c>
      <c r="R532" s="36" t="s">
        <v>212</v>
      </c>
      <c r="S532" s="37" t="str">
        <f>IFERROR(_xlfn.XLOOKUP(R532,'1_Presupuesto'!$E:$E,'1_Presupuesto'!$D:$D),"")</f>
        <v/>
      </c>
    </row>
    <row r="533" spans="1:19" x14ac:dyDescent="0.35">
      <c r="A533" s="31" t="s">
        <v>1432</v>
      </c>
      <c r="B533" s="31" t="s">
        <v>497</v>
      </c>
      <c r="C533" s="31" t="s">
        <v>498</v>
      </c>
      <c r="D533" s="31" t="s">
        <v>506</v>
      </c>
      <c r="E533" s="31" t="s">
        <v>507</v>
      </c>
      <c r="F533" s="31" t="s">
        <v>261</v>
      </c>
      <c r="G533" s="32">
        <v>0.02</v>
      </c>
      <c r="H533" s="33">
        <v>0.05</v>
      </c>
      <c r="I533" s="34">
        <v>4418.1818181818198</v>
      </c>
      <c r="J533" s="34">
        <v>92.781818181818196</v>
      </c>
      <c r="K533" s="31" t="s">
        <v>1433</v>
      </c>
      <c r="L533" s="31">
        <v>4</v>
      </c>
      <c r="M533" s="31" t="s">
        <v>1437</v>
      </c>
      <c r="N533" s="34">
        <v>25</v>
      </c>
      <c r="O533" s="35">
        <v>0</v>
      </c>
      <c r="P533" s="35" t="s">
        <v>212</v>
      </c>
      <c r="Q533" s="35">
        <v>0</v>
      </c>
      <c r="R533" s="36" t="s">
        <v>212</v>
      </c>
      <c r="S533" s="37" t="str">
        <f>IFERROR(_xlfn.XLOOKUP(R533,'1_Presupuesto'!$E:$E,'1_Presupuesto'!$D:$D),"")</f>
        <v/>
      </c>
    </row>
    <row r="534" spans="1:19" x14ac:dyDescent="0.35">
      <c r="A534" s="31" t="s">
        <v>1432</v>
      </c>
      <c r="B534" s="31" t="s">
        <v>497</v>
      </c>
      <c r="C534" s="31" t="s">
        <v>498</v>
      </c>
      <c r="D534" s="31" t="s">
        <v>509</v>
      </c>
      <c r="E534" s="31" t="s">
        <v>510</v>
      </c>
      <c r="F534" s="31">
        <v>0</v>
      </c>
      <c r="G534" s="32">
        <v>0.01</v>
      </c>
      <c r="H534" s="33">
        <v>0.05</v>
      </c>
      <c r="I534" s="34">
        <v>58016.528925619801</v>
      </c>
      <c r="J534" s="34">
        <v>609.17355371900805</v>
      </c>
      <c r="K534" s="31" t="s">
        <v>1433</v>
      </c>
      <c r="L534" s="31">
        <v>5</v>
      </c>
      <c r="M534" s="31" t="s">
        <v>1438</v>
      </c>
      <c r="N534" s="34">
        <v>25</v>
      </c>
      <c r="O534" s="35">
        <v>0</v>
      </c>
      <c r="P534" s="35" t="s">
        <v>212</v>
      </c>
      <c r="Q534" s="35">
        <v>0</v>
      </c>
      <c r="R534" s="36" t="s">
        <v>212</v>
      </c>
      <c r="S534" s="37" t="str">
        <f>IFERROR(_xlfn.XLOOKUP(R534,'1_Presupuesto'!$E:$E,'1_Presupuesto'!$D:$D),"")</f>
        <v/>
      </c>
    </row>
    <row r="535" spans="1:19" x14ac:dyDescent="0.35">
      <c r="A535" s="31" t="s">
        <v>1432</v>
      </c>
      <c r="B535" s="31" t="s">
        <v>497</v>
      </c>
      <c r="C535" s="31" t="s">
        <v>498</v>
      </c>
      <c r="D535" s="31" t="s">
        <v>512</v>
      </c>
      <c r="E535" s="31" t="s">
        <v>513</v>
      </c>
      <c r="F535" s="31">
        <v>0</v>
      </c>
      <c r="G535" s="32">
        <v>0.02</v>
      </c>
      <c r="H535" s="33">
        <v>0.05</v>
      </c>
      <c r="I535" s="34">
        <v>1182.6446280991699</v>
      </c>
      <c r="J535" s="34">
        <v>24.835537190082601</v>
      </c>
      <c r="K535" s="31" t="s">
        <v>1433</v>
      </c>
      <c r="L535" s="31">
        <v>6</v>
      </c>
      <c r="M535" s="31" t="s">
        <v>1439</v>
      </c>
      <c r="N535" s="34">
        <v>25</v>
      </c>
      <c r="O535" s="35">
        <v>0</v>
      </c>
      <c r="P535" s="35" t="s">
        <v>212</v>
      </c>
      <c r="Q535" s="35">
        <v>0</v>
      </c>
      <c r="R535" s="36" t="s">
        <v>212</v>
      </c>
      <c r="S535" s="37" t="str">
        <f>IFERROR(_xlfn.XLOOKUP(R535,'1_Presupuesto'!$E:$E,'1_Presupuesto'!$D:$D),"")</f>
        <v/>
      </c>
    </row>
    <row r="536" spans="1:19" x14ac:dyDescent="0.35">
      <c r="A536" s="31" t="s">
        <v>1432</v>
      </c>
      <c r="B536" s="31" t="s">
        <v>497</v>
      </c>
      <c r="C536" s="31" t="s">
        <v>498</v>
      </c>
      <c r="D536" s="31" t="s">
        <v>1440</v>
      </c>
      <c r="E536" s="31" t="s">
        <v>1441</v>
      </c>
      <c r="F536" s="31" t="s">
        <v>261</v>
      </c>
      <c r="G536" s="32">
        <v>0.06</v>
      </c>
      <c r="H536" s="33">
        <v>0.05</v>
      </c>
      <c r="I536" s="34">
        <v>3600</v>
      </c>
      <c r="J536" s="34">
        <v>226.8</v>
      </c>
      <c r="K536" s="31" t="s">
        <v>1433</v>
      </c>
      <c r="L536" s="31">
        <v>7</v>
      </c>
      <c r="M536" s="31" t="s">
        <v>1442</v>
      </c>
      <c r="N536" s="34">
        <v>25</v>
      </c>
      <c r="O536" s="35">
        <v>0</v>
      </c>
      <c r="P536" s="35" t="s">
        <v>212</v>
      </c>
      <c r="Q536" s="35">
        <v>0</v>
      </c>
      <c r="R536" s="36" t="s">
        <v>212</v>
      </c>
      <c r="S536" s="37" t="str">
        <f>IFERROR(_xlfn.XLOOKUP(R536,'1_Presupuesto'!$E:$E,'1_Presupuesto'!$D:$D),"")</f>
        <v/>
      </c>
    </row>
    <row r="537" spans="1:19" x14ac:dyDescent="0.35">
      <c r="A537" s="31" t="s">
        <v>1432</v>
      </c>
      <c r="B537" s="31" t="s">
        <v>203</v>
      </c>
      <c r="C537" s="31"/>
      <c r="D537" s="31" t="s">
        <v>515</v>
      </c>
      <c r="E537" s="31" t="s">
        <v>516</v>
      </c>
      <c r="F537" s="31"/>
      <c r="G537" s="32">
        <v>1</v>
      </c>
      <c r="H537" s="33">
        <v>0</v>
      </c>
      <c r="I537" s="34">
        <v>874.41130614484598</v>
      </c>
      <c r="J537" s="34">
        <v>874.41130614484598</v>
      </c>
      <c r="K537" s="31" t="s">
        <v>1443</v>
      </c>
      <c r="L537" s="31">
        <v>1</v>
      </c>
      <c r="M537" s="31" t="s">
        <v>1444</v>
      </c>
      <c r="N537" s="34">
        <v>25</v>
      </c>
      <c r="O537" s="35">
        <v>0</v>
      </c>
      <c r="P537" s="35" t="s">
        <v>212</v>
      </c>
      <c r="Q537" s="35">
        <v>0</v>
      </c>
      <c r="R537" s="36" t="s">
        <v>212</v>
      </c>
      <c r="S537" s="37" t="str">
        <f>IFERROR(_xlfn.XLOOKUP(R537,'1_Presupuesto'!$E:$E,'1_Presupuesto'!$D:$D),"")</f>
        <v/>
      </c>
    </row>
    <row r="538" spans="1:19" x14ac:dyDescent="0.35">
      <c r="A538" s="31" t="s">
        <v>1432</v>
      </c>
      <c r="B538" s="31" t="s">
        <v>478</v>
      </c>
      <c r="C538" s="31" t="s">
        <v>479</v>
      </c>
      <c r="D538" s="31" t="s">
        <v>484</v>
      </c>
      <c r="E538" s="31" t="s">
        <v>186</v>
      </c>
      <c r="F538" s="31" t="s">
        <v>481</v>
      </c>
      <c r="G538" s="32">
        <v>1</v>
      </c>
      <c r="H538" s="33">
        <v>0</v>
      </c>
      <c r="I538" s="34">
        <v>67240.498860267602</v>
      </c>
      <c r="J538" s="34">
        <v>67240.498860267602</v>
      </c>
      <c r="K538" s="31" t="s">
        <v>1445</v>
      </c>
      <c r="L538" s="31">
        <v>1</v>
      </c>
      <c r="M538" s="31" t="s">
        <v>1446</v>
      </c>
      <c r="N538" s="34">
        <v>25</v>
      </c>
      <c r="O538" s="35">
        <v>0.04</v>
      </c>
      <c r="P538" s="35" t="s">
        <v>212</v>
      </c>
      <c r="Q538" s="35">
        <v>0</v>
      </c>
      <c r="R538" s="36" t="s">
        <v>212</v>
      </c>
      <c r="S538" s="37" t="str">
        <f>IFERROR(_xlfn.XLOOKUP(R538,'1_Presupuesto'!$E:$E,'1_Presupuesto'!$D:$D),"")</f>
        <v/>
      </c>
    </row>
    <row r="539" spans="1:19" x14ac:dyDescent="0.35">
      <c r="A539" s="31" t="s">
        <v>1432</v>
      </c>
      <c r="B539" s="31" t="s">
        <v>478</v>
      </c>
      <c r="C539" s="31" t="s">
        <v>479</v>
      </c>
      <c r="D539" s="31" t="s">
        <v>480</v>
      </c>
      <c r="E539" s="31" t="s">
        <v>183</v>
      </c>
      <c r="F539" s="31" t="s">
        <v>481</v>
      </c>
      <c r="G539" s="32">
        <v>1</v>
      </c>
      <c r="H539" s="33">
        <v>0</v>
      </c>
      <c r="I539" s="34">
        <v>94177.137883538904</v>
      </c>
      <c r="J539" s="34">
        <v>94177.137883538904</v>
      </c>
      <c r="K539" s="31" t="s">
        <v>1445</v>
      </c>
      <c r="L539" s="31">
        <v>2</v>
      </c>
      <c r="M539" s="31" t="s">
        <v>1447</v>
      </c>
      <c r="N539" s="34">
        <v>25</v>
      </c>
      <c r="O539" s="35">
        <v>0.04</v>
      </c>
      <c r="P539" s="35" t="s">
        <v>212</v>
      </c>
      <c r="Q539" s="35">
        <v>0</v>
      </c>
      <c r="R539" s="36" t="s">
        <v>212</v>
      </c>
      <c r="S539" s="37" t="str">
        <f>IFERROR(_xlfn.XLOOKUP(R539,'1_Presupuesto'!$E:$E,'1_Presupuesto'!$D:$D),"")</f>
        <v/>
      </c>
    </row>
    <row r="540" spans="1:19" x14ac:dyDescent="0.35">
      <c r="A540" s="31" t="s">
        <v>1448</v>
      </c>
      <c r="B540" s="31" t="s">
        <v>497</v>
      </c>
      <c r="C540" s="31" t="s">
        <v>498</v>
      </c>
      <c r="D540" s="31" t="s">
        <v>1449</v>
      </c>
      <c r="E540" s="31" t="s">
        <v>1450</v>
      </c>
      <c r="F540" s="31">
        <v>0</v>
      </c>
      <c r="G540" s="32">
        <v>3.5000000000000003E-2</v>
      </c>
      <c r="H540" s="33">
        <v>0.1</v>
      </c>
      <c r="I540" s="34">
        <v>106809.917355372</v>
      </c>
      <c r="J540" s="34">
        <v>4112.1818181818198</v>
      </c>
      <c r="K540" s="31" t="s">
        <v>1451</v>
      </c>
      <c r="L540" s="31">
        <v>1</v>
      </c>
      <c r="M540" s="31" t="s">
        <v>1452</v>
      </c>
      <c r="N540" s="34">
        <v>50</v>
      </c>
      <c r="O540" s="35">
        <v>0</v>
      </c>
      <c r="P540" s="35" t="s">
        <v>212</v>
      </c>
      <c r="Q540" s="35">
        <v>0</v>
      </c>
      <c r="R540" s="36" t="s">
        <v>212</v>
      </c>
      <c r="S540" s="37" t="str">
        <f>IFERROR(_xlfn.XLOOKUP(R540,'1_Presupuesto'!$E:$E,'1_Presupuesto'!$D:$D),"")</f>
        <v/>
      </c>
    </row>
    <row r="541" spans="1:19" x14ac:dyDescent="0.35">
      <c r="A541" s="31" t="s">
        <v>1448</v>
      </c>
      <c r="B541" s="31" t="s">
        <v>497</v>
      </c>
      <c r="C541" s="31" t="s">
        <v>498</v>
      </c>
      <c r="D541" s="31" t="s">
        <v>1453</v>
      </c>
      <c r="E541" s="31" t="s">
        <v>1454</v>
      </c>
      <c r="F541" s="31">
        <v>0</v>
      </c>
      <c r="G541" s="32">
        <v>0.04</v>
      </c>
      <c r="H541" s="33">
        <v>0.1</v>
      </c>
      <c r="I541" s="34">
        <v>100000</v>
      </c>
      <c r="J541" s="34">
        <v>4400</v>
      </c>
      <c r="K541" s="31" t="s">
        <v>1451</v>
      </c>
      <c r="L541" s="31">
        <v>2</v>
      </c>
      <c r="M541" s="31" t="s">
        <v>1455</v>
      </c>
      <c r="N541" s="34">
        <v>50</v>
      </c>
      <c r="O541" s="35">
        <v>0</v>
      </c>
      <c r="P541" s="35" t="s">
        <v>212</v>
      </c>
      <c r="Q541" s="35">
        <v>0</v>
      </c>
      <c r="R541" s="36" t="s">
        <v>212</v>
      </c>
      <c r="S541" s="37" t="str">
        <f>IFERROR(_xlfn.XLOOKUP(R541,'1_Presupuesto'!$E:$E,'1_Presupuesto'!$D:$D),"")</f>
        <v/>
      </c>
    </row>
    <row r="542" spans="1:19" x14ac:dyDescent="0.35">
      <c r="A542" s="31" t="s">
        <v>1448</v>
      </c>
      <c r="B542" s="31" t="s">
        <v>497</v>
      </c>
      <c r="C542" s="31" t="s">
        <v>498</v>
      </c>
      <c r="D542" s="31" t="s">
        <v>597</v>
      </c>
      <c r="E542" s="31" t="s">
        <v>598</v>
      </c>
      <c r="F542" s="31" t="s">
        <v>218</v>
      </c>
      <c r="G542" s="32">
        <v>126.45123966942199</v>
      </c>
      <c r="H542" s="33">
        <v>0</v>
      </c>
      <c r="I542" s="34">
        <v>1</v>
      </c>
      <c r="J542" s="34">
        <v>126.45123966942199</v>
      </c>
      <c r="K542" s="31" t="s">
        <v>1451</v>
      </c>
      <c r="L542" s="31">
        <v>3</v>
      </c>
      <c r="M542" s="31" t="s">
        <v>1456</v>
      </c>
      <c r="N542" s="34">
        <v>50</v>
      </c>
      <c r="O542" s="35">
        <v>0</v>
      </c>
      <c r="P542" s="35" t="s">
        <v>212</v>
      </c>
      <c r="Q542" s="35">
        <v>0</v>
      </c>
      <c r="R542" s="36" t="s">
        <v>212</v>
      </c>
      <c r="S542" s="37" t="str">
        <f>IFERROR(_xlfn.XLOOKUP(R542,'1_Presupuesto'!$E:$E,'1_Presupuesto'!$D:$D),"")</f>
        <v/>
      </c>
    </row>
    <row r="543" spans="1:19" x14ac:dyDescent="0.35">
      <c r="A543" s="31" t="s">
        <v>1448</v>
      </c>
      <c r="B543" s="31" t="s">
        <v>203</v>
      </c>
      <c r="C543" s="31"/>
      <c r="D543" s="31" t="s">
        <v>572</v>
      </c>
      <c r="E543" s="31" t="s">
        <v>573</v>
      </c>
      <c r="F543" s="31"/>
      <c r="G543" s="32">
        <v>1</v>
      </c>
      <c r="H543" s="33">
        <v>0</v>
      </c>
      <c r="I543" s="34">
        <v>152.380274273738</v>
      </c>
      <c r="J543" s="34">
        <v>152.380274273738</v>
      </c>
      <c r="K543" s="31" t="s">
        <v>1457</v>
      </c>
      <c r="L543" s="31">
        <v>1</v>
      </c>
      <c r="M543" s="31" t="s">
        <v>1458</v>
      </c>
      <c r="N543" s="34">
        <v>50</v>
      </c>
      <c r="O543" s="35">
        <v>0</v>
      </c>
      <c r="P543" s="35" t="s">
        <v>212</v>
      </c>
      <c r="Q543" s="35">
        <v>0</v>
      </c>
      <c r="R543" s="36" t="s">
        <v>212</v>
      </c>
      <c r="S543" s="37" t="str">
        <f>IFERROR(_xlfn.XLOOKUP(R543,'1_Presupuesto'!$E:$E,'1_Presupuesto'!$D:$D),"")</f>
        <v/>
      </c>
    </row>
    <row r="544" spans="1:19" x14ac:dyDescent="0.35">
      <c r="A544" s="31" t="s">
        <v>1448</v>
      </c>
      <c r="B544" s="31" t="s">
        <v>203</v>
      </c>
      <c r="C544" s="31"/>
      <c r="D544" s="31" t="s">
        <v>786</v>
      </c>
      <c r="E544" s="31" t="s">
        <v>787</v>
      </c>
      <c r="F544" s="31"/>
      <c r="G544" s="32">
        <v>1</v>
      </c>
      <c r="H544" s="33">
        <v>0</v>
      </c>
      <c r="I544" s="34">
        <v>1873.3963608356801</v>
      </c>
      <c r="J544" s="34">
        <v>1873.3963608356801</v>
      </c>
      <c r="K544" s="31" t="s">
        <v>1457</v>
      </c>
      <c r="L544" s="31">
        <v>2</v>
      </c>
      <c r="M544" s="31" t="s">
        <v>1459</v>
      </c>
      <c r="N544" s="34">
        <v>50</v>
      </c>
      <c r="O544" s="35">
        <v>0</v>
      </c>
      <c r="P544" s="35" t="s">
        <v>212</v>
      </c>
      <c r="Q544" s="35">
        <v>0</v>
      </c>
      <c r="R544" s="36" t="s">
        <v>212</v>
      </c>
      <c r="S544" s="37" t="str">
        <f>IFERROR(_xlfn.XLOOKUP(R544,'1_Presupuesto'!$E:$E,'1_Presupuesto'!$D:$D),"")</f>
        <v/>
      </c>
    </row>
    <row r="545" spans="1:19" x14ac:dyDescent="0.35">
      <c r="A545" s="31" t="s">
        <v>1448</v>
      </c>
      <c r="B545" s="31" t="s">
        <v>478</v>
      </c>
      <c r="C545" s="31" t="s">
        <v>479</v>
      </c>
      <c r="D545" s="31" t="s">
        <v>484</v>
      </c>
      <c r="E545" s="31" t="s">
        <v>186</v>
      </c>
      <c r="F545" s="31" t="s">
        <v>481</v>
      </c>
      <c r="G545" s="32">
        <v>1</v>
      </c>
      <c r="H545" s="33">
        <v>0</v>
      </c>
      <c r="I545" s="34">
        <v>67240.498860267602</v>
      </c>
      <c r="J545" s="34">
        <v>67240.498860267602</v>
      </c>
      <c r="K545" s="31" t="s">
        <v>1460</v>
      </c>
      <c r="L545" s="31">
        <v>1</v>
      </c>
      <c r="M545" s="31" t="s">
        <v>1461</v>
      </c>
      <c r="N545" s="34">
        <v>50</v>
      </c>
      <c r="O545" s="35">
        <v>0.02</v>
      </c>
      <c r="P545" s="35" t="s">
        <v>212</v>
      </c>
      <c r="Q545" s="35">
        <v>0</v>
      </c>
      <c r="R545" s="36" t="s">
        <v>212</v>
      </c>
      <c r="S545" s="37" t="str">
        <f>IFERROR(_xlfn.XLOOKUP(R545,'1_Presupuesto'!$E:$E,'1_Presupuesto'!$D:$D),"")</f>
        <v/>
      </c>
    </row>
    <row r="546" spans="1:19" x14ac:dyDescent="0.35">
      <c r="A546" s="31" t="s">
        <v>1448</v>
      </c>
      <c r="B546" s="31" t="s">
        <v>478</v>
      </c>
      <c r="C546" s="31" t="s">
        <v>479</v>
      </c>
      <c r="D546" s="31" t="s">
        <v>480</v>
      </c>
      <c r="E546" s="31" t="s">
        <v>183</v>
      </c>
      <c r="F546" s="31" t="s">
        <v>481</v>
      </c>
      <c r="G546" s="32">
        <v>1</v>
      </c>
      <c r="H546" s="33">
        <v>0</v>
      </c>
      <c r="I546" s="34">
        <v>94177.137883538904</v>
      </c>
      <c r="J546" s="34">
        <v>94177.137883538904</v>
      </c>
      <c r="K546" s="31" t="s">
        <v>1460</v>
      </c>
      <c r="L546" s="31">
        <v>2</v>
      </c>
      <c r="M546" s="31" t="s">
        <v>1462</v>
      </c>
      <c r="N546" s="34">
        <v>50</v>
      </c>
      <c r="O546" s="35">
        <v>0.02</v>
      </c>
      <c r="P546" s="35" t="s">
        <v>212</v>
      </c>
      <c r="Q546" s="35">
        <v>0</v>
      </c>
      <c r="R546" s="36" t="s">
        <v>212</v>
      </c>
      <c r="S546" s="37" t="str">
        <f>IFERROR(_xlfn.XLOOKUP(R546,'1_Presupuesto'!$E:$E,'1_Presupuesto'!$D:$D),"")</f>
        <v/>
      </c>
    </row>
    <row r="547" spans="1:19" x14ac:dyDescent="0.35">
      <c r="A547" s="31" t="s">
        <v>1463</v>
      </c>
      <c r="B547" s="31" t="s">
        <v>497</v>
      </c>
      <c r="C547" s="31" t="s">
        <v>498</v>
      </c>
      <c r="D547" s="31" t="s">
        <v>1464</v>
      </c>
      <c r="E547" s="31" t="s">
        <v>1465</v>
      </c>
      <c r="F547" s="31" t="s">
        <v>739</v>
      </c>
      <c r="G547" s="32">
        <v>1.5</v>
      </c>
      <c r="H547" s="33">
        <v>0.1</v>
      </c>
      <c r="I547" s="34">
        <v>7607.88</v>
      </c>
      <c r="J547" s="34">
        <v>12553.002</v>
      </c>
      <c r="K547" s="31" t="s">
        <v>1466</v>
      </c>
      <c r="L547" s="31">
        <v>1</v>
      </c>
      <c r="M547" s="31" t="s">
        <v>1467</v>
      </c>
      <c r="N547" s="34">
        <v>35</v>
      </c>
      <c r="O547" s="35">
        <v>0</v>
      </c>
      <c r="P547" s="35" t="s">
        <v>212</v>
      </c>
      <c r="Q547" s="35">
        <v>0</v>
      </c>
      <c r="R547" s="36" t="s">
        <v>212</v>
      </c>
      <c r="S547" s="37" t="str">
        <f>IFERROR(_xlfn.XLOOKUP(R547,'1_Presupuesto'!$E:$E,'1_Presupuesto'!$D:$D),"")</f>
        <v/>
      </c>
    </row>
    <row r="548" spans="1:19" x14ac:dyDescent="0.35">
      <c r="A548" s="31" t="s">
        <v>1463</v>
      </c>
      <c r="B548" s="31" t="s">
        <v>497</v>
      </c>
      <c r="C548" s="31" t="s">
        <v>498</v>
      </c>
      <c r="D548" s="31" t="s">
        <v>1468</v>
      </c>
      <c r="E548" s="31" t="s">
        <v>1469</v>
      </c>
      <c r="F548" s="31" t="s">
        <v>261</v>
      </c>
      <c r="G548" s="32">
        <v>1E-3</v>
      </c>
      <c r="H548" s="33">
        <v>0</v>
      </c>
      <c r="I548" s="34">
        <v>465850</v>
      </c>
      <c r="J548" s="34">
        <v>465.85</v>
      </c>
      <c r="K548" s="31" t="s">
        <v>1466</v>
      </c>
      <c r="L548" s="31">
        <v>2</v>
      </c>
      <c r="M548" s="31" t="s">
        <v>1470</v>
      </c>
      <c r="N548" s="34">
        <v>35</v>
      </c>
      <c r="O548" s="35">
        <v>0</v>
      </c>
      <c r="P548" s="35" t="s">
        <v>212</v>
      </c>
      <c r="Q548" s="35">
        <v>0</v>
      </c>
      <c r="R548" s="36" t="s">
        <v>212</v>
      </c>
      <c r="S548" s="37" t="str">
        <f>IFERROR(_xlfn.XLOOKUP(R548,'1_Presupuesto'!$E:$E,'1_Presupuesto'!$D:$D),"")</f>
        <v/>
      </c>
    </row>
    <row r="549" spans="1:19" x14ac:dyDescent="0.35">
      <c r="A549" s="31" t="s">
        <v>1463</v>
      </c>
      <c r="B549" s="31" t="s">
        <v>203</v>
      </c>
      <c r="C549" s="31"/>
      <c r="D549" s="31" t="s">
        <v>613</v>
      </c>
      <c r="E549" s="31" t="s">
        <v>614</v>
      </c>
      <c r="F549" s="31"/>
      <c r="G549" s="32">
        <v>1</v>
      </c>
      <c r="H549" s="33">
        <v>0</v>
      </c>
      <c r="I549" s="34">
        <v>620.81078197718296</v>
      </c>
      <c r="J549" s="34">
        <v>620.81078197718296</v>
      </c>
      <c r="K549" s="31" t="s">
        <v>1471</v>
      </c>
      <c r="L549" s="31">
        <v>1</v>
      </c>
      <c r="M549" s="31" t="s">
        <v>1472</v>
      </c>
      <c r="N549" s="34">
        <v>35</v>
      </c>
      <c r="O549" s="35">
        <v>0</v>
      </c>
      <c r="P549" s="35" t="s">
        <v>212</v>
      </c>
      <c r="Q549" s="35">
        <v>0</v>
      </c>
      <c r="R549" s="36" t="s">
        <v>212</v>
      </c>
      <c r="S549" s="37" t="str">
        <f>IFERROR(_xlfn.XLOOKUP(R549,'1_Presupuesto'!$E:$E,'1_Presupuesto'!$D:$D),"")</f>
        <v/>
      </c>
    </row>
    <row r="550" spans="1:19" x14ac:dyDescent="0.35">
      <c r="A550" s="31" t="s">
        <v>1463</v>
      </c>
      <c r="B550" s="31" t="s">
        <v>203</v>
      </c>
      <c r="C550" s="31"/>
      <c r="D550" s="31" t="s">
        <v>609</v>
      </c>
      <c r="E550" s="31" t="s">
        <v>610</v>
      </c>
      <c r="F550" s="31"/>
      <c r="G550" s="32">
        <v>1</v>
      </c>
      <c r="H550" s="33">
        <v>0</v>
      </c>
      <c r="I550" s="34">
        <v>2485.8709964594</v>
      </c>
      <c r="J550" s="34">
        <v>2485.8709964594</v>
      </c>
      <c r="K550" s="31" t="s">
        <v>1471</v>
      </c>
      <c r="L550" s="31">
        <v>2</v>
      </c>
      <c r="M550" s="31" t="s">
        <v>1473</v>
      </c>
      <c r="N550" s="34">
        <v>35</v>
      </c>
      <c r="O550" s="35">
        <v>0</v>
      </c>
      <c r="P550" s="35" t="s">
        <v>212</v>
      </c>
      <c r="Q550" s="35">
        <v>0</v>
      </c>
      <c r="R550" s="36" t="s">
        <v>212</v>
      </c>
      <c r="S550" s="37" t="str">
        <f>IFERROR(_xlfn.XLOOKUP(R550,'1_Presupuesto'!$E:$E,'1_Presupuesto'!$D:$D),"")</f>
        <v/>
      </c>
    </row>
    <row r="551" spans="1:19" x14ac:dyDescent="0.35">
      <c r="A551" s="31" t="s">
        <v>1463</v>
      </c>
      <c r="B551" s="31" t="s">
        <v>203</v>
      </c>
      <c r="C551" s="31"/>
      <c r="D551" s="31" t="s">
        <v>1474</v>
      </c>
      <c r="E551" s="31" t="s">
        <v>1475</v>
      </c>
      <c r="F551" s="31"/>
      <c r="G551" s="32">
        <v>1</v>
      </c>
      <c r="H551" s="33">
        <v>0</v>
      </c>
      <c r="I551" s="34">
        <v>41000.000016400001</v>
      </c>
      <c r="J551" s="34">
        <v>41000.000016400001</v>
      </c>
      <c r="K551" s="31" t="s">
        <v>1471</v>
      </c>
      <c r="L551" s="31">
        <v>3</v>
      </c>
      <c r="M551" s="31" t="s">
        <v>1476</v>
      </c>
      <c r="N551" s="34">
        <v>35</v>
      </c>
      <c r="O551" s="35">
        <v>0</v>
      </c>
      <c r="P551" s="35" t="s">
        <v>212</v>
      </c>
      <c r="Q551" s="35">
        <v>0</v>
      </c>
      <c r="R551" s="36" t="s">
        <v>212</v>
      </c>
      <c r="S551" s="37" t="str">
        <f>IFERROR(_xlfn.XLOOKUP(R551,'1_Presupuesto'!$E:$E,'1_Presupuesto'!$D:$D),"")</f>
        <v/>
      </c>
    </row>
    <row r="552" spans="1:19" x14ac:dyDescent="0.35">
      <c r="A552" s="31" t="s">
        <v>1463</v>
      </c>
      <c r="B552" s="31" t="s">
        <v>478</v>
      </c>
      <c r="C552" s="31" t="s">
        <v>479</v>
      </c>
      <c r="D552" s="31" t="s">
        <v>480</v>
      </c>
      <c r="E552" s="31" t="s">
        <v>183</v>
      </c>
      <c r="F552" s="31" t="s">
        <v>481</v>
      </c>
      <c r="G552" s="32">
        <v>1</v>
      </c>
      <c r="H552" s="33">
        <v>0</v>
      </c>
      <c r="I552" s="34">
        <v>94177.137883538904</v>
      </c>
      <c r="J552" s="34">
        <v>94177.137883538904</v>
      </c>
      <c r="K552" s="31" t="s">
        <v>1477</v>
      </c>
      <c r="L552" s="31">
        <v>1</v>
      </c>
      <c r="M552" s="31" t="s">
        <v>1478</v>
      </c>
      <c r="N552" s="34">
        <v>35</v>
      </c>
      <c r="O552" s="35">
        <v>2.8571428571428598E-2</v>
      </c>
      <c r="P552" s="35" t="s">
        <v>212</v>
      </c>
      <c r="Q552" s="35">
        <v>0</v>
      </c>
      <c r="R552" s="36" t="s">
        <v>212</v>
      </c>
      <c r="S552" s="37" t="str">
        <f>IFERROR(_xlfn.XLOOKUP(R552,'1_Presupuesto'!$E:$E,'1_Presupuesto'!$D:$D),"")</f>
        <v/>
      </c>
    </row>
    <row r="553" spans="1:19" x14ac:dyDescent="0.35">
      <c r="A553" s="31" t="s">
        <v>1463</v>
      </c>
      <c r="B553" s="31" t="s">
        <v>478</v>
      </c>
      <c r="C553" s="31" t="s">
        <v>479</v>
      </c>
      <c r="D553" s="31" t="s">
        <v>484</v>
      </c>
      <c r="E553" s="31" t="s">
        <v>186</v>
      </c>
      <c r="F553" s="31" t="s">
        <v>481</v>
      </c>
      <c r="G553" s="32">
        <v>1.5</v>
      </c>
      <c r="H553" s="33">
        <v>0</v>
      </c>
      <c r="I553" s="34">
        <v>67240.498860267602</v>
      </c>
      <c r="J553" s="34">
        <v>100860.748290401</v>
      </c>
      <c r="K553" s="31" t="s">
        <v>1477</v>
      </c>
      <c r="L553" s="31">
        <v>2</v>
      </c>
      <c r="M553" s="31" t="s">
        <v>1479</v>
      </c>
      <c r="N553" s="34">
        <v>35</v>
      </c>
      <c r="O553" s="35">
        <v>4.2857142857142899E-2</v>
      </c>
      <c r="P553" s="35" t="s">
        <v>212</v>
      </c>
      <c r="Q553" s="35">
        <v>0</v>
      </c>
      <c r="R553" s="36" t="s">
        <v>212</v>
      </c>
      <c r="S553" s="37" t="str">
        <f>IFERROR(_xlfn.XLOOKUP(R553,'1_Presupuesto'!$E:$E,'1_Presupuesto'!$D:$D),"")</f>
        <v/>
      </c>
    </row>
    <row r="554" spans="1:19" x14ac:dyDescent="0.35">
      <c r="A554" s="31" t="s">
        <v>1463</v>
      </c>
      <c r="B554" s="31" t="s">
        <v>478</v>
      </c>
      <c r="C554" s="31" t="s">
        <v>479</v>
      </c>
      <c r="D554" s="31" t="s">
        <v>494</v>
      </c>
      <c r="E554" s="31" t="s">
        <v>185</v>
      </c>
      <c r="F554" s="31" t="s">
        <v>481</v>
      </c>
      <c r="G554" s="32">
        <v>1</v>
      </c>
      <c r="H554" s="33">
        <v>0</v>
      </c>
      <c r="I554" s="34">
        <v>72132.138365590101</v>
      </c>
      <c r="J554" s="34">
        <v>72132.138365590101</v>
      </c>
      <c r="K554" s="31" t="s">
        <v>1477</v>
      </c>
      <c r="L554" s="31">
        <v>3</v>
      </c>
      <c r="M554" s="31" t="s">
        <v>1480</v>
      </c>
      <c r="N554" s="34">
        <v>35</v>
      </c>
      <c r="O554" s="35">
        <v>2.8571428571428598E-2</v>
      </c>
      <c r="P554" s="35" t="s">
        <v>212</v>
      </c>
      <c r="Q554" s="35">
        <v>0</v>
      </c>
      <c r="R554" s="36" t="s">
        <v>212</v>
      </c>
      <c r="S554" s="37" t="str">
        <f>IFERROR(_xlfn.XLOOKUP(R554,'1_Presupuesto'!$E:$E,'1_Presupuesto'!$D:$D),"")</f>
        <v/>
      </c>
    </row>
    <row r="555" spans="1:19" x14ac:dyDescent="0.35">
      <c r="A555" s="31" t="s">
        <v>1481</v>
      </c>
      <c r="B555" s="31" t="s">
        <v>497</v>
      </c>
      <c r="C555" s="31" t="s">
        <v>498</v>
      </c>
      <c r="D555" s="31" t="s">
        <v>512</v>
      </c>
      <c r="E555" s="31" t="s">
        <v>513</v>
      </c>
      <c r="F555" s="31">
        <v>0</v>
      </c>
      <c r="G555" s="32">
        <v>0.03</v>
      </c>
      <c r="H555" s="33">
        <v>0.05</v>
      </c>
      <c r="I555" s="34">
        <v>1182.6446280991699</v>
      </c>
      <c r="J555" s="34">
        <v>37.253305785123899</v>
      </c>
      <c r="K555" s="31" t="s">
        <v>1482</v>
      </c>
      <c r="L555" s="31">
        <v>1</v>
      </c>
      <c r="M555" s="31" t="s">
        <v>1483</v>
      </c>
      <c r="N555" s="34">
        <v>20</v>
      </c>
      <c r="O555" s="35">
        <v>0</v>
      </c>
      <c r="P555" s="35" t="s">
        <v>212</v>
      </c>
      <c r="Q555" s="35">
        <v>0</v>
      </c>
      <c r="R555" s="36" t="s">
        <v>212</v>
      </c>
      <c r="S555" s="37" t="str">
        <f>IFERROR(_xlfn.XLOOKUP(R555,'1_Presupuesto'!$E:$E,'1_Presupuesto'!$D:$D),"")</f>
        <v/>
      </c>
    </row>
    <row r="556" spans="1:19" x14ac:dyDescent="0.35">
      <c r="A556" s="31" t="s">
        <v>1481</v>
      </c>
      <c r="B556" s="31" t="s">
        <v>497</v>
      </c>
      <c r="C556" s="31" t="s">
        <v>498</v>
      </c>
      <c r="D556" s="31" t="s">
        <v>1484</v>
      </c>
      <c r="E556" s="31" t="s">
        <v>1485</v>
      </c>
      <c r="F556" s="31" t="s">
        <v>261</v>
      </c>
      <c r="G556" s="32">
        <v>0.05</v>
      </c>
      <c r="H556" s="33">
        <v>0.1</v>
      </c>
      <c r="I556" s="34">
        <v>6933.12</v>
      </c>
      <c r="J556" s="34">
        <v>381.32159999999999</v>
      </c>
      <c r="K556" s="31" t="s">
        <v>1482</v>
      </c>
      <c r="L556" s="31">
        <v>2</v>
      </c>
      <c r="M556" s="31" t="s">
        <v>1486</v>
      </c>
      <c r="N556" s="34">
        <v>20</v>
      </c>
      <c r="O556" s="35">
        <v>0</v>
      </c>
      <c r="P556" s="35" t="s">
        <v>212</v>
      </c>
      <c r="Q556" s="35">
        <v>0</v>
      </c>
      <c r="R556" s="36" t="s">
        <v>212</v>
      </c>
      <c r="S556" s="37" t="str">
        <f>IFERROR(_xlfn.XLOOKUP(R556,'1_Presupuesto'!$E:$E,'1_Presupuesto'!$D:$D),"")</f>
        <v/>
      </c>
    </row>
    <row r="557" spans="1:19" x14ac:dyDescent="0.35">
      <c r="A557" s="31" t="s">
        <v>1481</v>
      </c>
      <c r="B557" s="31" t="s">
        <v>497</v>
      </c>
      <c r="C557" s="31" t="s">
        <v>498</v>
      </c>
      <c r="D557" s="31" t="s">
        <v>772</v>
      </c>
      <c r="E557" s="31" t="s">
        <v>773</v>
      </c>
      <c r="F557" s="31">
        <v>0</v>
      </c>
      <c r="G557" s="32">
        <v>0.01</v>
      </c>
      <c r="H557" s="33">
        <v>0.05</v>
      </c>
      <c r="I557" s="34">
        <v>7917.3553719008296</v>
      </c>
      <c r="J557" s="34">
        <v>83.132231404958702</v>
      </c>
      <c r="K557" s="31" t="s">
        <v>1482</v>
      </c>
      <c r="L557" s="31">
        <v>3</v>
      </c>
      <c r="M557" s="31" t="s">
        <v>1487</v>
      </c>
      <c r="N557" s="34">
        <v>20</v>
      </c>
      <c r="O557" s="35">
        <v>0</v>
      </c>
      <c r="P557" s="35" t="s">
        <v>212</v>
      </c>
      <c r="Q557" s="35">
        <v>0</v>
      </c>
      <c r="R557" s="36" t="s">
        <v>212</v>
      </c>
      <c r="S557" s="37" t="str">
        <f>IFERROR(_xlfn.XLOOKUP(R557,'1_Presupuesto'!$E:$E,'1_Presupuesto'!$D:$D),"")</f>
        <v/>
      </c>
    </row>
    <row r="558" spans="1:19" x14ac:dyDescent="0.35">
      <c r="A558" s="31" t="s">
        <v>1481</v>
      </c>
      <c r="B558" s="31" t="s">
        <v>497</v>
      </c>
      <c r="C558" s="31" t="s">
        <v>498</v>
      </c>
      <c r="D558" s="31" t="s">
        <v>503</v>
      </c>
      <c r="E558" s="31" t="s">
        <v>504</v>
      </c>
      <c r="F558" s="31" t="s">
        <v>261</v>
      </c>
      <c r="G558" s="32">
        <v>5.0000000000000001E-3</v>
      </c>
      <c r="H558" s="33">
        <v>0.05</v>
      </c>
      <c r="I558" s="34">
        <v>6442.15</v>
      </c>
      <c r="J558" s="34">
        <v>33.821287499999997</v>
      </c>
      <c r="K558" s="31" t="s">
        <v>1482</v>
      </c>
      <c r="L558" s="31">
        <v>4</v>
      </c>
      <c r="M558" s="31" t="s">
        <v>1488</v>
      </c>
      <c r="N558" s="34">
        <v>20</v>
      </c>
      <c r="O558" s="35">
        <v>0</v>
      </c>
      <c r="P558" s="35" t="s">
        <v>212</v>
      </c>
      <c r="Q558" s="35">
        <v>0</v>
      </c>
      <c r="R558" s="36" t="s">
        <v>212</v>
      </c>
      <c r="S558" s="37" t="str">
        <f>IFERROR(_xlfn.XLOOKUP(R558,'1_Presupuesto'!$E:$E,'1_Presupuesto'!$D:$D),"")</f>
        <v/>
      </c>
    </row>
    <row r="559" spans="1:19" x14ac:dyDescent="0.35">
      <c r="A559" s="31" t="s">
        <v>1481</v>
      </c>
      <c r="B559" s="31" t="s">
        <v>497</v>
      </c>
      <c r="C559" s="31" t="s">
        <v>498</v>
      </c>
      <c r="D559" s="31" t="s">
        <v>506</v>
      </c>
      <c r="E559" s="31" t="s">
        <v>507</v>
      </c>
      <c r="F559" s="31" t="s">
        <v>261</v>
      </c>
      <c r="G559" s="32">
        <v>5.0000000000000001E-3</v>
      </c>
      <c r="H559" s="33">
        <v>0.05</v>
      </c>
      <c r="I559" s="34">
        <v>4418.1818181818198</v>
      </c>
      <c r="J559" s="34">
        <v>23.195454545454599</v>
      </c>
      <c r="K559" s="31" t="s">
        <v>1482</v>
      </c>
      <c r="L559" s="31">
        <v>5</v>
      </c>
      <c r="M559" s="31" t="s">
        <v>1489</v>
      </c>
      <c r="N559" s="34">
        <v>20</v>
      </c>
      <c r="O559" s="35">
        <v>0</v>
      </c>
      <c r="P559" s="35" t="s">
        <v>212</v>
      </c>
      <c r="Q559" s="35">
        <v>0</v>
      </c>
      <c r="R559" s="36" t="s">
        <v>212</v>
      </c>
      <c r="S559" s="37" t="str">
        <f>IFERROR(_xlfn.XLOOKUP(R559,'1_Presupuesto'!$E:$E,'1_Presupuesto'!$D:$D),"")</f>
        <v/>
      </c>
    </row>
    <row r="560" spans="1:19" x14ac:dyDescent="0.35">
      <c r="A560" s="31" t="s">
        <v>1481</v>
      </c>
      <c r="B560" s="31" t="s">
        <v>497</v>
      </c>
      <c r="C560" s="31" t="s">
        <v>498</v>
      </c>
      <c r="D560" s="31" t="s">
        <v>777</v>
      </c>
      <c r="E560" s="31" t="s">
        <v>778</v>
      </c>
      <c r="F560" s="31" t="s">
        <v>261</v>
      </c>
      <c r="G560" s="32">
        <v>0.01</v>
      </c>
      <c r="H560" s="33">
        <v>0.05</v>
      </c>
      <c r="I560" s="34">
        <v>8173.5537190082696</v>
      </c>
      <c r="J560" s="34">
        <v>85.822314049586794</v>
      </c>
      <c r="K560" s="31" t="s">
        <v>1482</v>
      </c>
      <c r="L560" s="31">
        <v>6</v>
      </c>
      <c r="M560" s="31" t="s">
        <v>1490</v>
      </c>
      <c r="N560" s="34">
        <v>20</v>
      </c>
      <c r="O560" s="35">
        <v>0</v>
      </c>
      <c r="P560" s="35" t="s">
        <v>212</v>
      </c>
      <c r="Q560" s="35">
        <v>0</v>
      </c>
      <c r="R560" s="36" t="s">
        <v>212</v>
      </c>
      <c r="S560" s="37" t="str">
        <f>IFERROR(_xlfn.XLOOKUP(R560,'1_Presupuesto'!$E:$E,'1_Presupuesto'!$D:$D),"")</f>
        <v/>
      </c>
    </row>
    <row r="561" spans="1:19" x14ac:dyDescent="0.35">
      <c r="A561" s="31" t="s">
        <v>1481</v>
      </c>
      <c r="B561" s="31" t="s">
        <v>497</v>
      </c>
      <c r="C561" s="31" t="s">
        <v>498</v>
      </c>
      <c r="D561" s="31" t="s">
        <v>783</v>
      </c>
      <c r="E561" s="31" t="s">
        <v>784</v>
      </c>
      <c r="F561" s="31">
        <v>0</v>
      </c>
      <c r="G561" s="32">
        <v>1.2500000000000001E-2</v>
      </c>
      <c r="H561" s="33">
        <v>0.1</v>
      </c>
      <c r="I561" s="34">
        <v>143389.25619834699</v>
      </c>
      <c r="J561" s="34">
        <v>1971.60227272727</v>
      </c>
      <c r="K561" s="31" t="s">
        <v>1482</v>
      </c>
      <c r="L561" s="31">
        <v>7</v>
      </c>
      <c r="M561" s="31" t="s">
        <v>1491</v>
      </c>
      <c r="N561" s="34">
        <v>20</v>
      </c>
      <c r="O561" s="35">
        <v>0</v>
      </c>
      <c r="P561" s="35" t="s">
        <v>212</v>
      </c>
      <c r="Q561" s="35">
        <v>0</v>
      </c>
      <c r="R561" s="36" t="s">
        <v>212</v>
      </c>
      <c r="S561" s="37" t="str">
        <f>IFERROR(_xlfn.XLOOKUP(R561,'1_Presupuesto'!$E:$E,'1_Presupuesto'!$D:$D),"")</f>
        <v/>
      </c>
    </row>
    <row r="562" spans="1:19" x14ac:dyDescent="0.35">
      <c r="A562" s="31" t="s">
        <v>1481</v>
      </c>
      <c r="B562" s="31" t="s">
        <v>203</v>
      </c>
      <c r="C562" s="31"/>
      <c r="D562" s="31" t="s">
        <v>1126</v>
      </c>
      <c r="E562" s="31" t="s">
        <v>1127</v>
      </c>
      <c r="F562" s="31"/>
      <c r="G562" s="32">
        <v>1</v>
      </c>
      <c r="H562" s="33">
        <v>0</v>
      </c>
      <c r="I562" s="34">
        <v>217.65359719478201</v>
      </c>
      <c r="J562" s="34">
        <v>217.65359719478201</v>
      </c>
      <c r="K562" s="31" t="s">
        <v>1492</v>
      </c>
      <c r="L562" s="31">
        <v>1</v>
      </c>
      <c r="M562" s="31" t="s">
        <v>1493</v>
      </c>
      <c r="N562" s="34">
        <v>20</v>
      </c>
      <c r="O562" s="35">
        <v>0</v>
      </c>
      <c r="P562" s="35" t="s">
        <v>212</v>
      </c>
      <c r="Q562" s="35">
        <v>0</v>
      </c>
      <c r="R562" s="36" t="s">
        <v>212</v>
      </c>
      <c r="S562" s="37" t="str">
        <f>IFERROR(_xlfn.XLOOKUP(R562,'1_Presupuesto'!$E:$E,'1_Presupuesto'!$D:$D),"")</f>
        <v/>
      </c>
    </row>
    <row r="563" spans="1:19" x14ac:dyDescent="0.35">
      <c r="A563" s="31" t="s">
        <v>1481</v>
      </c>
      <c r="B563" s="31" t="s">
        <v>203</v>
      </c>
      <c r="C563" s="31"/>
      <c r="D563" s="31" t="s">
        <v>786</v>
      </c>
      <c r="E563" s="31" t="s">
        <v>787</v>
      </c>
      <c r="F563" s="31"/>
      <c r="G563" s="32">
        <v>1</v>
      </c>
      <c r="H563" s="33">
        <v>0</v>
      </c>
      <c r="I563" s="34">
        <v>1873.3963608356801</v>
      </c>
      <c r="J563" s="34">
        <v>1873.3963608356801</v>
      </c>
      <c r="K563" s="31" t="s">
        <v>1492</v>
      </c>
      <c r="L563" s="31">
        <v>2</v>
      </c>
      <c r="M563" s="31" t="s">
        <v>1494</v>
      </c>
      <c r="N563" s="34">
        <v>20</v>
      </c>
      <c r="O563" s="35">
        <v>0</v>
      </c>
      <c r="P563" s="35" t="s">
        <v>212</v>
      </c>
      <c r="Q563" s="35">
        <v>0</v>
      </c>
      <c r="R563" s="36" t="s">
        <v>212</v>
      </c>
      <c r="S563" s="37" t="str">
        <f>IFERROR(_xlfn.XLOOKUP(R563,'1_Presupuesto'!$E:$E,'1_Presupuesto'!$D:$D),"")</f>
        <v/>
      </c>
    </row>
    <row r="564" spans="1:19" x14ac:dyDescent="0.35">
      <c r="A564" s="31" t="s">
        <v>1481</v>
      </c>
      <c r="B564" s="31" t="s">
        <v>478</v>
      </c>
      <c r="C564" s="31" t="s">
        <v>479</v>
      </c>
      <c r="D564" s="31" t="s">
        <v>480</v>
      </c>
      <c r="E564" s="31" t="s">
        <v>183</v>
      </c>
      <c r="F564" s="31" t="s">
        <v>481</v>
      </c>
      <c r="G564" s="32">
        <v>1</v>
      </c>
      <c r="H564" s="33">
        <v>0</v>
      </c>
      <c r="I564" s="34">
        <v>94177.137883538904</v>
      </c>
      <c r="J564" s="34">
        <v>94177.137883538904</v>
      </c>
      <c r="K564" s="31" t="s">
        <v>1495</v>
      </c>
      <c r="L564" s="31">
        <v>1</v>
      </c>
      <c r="M564" s="31" t="s">
        <v>1496</v>
      </c>
      <c r="N564" s="34">
        <v>20</v>
      </c>
      <c r="O564" s="35">
        <v>0.05</v>
      </c>
      <c r="P564" s="35" t="s">
        <v>212</v>
      </c>
      <c r="Q564" s="35">
        <v>0</v>
      </c>
      <c r="R564" s="36" t="s">
        <v>212</v>
      </c>
      <c r="S564" s="37" t="str">
        <f>IFERROR(_xlfn.XLOOKUP(R564,'1_Presupuesto'!$E:$E,'1_Presupuesto'!$D:$D),"")</f>
        <v/>
      </c>
    </row>
    <row r="565" spans="1:19" x14ac:dyDescent="0.35">
      <c r="A565" s="31" t="s">
        <v>1497</v>
      </c>
      <c r="B565" s="31" t="s">
        <v>497</v>
      </c>
      <c r="C565" s="31" t="s">
        <v>498</v>
      </c>
      <c r="D565" s="31" t="s">
        <v>601</v>
      </c>
      <c r="E565" s="31" t="s">
        <v>602</v>
      </c>
      <c r="F565" s="31">
        <v>0</v>
      </c>
      <c r="G565" s="32">
        <v>0.17</v>
      </c>
      <c r="H565" s="33">
        <v>0.1</v>
      </c>
      <c r="I565" s="34">
        <v>3620.13</v>
      </c>
      <c r="J565" s="34">
        <v>676.96430999999995</v>
      </c>
      <c r="K565" s="31" t="s">
        <v>1498</v>
      </c>
      <c r="L565" s="31">
        <v>1</v>
      </c>
      <c r="M565" s="31" t="s">
        <v>1499</v>
      </c>
      <c r="N565" s="34">
        <v>15</v>
      </c>
      <c r="O565" s="35">
        <v>0</v>
      </c>
      <c r="P565" s="35" t="s">
        <v>212</v>
      </c>
      <c r="Q565" s="35">
        <v>0</v>
      </c>
      <c r="R565" s="36" t="s">
        <v>212</v>
      </c>
      <c r="S565" s="37" t="str">
        <f>IFERROR(_xlfn.XLOOKUP(R565,'1_Presupuesto'!$E:$E,'1_Presupuesto'!$D:$D),"")</f>
        <v/>
      </c>
    </row>
    <row r="566" spans="1:19" x14ac:dyDescent="0.35">
      <c r="A566" s="31" t="s">
        <v>1497</v>
      </c>
      <c r="B566" s="31" t="s">
        <v>497</v>
      </c>
      <c r="C566" s="31" t="s">
        <v>498</v>
      </c>
      <c r="D566" s="31" t="s">
        <v>1500</v>
      </c>
      <c r="E566" s="31" t="s">
        <v>1501</v>
      </c>
      <c r="F566" s="31" t="s">
        <v>261</v>
      </c>
      <c r="G566" s="32">
        <v>15</v>
      </c>
      <c r="H566" s="33">
        <v>0.05</v>
      </c>
      <c r="I566" s="34">
        <v>1190.7</v>
      </c>
      <c r="J566" s="34">
        <v>18753.525000000001</v>
      </c>
      <c r="K566" s="31" t="s">
        <v>1498</v>
      </c>
      <c r="L566" s="31">
        <v>2</v>
      </c>
      <c r="M566" s="31" t="s">
        <v>1502</v>
      </c>
      <c r="N566" s="34">
        <v>15</v>
      </c>
      <c r="O566" s="35">
        <v>0</v>
      </c>
      <c r="P566" s="35" t="s">
        <v>212</v>
      </c>
      <c r="Q566" s="35">
        <v>0</v>
      </c>
      <c r="R566" s="36" t="s">
        <v>212</v>
      </c>
      <c r="S566" s="37" t="str">
        <f>IFERROR(_xlfn.XLOOKUP(R566,'1_Presupuesto'!$E:$E,'1_Presupuesto'!$D:$D),"")</f>
        <v/>
      </c>
    </row>
    <row r="567" spans="1:19" x14ac:dyDescent="0.35">
      <c r="A567" s="31" t="s">
        <v>1497</v>
      </c>
      <c r="B567" s="31" t="s">
        <v>497</v>
      </c>
      <c r="C567" s="31" t="s">
        <v>498</v>
      </c>
      <c r="D567" s="31" t="s">
        <v>538</v>
      </c>
      <c r="E567" s="31" t="s">
        <v>539</v>
      </c>
      <c r="F567" s="31">
        <v>0</v>
      </c>
      <c r="G567" s="32">
        <v>0.2</v>
      </c>
      <c r="H567" s="33">
        <v>0.1</v>
      </c>
      <c r="I567" s="34">
        <v>3927.28</v>
      </c>
      <c r="J567" s="34">
        <v>864.00160000000005</v>
      </c>
      <c r="K567" s="31" t="s">
        <v>1498</v>
      </c>
      <c r="L567" s="31">
        <v>3</v>
      </c>
      <c r="M567" s="31" t="s">
        <v>1503</v>
      </c>
      <c r="N567" s="34">
        <v>15</v>
      </c>
      <c r="O567" s="35">
        <v>0</v>
      </c>
      <c r="P567" s="35" t="s">
        <v>212</v>
      </c>
      <c r="Q567" s="35">
        <v>0</v>
      </c>
      <c r="R567" s="36" t="s">
        <v>212</v>
      </c>
      <c r="S567" s="37" t="str">
        <f>IFERROR(_xlfn.XLOOKUP(R567,'1_Presupuesto'!$E:$E,'1_Presupuesto'!$D:$D),"")</f>
        <v/>
      </c>
    </row>
    <row r="568" spans="1:19" x14ac:dyDescent="0.35">
      <c r="A568" s="31" t="s">
        <v>1497</v>
      </c>
      <c r="B568" s="31" t="s">
        <v>497</v>
      </c>
      <c r="C568" s="31" t="s">
        <v>498</v>
      </c>
      <c r="D568" s="31" t="s">
        <v>541</v>
      </c>
      <c r="E568" s="31" t="s">
        <v>542</v>
      </c>
      <c r="F568" s="31">
        <v>0</v>
      </c>
      <c r="G568" s="32">
        <v>0.1</v>
      </c>
      <c r="H568" s="33">
        <v>0.1</v>
      </c>
      <c r="I568" s="34">
        <v>7891.74</v>
      </c>
      <c r="J568" s="34">
        <v>868.09140000000002</v>
      </c>
      <c r="K568" s="31" t="s">
        <v>1498</v>
      </c>
      <c r="L568" s="31">
        <v>4</v>
      </c>
      <c r="M568" s="31" t="s">
        <v>1504</v>
      </c>
      <c r="N568" s="34">
        <v>15</v>
      </c>
      <c r="O568" s="35">
        <v>0</v>
      </c>
      <c r="P568" s="35" t="s">
        <v>212</v>
      </c>
      <c r="Q568" s="35">
        <v>0</v>
      </c>
      <c r="R568" s="36" t="s">
        <v>212</v>
      </c>
      <c r="S568" s="37" t="str">
        <f>IFERROR(_xlfn.XLOOKUP(R568,'1_Presupuesto'!$E:$E,'1_Presupuesto'!$D:$D),"")</f>
        <v/>
      </c>
    </row>
    <row r="569" spans="1:19" x14ac:dyDescent="0.35">
      <c r="A569" s="31" t="s">
        <v>1497</v>
      </c>
      <c r="B569" s="31" t="s">
        <v>497</v>
      </c>
      <c r="C569" s="31" t="s">
        <v>498</v>
      </c>
      <c r="D569" s="31" t="s">
        <v>534</v>
      </c>
      <c r="E569" s="31" t="s">
        <v>535</v>
      </c>
      <c r="F569" s="31">
        <v>0</v>
      </c>
      <c r="G569" s="32">
        <v>2.4E-2</v>
      </c>
      <c r="H569" s="33">
        <v>0.1</v>
      </c>
      <c r="I569" s="34">
        <v>32620.38</v>
      </c>
      <c r="J569" s="34">
        <v>861.17803200000003</v>
      </c>
      <c r="K569" s="31" t="s">
        <v>1498</v>
      </c>
      <c r="L569" s="31">
        <v>5</v>
      </c>
      <c r="M569" s="31" t="s">
        <v>1505</v>
      </c>
      <c r="N569" s="34">
        <v>15</v>
      </c>
      <c r="O569" s="35">
        <v>0</v>
      </c>
      <c r="P569" s="35" t="s">
        <v>212</v>
      </c>
      <c r="Q569" s="35">
        <v>0</v>
      </c>
      <c r="R569" s="36" t="s">
        <v>212</v>
      </c>
      <c r="S569" s="37" t="str">
        <f>IFERROR(_xlfn.XLOOKUP(R569,'1_Presupuesto'!$E:$E,'1_Presupuesto'!$D:$D),"")</f>
        <v/>
      </c>
    </row>
    <row r="570" spans="1:19" x14ac:dyDescent="0.35">
      <c r="A570" s="31" t="s">
        <v>1497</v>
      </c>
      <c r="B570" s="31" t="s">
        <v>497</v>
      </c>
      <c r="C570" s="31" t="s">
        <v>498</v>
      </c>
      <c r="D570" s="31" t="s">
        <v>597</v>
      </c>
      <c r="E570" s="31" t="s">
        <v>598</v>
      </c>
      <c r="F570" s="31" t="s">
        <v>218</v>
      </c>
      <c r="G570" s="32">
        <v>226.84469999999999</v>
      </c>
      <c r="H570" s="33">
        <v>0</v>
      </c>
      <c r="I570" s="34">
        <v>1</v>
      </c>
      <c r="J570" s="34">
        <v>226.84469999999999</v>
      </c>
      <c r="K570" s="31" t="s">
        <v>1498</v>
      </c>
      <c r="L570" s="31">
        <v>6</v>
      </c>
      <c r="M570" s="31" t="s">
        <v>1506</v>
      </c>
      <c r="N570" s="34">
        <v>15</v>
      </c>
      <c r="O570" s="35">
        <v>0</v>
      </c>
      <c r="P570" s="35" t="s">
        <v>212</v>
      </c>
      <c r="Q570" s="35">
        <v>0</v>
      </c>
      <c r="R570" s="36" t="s">
        <v>212</v>
      </c>
      <c r="S570" s="37" t="str">
        <f>IFERROR(_xlfn.XLOOKUP(R570,'1_Presupuesto'!$E:$E,'1_Presupuesto'!$D:$D),"")</f>
        <v/>
      </c>
    </row>
    <row r="571" spans="1:19" x14ac:dyDescent="0.35">
      <c r="A571" s="31" t="s">
        <v>1497</v>
      </c>
      <c r="B571" s="31" t="s">
        <v>203</v>
      </c>
      <c r="C571" s="31"/>
      <c r="D571" s="31" t="s">
        <v>609</v>
      </c>
      <c r="E571" s="31" t="s">
        <v>610</v>
      </c>
      <c r="F571" s="31"/>
      <c r="G571" s="32">
        <v>1</v>
      </c>
      <c r="H571" s="33">
        <v>0</v>
      </c>
      <c r="I571" s="34">
        <v>2485.8709964594</v>
      </c>
      <c r="J571" s="34">
        <v>2485.8709964594</v>
      </c>
      <c r="K571" s="31" t="s">
        <v>1507</v>
      </c>
      <c r="L571" s="31">
        <v>1</v>
      </c>
      <c r="M571" s="31" t="s">
        <v>1508</v>
      </c>
      <c r="N571" s="34">
        <v>15</v>
      </c>
      <c r="O571" s="35">
        <v>0</v>
      </c>
      <c r="P571" s="35" t="s">
        <v>212</v>
      </c>
      <c r="Q571" s="35">
        <v>0</v>
      </c>
      <c r="R571" s="36" t="s">
        <v>212</v>
      </c>
      <c r="S571" s="37" t="str">
        <f>IFERROR(_xlfn.XLOOKUP(R571,'1_Presupuesto'!$E:$E,'1_Presupuesto'!$D:$D),"")</f>
        <v/>
      </c>
    </row>
    <row r="572" spans="1:19" x14ac:dyDescent="0.35">
      <c r="A572" s="31" t="s">
        <v>1497</v>
      </c>
      <c r="B572" s="31" t="s">
        <v>203</v>
      </c>
      <c r="C572" s="31"/>
      <c r="D572" s="31" t="s">
        <v>613</v>
      </c>
      <c r="E572" s="31" t="s">
        <v>614</v>
      </c>
      <c r="F572" s="31"/>
      <c r="G572" s="32">
        <v>0.5</v>
      </c>
      <c r="H572" s="33">
        <v>0</v>
      </c>
      <c r="I572" s="34">
        <v>620.81078197718296</v>
      </c>
      <c r="J572" s="34">
        <v>310.40539098859199</v>
      </c>
      <c r="K572" s="31" t="s">
        <v>1507</v>
      </c>
      <c r="L572" s="31">
        <v>2</v>
      </c>
      <c r="M572" s="31" t="s">
        <v>1509</v>
      </c>
      <c r="N572" s="34">
        <v>15</v>
      </c>
      <c r="O572" s="35">
        <v>0</v>
      </c>
      <c r="P572" s="35" t="s">
        <v>212</v>
      </c>
      <c r="Q572" s="35">
        <v>0</v>
      </c>
      <c r="R572" s="36" t="s">
        <v>212</v>
      </c>
      <c r="S572" s="37" t="str">
        <f>IFERROR(_xlfn.XLOOKUP(R572,'1_Presupuesto'!$E:$E,'1_Presupuesto'!$D:$D),"")</f>
        <v/>
      </c>
    </row>
    <row r="573" spans="1:19" x14ac:dyDescent="0.35">
      <c r="A573" s="31" t="s">
        <v>1497</v>
      </c>
      <c r="B573" s="31" t="s">
        <v>203</v>
      </c>
      <c r="C573" s="31"/>
      <c r="D573" s="31" t="s">
        <v>616</v>
      </c>
      <c r="E573" s="31" t="s">
        <v>617</v>
      </c>
      <c r="F573" s="31"/>
      <c r="G573" s="32">
        <v>1</v>
      </c>
      <c r="H573" s="33">
        <v>0</v>
      </c>
      <c r="I573" s="34">
        <v>1040.43144867052</v>
      </c>
      <c r="J573" s="34">
        <v>1040.43144867052</v>
      </c>
      <c r="K573" s="31" t="s">
        <v>1507</v>
      </c>
      <c r="L573" s="31">
        <v>3</v>
      </c>
      <c r="M573" s="31" t="s">
        <v>1510</v>
      </c>
      <c r="N573" s="34">
        <v>15</v>
      </c>
      <c r="O573" s="35">
        <v>0</v>
      </c>
      <c r="P573" s="35" t="s">
        <v>212</v>
      </c>
      <c r="Q573" s="35">
        <v>0</v>
      </c>
      <c r="R573" s="36" t="s">
        <v>212</v>
      </c>
      <c r="S573" s="37" t="str">
        <f>IFERROR(_xlfn.XLOOKUP(R573,'1_Presupuesto'!$E:$E,'1_Presupuesto'!$D:$D),"")</f>
        <v/>
      </c>
    </row>
    <row r="574" spans="1:19" x14ac:dyDescent="0.35">
      <c r="A574" s="31" t="s">
        <v>1497</v>
      </c>
      <c r="B574" s="31" t="s">
        <v>478</v>
      </c>
      <c r="C574" s="31" t="s">
        <v>479</v>
      </c>
      <c r="D574" s="31" t="s">
        <v>480</v>
      </c>
      <c r="E574" s="31" t="s">
        <v>183</v>
      </c>
      <c r="F574" s="31" t="s">
        <v>481</v>
      </c>
      <c r="G574" s="32">
        <v>1</v>
      </c>
      <c r="H574" s="33">
        <v>0</v>
      </c>
      <c r="I574" s="34">
        <v>94177.137883538904</v>
      </c>
      <c r="J574" s="34">
        <v>94177.137883538904</v>
      </c>
      <c r="K574" s="31" t="s">
        <v>1511</v>
      </c>
      <c r="L574" s="31">
        <v>1</v>
      </c>
      <c r="M574" s="31" t="s">
        <v>1512</v>
      </c>
      <c r="N574" s="34">
        <v>15</v>
      </c>
      <c r="O574" s="35">
        <v>6.6666666666666693E-2</v>
      </c>
      <c r="P574" s="35" t="s">
        <v>212</v>
      </c>
      <c r="Q574" s="35">
        <v>0</v>
      </c>
      <c r="R574" s="36" t="s">
        <v>212</v>
      </c>
      <c r="S574" s="37" t="str">
        <f>IFERROR(_xlfn.XLOOKUP(R574,'1_Presupuesto'!$E:$E,'1_Presupuesto'!$D:$D),"")</f>
        <v/>
      </c>
    </row>
    <row r="575" spans="1:19" x14ac:dyDescent="0.35">
      <c r="A575" s="31" t="s">
        <v>1497</v>
      </c>
      <c r="B575" s="31" t="s">
        <v>478</v>
      </c>
      <c r="C575" s="31" t="s">
        <v>479</v>
      </c>
      <c r="D575" s="31" t="s">
        <v>494</v>
      </c>
      <c r="E575" s="31" t="s">
        <v>185</v>
      </c>
      <c r="F575" s="31" t="s">
        <v>481</v>
      </c>
      <c r="G575" s="32">
        <v>1</v>
      </c>
      <c r="H575" s="33">
        <v>0</v>
      </c>
      <c r="I575" s="34">
        <v>72132.138365590101</v>
      </c>
      <c r="J575" s="34">
        <v>72132.138365590101</v>
      </c>
      <c r="K575" s="31" t="s">
        <v>1511</v>
      </c>
      <c r="L575" s="31">
        <v>2</v>
      </c>
      <c r="M575" s="31" t="s">
        <v>1513</v>
      </c>
      <c r="N575" s="34">
        <v>15</v>
      </c>
      <c r="O575" s="35">
        <v>6.6666666666666693E-2</v>
      </c>
      <c r="P575" s="35" t="s">
        <v>212</v>
      </c>
      <c r="Q575" s="35">
        <v>0</v>
      </c>
      <c r="R575" s="36" t="s">
        <v>212</v>
      </c>
      <c r="S575" s="37" t="str">
        <f>IFERROR(_xlfn.XLOOKUP(R575,'1_Presupuesto'!$E:$E,'1_Presupuesto'!$D:$D),"")</f>
        <v/>
      </c>
    </row>
    <row r="576" spans="1:19" x14ac:dyDescent="0.35">
      <c r="A576" s="31" t="s">
        <v>1514</v>
      </c>
      <c r="B576" s="31" t="s">
        <v>497</v>
      </c>
      <c r="C576" s="31" t="s">
        <v>498</v>
      </c>
      <c r="D576" s="31" t="s">
        <v>1515</v>
      </c>
      <c r="E576" s="31" t="s">
        <v>1516</v>
      </c>
      <c r="F576" s="31">
        <v>0</v>
      </c>
      <c r="G576" s="32">
        <v>6.7358399999999999E-2</v>
      </c>
      <c r="H576" s="33">
        <v>0.15</v>
      </c>
      <c r="I576" s="34">
        <v>2660.68</v>
      </c>
      <c r="J576" s="34">
        <v>206.1020198688</v>
      </c>
      <c r="K576" s="31" t="s">
        <v>1517</v>
      </c>
      <c r="L576" s="31">
        <v>1</v>
      </c>
      <c r="M576" s="31" t="s">
        <v>1518</v>
      </c>
      <c r="N576" s="34">
        <v>450</v>
      </c>
      <c r="O576" s="35">
        <v>0</v>
      </c>
      <c r="P576" s="35" t="s">
        <v>212</v>
      </c>
      <c r="Q576" s="35">
        <v>0</v>
      </c>
      <c r="R576" s="36" t="s">
        <v>212</v>
      </c>
      <c r="S576" s="37" t="str">
        <f>IFERROR(_xlfn.XLOOKUP(R576,'1_Presupuesto'!$E:$E,'1_Presupuesto'!$D:$D),"")</f>
        <v/>
      </c>
    </row>
    <row r="577" spans="1:19" x14ac:dyDescent="0.35">
      <c r="A577" s="31" t="s">
        <v>1514</v>
      </c>
      <c r="B577" s="31" t="s">
        <v>497</v>
      </c>
      <c r="C577" s="31" t="s">
        <v>498</v>
      </c>
      <c r="D577" s="31" t="s">
        <v>1519</v>
      </c>
      <c r="E577" s="31" t="s">
        <v>1520</v>
      </c>
      <c r="F577" s="31">
        <v>0</v>
      </c>
      <c r="G577" s="32">
        <v>1.0005529</v>
      </c>
      <c r="H577" s="33">
        <v>7.0000000000000007E-2</v>
      </c>
      <c r="I577" s="34">
        <v>1338.79</v>
      </c>
      <c r="J577" s="34">
        <v>1433.2973321803699</v>
      </c>
      <c r="K577" s="31" t="s">
        <v>1517</v>
      </c>
      <c r="L577" s="31">
        <v>2</v>
      </c>
      <c r="M577" s="31" t="s">
        <v>1521</v>
      </c>
      <c r="N577" s="34">
        <v>450</v>
      </c>
      <c r="O577" s="35">
        <v>0</v>
      </c>
      <c r="P577" s="35" t="s">
        <v>212</v>
      </c>
      <c r="Q577" s="35">
        <v>0</v>
      </c>
      <c r="R577" s="36" t="s">
        <v>212</v>
      </c>
      <c r="S577" s="37" t="str">
        <f>IFERROR(_xlfn.XLOOKUP(R577,'1_Presupuesto'!$E:$E,'1_Presupuesto'!$D:$D),"")</f>
        <v/>
      </c>
    </row>
    <row r="578" spans="1:19" x14ac:dyDescent="0.35">
      <c r="A578" s="31" t="s">
        <v>1514</v>
      </c>
      <c r="B578" s="31" t="s">
        <v>478</v>
      </c>
      <c r="C578" s="31" t="s">
        <v>479</v>
      </c>
      <c r="D578" s="31" t="s">
        <v>480</v>
      </c>
      <c r="E578" s="31" t="s">
        <v>183</v>
      </c>
      <c r="F578" s="31" t="s">
        <v>481</v>
      </c>
      <c r="G578" s="32">
        <v>2</v>
      </c>
      <c r="H578" s="33">
        <v>0</v>
      </c>
      <c r="I578" s="34">
        <v>94177.137883538904</v>
      </c>
      <c r="J578" s="34">
        <v>188354.27576707801</v>
      </c>
      <c r="K578" s="31" t="s">
        <v>1522</v>
      </c>
      <c r="L578" s="31">
        <v>1</v>
      </c>
      <c r="M578" s="31" t="s">
        <v>1523</v>
      </c>
      <c r="N578" s="34">
        <v>450</v>
      </c>
      <c r="O578" s="35">
        <v>4.4444444444444401E-3</v>
      </c>
      <c r="P578" s="35" t="s">
        <v>212</v>
      </c>
      <c r="Q578" s="35">
        <v>0</v>
      </c>
      <c r="R578" s="36" t="s">
        <v>212</v>
      </c>
      <c r="S578" s="37" t="str">
        <f>IFERROR(_xlfn.XLOOKUP(R578,'1_Presupuesto'!$E:$E,'1_Presupuesto'!$D:$D),"")</f>
        <v/>
      </c>
    </row>
    <row r="579" spans="1:19" x14ac:dyDescent="0.35">
      <c r="A579" s="31" t="s">
        <v>1514</v>
      </c>
      <c r="B579" s="31" t="s">
        <v>478</v>
      </c>
      <c r="C579" s="31" t="s">
        <v>479</v>
      </c>
      <c r="D579" s="31" t="s">
        <v>484</v>
      </c>
      <c r="E579" s="31" t="s">
        <v>186</v>
      </c>
      <c r="F579" s="31" t="s">
        <v>481</v>
      </c>
      <c r="G579" s="32">
        <v>1</v>
      </c>
      <c r="H579" s="33">
        <v>0</v>
      </c>
      <c r="I579" s="34">
        <v>67240.498860267602</v>
      </c>
      <c r="J579" s="34">
        <v>67240.498860267602</v>
      </c>
      <c r="K579" s="31" t="s">
        <v>1522</v>
      </c>
      <c r="L579" s="31">
        <v>2</v>
      </c>
      <c r="M579" s="31" t="s">
        <v>1524</v>
      </c>
      <c r="N579" s="34">
        <v>450</v>
      </c>
      <c r="O579" s="35">
        <v>2.2222222222222201E-3</v>
      </c>
      <c r="P579" s="35" t="s">
        <v>212</v>
      </c>
      <c r="Q579" s="35">
        <v>0</v>
      </c>
      <c r="R579" s="36" t="s">
        <v>212</v>
      </c>
      <c r="S579" s="37" t="str">
        <f>IFERROR(_xlfn.XLOOKUP(R579,'1_Presupuesto'!$E:$E,'1_Presupuesto'!$D:$D),"")</f>
        <v/>
      </c>
    </row>
    <row r="580" spans="1:19" x14ac:dyDescent="0.35">
      <c r="A580" s="31" t="s">
        <v>1514</v>
      </c>
      <c r="B580" s="31" t="s">
        <v>478</v>
      </c>
      <c r="C580" s="31" t="s">
        <v>479</v>
      </c>
      <c r="D580" s="31" t="s">
        <v>494</v>
      </c>
      <c r="E580" s="31" t="s">
        <v>185</v>
      </c>
      <c r="F580" s="31" t="s">
        <v>481</v>
      </c>
      <c r="G580" s="32">
        <v>2</v>
      </c>
      <c r="H580" s="33">
        <v>0</v>
      </c>
      <c r="I580" s="34">
        <v>72132.138365590101</v>
      </c>
      <c r="J580" s="34">
        <v>144264.27673118</v>
      </c>
      <c r="K580" s="31" t="s">
        <v>1522</v>
      </c>
      <c r="L580" s="31">
        <v>3</v>
      </c>
      <c r="M580" s="31" t="s">
        <v>1525</v>
      </c>
      <c r="N580" s="34">
        <v>450</v>
      </c>
      <c r="O580" s="35">
        <v>4.4444444444444401E-3</v>
      </c>
      <c r="P580" s="35" t="s">
        <v>212</v>
      </c>
      <c r="Q580" s="35">
        <v>0</v>
      </c>
      <c r="R580" s="36" t="s">
        <v>212</v>
      </c>
      <c r="S580" s="37" t="str">
        <f>IFERROR(_xlfn.XLOOKUP(R580,'1_Presupuesto'!$E:$E,'1_Presupuesto'!$D:$D),"")</f>
        <v/>
      </c>
    </row>
    <row r="581" spans="1:19" x14ac:dyDescent="0.35">
      <c r="A581" s="31" t="s">
        <v>1526</v>
      </c>
      <c r="B581" s="31" t="s">
        <v>497</v>
      </c>
      <c r="C581" s="31" t="s">
        <v>498</v>
      </c>
      <c r="D581" s="31" t="s">
        <v>1515</v>
      </c>
      <c r="E581" s="31" t="s">
        <v>1516</v>
      </c>
      <c r="F581" s="31">
        <v>0</v>
      </c>
      <c r="G581" s="32">
        <v>6.6339999999999996E-2</v>
      </c>
      <c r="H581" s="33">
        <v>0.15</v>
      </c>
      <c r="I581" s="34">
        <v>2660.68</v>
      </c>
      <c r="J581" s="34">
        <v>202.98593787999999</v>
      </c>
      <c r="K581" s="31" t="s">
        <v>1527</v>
      </c>
      <c r="L581" s="31">
        <v>1</v>
      </c>
      <c r="M581" s="31" t="s">
        <v>1528</v>
      </c>
      <c r="N581" s="34">
        <v>380</v>
      </c>
      <c r="O581" s="35">
        <v>0</v>
      </c>
      <c r="P581" s="35" t="s">
        <v>212</v>
      </c>
      <c r="Q581" s="35">
        <v>0</v>
      </c>
      <c r="R581" s="36" t="s">
        <v>212</v>
      </c>
      <c r="S581" s="37" t="str">
        <f>IFERROR(_xlfn.XLOOKUP(R581,'1_Presupuesto'!$E:$E,'1_Presupuesto'!$D:$D),"")</f>
        <v/>
      </c>
    </row>
    <row r="582" spans="1:19" x14ac:dyDescent="0.35">
      <c r="A582" s="31" t="s">
        <v>1526</v>
      </c>
      <c r="B582" s="31" t="s">
        <v>497</v>
      </c>
      <c r="C582" s="31" t="s">
        <v>498</v>
      </c>
      <c r="D582" s="31" t="s">
        <v>1519</v>
      </c>
      <c r="E582" s="31" t="s">
        <v>1520</v>
      </c>
      <c r="F582" s="31">
        <v>0</v>
      </c>
      <c r="G582" s="32">
        <v>0.99938000000000005</v>
      </c>
      <c r="H582" s="33">
        <v>7.0000000000000007E-2</v>
      </c>
      <c r="I582" s="34">
        <v>1338.79</v>
      </c>
      <c r="J582" s="34">
        <v>1431.617146714</v>
      </c>
      <c r="K582" s="31" t="s">
        <v>1527</v>
      </c>
      <c r="L582" s="31">
        <v>2</v>
      </c>
      <c r="M582" s="31" t="s">
        <v>1529</v>
      </c>
      <c r="N582" s="34">
        <v>380</v>
      </c>
      <c r="O582" s="35">
        <v>0</v>
      </c>
      <c r="P582" s="35" t="s">
        <v>212</v>
      </c>
      <c r="Q582" s="35">
        <v>0</v>
      </c>
      <c r="R582" s="36" t="s">
        <v>212</v>
      </c>
      <c r="S582" s="37" t="str">
        <f>IFERROR(_xlfn.XLOOKUP(R582,'1_Presupuesto'!$E:$E,'1_Presupuesto'!$D:$D),"")</f>
        <v/>
      </c>
    </row>
    <row r="583" spans="1:19" x14ac:dyDescent="0.35">
      <c r="A583" s="31" t="s">
        <v>1526</v>
      </c>
      <c r="B583" s="31" t="s">
        <v>478</v>
      </c>
      <c r="C583" s="31" t="s">
        <v>479</v>
      </c>
      <c r="D583" s="31" t="s">
        <v>480</v>
      </c>
      <c r="E583" s="31" t="s">
        <v>183</v>
      </c>
      <c r="F583" s="31" t="s">
        <v>481</v>
      </c>
      <c r="G583" s="32">
        <v>2</v>
      </c>
      <c r="H583" s="33">
        <v>0</v>
      </c>
      <c r="I583" s="34">
        <v>94177.137883538904</v>
      </c>
      <c r="J583" s="34">
        <v>188354.27576707801</v>
      </c>
      <c r="K583" s="31" t="s">
        <v>1530</v>
      </c>
      <c r="L583" s="31">
        <v>1</v>
      </c>
      <c r="M583" s="31" t="s">
        <v>1531</v>
      </c>
      <c r="N583" s="34">
        <v>380</v>
      </c>
      <c r="O583" s="35">
        <v>5.2631578947368403E-3</v>
      </c>
      <c r="P583" s="35" t="s">
        <v>212</v>
      </c>
      <c r="Q583" s="35">
        <v>0</v>
      </c>
      <c r="R583" s="36" t="s">
        <v>212</v>
      </c>
      <c r="S583" s="37" t="str">
        <f>IFERROR(_xlfn.XLOOKUP(R583,'1_Presupuesto'!$E:$E,'1_Presupuesto'!$D:$D),"")</f>
        <v/>
      </c>
    </row>
    <row r="584" spans="1:19" x14ac:dyDescent="0.35">
      <c r="A584" s="31" t="s">
        <v>1526</v>
      </c>
      <c r="B584" s="31" t="s">
        <v>478</v>
      </c>
      <c r="C584" s="31" t="s">
        <v>479</v>
      </c>
      <c r="D584" s="31" t="s">
        <v>484</v>
      </c>
      <c r="E584" s="31" t="s">
        <v>186</v>
      </c>
      <c r="F584" s="31" t="s">
        <v>481</v>
      </c>
      <c r="G584" s="32">
        <v>1</v>
      </c>
      <c r="H584" s="33">
        <v>0</v>
      </c>
      <c r="I584" s="34">
        <v>67240.498860267602</v>
      </c>
      <c r="J584" s="34">
        <v>67240.498860267602</v>
      </c>
      <c r="K584" s="31" t="s">
        <v>1530</v>
      </c>
      <c r="L584" s="31">
        <v>2</v>
      </c>
      <c r="M584" s="31" t="s">
        <v>1532</v>
      </c>
      <c r="N584" s="34">
        <v>380</v>
      </c>
      <c r="O584" s="35">
        <v>2.6315789473684201E-3</v>
      </c>
      <c r="P584" s="35" t="s">
        <v>212</v>
      </c>
      <c r="Q584" s="35">
        <v>0</v>
      </c>
      <c r="R584" s="36" t="s">
        <v>212</v>
      </c>
      <c r="S584" s="37" t="str">
        <f>IFERROR(_xlfn.XLOOKUP(R584,'1_Presupuesto'!$E:$E,'1_Presupuesto'!$D:$D),"")</f>
        <v/>
      </c>
    </row>
    <row r="585" spans="1:19" x14ac:dyDescent="0.35">
      <c r="A585" s="31" t="s">
        <v>1526</v>
      </c>
      <c r="B585" s="31" t="s">
        <v>478</v>
      </c>
      <c r="C585" s="31" t="s">
        <v>479</v>
      </c>
      <c r="D585" s="31" t="s">
        <v>494</v>
      </c>
      <c r="E585" s="31" t="s">
        <v>185</v>
      </c>
      <c r="F585" s="31" t="s">
        <v>481</v>
      </c>
      <c r="G585" s="32">
        <v>2</v>
      </c>
      <c r="H585" s="33">
        <v>0</v>
      </c>
      <c r="I585" s="34">
        <v>72132.138365590101</v>
      </c>
      <c r="J585" s="34">
        <v>144264.27673118</v>
      </c>
      <c r="K585" s="31" t="s">
        <v>1530</v>
      </c>
      <c r="L585" s="31">
        <v>3</v>
      </c>
      <c r="M585" s="31" t="s">
        <v>1533</v>
      </c>
      <c r="N585" s="34">
        <v>380</v>
      </c>
      <c r="O585" s="35">
        <v>5.2631578947368403E-3</v>
      </c>
      <c r="P585" s="35" t="s">
        <v>212</v>
      </c>
      <c r="Q585" s="35">
        <v>0</v>
      </c>
      <c r="R585" s="36" t="s">
        <v>212</v>
      </c>
      <c r="S585" s="37" t="str">
        <f>IFERROR(_xlfn.XLOOKUP(R585,'1_Presupuesto'!$E:$E,'1_Presupuesto'!$D:$D),"")</f>
        <v/>
      </c>
    </row>
    <row r="586" spans="1:19" x14ac:dyDescent="0.35">
      <c r="A586" s="31" t="s">
        <v>1534</v>
      </c>
      <c r="B586" s="31" t="s">
        <v>497</v>
      </c>
      <c r="C586" s="31" t="s">
        <v>498</v>
      </c>
      <c r="D586" s="31" t="s">
        <v>1515</v>
      </c>
      <c r="E586" s="31" t="s">
        <v>1516</v>
      </c>
      <c r="F586" s="31">
        <v>0</v>
      </c>
      <c r="G586" s="32">
        <v>6.9230399999999997E-2</v>
      </c>
      <c r="H586" s="33">
        <v>0.15</v>
      </c>
      <c r="I586" s="34">
        <v>2660.68</v>
      </c>
      <c r="J586" s="34">
        <v>211.82993177279999</v>
      </c>
      <c r="K586" s="31" t="s">
        <v>1535</v>
      </c>
      <c r="L586" s="31">
        <v>1</v>
      </c>
      <c r="M586" s="31" t="s">
        <v>1536</v>
      </c>
      <c r="N586" s="34">
        <v>420</v>
      </c>
      <c r="O586" s="35">
        <v>0</v>
      </c>
      <c r="P586" s="35" t="s">
        <v>212</v>
      </c>
      <c r="Q586" s="35">
        <v>0</v>
      </c>
      <c r="R586" s="36" t="s">
        <v>212</v>
      </c>
      <c r="S586" s="37" t="str">
        <f>IFERROR(_xlfn.XLOOKUP(R586,'1_Presupuesto'!$E:$E,'1_Presupuesto'!$D:$D),"")</f>
        <v/>
      </c>
    </row>
    <row r="587" spans="1:19" x14ac:dyDescent="0.35">
      <c r="A587" s="31" t="s">
        <v>1534</v>
      </c>
      <c r="B587" s="31" t="s">
        <v>497</v>
      </c>
      <c r="C587" s="31" t="s">
        <v>498</v>
      </c>
      <c r="D587" s="31" t="s">
        <v>1519</v>
      </c>
      <c r="E587" s="31" t="s">
        <v>1520</v>
      </c>
      <c r="F587" s="31">
        <v>0</v>
      </c>
      <c r="G587" s="32">
        <v>0.99807159999999995</v>
      </c>
      <c r="H587" s="33">
        <v>7.0000000000000007E-2</v>
      </c>
      <c r="I587" s="34">
        <v>1338.79</v>
      </c>
      <c r="J587" s="34">
        <v>1429.74285677948</v>
      </c>
      <c r="K587" s="31" t="s">
        <v>1535</v>
      </c>
      <c r="L587" s="31">
        <v>2</v>
      </c>
      <c r="M587" s="31" t="s">
        <v>1537</v>
      </c>
      <c r="N587" s="34">
        <v>420</v>
      </c>
      <c r="O587" s="35">
        <v>0</v>
      </c>
      <c r="P587" s="35" t="s">
        <v>212</v>
      </c>
      <c r="Q587" s="35">
        <v>0</v>
      </c>
      <c r="R587" s="36" t="s">
        <v>212</v>
      </c>
      <c r="S587" s="37" t="str">
        <f>IFERROR(_xlfn.XLOOKUP(R587,'1_Presupuesto'!$E:$E,'1_Presupuesto'!$D:$D),"")</f>
        <v/>
      </c>
    </row>
    <row r="588" spans="1:19" x14ac:dyDescent="0.35">
      <c r="A588" s="31" t="s">
        <v>1534</v>
      </c>
      <c r="B588" s="31" t="s">
        <v>478</v>
      </c>
      <c r="C588" s="31" t="s">
        <v>479</v>
      </c>
      <c r="D588" s="31" t="s">
        <v>480</v>
      </c>
      <c r="E588" s="31" t="s">
        <v>183</v>
      </c>
      <c r="F588" s="31" t="s">
        <v>481</v>
      </c>
      <c r="G588" s="32">
        <v>2</v>
      </c>
      <c r="H588" s="33">
        <v>0</v>
      </c>
      <c r="I588" s="34">
        <v>94177.137883538904</v>
      </c>
      <c r="J588" s="34">
        <v>188354.27576707801</v>
      </c>
      <c r="K588" s="31" t="s">
        <v>1538</v>
      </c>
      <c r="L588" s="31">
        <v>1</v>
      </c>
      <c r="M588" s="31" t="s">
        <v>1539</v>
      </c>
      <c r="N588" s="34">
        <v>420</v>
      </c>
      <c r="O588" s="35">
        <v>4.7619047619047597E-3</v>
      </c>
      <c r="P588" s="35" t="s">
        <v>212</v>
      </c>
      <c r="Q588" s="35">
        <v>0</v>
      </c>
      <c r="R588" s="36" t="s">
        <v>212</v>
      </c>
      <c r="S588" s="37" t="str">
        <f>IFERROR(_xlfn.XLOOKUP(R588,'1_Presupuesto'!$E:$E,'1_Presupuesto'!$D:$D),"")</f>
        <v/>
      </c>
    </row>
    <row r="589" spans="1:19" x14ac:dyDescent="0.35">
      <c r="A589" s="31" t="s">
        <v>1534</v>
      </c>
      <c r="B589" s="31" t="s">
        <v>478</v>
      </c>
      <c r="C589" s="31" t="s">
        <v>479</v>
      </c>
      <c r="D589" s="31" t="s">
        <v>484</v>
      </c>
      <c r="E589" s="31" t="s">
        <v>186</v>
      </c>
      <c r="F589" s="31" t="s">
        <v>481</v>
      </c>
      <c r="G589" s="32">
        <v>1</v>
      </c>
      <c r="H589" s="33">
        <v>0</v>
      </c>
      <c r="I589" s="34">
        <v>67240.498860267602</v>
      </c>
      <c r="J589" s="34">
        <v>67240.498860267602</v>
      </c>
      <c r="K589" s="31" t="s">
        <v>1538</v>
      </c>
      <c r="L589" s="31">
        <v>2</v>
      </c>
      <c r="M589" s="31" t="s">
        <v>1540</v>
      </c>
      <c r="N589" s="34">
        <v>420</v>
      </c>
      <c r="O589" s="35">
        <v>2.3809523809523799E-3</v>
      </c>
      <c r="P589" s="35" t="s">
        <v>212</v>
      </c>
      <c r="Q589" s="35">
        <v>0</v>
      </c>
      <c r="R589" s="36" t="s">
        <v>212</v>
      </c>
      <c r="S589" s="37" t="str">
        <f>IFERROR(_xlfn.XLOOKUP(R589,'1_Presupuesto'!$E:$E,'1_Presupuesto'!$D:$D),"")</f>
        <v/>
      </c>
    </row>
    <row r="590" spans="1:19" x14ac:dyDescent="0.35">
      <c r="A590" s="31" t="s">
        <v>1534</v>
      </c>
      <c r="B590" s="31" t="s">
        <v>478</v>
      </c>
      <c r="C590" s="31" t="s">
        <v>479</v>
      </c>
      <c r="D590" s="31" t="s">
        <v>494</v>
      </c>
      <c r="E590" s="31" t="s">
        <v>185</v>
      </c>
      <c r="F590" s="31" t="s">
        <v>481</v>
      </c>
      <c r="G590" s="32">
        <v>2</v>
      </c>
      <c r="H590" s="33">
        <v>0</v>
      </c>
      <c r="I590" s="34">
        <v>72132.138365590101</v>
      </c>
      <c r="J590" s="34">
        <v>144264.27673118</v>
      </c>
      <c r="K590" s="31" t="s">
        <v>1538</v>
      </c>
      <c r="L590" s="31">
        <v>3</v>
      </c>
      <c r="M590" s="31" t="s">
        <v>1541</v>
      </c>
      <c r="N590" s="34">
        <v>420</v>
      </c>
      <c r="O590" s="35">
        <v>4.7619047619047597E-3</v>
      </c>
      <c r="P590" s="35" t="s">
        <v>212</v>
      </c>
      <c r="Q590" s="35">
        <v>0</v>
      </c>
      <c r="R590" s="36" t="s">
        <v>212</v>
      </c>
      <c r="S590" s="37" t="str">
        <f>IFERROR(_xlfn.XLOOKUP(R590,'1_Presupuesto'!$E:$E,'1_Presupuesto'!$D:$D),"")</f>
        <v/>
      </c>
    </row>
    <row r="591" spans="1:19" x14ac:dyDescent="0.35">
      <c r="A591" s="31" t="s">
        <v>1542</v>
      </c>
      <c r="B591" s="31" t="s">
        <v>497</v>
      </c>
      <c r="C591" s="31" t="s">
        <v>498</v>
      </c>
      <c r="D591" s="31" t="s">
        <v>1515</v>
      </c>
      <c r="E591" s="31" t="s">
        <v>1516</v>
      </c>
      <c r="F591" s="31">
        <v>0</v>
      </c>
      <c r="G591" s="32">
        <v>6.57528E-2</v>
      </c>
      <c r="H591" s="33">
        <v>0.15</v>
      </c>
      <c r="I591" s="34">
        <v>2660.68</v>
      </c>
      <c r="J591" s="34">
        <v>201.18923388959999</v>
      </c>
      <c r="K591" s="31" t="s">
        <v>1543</v>
      </c>
      <c r="L591" s="31">
        <v>1</v>
      </c>
      <c r="M591" s="31" t="s">
        <v>1544</v>
      </c>
      <c r="N591" s="34">
        <v>400</v>
      </c>
      <c r="O591" s="35">
        <v>0</v>
      </c>
      <c r="P591" s="35" t="s">
        <v>212</v>
      </c>
      <c r="Q591" s="35">
        <v>0</v>
      </c>
      <c r="R591" s="36" t="s">
        <v>212</v>
      </c>
      <c r="S591" s="37" t="str">
        <f>IFERROR(_xlfn.XLOOKUP(R591,'1_Presupuesto'!$E:$E,'1_Presupuesto'!$D:$D),"")</f>
        <v/>
      </c>
    </row>
    <row r="592" spans="1:19" x14ac:dyDescent="0.35">
      <c r="A592" s="31" t="s">
        <v>1542</v>
      </c>
      <c r="B592" s="31" t="s">
        <v>497</v>
      </c>
      <c r="C592" s="31" t="s">
        <v>498</v>
      </c>
      <c r="D592" s="31" t="s">
        <v>1519</v>
      </c>
      <c r="E592" s="31" t="s">
        <v>1520</v>
      </c>
      <c r="F592" s="31">
        <v>0</v>
      </c>
      <c r="G592" s="32">
        <v>1.0027302</v>
      </c>
      <c r="H592" s="33">
        <v>7.0000000000000007E-2</v>
      </c>
      <c r="I592" s="34">
        <v>1338.79</v>
      </c>
      <c r="J592" s="34">
        <v>1436.4163259700599</v>
      </c>
      <c r="K592" s="31" t="s">
        <v>1543</v>
      </c>
      <c r="L592" s="31">
        <v>2</v>
      </c>
      <c r="M592" s="31" t="s">
        <v>1545</v>
      </c>
      <c r="N592" s="34">
        <v>400</v>
      </c>
      <c r="O592" s="35">
        <v>0</v>
      </c>
      <c r="P592" s="35" t="s">
        <v>212</v>
      </c>
      <c r="Q592" s="35">
        <v>0</v>
      </c>
      <c r="R592" s="36" t="s">
        <v>212</v>
      </c>
      <c r="S592" s="37" t="str">
        <f>IFERROR(_xlfn.XLOOKUP(R592,'1_Presupuesto'!$E:$E,'1_Presupuesto'!$D:$D),"")</f>
        <v/>
      </c>
    </row>
    <row r="593" spans="1:19" x14ac:dyDescent="0.35">
      <c r="A593" s="31" t="s">
        <v>1542</v>
      </c>
      <c r="B593" s="31" t="s">
        <v>478</v>
      </c>
      <c r="C593" s="31" t="s">
        <v>479</v>
      </c>
      <c r="D593" s="31" t="s">
        <v>480</v>
      </c>
      <c r="E593" s="31" t="s">
        <v>183</v>
      </c>
      <c r="F593" s="31" t="s">
        <v>481</v>
      </c>
      <c r="G593" s="32">
        <v>2</v>
      </c>
      <c r="H593" s="33">
        <v>0</v>
      </c>
      <c r="I593" s="34">
        <v>94177.137883538904</v>
      </c>
      <c r="J593" s="34">
        <v>188354.27576707801</v>
      </c>
      <c r="K593" s="31" t="s">
        <v>1546</v>
      </c>
      <c r="L593" s="31">
        <v>1</v>
      </c>
      <c r="M593" s="31" t="s">
        <v>1547</v>
      </c>
      <c r="N593" s="34">
        <v>400</v>
      </c>
      <c r="O593" s="35">
        <v>5.0000000000000001E-3</v>
      </c>
      <c r="P593" s="35" t="s">
        <v>212</v>
      </c>
      <c r="Q593" s="35">
        <v>0</v>
      </c>
      <c r="R593" s="36" t="s">
        <v>212</v>
      </c>
      <c r="S593" s="37" t="str">
        <f>IFERROR(_xlfn.XLOOKUP(R593,'1_Presupuesto'!$E:$E,'1_Presupuesto'!$D:$D),"")</f>
        <v/>
      </c>
    </row>
    <row r="594" spans="1:19" x14ac:dyDescent="0.35">
      <c r="A594" s="31" t="s">
        <v>1542</v>
      </c>
      <c r="B594" s="31" t="s">
        <v>478</v>
      </c>
      <c r="C594" s="31" t="s">
        <v>479</v>
      </c>
      <c r="D594" s="31" t="s">
        <v>484</v>
      </c>
      <c r="E594" s="31" t="s">
        <v>186</v>
      </c>
      <c r="F594" s="31" t="s">
        <v>481</v>
      </c>
      <c r="G594" s="32">
        <v>1</v>
      </c>
      <c r="H594" s="33">
        <v>0</v>
      </c>
      <c r="I594" s="34">
        <v>67240.498860267602</v>
      </c>
      <c r="J594" s="34">
        <v>67240.498860267602</v>
      </c>
      <c r="K594" s="31" t="s">
        <v>1546</v>
      </c>
      <c r="L594" s="31">
        <v>2</v>
      </c>
      <c r="M594" s="31" t="s">
        <v>1548</v>
      </c>
      <c r="N594" s="34">
        <v>400</v>
      </c>
      <c r="O594" s="35">
        <v>2.5000000000000001E-3</v>
      </c>
      <c r="P594" s="35" t="s">
        <v>212</v>
      </c>
      <c r="Q594" s="35">
        <v>0</v>
      </c>
      <c r="R594" s="36" t="s">
        <v>212</v>
      </c>
      <c r="S594" s="37" t="str">
        <f>IFERROR(_xlfn.XLOOKUP(R594,'1_Presupuesto'!$E:$E,'1_Presupuesto'!$D:$D),"")</f>
        <v/>
      </c>
    </row>
    <row r="595" spans="1:19" x14ac:dyDescent="0.35">
      <c r="A595" s="31" t="s">
        <v>1542</v>
      </c>
      <c r="B595" s="31" t="s">
        <v>478</v>
      </c>
      <c r="C595" s="31" t="s">
        <v>479</v>
      </c>
      <c r="D595" s="31" t="s">
        <v>494</v>
      </c>
      <c r="E595" s="31" t="s">
        <v>185</v>
      </c>
      <c r="F595" s="31" t="s">
        <v>481</v>
      </c>
      <c r="G595" s="32">
        <v>2</v>
      </c>
      <c r="H595" s="33">
        <v>0</v>
      </c>
      <c r="I595" s="34">
        <v>72132.138365590101</v>
      </c>
      <c r="J595" s="34">
        <v>144264.27673118</v>
      </c>
      <c r="K595" s="31" t="s">
        <v>1546</v>
      </c>
      <c r="L595" s="31">
        <v>3</v>
      </c>
      <c r="M595" s="31" t="s">
        <v>1549</v>
      </c>
      <c r="N595" s="34">
        <v>400</v>
      </c>
      <c r="O595" s="35">
        <v>5.0000000000000001E-3</v>
      </c>
      <c r="P595" s="35" t="s">
        <v>212</v>
      </c>
      <c r="Q595" s="35">
        <v>0</v>
      </c>
      <c r="R595" s="36" t="s">
        <v>212</v>
      </c>
      <c r="S595" s="37" t="str">
        <f>IFERROR(_xlfn.XLOOKUP(R595,'1_Presupuesto'!$E:$E,'1_Presupuesto'!$D:$D),"")</f>
        <v/>
      </c>
    </row>
    <row r="596" spans="1:19" x14ac:dyDescent="0.35">
      <c r="A596" s="31" t="s">
        <v>1550</v>
      </c>
      <c r="B596" s="31" t="s">
        <v>497</v>
      </c>
      <c r="C596" s="31" t="s">
        <v>498</v>
      </c>
      <c r="D596" s="31" t="s">
        <v>1515</v>
      </c>
      <c r="E596" s="31" t="s">
        <v>1516</v>
      </c>
      <c r="F596" s="31">
        <v>0</v>
      </c>
      <c r="G596" s="32">
        <v>6.5081799999999995E-2</v>
      </c>
      <c r="H596" s="33">
        <v>0.15</v>
      </c>
      <c r="I596" s="34">
        <v>2660.68</v>
      </c>
      <c r="J596" s="34">
        <v>199.13612016760001</v>
      </c>
      <c r="K596" s="31" t="s">
        <v>1551</v>
      </c>
      <c r="L596" s="31">
        <v>1</v>
      </c>
      <c r="M596" s="31" t="s">
        <v>1552</v>
      </c>
      <c r="N596" s="34">
        <v>150</v>
      </c>
      <c r="O596" s="35">
        <v>0</v>
      </c>
      <c r="P596" s="35" t="s">
        <v>212</v>
      </c>
      <c r="Q596" s="35">
        <v>0</v>
      </c>
      <c r="R596" s="36" t="s">
        <v>212</v>
      </c>
      <c r="S596" s="37" t="str">
        <f>IFERROR(_xlfn.XLOOKUP(R596,'1_Presupuesto'!$E:$E,'1_Presupuesto'!$D:$D),"")</f>
        <v/>
      </c>
    </row>
    <row r="597" spans="1:19" x14ac:dyDescent="0.35">
      <c r="A597" s="31" t="s">
        <v>1550</v>
      </c>
      <c r="B597" s="31" t="s">
        <v>497</v>
      </c>
      <c r="C597" s="31" t="s">
        <v>498</v>
      </c>
      <c r="D597" s="31" t="s">
        <v>1519</v>
      </c>
      <c r="E597" s="31" t="s">
        <v>1520</v>
      </c>
      <c r="F597" s="31">
        <v>0</v>
      </c>
      <c r="G597" s="32">
        <v>8.3676600000000004E-2</v>
      </c>
      <c r="H597" s="33">
        <v>7.0000000000000007E-2</v>
      </c>
      <c r="I597" s="34">
        <v>1338.79</v>
      </c>
      <c r="J597" s="34">
        <v>119.86717298598001</v>
      </c>
      <c r="K597" s="31" t="s">
        <v>1551</v>
      </c>
      <c r="L597" s="31">
        <v>2</v>
      </c>
      <c r="M597" s="31" t="s">
        <v>1553</v>
      </c>
      <c r="N597" s="34">
        <v>150</v>
      </c>
      <c r="O597" s="35">
        <v>0</v>
      </c>
      <c r="P597" s="35" t="s">
        <v>212</v>
      </c>
      <c r="Q597" s="35">
        <v>0</v>
      </c>
      <c r="R597" s="36" t="s">
        <v>212</v>
      </c>
      <c r="S597" s="37" t="str">
        <f>IFERROR(_xlfn.XLOOKUP(R597,'1_Presupuesto'!$E:$E,'1_Presupuesto'!$D:$D),"")</f>
        <v/>
      </c>
    </row>
    <row r="598" spans="1:19" x14ac:dyDescent="0.35">
      <c r="A598" s="31" t="s">
        <v>1550</v>
      </c>
      <c r="B598" s="31" t="s">
        <v>478</v>
      </c>
      <c r="C598" s="31" t="s">
        <v>479</v>
      </c>
      <c r="D598" s="31" t="s">
        <v>480</v>
      </c>
      <c r="E598" s="31" t="s">
        <v>183</v>
      </c>
      <c r="F598" s="31" t="s">
        <v>481</v>
      </c>
      <c r="G598" s="32">
        <v>3</v>
      </c>
      <c r="H598" s="33">
        <v>0</v>
      </c>
      <c r="I598" s="34">
        <v>94177.137883538904</v>
      </c>
      <c r="J598" s="34">
        <v>282531.413650617</v>
      </c>
      <c r="K598" s="31" t="s">
        <v>1554</v>
      </c>
      <c r="L598" s="31">
        <v>1</v>
      </c>
      <c r="M598" s="31" t="s">
        <v>1555</v>
      </c>
      <c r="N598" s="34">
        <v>150</v>
      </c>
      <c r="O598" s="35">
        <v>0.02</v>
      </c>
      <c r="P598" s="35" t="s">
        <v>212</v>
      </c>
      <c r="Q598" s="35">
        <v>0</v>
      </c>
      <c r="R598" s="36" t="s">
        <v>212</v>
      </c>
      <c r="S598" s="37" t="str">
        <f>IFERROR(_xlfn.XLOOKUP(R598,'1_Presupuesto'!$E:$E,'1_Presupuesto'!$D:$D),"")</f>
        <v/>
      </c>
    </row>
    <row r="599" spans="1:19" x14ac:dyDescent="0.35">
      <c r="A599" s="31" t="s">
        <v>1550</v>
      </c>
      <c r="B599" s="31" t="s">
        <v>478</v>
      </c>
      <c r="C599" s="31" t="s">
        <v>479</v>
      </c>
      <c r="D599" s="31" t="s">
        <v>494</v>
      </c>
      <c r="E599" s="31" t="s">
        <v>185</v>
      </c>
      <c r="F599" s="31" t="s">
        <v>481</v>
      </c>
      <c r="G599" s="32">
        <v>2</v>
      </c>
      <c r="H599" s="33">
        <v>0</v>
      </c>
      <c r="I599" s="34">
        <v>72132.138365590101</v>
      </c>
      <c r="J599" s="34">
        <v>144264.27673118</v>
      </c>
      <c r="K599" s="31" t="s">
        <v>1554</v>
      </c>
      <c r="L599" s="31">
        <v>2</v>
      </c>
      <c r="M599" s="31" t="s">
        <v>1556</v>
      </c>
      <c r="N599" s="34">
        <v>150</v>
      </c>
      <c r="O599" s="35">
        <v>1.3333333333333299E-2</v>
      </c>
      <c r="P599" s="35" t="s">
        <v>212</v>
      </c>
      <c r="Q599" s="35">
        <v>0</v>
      </c>
      <c r="R599" s="36" t="s">
        <v>212</v>
      </c>
      <c r="S599" s="37" t="str">
        <f>IFERROR(_xlfn.XLOOKUP(R599,'1_Presupuesto'!$E:$E,'1_Presupuesto'!$D:$D),"")</f>
        <v/>
      </c>
    </row>
    <row r="600" spans="1:19" x14ac:dyDescent="0.35">
      <c r="A600" s="31" t="s">
        <v>1557</v>
      </c>
      <c r="B600" s="31" t="s">
        <v>497</v>
      </c>
      <c r="C600" s="31" t="s">
        <v>498</v>
      </c>
      <c r="D600" s="31" t="s">
        <v>1515</v>
      </c>
      <c r="E600" s="31" t="s">
        <v>1516</v>
      </c>
      <c r="F600" s="31">
        <v>0</v>
      </c>
      <c r="G600" s="32">
        <v>6.8999999999999997E-5</v>
      </c>
      <c r="H600" s="33">
        <v>0.15</v>
      </c>
      <c r="I600" s="34">
        <v>2660.68</v>
      </c>
      <c r="J600" s="34">
        <v>0.211124958</v>
      </c>
      <c r="K600" s="31" t="s">
        <v>1558</v>
      </c>
      <c r="L600" s="31">
        <v>1</v>
      </c>
      <c r="M600" s="31" t="s">
        <v>1559</v>
      </c>
      <c r="N600" s="34">
        <v>400</v>
      </c>
      <c r="O600" s="35">
        <v>0</v>
      </c>
      <c r="P600" s="35" t="s">
        <v>212</v>
      </c>
      <c r="Q600" s="35">
        <v>0</v>
      </c>
      <c r="R600" s="36" t="s">
        <v>212</v>
      </c>
      <c r="S600" s="37" t="str">
        <f>IFERROR(_xlfn.XLOOKUP(R600,'1_Presupuesto'!$E:$E,'1_Presupuesto'!$D:$D),"")</f>
        <v/>
      </c>
    </row>
    <row r="601" spans="1:19" x14ac:dyDescent="0.35">
      <c r="A601" s="31" t="s">
        <v>1557</v>
      </c>
      <c r="B601" s="31" t="s">
        <v>497</v>
      </c>
      <c r="C601" s="31" t="s">
        <v>498</v>
      </c>
      <c r="D601" s="31" t="s">
        <v>1519</v>
      </c>
      <c r="E601" s="31" t="s">
        <v>1520</v>
      </c>
      <c r="F601" s="31">
        <v>0</v>
      </c>
      <c r="G601" s="32">
        <v>1.0319999999999999E-3</v>
      </c>
      <c r="H601" s="33">
        <v>7.0000000000000007E-2</v>
      </c>
      <c r="I601" s="34">
        <v>1338.79</v>
      </c>
      <c r="J601" s="34">
        <v>1.4783454696</v>
      </c>
      <c r="K601" s="31" t="s">
        <v>1558</v>
      </c>
      <c r="L601" s="31">
        <v>2</v>
      </c>
      <c r="M601" s="31" t="s">
        <v>1560</v>
      </c>
      <c r="N601" s="34">
        <v>400</v>
      </c>
      <c r="O601" s="35">
        <v>0</v>
      </c>
      <c r="P601" s="35" t="s">
        <v>212</v>
      </c>
      <c r="Q601" s="35">
        <v>0</v>
      </c>
      <c r="R601" s="36" t="s">
        <v>212</v>
      </c>
      <c r="S601" s="37" t="str">
        <f>IFERROR(_xlfn.XLOOKUP(R601,'1_Presupuesto'!$E:$E,'1_Presupuesto'!$D:$D),"")</f>
        <v/>
      </c>
    </row>
    <row r="602" spans="1:19" x14ac:dyDescent="0.35">
      <c r="A602" s="31" t="s">
        <v>1557</v>
      </c>
      <c r="B602" s="31" t="s">
        <v>478</v>
      </c>
      <c r="C602" s="31" t="s">
        <v>479</v>
      </c>
      <c r="D602" s="31" t="s">
        <v>480</v>
      </c>
      <c r="E602" s="31" t="s">
        <v>183</v>
      </c>
      <c r="F602" s="31" t="s">
        <v>481</v>
      </c>
      <c r="G602" s="32">
        <v>2</v>
      </c>
      <c r="H602" s="33">
        <v>0</v>
      </c>
      <c r="I602" s="34">
        <v>94177.137883538904</v>
      </c>
      <c r="J602" s="34">
        <v>188354.27576707801</v>
      </c>
      <c r="K602" s="31" t="s">
        <v>1561</v>
      </c>
      <c r="L602" s="31">
        <v>1</v>
      </c>
      <c r="M602" s="31" t="s">
        <v>1562</v>
      </c>
      <c r="N602" s="34">
        <v>400</v>
      </c>
      <c r="O602" s="35">
        <v>5.0000000000000001E-3</v>
      </c>
      <c r="P602" s="35" t="s">
        <v>212</v>
      </c>
      <c r="Q602" s="35">
        <v>0</v>
      </c>
      <c r="R602" s="36" t="s">
        <v>212</v>
      </c>
      <c r="S602" s="37" t="str">
        <f>IFERROR(_xlfn.XLOOKUP(R602,'1_Presupuesto'!$E:$E,'1_Presupuesto'!$D:$D),"")</f>
        <v/>
      </c>
    </row>
    <row r="603" spans="1:19" x14ac:dyDescent="0.35">
      <c r="A603" s="31" t="s">
        <v>1557</v>
      </c>
      <c r="B603" s="31" t="s">
        <v>478</v>
      </c>
      <c r="C603" s="31" t="s">
        <v>479</v>
      </c>
      <c r="D603" s="31" t="s">
        <v>484</v>
      </c>
      <c r="E603" s="31" t="s">
        <v>186</v>
      </c>
      <c r="F603" s="31" t="s">
        <v>481</v>
      </c>
      <c r="G603" s="32">
        <v>1</v>
      </c>
      <c r="H603" s="33">
        <v>0</v>
      </c>
      <c r="I603" s="34">
        <v>67240.498860267602</v>
      </c>
      <c r="J603" s="34">
        <v>67240.498860267602</v>
      </c>
      <c r="K603" s="31" t="s">
        <v>1561</v>
      </c>
      <c r="L603" s="31">
        <v>2</v>
      </c>
      <c r="M603" s="31" t="s">
        <v>1563</v>
      </c>
      <c r="N603" s="34">
        <v>400</v>
      </c>
      <c r="O603" s="35">
        <v>2.5000000000000001E-3</v>
      </c>
      <c r="P603" s="35" t="s">
        <v>212</v>
      </c>
      <c r="Q603" s="35">
        <v>0</v>
      </c>
      <c r="R603" s="36" t="s">
        <v>212</v>
      </c>
      <c r="S603" s="37" t="str">
        <f>IFERROR(_xlfn.XLOOKUP(R603,'1_Presupuesto'!$E:$E,'1_Presupuesto'!$D:$D),"")</f>
        <v/>
      </c>
    </row>
    <row r="604" spans="1:19" x14ac:dyDescent="0.35">
      <c r="A604" s="31" t="s">
        <v>1557</v>
      </c>
      <c r="B604" s="31" t="s">
        <v>478</v>
      </c>
      <c r="C604" s="31" t="s">
        <v>479</v>
      </c>
      <c r="D604" s="31" t="s">
        <v>494</v>
      </c>
      <c r="E604" s="31" t="s">
        <v>185</v>
      </c>
      <c r="F604" s="31" t="s">
        <v>481</v>
      </c>
      <c r="G604" s="32">
        <v>2</v>
      </c>
      <c r="H604" s="33">
        <v>0</v>
      </c>
      <c r="I604" s="34">
        <v>72132.138365590101</v>
      </c>
      <c r="J604" s="34">
        <v>144264.27673118</v>
      </c>
      <c r="K604" s="31" t="s">
        <v>1561</v>
      </c>
      <c r="L604" s="31">
        <v>3</v>
      </c>
      <c r="M604" s="31" t="s">
        <v>1564</v>
      </c>
      <c r="N604" s="34">
        <v>400</v>
      </c>
      <c r="O604" s="35">
        <v>5.0000000000000001E-3</v>
      </c>
      <c r="P604" s="35" t="s">
        <v>212</v>
      </c>
      <c r="Q604" s="35">
        <v>0</v>
      </c>
      <c r="R604" s="36" t="s">
        <v>212</v>
      </c>
      <c r="S604" s="37" t="str">
        <f>IFERROR(_xlfn.XLOOKUP(R604,'1_Presupuesto'!$E:$E,'1_Presupuesto'!$D:$D),"")</f>
        <v/>
      </c>
    </row>
    <row r="605" spans="1:19" x14ac:dyDescent="0.35">
      <c r="A605" s="31" t="s">
        <v>1565</v>
      </c>
      <c r="B605" s="31" t="s">
        <v>497</v>
      </c>
      <c r="C605" s="31" t="s">
        <v>498</v>
      </c>
      <c r="D605" s="31" t="s">
        <v>1515</v>
      </c>
      <c r="E605" s="31" t="s">
        <v>1516</v>
      </c>
      <c r="F605" s="31">
        <v>0</v>
      </c>
      <c r="G605" s="32">
        <v>6.6538420000000001E-2</v>
      </c>
      <c r="H605" s="33">
        <v>0.15</v>
      </c>
      <c r="I605" s="34">
        <v>2660.68</v>
      </c>
      <c r="J605" s="34">
        <v>203.59305982443999</v>
      </c>
      <c r="K605" s="31" t="s">
        <v>1566</v>
      </c>
      <c r="L605" s="31">
        <v>1</v>
      </c>
      <c r="M605" s="31" t="s">
        <v>1567</v>
      </c>
      <c r="N605" s="34">
        <v>400</v>
      </c>
      <c r="O605" s="35">
        <v>0</v>
      </c>
      <c r="P605" s="35" t="s">
        <v>212</v>
      </c>
      <c r="Q605" s="35">
        <v>0</v>
      </c>
      <c r="R605" s="36" t="s">
        <v>212</v>
      </c>
      <c r="S605" s="37" t="str">
        <f>IFERROR(_xlfn.XLOOKUP(R605,'1_Presupuesto'!$E:$E,'1_Presupuesto'!$D:$D),"")</f>
        <v/>
      </c>
    </row>
    <row r="606" spans="1:19" x14ac:dyDescent="0.35">
      <c r="A606" s="31" t="s">
        <v>1565</v>
      </c>
      <c r="B606" s="31" t="s">
        <v>497</v>
      </c>
      <c r="C606" s="31" t="s">
        <v>498</v>
      </c>
      <c r="D606" s="31" t="s">
        <v>1519</v>
      </c>
      <c r="E606" s="31" t="s">
        <v>1520</v>
      </c>
      <c r="F606" s="31">
        <v>0</v>
      </c>
      <c r="G606" s="32">
        <v>1.00063547</v>
      </c>
      <c r="H606" s="33">
        <v>7.0000000000000007E-2</v>
      </c>
      <c r="I606" s="34">
        <v>1338.79</v>
      </c>
      <c r="J606" s="34">
        <v>1433.4156141429901</v>
      </c>
      <c r="K606" s="31" t="s">
        <v>1566</v>
      </c>
      <c r="L606" s="31">
        <v>2</v>
      </c>
      <c r="M606" s="31" t="s">
        <v>1568</v>
      </c>
      <c r="N606" s="34">
        <v>400</v>
      </c>
      <c r="O606" s="35">
        <v>0</v>
      </c>
      <c r="P606" s="35" t="s">
        <v>212</v>
      </c>
      <c r="Q606" s="35">
        <v>0</v>
      </c>
      <c r="R606" s="36" t="s">
        <v>212</v>
      </c>
      <c r="S606" s="37" t="str">
        <f>IFERROR(_xlfn.XLOOKUP(R606,'1_Presupuesto'!$E:$E,'1_Presupuesto'!$D:$D),"")</f>
        <v/>
      </c>
    </row>
    <row r="607" spans="1:19" x14ac:dyDescent="0.35">
      <c r="A607" s="31" t="s">
        <v>1565</v>
      </c>
      <c r="B607" s="31" t="s">
        <v>478</v>
      </c>
      <c r="C607" s="31" t="s">
        <v>479</v>
      </c>
      <c r="D607" s="31" t="s">
        <v>480</v>
      </c>
      <c r="E607" s="31" t="s">
        <v>183</v>
      </c>
      <c r="F607" s="31" t="s">
        <v>481</v>
      </c>
      <c r="G607" s="32">
        <v>2</v>
      </c>
      <c r="H607" s="33">
        <v>0</v>
      </c>
      <c r="I607" s="34">
        <v>94177.137883538904</v>
      </c>
      <c r="J607" s="34">
        <v>188354.27576707801</v>
      </c>
      <c r="K607" s="31" t="s">
        <v>1569</v>
      </c>
      <c r="L607" s="31">
        <v>1</v>
      </c>
      <c r="M607" s="31" t="s">
        <v>1570</v>
      </c>
      <c r="N607" s="34">
        <v>400</v>
      </c>
      <c r="O607" s="35">
        <v>5.0000000000000001E-3</v>
      </c>
      <c r="P607" s="35" t="s">
        <v>212</v>
      </c>
      <c r="Q607" s="35">
        <v>0</v>
      </c>
      <c r="R607" s="36" t="s">
        <v>212</v>
      </c>
      <c r="S607" s="37" t="str">
        <f>IFERROR(_xlfn.XLOOKUP(R607,'1_Presupuesto'!$E:$E,'1_Presupuesto'!$D:$D),"")</f>
        <v/>
      </c>
    </row>
    <row r="608" spans="1:19" x14ac:dyDescent="0.35">
      <c r="A608" s="31" t="s">
        <v>1565</v>
      </c>
      <c r="B608" s="31" t="s">
        <v>478</v>
      </c>
      <c r="C608" s="31" t="s">
        <v>479</v>
      </c>
      <c r="D608" s="31" t="s">
        <v>484</v>
      </c>
      <c r="E608" s="31" t="s">
        <v>186</v>
      </c>
      <c r="F608" s="31" t="s">
        <v>481</v>
      </c>
      <c r="G608" s="32">
        <v>1</v>
      </c>
      <c r="H608" s="33">
        <v>0</v>
      </c>
      <c r="I608" s="34">
        <v>67240.498860267602</v>
      </c>
      <c r="J608" s="34">
        <v>67240.498860267602</v>
      </c>
      <c r="K608" s="31" t="s">
        <v>1569</v>
      </c>
      <c r="L608" s="31">
        <v>2</v>
      </c>
      <c r="M608" s="31" t="s">
        <v>1571</v>
      </c>
      <c r="N608" s="34">
        <v>400</v>
      </c>
      <c r="O608" s="35">
        <v>2.5000000000000001E-3</v>
      </c>
      <c r="P608" s="35" t="s">
        <v>212</v>
      </c>
      <c r="Q608" s="35">
        <v>0</v>
      </c>
      <c r="R608" s="36" t="s">
        <v>212</v>
      </c>
      <c r="S608" s="37" t="str">
        <f>IFERROR(_xlfn.XLOOKUP(R608,'1_Presupuesto'!$E:$E,'1_Presupuesto'!$D:$D),"")</f>
        <v/>
      </c>
    </row>
    <row r="609" spans="1:19" x14ac:dyDescent="0.35">
      <c r="A609" s="31" t="s">
        <v>1565</v>
      </c>
      <c r="B609" s="31" t="s">
        <v>478</v>
      </c>
      <c r="C609" s="31" t="s">
        <v>479</v>
      </c>
      <c r="D609" s="31" t="s">
        <v>494</v>
      </c>
      <c r="E609" s="31" t="s">
        <v>185</v>
      </c>
      <c r="F609" s="31" t="s">
        <v>481</v>
      </c>
      <c r="G609" s="32">
        <v>2</v>
      </c>
      <c r="H609" s="33">
        <v>0</v>
      </c>
      <c r="I609" s="34">
        <v>72132.138365590101</v>
      </c>
      <c r="J609" s="34">
        <v>144264.27673118</v>
      </c>
      <c r="K609" s="31" t="s">
        <v>1569</v>
      </c>
      <c r="L609" s="31">
        <v>3</v>
      </c>
      <c r="M609" s="31" t="s">
        <v>1572</v>
      </c>
      <c r="N609" s="34">
        <v>400</v>
      </c>
      <c r="O609" s="35">
        <v>5.0000000000000001E-3</v>
      </c>
      <c r="P609" s="35" t="s">
        <v>212</v>
      </c>
      <c r="Q609" s="35">
        <v>0</v>
      </c>
      <c r="R609" s="36" t="s">
        <v>212</v>
      </c>
      <c r="S609" s="37" t="str">
        <f>IFERROR(_xlfn.XLOOKUP(R609,'1_Presupuesto'!$E:$E,'1_Presupuesto'!$D:$D),"")</f>
        <v/>
      </c>
    </row>
    <row r="610" spans="1:19" x14ac:dyDescent="0.35">
      <c r="A610" s="31" t="s">
        <v>1573</v>
      </c>
      <c r="B610" s="31" t="s">
        <v>497</v>
      </c>
      <c r="C610" s="31" t="s">
        <v>498</v>
      </c>
      <c r="D610" s="31" t="s">
        <v>1574</v>
      </c>
      <c r="E610" s="31" t="s">
        <v>1575</v>
      </c>
      <c r="F610" s="31">
        <v>0</v>
      </c>
      <c r="G610" s="32">
        <v>0.12502094</v>
      </c>
      <c r="H610" s="33">
        <v>0.05</v>
      </c>
      <c r="I610" s="34">
        <v>2647.2224999999999</v>
      </c>
      <c r="J610" s="34">
        <v>347.50615760610799</v>
      </c>
      <c r="K610" s="31" t="s">
        <v>1576</v>
      </c>
      <c r="L610" s="31">
        <v>1</v>
      </c>
      <c r="M610" s="31" t="s">
        <v>1577</v>
      </c>
      <c r="N610" s="34">
        <v>24</v>
      </c>
      <c r="O610" s="35">
        <v>0</v>
      </c>
      <c r="P610" s="35" t="s">
        <v>212</v>
      </c>
      <c r="Q610" s="35">
        <v>0</v>
      </c>
      <c r="R610" s="36" t="s">
        <v>212</v>
      </c>
      <c r="S610" s="37" t="str">
        <f>IFERROR(_xlfn.XLOOKUP(R610,'1_Presupuesto'!$E:$E,'1_Presupuesto'!$D:$D),"")</f>
        <v/>
      </c>
    </row>
    <row r="611" spans="1:19" x14ac:dyDescent="0.35">
      <c r="A611" s="31" t="s">
        <v>1573</v>
      </c>
      <c r="B611" s="31" t="s">
        <v>497</v>
      </c>
      <c r="C611" s="31" t="s">
        <v>498</v>
      </c>
      <c r="D611" s="31" t="s">
        <v>1515</v>
      </c>
      <c r="E611" s="31" t="s">
        <v>1516</v>
      </c>
      <c r="F611" s="31">
        <v>0</v>
      </c>
      <c r="G611" s="32">
        <v>1.245373E-2</v>
      </c>
      <c r="H611" s="33">
        <v>0.15</v>
      </c>
      <c r="I611" s="34">
        <v>2660.68</v>
      </c>
      <c r="J611" s="34">
        <v>38.105698886859997</v>
      </c>
      <c r="K611" s="31" t="s">
        <v>1576</v>
      </c>
      <c r="L611" s="31">
        <v>2</v>
      </c>
      <c r="M611" s="31" t="s">
        <v>1578</v>
      </c>
      <c r="N611" s="34">
        <v>24</v>
      </c>
      <c r="O611" s="35">
        <v>0</v>
      </c>
      <c r="P611" s="35" t="s">
        <v>212</v>
      </c>
      <c r="Q611" s="35">
        <v>0</v>
      </c>
      <c r="R611" s="36" t="s">
        <v>212</v>
      </c>
      <c r="S611" s="37" t="str">
        <f>IFERROR(_xlfn.XLOOKUP(R611,'1_Presupuesto'!$E:$E,'1_Presupuesto'!$D:$D),"")</f>
        <v/>
      </c>
    </row>
    <row r="612" spans="1:19" x14ac:dyDescent="0.35">
      <c r="A612" s="31" t="s">
        <v>1573</v>
      </c>
      <c r="B612" s="31" t="s">
        <v>478</v>
      </c>
      <c r="C612" s="31" t="s">
        <v>479</v>
      </c>
      <c r="D612" s="31" t="s">
        <v>480</v>
      </c>
      <c r="E612" s="31" t="s">
        <v>183</v>
      </c>
      <c r="F612" s="31" t="s">
        <v>481</v>
      </c>
      <c r="G612" s="32">
        <v>1</v>
      </c>
      <c r="H612" s="33">
        <v>0</v>
      </c>
      <c r="I612" s="34">
        <v>94177.137883538904</v>
      </c>
      <c r="J612" s="34">
        <v>94177.137883538904</v>
      </c>
      <c r="K612" s="31" t="s">
        <v>1579</v>
      </c>
      <c r="L612" s="31">
        <v>1</v>
      </c>
      <c r="M612" s="31" t="s">
        <v>1580</v>
      </c>
      <c r="N612" s="34">
        <v>24</v>
      </c>
      <c r="O612" s="35">
        <v>4.1666666666666699E-2</v>
      </c>
      <c r="P612" s="35" t="s">
        <v>212</v>
      </c>
      <c r="Q612" s="35">
        <v>0</v>
      </c>
      <c r="R612" s="36" t="s">
        <v>212</v>
      </c>
      <c r="S612" s="37" t="str">
        <f>IFERROR(_xlfn.XLOOKUP(R612,'1_Presupuesto'!$E:$E,'1_Presupuesto'!$D:$D),"")</f>
        <v/>
      </c>
    </row>
    <row r="613" spans="1:19" x14ac:dyDescent="0.35">
      <c r="A613" s="31" t="s">
        <v>1573</v>
      </c>
      <c r="B613" s="31" t="s">
        <v>478</v>
      </c>
      <c r="C613" s="31" t="s">
        <v>479</v>
      </c>
      <c r="D613" s="31" t="s">
        <v>494</v>
      </c>
      <c r="E613" s="31" t="s">
        <v>185</v>
      </c>
      <c r="F613" s="31" t="s">
        <v>481</v>
      </c>
      <c r="G613" s="32">
        <v>1</v>
      </c>
      <c r="H613" s="33">
        <v>0</v>
      </c>
      <c r="I613" s="34">
        <v>72132.138365590101</v>
      </c>
      <c r="J613" s="34">
        <v>72132.138365590101</v>
      </c>
      <c r="K613" s="31" t="s">
        <v>1579</v>
      </c>
      <c r="L613" s="31">
        <v>2</v>
      </c>
      <c r="M613" s="31" t="s">
        <v>1581</v>
      </c>
      <c r="N613" s="34">
        <v>24</v>
      </c>
      <c r="O613" s="35">
        <v>4.1666666666666699E-2</v>
      </c>
      <c r="P613" s="35" t="s">
        <v>212</v>
      </c>
      <c r="Q613" s="35">
        <v>0</v>
      </c>
      <c r="R613" s="36" t="s">
        <v>212</v>
      </c>
      <c r="S613" s="37" t="str">
        <f>IFERROR(_xlfn.XLOOKUP(R613,'1_Presupuesto'!$E:$E,'1_Presupuesto'!$D:$D),"")</f>
        <v/>
      </c>
    </row>
    <row r="614" spans="1:19" x14ac:dyDescent="0.35">
      <c r="A614" s="31" t="s">
        <v>1582</v>
      </c>
      <c r="B614" s="31" t="s">
        <v>497</v>
      </c>
      <c r="C614" s="31" t="s">
        <v>498</v>
      </c>
      <c r="D614" s="31" t="s">
        <v>1583</v>
      </c>
      <c r="E614" s="31" t="s">
        <v>1584</v>
      </c>
      <c r="F614" s="31">
        <v>0</v>
      </c>
      <c r="G614" s="32">
        <v>1.0054840000000001E-2</v>
      </c>
      <c r="H614" s="33">
        <v>0.02</v>
      </c>
      <c r="I614" s="34">
        <v>1270.4831999999999</v>
      </c>
      <c r="J614" s="34">
        <v>13.029995404661801</v>
      </c>
      <c r="K614" s="31" t="s">
        <v>1585</v>
      </c>
      <c r="L614" s="31">
        <v>1</v>
      </c>
      <c r="M614" s="31" t="s">
        <v>1586</v>
      </c>
      <c r="N614" s="34">
        <v>28</v>
      </c>
      <c r="O614" s="35">
        <v>0</v>
      </c>
      <c r="P614" s="35" t="s">
        <v>212</v>
      </c>
      <c r="Q614" s="35">
        <v>0</v>
      </c>
      <c r="R614" s="36" t="s">
        <v>212</v>
      </c>
      <c r="S614" s="37" t="str">
        <f>IFERROR(_xlfn.XLOOKUP(R614,'1_Presupuesto'!$E:$E,'1_Presupuesto'!$D:$D),"")</f>
        <v/>
      </c>
    </row>
    <row r="615" spans="1:19" x14ac:dyDescent="0.35">
      <c r="A615" s="31" t="s">
        <v>1582</v>
      </c>
      <c r="B615" s="31" t="s">
        <v>497</v>
      </c>
      <c r="C615" s="31" t="s">
        <v>498</v>
      </c>
      <c r="D615" s="31" t="s">
        <v>1587</v>
      </c>
      <c r="E615" s="31" t="s">
        <v>1588</v>
      </c>
      <c r="F615" s="31">
        <v>0</v>
      </c>
      <c r="G615" s="32">
        <v>1.201676E-2</v>
      </c>
      <c r="H615" s="33">
        <v>0.02</v>
      </c>
      <c r="I615" s="34">
        <v>4649.9685120000004</v>
      </c>
      <c r="J615" s="34">
        <v>56.9951067285863</v>
      </c>
      <c r="K615" s="31" t="s">
        <v>1585</v>
      </c>
      <c r="L615" s="31">
        <v>2</v>
      </c>
      <c r="M615" s="31" t="s">
        <v>1589</v>
      </c>
      <c r="N615" s="34">
        <v>28</v>
      </c>
      <c r="O615" s="35">
        <v>0</v>
      </c>
      <c r="P615" s="35" t="s">
        <v>212</v>
      </c>
      <c r="Q615" s="35">
        <v>0</v>
      </c>
      <c r="R615" s="36" t="s">
        <v>212</v>
      </c>
      <c r="S615" s="37" t="str">
        <f>IFERROR(_xlfn.XLOOKUP(R615,'1_Presupuesto'!$E:$E,'1_Presupuesto'!$D:$D),"")</f>
        <v/>
      </c>
    </row>
    <row r="616" spans="1:19" x14ac:dyDescent="0.35">
      <c r="A616" s="31" t="s">
        <v>1582</v>
      </c>
      <c r="B616" s="31" t="s">
        <v>497</v>
      </c>
      <c r="C616" s="31" t="s">
        <v>498</v>
      </c>
      <c r="D616" s="31" t="s">
        <v>1590</v>
      </c>
      <c r="E616" s="31" t="s">
        <v>1591</v>
      </c>
      <c r="F616" s="31">
        <v>0</v>
      </c>
      <c r="G616" s="32">
        <v>0.32997041999999999</v>
      </c>
      <c r="H616" s="33">
        <v>0.05</v>
      </c>
      <c r="I616" s="34">
        <v>20401.25</v>
      </c>
      <c r="J616" s="34">
        <v>7068.3994825762502</v>
      </c>
      <c r="K616" s="31" t="s">
        <v>1585</v>
      </c>
      <c r="L616" s="31">
        <v>3</v>
      </c>
      <c r="M616" s="31" t="s">
        <v>1592</v>
      </c>
      <c r="N616" s="34">
        <v>28</v>
      </c>
      <c r="O616" s="35">
        <v>0</v>
      </c>
      <c r="P616" s="35" t="s">
        <v>212</v>
      </c>
      <c r="Q616" s="35">
        <v>0</v>
      </c>
      <c r="R616" s="36" t="s">
        <v>212</v>
      </c>
      <c r="S616" s="37" t="str">
        <f>IFERROR(_xlfn.XLOOKUP(R616,'1_Presupuesto'!$E:$E,'1_Presupuesto'!$D:$D),"")</f>
        <v/>
      </c>
    </row>
    <row r="617" spans="1:19" x14ac:dyDescent="0.35">
      <c r="A617" s="31" t="s">
        <v>1582</v>
      </c>
      <c r="B617" s="31" t="s">
        <v>497</v>
      </c>
      <c r="C617" s="31" t="s">
        <v>498</v>
      </c>
      <c r="D617" s="31" t="s">
        <v>1574</v>
      </c>
      <c r="E617" s="31" t="s">
        <v>1575</v>
      </c>
      <c r="F617" s="31">
        <v>0</v>
      </c>
      <c r="G617" s="32">
        <v>0.12494978</v>
      </c>
      <c r="H617" s="33">
        <v>0.05</v>
      </c>
      <c r="I617" s="34">
        <v>2647.2224999999999</v>
      </c>
      <c r="J617" s="34">
        <v>347.30836243535299</v>
      </c>
      <c r="K617" s="31" t="s">
        <v>1585</v>
      </c>
      <c r="L617" s="31">
        <v>4</v>
      </c>
      <c r="M617" s="31" t="s">
        <v>1593</v>
      </c>
      <c r="N617" s="34">
        <v>28</v>
      </c>
      <c r="O617" s="35">
        <v>0</v>
      </c>
      <c r="P617" s="35" t="s">
        <v>212</v>
      </c>
      <c r="Q617" s="35">
        <v>0</v>
      </c>
      <c r="R617" s="36" t="s">
        <v>212</v>
      </c>
      <c r="S617" s="37" t="str">
        <f>IFERROR(_xlfn.XLOOKUP(R617,'1_Presupuesto'!$E:$E,'1_Presupuesto'!$D:$D),"")</f>
        <v/>
      </c>
    </row>
    <row r="618" spans="1:19" x14ac:dyDescent="0.35">
      <c r="A618" s="31" t="s">
        <v>1582</v>
      </c>
      <c r="B618" s="31" t="s">
        <v>497</v>
      </c>
      <c r="C618" s="31" t="s">
        <v>498</v>
      </c>
      <c r="D618" s="31" t="s">
        <v>1515</v>
      </c>
      <c r="E618" s="31" t="s">
        <v>1516</v>
      </c>
      <c r="F618" s="31">
        <v>0</v>
      </c>
      <c r="G618" s="32">
        <v>1.2507239999999999E-2</v>
      </c>
      <c r="H618" s="33">
        <v>0.15</v>
      </c>
      <c r="I618" s="34">
        <v>2660.68</v>
      </c>
      <c r="J618" s="34">
        <v>38.269427821679997</v>
      </c>
      <c r="K618" s="31" t="s">
        <v>1585</v>
      </c>
      <c r="L618" s="31">
        <v>5</v>
      </c>
      <c r="M618" s="31" t="s">
        <v>1594</v>
      </c>
      <c r="N618" s="34">
        <v>28</v>
      </c>
      <c r="O618" s="35">
        <v>0</v>
      </c>
      <c r="P618" s="35" t="s">
        <v>212</v>
      </c>
      <c r="Q618" s="35">
        <v>0</v>
      </c>
      <c r="R618" s="36" t="s">
        <v>212</v>
      </c>
      <c r="S618" s="37" t="str">
        <f>IFERROR(_xlfn.XLOOKUP(R618,'1_Presupuesto'!$E:$E,'1_Presupuesto'!$D:$D),"")</f>
        <v/>
      </c>
    </row>
    <row r="619" spans="1:19" x14ac:dyDescent="0.35">
      <c r="A619" s="31" t="s">
        <v>1582</v>
      </c>
      <c r="B619" s="31" t="s">
        <v>478</v>
      </c>
      <c r="C619" s="31" t="s">
        <v>479</v>
      </c>
      <c r="D619" s="31" t="s">
        <v>484</v>
      </c>
      <c r="E619" s="31" t="s">
        <v>186</v>
      </c>
      <c r="F619" s="31" t="s">
        <v>481</v>
      </c>
      <c r="G619" s="32">
        <v>1</v>
      </c>
      <c r="H619" s="33">
        <v>0</v>
      </c>
      <c r="I619" s="34">
        <v>67240.498860267602</v>
      </c>
      <c r="J619" s="34">
        <v>67240.498860267602</v>
      </c>
      <c r="K619" s="31" t="s">
        <v>1595</v>
      </c>
      <c r="L619" s="31">
        <v>1</v>
      </c>
      <c r="M619" s="31" t="s">
        <v>1596</v>
      </c>
      <c r="N619" s="34">
        <v>28</v>
      </c>
      <c r="O619" s="35">
        <v>3.5714285714285698E-2</v>
      </c>
      <c r="P619" s="35" t="s">
        <v>212</v>
      </c>
      <c r="Q619" s="35">
        <v>0</v>
      </c>
      <c r="R619" s="36" t="s">
        <v>212</v>
      </c>
      <c r="S619" s="37" t="str">
        <f>IFERROR(_xlfn.XLOOKUP(R619,'1_Presupuesto'!$E:$E,'1_Presupuesto'!$D:$D),"")</f>
        <v/>
      </c>
    </row>
    <row r="620" spans="1:19" x14ac:dyDescent="0.35">
      <c r="A620" s="31" t="s">
        <v>1582</v>
      </c>
      <c r="B620" s="31" t="s">
        <v>478</v>
      </c>
      <c r="C620" s="31" t="s">
        <v>479</v>
      </c>
      <c r="D620" s="31" t="s">
        <v>480</v>
      </c>
      <c r="E620" s="31" t="s">
        <v>183</v>
      </c>
      <c r="F620" s="31" t="s">
        <v>481</v>
      </c>
      <c r="G620" s="32">
        <v>1</v>
      </c>
      <c r="H620" s="33">
        <v>0</v>
      </c>
      <c r="I620" s="34">
        <v>94177.137883538904</v>
      </c>
      <c r="J620" s="34">
        <v>94177.137883538904</v>
      </c>
      <c r="K620" s="31" t="s">
        <v>1595</v>
      </c>
      <c r="L620" s="31">
        <v>2</v>
      </c>
      <c r="M620" s="31" t="s">
        <v>1597</v>
      </c>
      <c r="N620" s="34">
        <v>28</v>
      </c>
      <c r="O620" s="35">
        <v>3.5714285714285698E-2</v>
      </c>
      <c r="P620" s="35" t="s">
        <v>212</v>
      </c>
      <c r="Q620" s="35">
        <v>0</v>
      </c>
      <c r="R620" s="36" t="s">
        <v>212</v>
      </c>
      <c r="S620" s="37" t="str">
        <f>IFERROR(_xlfn.XLOOKUP(R620,'1_Presupuesto'!$E:$E,'1_Presupuesto'!$D:$D),"")</f>
        <v/>
      </c>
    </row>
    <row r="621" spans="1:19" x14ac:dyDescent="0.35">
      <c r="A621" s="31" t="s">
        <v>1582</v>
      </c>
      <c r="B621" s="31" t="s">
        <v>478</v>
      </c>
      <c r="C621" s="31" t="s">
        <v>479</v>
      </c>
      <c r="D621" s="31" t="s">
        <v>494</v>
      </c>
      <c r="E621" s="31" t="s">
        <v>185</v>
      </c>
      <c r="F621" s="31" t="s">
        <v>481</v>
      </c>
      <c r="G621" s="32">
        <v>1</v>
      </c>
      <c r="H621" s="33">
        <v>0</v>
      </c>
      <c r="I621" s="34">
        <v>72132.138365590101</v>
      </c>
      <c r="J621" s="34">
        <v>72132.138365590101</v>
      </c>
      <c r="K621" s="31" t="s">
        <v>1595</v>
      </c>
      <c r="L621" s="31">
        <v>3</v>
      </c>
      <c r="M621" s="31" t="s">
        <v>1598</v>
      </c>
      <c r="N621" s="34">
        <v>28</v>
      </c>
      <c r="O621" s="35">
        <v>3.5714285714285698E-2</v>
      </c>
      <c r="P621" s="35" t="s">
        <v>212</v>
      </c>
      <c r="Q621" s="35">
        <v>0</v>
      </c>
      <c r="R621" s="36" t="s">
        <v>212</v>
      </c>
      <c r="S621" s="37" t="str">
        <f>IFERROR(_xlfn.XLOOKUP(R621,'1_Presupuesto'!$E:$E,'1_Presupuesto'!$D:$D),"")</f>
        <v/>
      </c>
    </row>
    <row r="622" spans="1:19" x14ac:dyDescent="0.35">
      <c r="A622" s="31" t="s">
        <v>1599</v>
      </c>
      <c r="B622" s="31" t="s">
        <v>497</v>
      </c>
      <c r="C622" s="31" t="s">
        <v>498</v>
      </c>
      <c r="D622" s="31" t="s">
        <v>1583</v>
      </c>
      <c r="E622" s="31" t="s">
        <v>1584</v>
      </c>
      <c r="F622" s="31">
        <v>0</v>
      </c>
      <c r="G622" s="32">
        <v>1.00284E-2</v>
      </c>
      <c r="H622" s="33">
        <v>0.02</v>
      </c>
      <c r="I622" s="34">
        <v>1270.4831999999999</v>
      </c>
      <c r="J622" s="34">
        <v>12.9957319973376</v>
      </c>
      <c r="K622" s="31" t="s">
        <v>1600</v>
      </c>
      <c r="L622" s="31">
        <v>1</v>
      </c>
      <c r="M622" s="31" t="s">
        <v>1601</v>
      </c>
      <c r="N622" s="34">
        <v>25</v>
      </c>
      <c r="O622" s="35">
        <v>0</v>
      </c>
      <c r="P622" s="35" t="s">
        <v>212</v>
      </c>
      <c r="Q622" s="35">
        <v>0</v>
      </c>
      <c r="R622" s="36" t="s">
        <v>212</v>
      </c>
      <c r="S622" s="37" t="str">
        <f>IFERROR(_xlfn.XLOOKUP(R622,'1_Presupuesto'!$E:$E,'1_Presupuesto'!$D:$D),"")</f>
        <v/>
      </c>
    </row>
    <row r="623" spans="1:19" x14ac:dyDescent="0.35">
      <c r="A623" s="31" t="s">
        <v>1599</v>
      </c>
      <c r="B623" s="31" t="s">
        <v>497</v>
      </c>
      <c r="C623" s="31" t="s">
        <v>498</v>
      </c>
      <c r="D623" s="31" t="s">
        <v>1587</v>
      </c>
      <c r="E623" s="31" t="s">
        <v>1588</v>
      </c>
      <c r="F623" s="31">
        <v>0</v>
      </c>
      <c r="G623" s="32">
        <v>1.2004799999999999E-2</v>
      </c>
      <c r="H623" s="33">
        <v>0.02</v>
      </c>
      <c r="I623" s="34">
        <v>4649.9685120000004</v>
      </c>
      <c r="J623" s="34">
        <v>56.938380832714799</v>
      </c>
      <c r="K623" s="31" t="s">
        <v>1600</v>
      </c>
      <c r="L623" s="31">
        <v>2</v>
      </c>
      <c r="M623" s="31" t="s">
        <v>1602</v>
      </c>
      <c r="N623" s="34">
        <v>25</v>
      </c>
      <c r="O623" s="35">
        <v>0</v>
      </c>
      <c r="P623" s="35" t="s">
        <v>212</v>
      </c>
      <c r="Q623" s="35">
        <v>0</v>
      </c>
      <c r="R623" s="36" t="s">
        <v>212</v>
      </c>
      <c r="S623" s="37" t="str">
        <f>IFERROR(_xlfn.XLOOKUP(R623,'1_Presupuesto'!$E:$E,'1_Presupuesto'!$D:$D),"")</f>
        <v/>
      </c>
    </row>
    <row r="624" spans="1:19" x14ac:dyDescent="0.35">
      <c r="A624" s="31" t="s">
        <v>1599</v>
      </c>
      <c r="B624" s="31" t="s">
        <v>497</v>
      </c>
      <c r="C624" s="31" t="s">
        <v>498</v>
      </c>
      <c r="D624" s="31" t="s">
        <v>1590</v>
      </c>
      <c r="E624" s="31" t="s">
        <v>1591</v>
      </c>
      <c r="F624" s="31">
        <v>0</v>
      </c>
      <c r="G624" s="32">
        <v>0.32998559999999999</v>
      </c>
      <c r="H624" s="33">
        <v>0.05</v>
      </c>
      <c r="I624" s="34">
        <v>20401.25</v>
      </c>
      <c r="J624" s="34">
        <v>7068.7246580999999</v>
      </c>
      <c r="K624" s="31" t="s">
        <v>1600</v>
      </c>
      <c r="L624" s="31">
        <v>3</v>
      </c>
      <c r="M624" s="31" t="s">
        <v>1603</v>
      </c>
      <c r="N624" s="34">
        <v>25</v>
      </c>
      <c r="O624" s="35">
        <v>0</v>
      </c>
      <c r="P624" s="35" t="s">
        <v>212</v>
      </c>
      <c r="Q624" s="35">
        <v>0</v>
      </c>
      <c r="R624" s="36" t="s">
        <v>212</v>
      </c>
      <c r="S624" s="37" t="str">
        <f>IFERROR(_xlfn.XLOOKUP(R624,'1_Presupuesto'!$E:$E,'1_Presupuesto'!$D:$D),"")</f>
        <v/>
      </c>
    </row>
    <row r="625" spans="1:19" x14ac:dyDescent="0.35">
      <c r="A625" s="31" t="s">
        <v>1599</v>
      </c>
      <c r="B625" s="31" t="s">
        <v>497</v>
      </c>
      <c r="C625" s="31" t="s">
        <v>498</v>
      </c>
      <c r="D625" s="31" t="s">
        <v>1574</v>
      </c>
      <c r="E625" s="31" t="s">
        <v>1575</v>
      </c>
      <c r="F625" s="31">
        <v>0</v>
      </c>
      <c r="G625" s="32">
        <v>0.12502559999999999</v>
      </c>
      <c r="H625" s="33">
        <v>0.05</v>
      </c>
      <c r="I625" s="34">
        <v>2647.2224999999999</v>
      </c>
      <c r="J625" s="34">
        <v>347.5191104658</v>
      </c>
      <c r="K625" s="31" t="s">
        <v>1600</v>
      </c>
      <c r="L625" s="31">
        <v>4</v>
      </c>
      <c r="M625" s="31" t="s">
        <v>1604</v>
      </c>
      <c r="N625" s="34">
        <v>25</v>
      </c>
      <c r="O625" s="35">
        <v>0</v>
      </c>
      <c r="P625" s="35" t="s">
        <v>212</v>
      </c>
      <c r="Q625" s="35">
        <v>0</v>
      </c>
      <c r="R625" s="36" t="s">
        <v>212</v>
      </c>
      <c r="S625" s="37" t="str">
        <f>IFERROR(_xlfn.XLOOKUP(R625,'1_Presupuesto'!$E:$E,'1_Presupuesto'!$D:$D),"")</f>
        <v/>
      </c>
    </row>
    <row r="626" spans="1:19" x14ac:dyDescent="0.35">
      <c r="A626" s="31" t="s">
        <v>1599</v>
      </c>
      <c r="B626" s="31" t="s">
        <v>497</v>
      </c>
      <c r="C626" s="31" t="s">
        <v>498</v>
      </c>
      <c r="D626" s="31" t="s">
        <v>1515</v>
      </c>
      <c r="E626" s="31" t="s">
        <v>1516</v>
      </c>
      <c r="F626" s="31">
        <v>0</v>
      </c>
      <c r="G626" s="32">
        <v>1.2517199999999999E-2</v>
      </c>
      <c r="H626" s="33">
        <v>0.15</v>
      </c>
      <c r="I626" s="34">
        <v>2660.68</v>
      </c>
      <c r="J626" s="34">
        <v>38.2999032504</v>
      </c>
      <c r="K626" s="31" t="s">
        <v>1600</v>
      </c>
      <c r="L626" s="31">
        <v>5</v>
      </c>
      <c r="M626" s="31" t="s">
        <v>1605</v>
      </c>
      <c r="N626" s="34">
        <v>25</v>
      </c>
      <c r="O626" s="35">
        <v>0</v>
      </c>
      <c r="P626" s="35" t="s">
        <v>212</v>
      </c>
      <c r="Q626" s="35">
        <v>0</v>
      </c>
      <c r="R626" s="36" t="s">
        <v>212</v>
      </c>
      <c r="S626" s="37" t="str">
        <f>IFERROR(_xlfn.XLOOKUP(R626,'1_Presupuesto'!$E:$E,'1_Presupuesto'!$D:$D),"")</f>
        <v/>
      </c>
    </row>
    <row r="627" spans="1:19" x14ac:dyDescent="0.35">
      <c r="A627" s="31" t="s">
        <v>1599</v>
      </c>
      <c r="B627" s="31" t="s">
        <v>478</v>
      </c>
      <c r="C627" s="31" t="s">
        <v>479</v>
      </c>
      <c r="D627" s="31" t="s">
        <v>484</v>
      </c>
      <c r="E627" s="31" t="s">
        <v>186</v>
      </c>
      <c r="F627" s="31" t="s">
        <v>481</v>
      </c>
      <c r="G627" s="32">
        <v>1</v>
      </c>
      <c r="H627" s="33">
        <v>0</v>
      </c>
      <c r="I627" s="34">
        <v>67240.498860267602</v>
      </c>
      <c r="J627" s="34">
        <v>67240.498860267602</v>
      </c>
      <c r="K627" s="31" t="s">
        <v>1606</v>
      </c>
      <c r="L627" s="31">
        <v>1</v>
      </c>
      <c r="M627" s="31" t="s">
        <v>1607</v>
      </c>
      <c r="N627" s="34">
        <v>25</v>
      </c>
      <c r="O627" s="35">
        <v>0.04</v>
      </c>
      <c r="P627" s="35" t="s">
        <v>212</v>
      </c>
      <c r="Q627" s="35">
        <v>0</v>
      </c>
      <c r="R627" s="36" t="s">
        <v>212</v>
      </c>
      <c r="S627" s="37" t="str">
        <f>IFERROR(_xlfn.XLOOKUP(R627,'1_Presupuesto'!$E:$E,'1_Presupuesto'!$D:$D),"")</f>
        <v/>
      </c>
    </row>
    <row r="628" spans="1:19" x14ac:dyDescent="0.35">
      <c r="A628" s="31" t="s">
        <v>1599</v>
      </c>
      <c r="B628" s="31" t="s">
        <v>478</v>
      </c>
      <c r="C628" s="31" t="s">
        <v>479</v>
      </c>
      <c r="D628" s="31" t="s">
        <v>480</v>
      </c>
      <c r="E628" s="31" t="s">
        <v>183</v>
      </c>
      <c r="F628" s="31" t="s">
        <v>481</v>
      </c>
      <c r="G628" s="32">
        <v>1</v>
      </c>
      <c r="H628" s="33">
        <v>0</v>
      </c>
      <c r="I628" s="34">
        <v>94177.137883538904</v>
      </c>
      <c r="J628" s="34">
        <v>94177.137883538904</v>
      </c>
      <c r="K628" s="31" t="s">
        <v>1606</v>
      </c>
      <c r="L628" s="31">
        <v>2</v>
      </c>
      <c r="M628" s="31" t="s">
        <v>1608</v>
      </c>
      <c r="N628" s="34">
        <v>25</v>
      </c>
      <c r="O628" s="35">
        <v>0.04</v>
      </c>
      <c r="P628" s="35" t="s">
        <v>212</v>
      </c>
      <c r="Q628" s="35">
        <v>0</v>
      </c>
      <c r="R628" s="36" t="s">
        <v>212</v>
      </c>
      <c r="S628" s="37" t="str">
        <f>IFERROR(_xlfn.XLOOKUP(R628,'1_Presupuesto'!$E:$E,'1_Presupuesto'!$D:$D),"")</f>
        <v/>
      </c>
    </row>
    <row r="629" spans="1:19" x14ac:dyDescent="0.35">
      <c r="A629" s="31" t="s">
        <v>1599</v>
      </c>
      <c r="B629" s="31" t="s">
        <v>478</v>
      </c>
      <c r="C629" s="31" t="s">
        <v>479</v>
      </c>
      <c r="D629" s="31" t="s">
        <v>494</v>
      </c>
      <c r="E629" s="31" t="s">
        <v>185</v>
      </c>
      <c r="F629" s="31" t="s">
        <v>481</v>
      </c>
      <c r="G629" s="32">
        <v>1</v>
      </c>
      <c r="H629" s="33">
        <v>0</v>
      </c>
      <c r="I629" s="34">
        <v>72132.138365590101</v>
      </c>
      <c r="J629" s="34">
        <v>72132.138365590101</v>
      </c>
      <c r="K629" s="31" t="s">
        <v>1606</v>
      </c>
      <c r="L629" s="31">
        <v>3</v>
      </c>
      <c r="M629" s="31" t="s">
        <v>1609</v>
      </c>
      <c r="N629" s="34">
        <v>25</v>
      </c>
      <c r="O629" s="35">
        <v>0.04</v>
      </c>
      <c r="P629" s="35" t="s">
        <v>212</v>
      </c>
      <c r="Q629" s="35">
        <v>0</v>
      </c>
      <c r="R629" s="36" t="s">
        <v>212</v>
      </c>
      <c r="S629" s="37" t="str">
        <f>IFERROR(_xlfn.XLOOKUP(R629,'1_Presupuesto'!$E:$E,'1_Presupuesto'!$D:$D),"")</f>
        <v/>
      </c>
    </row>
    <row r="630" spans="1:19" x14ac:dyDescent="0.35">
      <c r="A630" s="31" t="s">
        <v>1610</v>
      </c>
      <c r="B630" s="31" t="s">
        <v>497</v>
      </c>
      <c r="C630" s="31" t="s">
        <v>498</v>
      </c>
      <c r="D630" s="31" t="s">
        <v>1583</v>
      </c>
      <c r="E630" s="31" t="s">
        <v>1584</v>
      </c>
      <c r="F630" s="31">
        <v>0</v>
      </c>
      <c r="G630" s="32">
        <v>9.68544E-3</v>
      </c>
      <c r="H630" s="33">
        <v>0.02</v>
      </c>
      <c r="I630" s="34">
        <v>1270.4831999999999</v>
      </c>
      <c r="J630" s="34">
        <v>12.551292580700199</v>
      </c>
      <c r="K630" s="31" t="s">
        <v>1611</v>
      </c>
      <c r="L630" s="31">
        <v>1</v>
      </c>
      <c r="M630" s="31" t="s">
        <v>1612</v>
      </c>
      <c r="N630" s="34">
        <v>28</v>
      </c>
      <c r="O630" s="35">
        <v>0</v>
      </c>
      <c r="P630" s="35" t="s">
        <v>212</v>
      </c>
      <c r="Q630" s="35">
        <v>0</v>
      </c>
      <c r="R630" s="36" t="s">
        <v>212</v>
      </c>
      <c r="S630" s="37" t="str">
        <f>IFERROR(_xlfn.XLOOKUP(R630,'1_Presupuesto'!$E:$E,'1_Presupuesto'!$D:$D),"")</f>
        <v/>
      </c>
    </row>
    <row r="631" spans="1:19" x14ac:dyDescent="0.35">
      <c r="A631" s="31" t="s">
        <v>1610</v>
      </c>
      <c r="B631" s="31" t="s">
        <v>497</v>
      </c>
      <c r="C631" s="31" t="s">
        <v>498</v>
      </c>
      <c r="D631" s="31" t="s">
        <v>1613</v>
      </c>
      <c r="E631" s="31" t="s">
        <v>1614</v>
      </c>
      <c r="F631" s="31">
        <v>0</v>
      </c>
      <c r="G631" s="32">
        <v>0.49960727999999999</v>
      </c>
      <c r="H631" s="33">
        <v>0.02</v>
      </c>
      <c r="I631" s="34">
        <v>49748.25</v>
      </c>
      <c r="J631" s="34">
        <v>25351.6796246052</v>
      </c>
      <c r="K631" s="31" t="s">
        <v>1611</v>
      </c>
      <c r="L631" s="31">
        <v>2</v>
      </c>
      <c r="M631" s="31" t="s">
        <v>1615</v>
      </c>
      <c r="N631" s="34">
        <v>28</v>
      </c>
      <c r="O631" s="35">
        <v>0</v>
      </c>
      <c r="P631" s="35" t="s">
        <v>212</v>
      </c>
      <c r="Q631" s="35">
        <v>0</v>
      </c>
      <c r="R631" s="36" t="s">
        <v>212</v>
      </c>
      <c r="S631" s="37" t="str">
        <f>IFERROR(_xlfn.XLOOKUP(R631,'1_Presupuesto'!$E:$E,'1_Presupuesto'!$D:$D),"")</f>
        <v/>
      </c>
    </row>
    <row r="632" spans="1:19" x14ac:dyDescent="0.35">
      <c r="A632" s="31" t="s">
        <v>1610</v>
      </c>
      <c r="B632" s="31" t="s">
        <v>497</v>
      </c>
      <c r="C632" s="31" t="s">
        <v>498</v>
      </c>
      <c r="D632" s="31" t="s">
        <v>1587</v>
      </c>
      <c r="E632" s="31" t="s">
        <v>1588</v>
      </c>
      <c r="F632" s="31">
        <v>0</v>
      </c>
      <c r="G632" s="32">
        <v>1.2106799999999999E-2</v>
      </c>
      <c r="H632" s="33">
        <v>0.05</v>
      </c>
      <c r="I632" s="34">
        <v>4649.9685120000004</v>
      </c>
      <c r="J632" s="34">
        <v>59.111050720135701</v>
      </c>
      <c r="K632" s="31" t="s">
        <v>1611</v>
      </c>
      <c r="L632" s="31">
        <v>3</v>
      </c>
      <c r="M632" s="31" t="s">
        <v>1616</v>
      </c>
      <c r="N632" s="34">
        <v>28</v>
      </c>
      <c r="O632" s="35">
        <v>0</v>
      </c>
      <c r="P632" s="35" t="s">
        <v>212</v>
      </c>
      <c r="Q632" s="35">
        <v>0</v>
      </c>
      <c r="R632" s="36" t="s">
        <v>212</v>
      </c>
      <c r="S632" s="37" t="str">
        <f>IFERROR(_xlfn.XLOOKUP(R632,'1_Presupuesto'!$E:$E,'1_Presupuesto'!$D:$D),"")</f>
        <v/>
      </c>
    </row>
    <row r="633" spans="1:19" x14ac:dyDescent="0.35">
      <c r="A633" s="31" t="s">
        <v>1610</v>
      </c>
      <c r="B633" s="31" t="s">
        <v>497</v>
      </c>
      <c r="C633" s="31" t="s">
        <v>498</v>
      </c>
      <c r="D633" s="31" t="s">
        <v>1574</v>
      </c>
      <c r="E633" s="31" t="s">
        <v>1575</v>
      </c>
      <c r="F633" s="31">
        <v>0</v>
      </c>
      <c r="G633" s="32">
        <v>0.12510360000000001</v>
      </c>
      <c r="H633" s="33">
        <v>0.05</v>
      </c>
      <c r="I633" s="34">
        <v>2647.2224999999999</v>
      </c>
      <c r="J633" s="34">
        <v>347.73591798855</v>
      </c>
      <c r="K633" s="31" t="s">
        <v>1611</v>
      </c>
      <c r="L633" s="31">
        <v>4</v>
      </c>
      <c r="M633" s="31" t="s">
        <v>1617</v>
      </c>
      <c r="N633" s="34">
        <v>28</v>
      </c>
      <c r="O633" s="35">
        <v>0</v>
      </c>
      <c r="P633" s="35" t="s">
        <v>212</v>
      </c>
      <c r="Q633" s="35">
        <v>0</v>
      </c>
      <c r="R633" s="36" t="s">
        <v>212</v>
      </c>
      <c r="S633" s="37" t="str">
        <f>IFERROR(_xlfn.XLOOKUP(R633,'1_Presupuesto'!$E:$E,'1_Presupuesto'!$D:$D),"")</f>
        <v/>
      </c>
    </row>
    <row r="634" spans="1:19" x14ac:dyDescent="0.35">
      <c r="A634" s="31" t="s">
        <v>1610</v>
      </c>
      <c r="B634" s="31" t="s">
        <v>497</v>
      </c>
      <c r="C634" s="31" t="s">
        <v>498</v>
      </c>
      <c r="D634" s="31" t="s">
        <v>1515</v>
      </c>
      <c r="E634" s="31" t="s">
        <v>1516</v>
      </c>
      <c r="F634" s="31">
        <v>0</v>
      </c>
      <c r="G634" s="32">
        <v>1.2106799999999999E-2</v>
      </c>
      <c r="H634" s="33">
        <v>0.15</v>
      </c>
      <c r="I634" s="34">
        <v>2660.68</v>
      </c>
      <c r="J634" s="34">
        <v>37.044168717600002</v>
      </c>
      <c r="K634" s="31" t="s">
        <v>1611</v>
      </c>
      <c r="L634" s="31">
        <v>5</v>
      </c>
      <c r="M634" s="31" t="s">
        <v>1618</v>
      </c>
      <c r="N634" s="34">
        <v>28</v>
      </c>
      <c r="O634" s="35">
        <v>0</v>
      </c>
      <c r="P634" s="35" t="s">
        <v>212</v>
      </c>
      <c r="Q634" s="35">
        <v>0</v>
      </c>
      <c r="R634" s="36" t="s">
        <v>212</v>
      </c>
      <c r="S634" s="37" t="str">
        <f>IFERROR(_xlfn.XLOOKUP(R634,'1_Presupuesto'!$E:$E,'1_Presupuesto'!$D:$D),"")</f>
        <v/>
      </c>
    </row>
    <row r="635" spans="1:19" x14ac:dyDescent="0.35">
      <c r="A635" s="31" t="s">
        <v>1610</v>
      </c>
      <c r="B635" s="31" t="s">
        <v>478</v>
      </c>
      <c r="C635" s="31" t="s">
        <v>479</v>
      </c>
      <c r="D635" s="31" t="s">
        <v>484</v>
      </c>
      <c r="E635" s="31" t="s">
        <v>186</v>
      </c>
      <c r="F635" s="31" t="s">
        <v>481</v>
      </c>
      <c r="G635" s="32">
        <v>1</v>
      </c>
      <c r="H635" s="33">
        <v>0</v>
      </c>
      <c r="I635" s="34">
        <v>67240.498860267602</v>
      </c>
      <c r="J635" s="34">
        <v>67240.498860267602</v>
      </c>
      <c r="K635" s="31" t="s">
        <v>1619</v>
      </c>
      <c r="L635" s="31">
        <v>1</v>
      </c>
      <c r="M635" s="31" t="s">
        <v>1620</v>
      </c>
      <c r="N635" s="34">
        <v>28</v>
      </c>
      <c r="O635" s="35">
        <v>3.5714285714285698E-2</v>
      </c>
      <c r="P635" s="35" t="s">
        <v>212</v>
      </c>
      <c r="Q635" s="35">
        <v>0</v>
      </c>
      <c r="R635" s="36" t="s">
        <v>212</v>
      </c>
      <c r="S635" s="37" t="str">
        <f>IFERROR(_xlfn.XLOOKUP(R635,'1_Presupuesto'!$E:$E,'1_Presupuesto'!$D:$D),"")</f>
        <v/>
      </c>
    </row>
    <row r="636" spans="1:19" x14ac:dyDescent="0.35">
      <c r="A636" s="31" t="s">
        <v>1610</v>
      </c>
      <c r="B636" s="31" t="s">
        <v>478</v>
      </c>
      <c r="C636" s="31" t="s">
        <v>479</v>
      </c>
      <c r="D636" s="31" t="s">
        <v>480</v>
      </c>
      <c r="E636" s="31" t="s">
        <v>183</v>
      </c>
      <c r="F636" s="31" t="s">
        <v>481</v>
      </c>
      <c r="G636" s="32">
        <v>1</v>
      </c>
      <c r="H636" s="33">
        <v>0</v>
      </c>
      <c r="I636" s="34">
        <v>94177.137883538904</v>
      </c>
      <c r="J636" s="34">
        <v>94177.137883538904</v>
      </c>
      <c r="K636" s="31" t="s">
        <v>1619</v>
      </c>
      <c r="L636" s="31">
        <v>2</v>
      </c>
      <c r="M636" s="31" t="s">
        <v>1621</v>
      </c>
      <c r="N636" s="34">
        <v>28</v>
      </c>
      <c r="O636" s="35">
        <v>3.5714285714285698E-2</v>
      </c>
      <c r="P636" s="35" t="s">
        <v>212</v>
      </c>
      <c r="Q636" s="35">
        <v>0</v>
      </c>
      <c r="R636" s="36" t="s">
        <v>212</v>
      </c>
      <c r="S636" s="37" t="str">
        <f>IFERROR(_xlfn.XLOOKUP(R636,'1_Presupuesto'!$E:$E,'1_Presupuesto'!$D:$D),"")</f>
        <v/>
      </c>
    </row>
    <row r="637" spans="1:19" x14ac:dyDescent="0.35">
      <c r="A637" s="31" t="s">
        <v>1610</v>
      </c>
      <c r="B637" s="31" t="s">
        <v>478</v>
      </c>
      <c r="C637" s="31" t="s">
        <v>479</v>
      </c>
      <c r="D637" s="31" t="s">
        <v>494</v>
      </c>
      <c r="E637" s="31" t="s">
        <v>185</v>
      </c>
      <c r="F637" s="31" t="s">
        <v>481</v>
      </c>
      <c r="G637" s="32">
        <v>1</v>
      </c>
      <c r="H637" s="33">
        <v>0</v>
      </c>
      <c r="I637" s="34">
        <v>72132.138365590101</v>
      </c>
      <c r="J637" s="34">
        <v>72132.138365590101</v>
      </c>
      <c r="K637" s="31" t="s">
        <v>1619</v>
      </c>
      <c r="L637" s="31">
        <v>3</v>
      </c>
      <c r="M637" s="31" t="s">
        <v>1622</v>
      </c>
      <c r="N637" s="34">
        <v>28</v>
      </c>
      <c r="O637" s="35">
        <v>3.5714285714285698E-2</v>
      </c>
      <c r="P637" s="35" t="s">
        <v>212</v>
      </c>
      <c r="Q637" s="35">
        <v>0</v>
      </c>
      <c r="R637" s="36" t="s">
        <v>212</v>
      </c>
      <c r="S637" s="37" t="str">
        <f>IFERROR(_xlfn.XLOOKUP(R637,'1_Presupuesto'!$E:$E,'1_Presupuesto'!$D:$D),"")</f>
        <v/>
      </c>
    </row>
    <row r="638" spans="1:19" x14ac:dyDescent="0.35">
      <c r="A638" s="31" t="s">
        <v>1623</v>
      </c>
      <c r="B638" s="31" t="s">
        <v>497</v>
      </c>
      <c r="C638" s="31" t="s">
        <v>498</v>
      </c>
      <c r="D638" s="31" t="s">
        <v>1583</v>
      </c>
      <c r="E638" s="31" t="s">
        <v>1584</v>
      </c>
      <c r="F638" s="31">
        <v>0</v>
      </c>
      <c r="G638" s="32">
        <v>1.0134799999999999E-2</v>
      </c>
      <c r="H638" s="33">
        <v>0.02</v>
      </c>
      <c r="I638" s="34">
        <v>1270.4831999999999</v>
      </c>
      <c r="J638" s="34">
        <v>13.1336149980672</v>
      </c>
      <c r="K638" s="31" t="s">
        <v>1624</v>
      </c>
      <c r="L638" s="31">
        <v>1</v>
      </c>
      <c r="M638" s="31" t="s">
        <v>1625</v>
      </c>
      <c r="N638" s="34">
        <v>26</v>
      </c>
      <c r="O638" s="35">
        <v>0</v>
      </c>
      <c r="P638" s="35" t="s">
        <v>212</v>
      </c>
      <c r="Q638" s="35">
        <v>0</v>
      </c>
      <c r="R638" s="36" t="s">
        <v>212</v>
      </c>
      <c r="S638" s="37" t="str">
        <f>IFERROR(_xlfn.XLOOKUP(R638,'1_Presupuesto'!$E:$E,'1_Presupuesto'!$D:$D),"")</f>
        <v/>
      </c>
    </row>
    <row r="639" spans="1:19" x14ac:dyDescent="0.35">
      <c r="A639" s="31" t="s">
        <v>1623</v>
      </c>
      <c r="B639" s="31" t="s">
        <v>497</v>
      </c>
      <c r="C639" s="31" t="s">
        <v>498</v>
      </c>
      <c r="D639" s="31" t="s">
        <v>1587</v>
      </c>
      <c r="E639" s="31" t="s">
        <v>1588</v>
      </c>
      <c r="F639" s="31">
        <v>0</v>
      </c>
      <c r="G639" s="32">
        <v>2.4167600000000001E-2</v>
      </c>
      <c r="H639" s="33">
        <v>0.02</v>
      </c>
      <c r="I639" s="34">
        <v>4649.9685120000004</v>
      </c>
      <c r="J639" s="34">
        <v>114.626150590823</v>
      </c>
      <c r="K639" s="31" t="s">
        <v>1624</v>
      </c>
      <c r="L639" s="31">
        <v>2</v>
      </c>
      <c r="M639" s="31" t="s">
        <v>1626</v>
      </c>
      <c r="N639" s="34">
        <v>26</v>
      </c>
      <c r="O639" s="35">
        <v>0</v>
      </c>
      <c r="P639" s="35" t="s">
        <v>212</v>
      </c>
      <c r="Q639" s="35">
        <v>0</v>
      </c>
      <c r="R639" s="36" t="s">
        <v>212</v>
      </c>
      <c r="S639" s="37" t="str">
        <f>IFERROR(_xlfn.XLOOKUP(R639,'1_Presupuesto'!$E:$E,'1_Presupuesto'!$D:$D),"")</f>
        <v/>
      </c>
    </row>
    <row r="640" spans="1:19" x14ac:dyDescent="0.35">
      <c r="A640" s="31" t="s">
        <v>1623</v>
      </c>
      <c r="B640" s="31" t="s">
        <v>497</v>
      </c>
      <c r="C640" s="31" t="s">
        <v>498</v>
      </c>
      <c r="D640" s="31" t="s">
        <v>1590</v>
      </c>
      <c r="E640" s="31" t="s">
        <v>1591</v>
      </c>
      <c r="F640" s="31">
        <v>0</v>
      </c>
      <c r="G640" s="32">
        <v>0.50011340000000004</v>
      </c>
      <c r="H640" s="33">
        <v>0.05</v>
      </c>
      <c r="I640" s="34">
        <v>20401.25</v>
      </c>
      <c r="J640" s="34">
        <v>10713.085426837501</v>
      </c>
      <c r="K640" s="31" t="s">
        <v>1624</v>
      </c>
      <c r="L640" s="31">
        <v>3</v>
      </c>
      <c r="M640" s="31" t="s">
        <v>1627</v>
      </c>
      <c r="N640" s="34">
        <v>26</v>
      </c>
      <c r="O640" s="35">
        <v>0</v>
      </c>
      <c r="P640" s="35" t="s">
        <v>212</v>
      </c>
      <c r="Q640" s="35">
        <v>0</v>
      </c>
      <c r="R640" s="36" t="s">
        <v>212</v>
      </c>
      <c r="S640" s="37" t="str">
        <f>IFERROR(_xlfn.XLOOKUP(R640,'1_Presupuesto'!$E:$E,'1_Presupuesto'!$D:$D),"")</f>
        <v/>
      </c>
    </row>
    <row r="641" spans="1:19" x14ac:dyDescent="0.35">
      <c r="A641" s="31" t="s">
        <v>1623</v>
      </c>
      <c r="B641" s="31" t="s">
        <v>497</v>
      </c>
      <c r="C641" s="31" t="s">
        <v>498</v>
      </c>
      <c r="D641" s="31" t="s">
        <v>1574</v>
      </c>
      <c r="E641" s="31" t="s">
        <v>1575</v>
      </c>
      <c r="F641" s="31">
        <v>0</v>
      </c>
      <c r="G641" s="32">
        <v>0.12512580000000001</v>
      </c>
      <c r="H641" s="33">
        <v>0.05</v>
      </c>
      <c r="I641" s="34">
        <v>2647.2224999999999</v>
      </c>
      <c r="J641" s="34">
        <v>347.79762474502502</v>
      </c>
      <c r="K641" s="31" t="s">
        <v>1624</v>
      </c>
      <c r="L641" s="31">
        <v>4</v>
      </c>
      <c r="M641" s="31" t="s">
        <v>1628</v>
      </c>
      <c r="N641" s="34">
        <v>26</v>
      </c>
      <c r="O641" s="35">
        <v>0</v>
      </c>
      <c r="P641" s="35" t="s">
        <v>212</v>
      </c>
      <c r="Q641" s="35">
        <v>0</v>
      </c>
      <c r="R641" s="36" t="s">
        <v>212</v>
      </c>
      <c r="S641" s="37" t="str">
        <f>IFERROR(_xlfn.XLOOKUP(R641,'1_Presupuesto'!$E:$E,'1_Presupuesto'!$D:$D),"")</f>
        <v/>
      </c>
    </row>
    <row r="642" spans="1:19" x14ac:dyDescent="0.35">
      <c r="A642" s="31" t="s">
        <v>1623</v>
      </c>
      <c r="B642" s="31" t="s">
        <v>497</v>
      </c>
      <c r="C642" s="31" t="s">
        <v>498</v>
      </c>
      <c r="D642" s="31" t="s">
        <v>1515</v>
      </c>
      <c r="E642" s="31" t="s">
        <v>1516</v>
      </c>
      <c r="F642" s="31">
        <v>0</v>
      </c>
      <c r="G642" s="32">
        <v>1.24736E-2</v>
      </c>
      <c r="H642" s="33">
        <v>0.15</v>
      </c>
      <c r="I642" s="34">
        <v>2660.68</v>
      </c>
      <c r="J642" s="34">
        <v>38.166496755200001</v>
      </c>
      <c r="K642" s="31" t="s">
        <v>1624</v>
      </c>
      <c r="L642" s="31">
        <v>5</v>
      </c>
      <c r="M642" s="31" t="s">
        <v>1629</v>
      </c>
      <c r="N642" s="34">
        <v>26</v>
      </c>
      <c r="O642" s="35">
        <v>0</v>
      </c>
      <c r="P642" s="35" t="s">
        <v>212</v>
      </c>
      <c r="Q642" s="35">
        <v>0</v>
      </c>
      <c r="R642" s="36" t="s">
        <v>212</v>
      </c>
      <c r="S642" s="37" t="str">
        <f>IFERROR(_xlfn.XLOOKUP(R642,'1_Presupuesto'!$E:$E,'1_Presupuesto'!$D:$D),"")</f>
        <v/>
      </c>
    </row>
    <row r="643" spans="1:19" x14ac:dyDescent="0.35">
      <c r="A643" s="31" t="s">
        <v>1623</v>
      </c>
      <c r="B643" s="31" t="s">
        <v>478</v>
      </c>
      <c r="C643" s="31" t="s">
        <v>479</v>
      </c>
      <c r="D643" s="31" t="s">
        <v>484</v>
      </c>
      <c r="E643" s="31" t="s">
        <v>186</v>
      </c>
      <c r="F643" s="31" t="s">
        <v>481</v>
      </c>
      <c r="G643" s="32">
        <v>1</v>
      </c>
      <c r="H643" s="33">
        <v>0</v>
      </c>
      <c r="I643" s="34">
        <v>67240.498860267602</v>
      </c>
      <c r="J643" s="34">
        <v>67240.498860267602</v>
      </c>
      <c r="K643" s="31" t="s">
        <v>1630</v>
      </c>
      <c r="L643" s="31">
        <v>1</v>
      </c>
      <c r="M643" s="31" t="s">
        <v>1631</v>
      </c>
      <c r="N643" s="34">
        <v>26</v>
      </c>
      <c r="O643" s="35">
        <v>3.8461538461538498E-2</v>
      </c>
      <c r="P643" s="35" t="s">
        <v>212</v>
      </c>
      <c r="Q643" s="35">
        <v>0</v>
      </c>
      <c r="R643" s="36" t="s">
        <v>212</v>
      </c>
      <c r="S643" s="37" t="str">
        <f>IFERROR(_xlfn.XLOOKUP(R643,'1_Presupuesto'!$E:$E,'1_Presupuesto'!$D:$D),"")</f>
        <v/>
      </c>
    </row>
    <row r="644" spans="1:19" x14ac:dyDescent="0.35">
      <c r="A644" s="31" t="s">
        <v>1623</v>
      </c>
      <c r="B644" s="31" t="s">
        <v>478</v>
      </c>
      <c r="C644" s="31" t="s">
        <v>479</v>
      </c>
      <c r="D644" s="31" t="s">
        <v>480</v>
      </c>
      <c r="E644" s="31" t="s">
        <v>183</v>
      </c>
      <c r="F644" s="31" t="s">
        <v>481</v>
      </c>
      <c r="G644" s="32">
        <v>1</v>
      </c>
      <c r="H644" s="33">
        <v>0</v>
      </c>
      <c r="I644" s="34">
        <v>94177.137883538904</v>
      </c>
      <c r="J644" s="34">
        <v>94177.137883538904</v>
      </c>
      <c r="K644" s="31" t="s">
        <v>1630</v>
      </c>
      <c r="L644" s="31">
        <v>2</v>
      </c>
      <c r="M644" s="31" t="s">
        <v>1632</v>
      </c>
      <c r="N644" s="34">
        <v>26</v>
      </c>
      <c r="O644" s="35">
        <v>3.8461538461538498E-2</v>
      </c>
      <c r="P644" s="35" t="s">
        <v>212</v>
      </c>
      <c r="Q644" s="35">
        <v>0</v>
      </c>
      <c r="R644" s="36" t="s">
        <v>212</v>
      </c>
      <c r="S644" s="37" t="str">
        <f>IFERROR(_xlfn.XLOOKUP(R644,'1_Presupuesto'!$E:$E,'1_Presupuesto'!$D:$D),"")</f>
        <v/>
      </c>
    </row>
    <row r="645" spans="1:19" x14ac:dyDescent="0.35">
      <c r="A645" s="31" t="s">
        <v>1623</v>
      </c>
      <c r="B645" s="31" t="s">
        <v>478</v>
      </c>
      <c r="C645" s="31" t="s">
        <v>479</v>
      </c>
      <c r="D645" s="31" t="s">
        <v>494</v>
      </c>
      <c r="E645" s="31" t="s">
        <v>185</v>
      </c>
      <c r="F645" s="31" t="s">
        <v>481</v>
      </c>
      <c r="G645" s="32">
        <v>1</v>
      </c>
      <c r="H645" s="33">
        <v>0</v>
      </c>
      <c r="I645" s="34">
        <v>72132.138365590101</v>
      </c>
      <c r="J645" s="34">
        <v>72132.138365590101</v>
      </c>
      <c r="K645" s="31" t="s">
        <v>1630</v>
      </c>
      <c r="L645" s="31">
        <v>3</v>
      </c>
      <c r="M645" s="31" t="s">
        <v>1633</v>
      </c>
      <c r="N645" s="34">
        <v>26</v>
      </c>
      <c r="O645" s="35">
        <v>3.8461538461538498E-2</v>
      </c>
      <c r="P645" s="35" t="s">
        <v>212</v>
      </c>
      <c r="Q645" s="35">
        <v>0</v>
      </c>
      <c r="R645" s="36" t="s">
        <v>212</v>
      </c>
      <c r="S645" s="37" t="str">
        <f>IFERROR(_xlfn.XLOOKUP(R645,'1_Presupuesto'!$E:$E,'1_Presupuesto'!$D:$D),"")</f>
        <v/>
      </c>
    </row>
    <row r="646" spans="1:19" x14ac:dyDescent="0.35">
      <c r="A646" s="31" t="s">
        <v>1634</v>
      </c>
      <c r="B646" s="31" t="s">
        <v>478</v>
      </c>
      <c r="C646" s="31" t="s">
        <v>498</v>
      </c>
      <c r="D646" s="31" t="s">
        <v>1635</v>
      </c>
      <c r="E646" s="31" t="s">
        <v>1636</v>
      </c>
      <c r="F646" s="31" t="s">
        <v>481</v>
      </c>
      <c r="G646" s="32">
        <v>1</v>
      </c>
      <c r="H646" s="33">
        <v>0</v>
      </c>
      <c r="I646" s="34">
        <v>214394.06177409799</v>
      </c>
      <c r="J646" s="34">
        <v>214394.06177409799</v>
      </c>
      <c r="K646" s="31" t="s">
        <v>1637</v>
      </c>
      <c r="L646" s="31">
        <v>1</v>
      </c>
      <c r="M646" s="31" t="s">
        <v>1638</v>
      </c>
      <c r="N646" s="34">
        <v>1</v>
      </c>
      <c r="O646" s="35">
        <v>0</v>
      </c>
      <c r="P646" s="35">
        <v>4</v>
      </c>
      <c r="Q646" s="35">
        <v>0</v>
      </c>
      <c r="R646" s="36">
        <v>1.02</v>
      </c>
      <c r="S646" s="37" t="str">
        <f>IFERROR(_xlfn.XLOOKUP(R646,'1_Presupuesto'!$E:$E,'1_Presupuesto'!$D:$D),"")</f>
        <v>Preliminares</v>
      </c>
    </row>
    <row r="647" spans="1:19" x14ac:dyDescent="0.35">
      <c r="A647" s="31" t="s">
        <v>1634</v>
      </c>
      <c r="B647" s="31" t="s">
        <v>478</v>
      </c>
      <c r="C647" s="31" t="s">
        <v>479</v>
      </c>
      <c r="D647" s="31" t="s">
        <v>484</v>
      </c>
      <c r="E647" s="31" t="s">
        <v>186</v>
      </c>
      <c r="F647" s="31" t="s">
        <v>481</v>
      </c>
      <c r="G647" s="32">
        <v>1</v>
      </c>
      <c r="H647" s="33">
        <v>0</v>
      </c>
      <c r="I647" s="34">
        <v>67240.498860267602</v>
      </c>
      <c r="J647" s="34">
        <v>67240.498860267602</v>
      </c>
      <c r="K647" s="31" t="s">
        <v>1637</v>
      </c>
      <c r="L647" s="31">
        <v>2</v>
      </c>
      <c r="M647" s="31" t="s">
        <v>1639</v>
      </c>
      <c r="N647" s="34">
        <v>1</v>
      </c>
      <c r="O647" s="35">
        <v>1</v>
      </c>
      <c r="P647" s="35">
        <v>4</v>
      </c>
      <c r="Q647" s="35">
        <v>4</v>
      </c>
      <c r="R647" s="36">
        <v>1.02</v>
      </c>
      <c r="S647" s="37" t="str">
        <f>IFERROR(_xlfn.XLOOKUP(R647,'1_Presupuesto'!$E:$E,'1_Presupuesto'!$D:$D),"")</f>
        <v>Preliminares</v>
      </c>
    </row>
    <row r="648" spans="1:19" x14ac:dyDescent="0.35">
      <c r="A648" s="31" t="s">
        <v>1634</v>
      </c>
      <c r="B648" s="31" t="s">
        <v>497</v>
      </c>
      <c r="C648" s="31" t="s">
        <v>498</v>
      </c>
      <c r="D648" s="31" t="s">
        <v>597</v>
      </c>
      <c r="E648" s="31" t="s">
        <v>598</v>
      </c>
      <c r="F648" s="31" t="s">
        <v>218</v>
      </c>
      <c r="G648" s="32">
        <v>25000</v>
      </c>
      <c r="H648" s="33">
        <v>0</v>
      </c>
      <c r="I648" s="34">
        <v>1</v>
      </c>
      <c r="J648" s="34">
        <v>25000</v>
      </c>
      <c r="K648" s="31" t="s">
        <v>1640</v>
      </c>
      <c r="L648" s="31">
        <v>1</v>
      </c>
      <c r="M648" s="31" t="s">
        <v>1641</v>
      </c>
      <c r="N648" s="34">
        <v>1</v>
      </c>
      <c r="O648" s="35">
        <v>0</v>
      </c>
      <c r="P648" s="35">
        <v>4</v>
      </c>
      <c r="Q648" s="35">
        <v>0</v>
      </c>
      <c r="R648" s="36">
        <v>1.02</v>
      </c>
      <c r="S648" s="37" t="str">
        <f>IFERROR(_xlfn.XLOOKUP(R648,'1_Presupuesto'!$E:$E,'1_Presupuesto'!$D:$D),"")</f>
        <v>Preliminares</v>
      </c>
    </row>
    <row r="649" spans="1:19" x14ac:dyDescent="0.35">
      <c r="A649" s="31" t="s">
        <v>1634</v>
      </c>
      <c r="B649" s="31" t="s">
        <v>203</v>
      </c>
      <c r="C649" s="31"/>
      <c r="D649" s="31" t="s">
        <v>1642</v>
      </c>
      <c r="E649" s="31" t="s">
        <v>1643</v>
      </c>
      <c r="F649" s="31"/>
      <c r="G649" s="32">
        <v>1</v>
      </c>
      <c r="H649" s="33">
        <v>0</v>
      </c>
      <c r="I649" s="34">
        <v>4599.51840951549</v>
      </c>
      <c r="J649" s="34">
        <v>4599.51840951549</v>
      </c>
      <c r="K649" s="31" t="s">
        <v>1644</v>
      </c>
      <c r="L649" s="31">
        <v>1</v>
      </c>
      <c r="M649" s="31" t="s">
        <v>1645</v>
      </c>
      <c r="N649" s="34">
        <v>1</v>
      </c>
      <c r="O649" s="35">
        <v>0</v>
      </c>
      <c r="P649" s="35">
        <v>4</v>
      </c>
      <c r="Q649" s="35">
        <v>0</v>
      </c>
      <c r="R649" s="36">
        <v>1.02</v>
      </c>
      <c r="S649" s="37" t="str">
        <f>IFERROR(_xlfn.XLOOKUP(R649,'1_Presupuesto'!$E:$E,'1_Presupuesto'!$D:$D),"")</f>
        <v>Preliminares</v>
      </c>
    </row>
    <row r="650" spans="1:19" x14ac:dyDescent="0.35">
      <c r="A650" s="31" t="s">
        <v>1646</v>
      </c>
      <c r="B650" s="31" t="s">
        <v>497</v>
      </c>
      <c r="C650" s="31" t="s">
        <v>498</v>
      </c>
      <c r="D650" s="31" t="s">
        <v>1647</v>
      </c>
      <c r="E650" s="31" t="s">
        <v>1648</v>
      </c>
      <c r="F650" s="31" t="s">
        <v>261</v>
      </c>
      <c r="G650" s="32">
        <v>2.5</v>
      </c>
      <c r="H650" s="33">
        <v>0</v>
      </c>
      <c r="I650" s="34">
        <v>10861.7685950413</v>
      </c>
      <c r="J650" s="34">
        <v>27154.4214876033</v>
      </c>
      <c r="K650" s="31" t="s">
        <v>1649</v>
      </c>
      <c r="L650" s="31">
        <v>1</v>
      </c>
      <c r="M650" s="31" t="s">
        <v>1650</v>
      </c>
      <c r="N650" s="34">
        <v>1</v>
      </c>
      <c r="O650" s="35">
        <v>0</v>
      </c>
      <c r="P650" s="35">
        <v>10</v>
      </c>
      <c r="Q650" s="35">
        <v>0</v>
      </c>
      <c r="R650" s="36">
        <v>1.04</v>
      </c>
      <c r="S650" s="37" t="str">
        <f>IFERROR(_xlfn.XLOOKUP(R650,'1_Presupuesto'!$E:$E,'1_Presupuesto'!$D:$D),"")</f>
        <v>Preliminares</v>
      </c>
    </row>
    <row r="651" spans="1:19" x14ac:dyDescent="0.35">
      <c r="A651" s="31" t="s">
        <v>1646</v>
      </c>
      <c r="B651" s="31" t="s">
        <v>497</v>
      </c>
      <c r="C651" s="31" t="s">
        <v>498</v>
      </c>
      <c r="D651" s="31" t="s">
        <v>1651</v>
      </c>
      <c r="E651" s="31" t="s">
        <v>1652</v>
      </c>
      <c r="F651" s="31" t="s">
        <v>261</v>
      </c>
      <c r="G651" s="32">
        <v>0.1</v>
      </c>
      <c r="H651" s="33">
        <v>0</v>
      </c>
      <c r="I651" s="34">
        <v>271144.89256198402</v>
      </c>
      <c r="J651" s="34">
        <v>27114.489256198402</v>
      </c>
      <c r="K651" s="31" t="s">
        <v>1649</v>
      </c>
      <c r="L651" s="31">
        <v>2</v>
      </c>
      <c r="M651" s="31" t="s">
        <v>1653</v>
      </c>
      <c r="N651" s="34">
        <v>1</v>
      </c>
      <c r="O651" s="35">
        <v>0</v>
      </c>
      <c r="P651" s="35">
        <v>10</v>
      </c>
      <c r="Q651" s="35">
        <v>0</v>
      </c>
      <c r="R651" s="36">
        <v>1.04</v>
      </c>
      <c r="S651" s="37" t="str">
        <f>IFERROR(_xlfn.XLOOKUP(R651,'1_Presupuesto'!$E:$E,'1_Presupuesto'!$D:$D),"")</f>
        <v>Preliminares</v>
      </c>
    </row>
    <row r="652" spans="1:19" x14ac:dyDescent="0.35">
      <c r="A652" s="31" t="s">
        <v>1646</v>
      </c>
      <c r="B652" s="31" t="s">
        <v>497</v>
      </c>
      <c r="C652" s="31" t="s">
        <v>498</v>
      </c>
      <c r="D652" s="31" t="s">
        <v>1654</v>
      </c>
      <c r="E652" s="31" t="s">
        <v>1655</v>
      </c>
      <c r="F652" s="31" t="s">
        <v>261</v>
      </c>
      <c r="G652" s="32">
        <v>0.2</v>
      </c>
      <c r="H652" s="33">
        <v>0</v>
      </c>
      <c r="I652" s="34">
        <v>23523.7520661157</v>
      </c>
      <c r="J652" s="34">
        <v>4704.7504132231397</v>
      </c>
      <c r="K652" s="31" t="s">
        <v>1649</v>
      </c>
      <c r="L652" s="31">
        <v>3</v>
      </c>
      <c r="M652" s="31" t="s">
        <v>1656</v>
      </c>
      <c r="N652" s="34">
        <v>1</v>
      </c>
      <c r="O652" s="35">
        <v>0</v>
      </c>
      <c r="P652" s="35">
        <v>10</v>
      </c>
      <c r="Q652" s="35">
        <v>0</v>
      </c>
      <c r="R652" s="36">
        <v>1.04</v>
      </c>
      <c r="S652" s="37" t="str">
        <f>IFERROR(_xlfn.XLOOKUP(R652,'1_Presupuesto'!$E:$E,'1_Presupuesto'!$D:$D),"")</f>
        <v>Preliminares</v>
      </c>
    </row>
    <row r="653" spans="1:19" x14ac:dyDescent="0.35">
      <c r="A653" s="31" t="s">
        <v>1646</v>
      </c>
      <c r="B653" s="31" t="s">
        <v>497</v>
      </c>
      <c r="C653" s="31" t="s">
        <v>498</v>
      </c>
      <c r="D653" s="31" t="s">
        <v>1657</v>
      </c>
      <c r="E653" s="31" t="s">
        <v>1658</v>
      </c>
      <c r="F653" s="31" t="s">
        <v>261</v>
      </c>
      <c r="G653" s="32">
        <v>0.1</v>
      </c>
      <c r="H653" s="33">
        <v>0</v>
      </c>
      <c r="I653" s="34">
        <v>85391.380165289302</v>
      </c>
      <c r="J653" s="34">
        <v>8539.1380165289302</v>
      </c>
      <c r="K653" s="31" t="s">
        <v>1649</v>
      </c>
      <c r="L653" s="31">
        <v>4</v>
      </c>
      <c r="M653" s="31" t="s">
        <v>1659</v>
      </c>
      <c r="N653" s="34">
        <v>1</v>
      </c>
      <c r="O653" s="35">
        <v>0</v>
      </c>
      <c r="P653" s="35">
        <v>10</v>
      </c>
      <c r="Q653" s="35">
        <v>0</v>
      </c>
      <c r="R653" s="36">
        <v>1.04</v>
      </c>
      <c r="S653" s="37" t="str">
        <f>IFERROR(_xlfn.XLOOKUP(R653,'1_Presupuesto'!$E:$E,'1_Presupuesto'!$D:$D),"")</f>
        <v>Preliminares</v>
      </c>
    </row>
    <row r="654" spans="1:19" x14ac:dyDescent="0.35">
      <c r="A654" s="31" t="s">
        <v>1646</v>
      </c>
      <c r="B654" s="31" t="s">
        <v>497</v>
      </c>
      <c r="C654" s="31" t="s">
        <v>498</v>
      </c>
      <c r="D654" s="31" t="s">
        <v>1660</v>
      </c>
      <c r="E654" s="31" t="s">
        <v>1661</v>
      </c>
      <c r="F654" s="31" t="s">
        <v>261</v>
      </c>
      <c r="G654" s="32">
        <v>0.2</v>
      </c>
      <c r="H654" s="33">
        <v>0</v>
      </c>
      <c r="I654" s="34">
        <v>11534.743801652899</v>
      </c>
      <c r="J654" s="34">
        <v>2306.9487603305802</v>
      </c>
      <c r="K654" s="31" t="s">
        <v>1649</v>
      </c>
      <c r="L654" s="31">
        <v>5</v>
      </c>
      <c r="M654" s="31" t="s">
        <v>1662</v>
      </c>
      <c r="N654" s="34">
        <v>1</v>
      </c>
      <c r="O654" s="35">
        <v>0</v>
      </c>
      <c r="P654" s="35">
        <v>10</v>
      </c>
      <c r="Q654" s="35">
        <v>0</v>
      </c>
      <c r="R654" s="36">
        <v>1.04</v>
      </c>
      <c r="S654" s="37" t="str">
        <f>IFERROR(_xlfn.XLOOKUP(R654,'1_Presupuesto'!$E:$E,'1_Presupuesto'!$D:$D),"")</f>
        <v>Preliminares</v>
      </c>
    </row>
    <row r="655" spans="1:19" x14ac:dyDescent="0.35">
      <c r="A655" s="31" t="s">
        <v>1646</v>
      </c>
      <c r="B655" s="31" t="s">
        <v>497</v>
      </c>
      <c r="C655" s="31" t="s">
        <v>498</v>
      </c>
      <c r="D655" s="31" t="s">
        <v>1663</v>
      </c>
      <c r="E655" s="31" t="s">
        <v>1664</v>
      </c>
      <c r="F655" s="31" t="s">
        <v>261</v>
      </c>
      <c r="G655" s="32">
        <v>11.25</v>
      </c>
      <c r="H655" s="33">
        <v>0</v>
      </c>
      <c r="I655" s="34">
        <v>120</v>
      </c>
      <c r="J655" s="34">
        <v>1350</v>
      </c>
      <c r="K655" s="31" t="s">
        <v>1649</v>
      </c>
      <c r="L655" s="31">
        <v>6</v>
      </c>
      <c r="M655" s="31" t="s">
        <v>1665</v>
      </c>
      <c r="N655" s="34">
        <v>1</v>
      </c>
      <c r="O655" s="35">
        <v>0</v>
      </c>
      <c r="P655" s="35">
        <v>10</v>
      </c>
      <c r="Q655" s="35">
        <v>0</v>
      </c>
      <c r="R655" s="36">
        <v>1.04</v>
      </c>
      <c r="S655" s="37" t="str">
        <f>IFERROR(_xlfn.XLOOKUP(R655,'1_Presupuesto'!$E:$E,'1_Presupuesto'!$D:$D),"")</f>
        <v>Preliminares</v>
      </c>
    </row>
    <row r="656" spans="1:19" x14ac:dyDescent="0.35">
      <c r="A656" s="31" t="s">
        <v>1646</v>
      </c>
      <c r="B656" s="31" t="s">
        <v>497</v>
      </c>
      <c r="C656" s="31" t="s">
        <v>498</v>
      </c>
      <c r="D656" s="31" t="s">
        <v>1666</v>
      </c>
      <c r="E656" s="31" t="s">
        <v>1667</v>
      </c>
      <c r="F656" s="31" t="s">
        <v>261</v>
      </c>
      <c r="G656" s="32">
        <v>0.2</v>
      </c>
      <c r="H656" s="33">
        <v>0</v>
      </c>
      <c r="I656" s="34">
        <v>41322.314049586799</v>
      </c>
      <c r="J656" s="34">
        <v>8264.4628099173606</v>
      </c>
      <c r="K656" s="31" t="s">
        <v>1649</v>
      </c>
      <c r="L656" s="31">
        <v>7</v>
      </c>
      <c r="M656" s="31" t="s">
        <v>1668</v>
      </c>
      <c r="N656" s="34">
        <v>1</v>
      </c>
      <c r="O656" s="35">
        <v>0</v>
      </c>
      <c r="P656" s="35">
        <v>10</v>
      </c>
      <c r="Q656" s="35">
        <v>0</v>
      </c>
      <c r="R656" s="36">
        <v>1.04</v>
      </c>
      <c r="S656" s="37" t="str">
        <f>IFERROR(_xlfn.XLOOKUP(R656,'1_Presupuesto'!$E:$E,'1_Presupuesto'!$D:$D),"")</f>
        <v>Preliminares</v>
      </c>
    </row>
    <row r="657" spans="1:19" x14ac:dyDescent="0.35">
      <c r="A657" s="31" t="s">
        <v>1646</v>
      </c>
      <c r="B657" s="31" t="s">
        <v>497</v>
      </c>
      <c r="C657" s="31" t="s">
        <v>498</v>
      </c>
      <c r="D657" s="31" t="s">
        <v>1669</v>
      </c>
      <c r="E657" s="31" t="s">
        <v>1670</v>
      </c>
      <c r="F657" s="31" t="s">
        <v>261</v>
      </c>
      <c r="G657" s="32">
        <v>0.7</v>
      </c>
      <c r="H657" s="33">
        <v>0</v>
      </c>
      <c r="I657" s="34">
        <v>4992.1646666666702</v>
      </c>
      <c r="J657" s="34">
        <v>3494.51526666667</v>
      </c>
      <c r="K657" s="31" t="s">
        <v>1649</v>
      </c>
      <c r="L657" s="31">
        <v>8</v>
      </c>
      <c r="M657" s="31" t="s">
        <v>1671</v>
      </c>
      <c r="N657" s="34">
        <v>1</v>
      </c>
      <c r="O657" s="35">
        <v>0</v>
      </c>
      <c r="P657" s="35">
        <v>10</v>
      </c>
      <c r="Q657" s="35">
        <v>0</v>
      </c>
      <c r="R657" s="36">
        <v>1.04</v>
      </c>
      <c r="S657" s="37" t="str">
        <f>IFERROR(_xlfn.XLOOKUP(R657,'1_Presupuesto'!$E:$E,'1_Presupuesto'!$D:$D),"")</f>
        <v>Preliminares</v>
      </c>
    </row>
    <row r="658" spans="1:19" x14ac:dyDescent="0.35">
      <c r="A658" s="31" t="s">
        <v>1646</v>
      </c>
      <c r="B658" s="31" t="s">
        <v>497</v>
      </c>
      <c r="C658" s="31" t="s">
        <v>498</v>
      </c>
      <c r="D658" s="31" t="s">
        <v>597</v>
      </c>
      <c r="E658" s="31" t="s">
        <v>598</v>
      </c>
      <c r="F658" s="31" t="s">
        <v>218</v>
      </c>
      <c r="G658" s="32">
        <v>15886.842148760299</v>
      </c>
      <c r="H658" s="33">
        <v>0</v>
      </c>
      <c r="I658" s="34">
        <v>1</v>
      </c>
      <c r="J658" s="34">
        <v>15886.842148760299</v>
      </c>
      <c r="K658" s="31" t="s">
        <v>1649</v>
      </c>
      <c r="L658" s="31">
        <v>9</v>
      </c>
      <c r="M658" s="31" t="s">
        <v>1672</v>
      </c>
      <c r="N658" s="34">
        <v>1</v>
      </c>
      <c r="O658" s="35">
        <v>0</v>
      </c>
      <c r="P658" s="35">
        <v>10</v>
      </c>
      <c r="Q658" s="35">
        <v>0</v>
      </c>
      <c r="R658" s="36">
        <v>1.04</v>
      </c>
      <c r="S658" s="37" t="str">
        <f>IFERROR(_xlfn.XLOOKUP(R658,'1_Presupuesto'!$E:$E,'1_Presupuesto'!$D:$D),"")</f>
        <v>Preliminares</v>
      </c>
    </row>
    <row r="659" spans="1:19" x14ac:dyDescent="0.35">
      <c r="A659" s="31" t="s">
        <v>1646</v>
      </c>
      <c r="B659" s="31" t="s">
        <v>478</v>
      </c>
      <c r="C659" s="31" t="s">
        <v>479</v>
      </c>
      <c r="D659" s="31" t="s">
        <v>1673</v>
      </c>
      <c r="E659" s="31" t="s">
        <v>184</v>
      </c>
      <c r="F659" s="31" t="s">
        <v>481</v>
      </c>
      <c r="G659" s="32">
        <v>0.5</v>
      </c>
      <c r="H659" s="33">
        <v>0</v>
      </c>
      <c r="I659" s="34">
        <v>84612.512709566407</v>
      </c>
      <c r="J659" s="34">
        <v>42306.256354783203</v>
      </c>
      <c r="K659" s="31" t="s">
        <v>1674</v>
      </c>
      <c r="L659" s="31">
        <v>1</v>
      </c>
      <c r="M659" s="31" t="s">
        <v>1675</v>
      </c>
      <c r="N659" s="34">
        <v>1</v>
      </c>
      <c r="O659" s="35">
        <v>0.5</v>
      </c>
      <c r="P659" s="35">
        <v>10</v>
      </c>
      <c r="Q659" s="35">
        <v>5</v>
      </c>
      <c r="R659" s="36">
        <v>1.04</v>
      </c>
      <c r="S659" s="37" t="str">
        <f>IFERROR(_xlfn.XLOOKUP(R659,'1_Presupuesto'!$E:$E,'1_Presupuesto'!$D:$D),"")</f>
        <v>Preliminares</v>
      </c>
    </row>
    <row r="660" spans="1:19" x14ac:dyDescent="0.35">
      <c r="A660" s="31" t="s">
        <v>1646</v>
      </c>
      <c r="B660" s="31" t="s">
        <v>478</v>
      </c>
      <c r="C660" s="31" t="s">
        <v>479</v>
      </c>
      <c r="D660" s="31" t="s">
        <v>494</v>
      </c>
      <c r="E660" s="31" t="s">
        <v>185</v>
      </c>
      <c r="F660" s="31" t="s">
        <v>481</v>
      </c>
      <c r="G660" s="32">
        <v>0.5</v>
      </c>
      <c r="H660" s="33">
        <v>0</v>
      </c>
      <c r="I660" s="34">
        <v>72132.138365590101</v>
      </c>
      <c r="J660" s="34">
        <v>36066.069182795101</v>
      </c>
      <c r="K660" s="31" t="s">
        <v>1674</v>
      </c>
      <c r="L660" s="31">
        <v>2</v>
      </c>
      <c r="M660" s="31" t="s">
        <v>1676</v>
      </c>
      <c r="N660" s="34">
        <v>1</v>
      </c>
      <c r="O660" s="35">
        <v>0.5</v>
      </c>
      <c r="P660" s="35">
        <v>10</v>
      </c>
      <c r="Q660" s="35">
        <v>5</v>
      </c>
      <c r="R660" s="36">
        <v>1.04</v>
      </c>
      <c r="S660" s="37" t="str">
        <f>IFERROR(_xlfn.XLOOKUP(R660,'1_Presupuesto'!$E:$E,'1_Presupuesto'!$D:$D),"")</f>
        <v>Preliminares</v>
      </c>
    </row>
    <row r="661" spans="1:19" x14ac:dyDescent="0.35">
      <c r="A661" s="31" t="s">
        <v>1646</v>
      </c>
      <c r="B661" s="31" t="s">
        <v>478</v>
      </c>
      <c r="C661" s="31" t="s">
        <v>479</v>
      </c>
      <c r="D661" s="31" t="s">
        <v>484</v>
      </c>
      <c r="E661" s="31" t="s">
        <v>186</v>
      </c>
      <c r="F661" s="31" t="s">
        <v>481</v>
      </c>
      <c r="G661" s="32">
        <v>0.5</v>
      </c>
      <c r="H661" s="33">
        <v>0</v>
      </c>
      <c r="I661" s="34">
        <v>67240.498860267602</v>
      </c>
      <c r="J661" s="34">
        <v>33620.249430133801</v>
      </c>
      <c r="K661" s="31" t="s">
        <v>1674</v>
      </c>
      <c r="L661" s="31">
        <v>3</v>
      </c>
      <c r="M661" s="31" t="s">
        <v>1677</v>
      </c>
      <c r="N661" s="34">
        <v>1</v>
      </c>
      <c r="O661" s="35">
        <v>0.5</v>
      </c>
      <c r="P661" s="35">
        <v>10</v>
      </c>
      <c r="Q661" s="35">
        <v>5</v>
      </c>
      <c r="R661" s="36">
        <v>1.04</v>
      </c>
      <c r="S661" s="37" t="str">
        <f>IFERROR(_xlfn.XLOOKUP(R661,'1_Presupuesto'!$E:$E,'1_Presupuesto'!$D:$D),"")</f>
        <v>Preliminares</v>
      </c>
    </row>
    <row r="662" spans="1:19" x14ac:dyDescent="0.35">
      <c r="A662" s="31" t="s">
        <v>1646</v>
      </c>
      <c r="B662" s="31" t="s">
        <v>203</v>
      </c>
      <c r="C662" s="31"/>
      <c r="D662" s="31" t="s">
        <v>1678</v>
      </c>
      <c r="E662" s="31" t="s">
        <v>1679</v>
      </c>
      <c r="F662" s="31"/>
      <c r="G662" s="32">
        <v>1</v>
      </c>
      <c r="H662" s="33">
        <v>0</v>
      </c>
      <c r="I662" s="34">
        <v>3162.1221469041102</v>
      </c>
      <c r="J662" s="34">
        <v>3162.1221469041102</v>
      </c>
      <c r="K662" s="31" t="s">
        <v>1680</v>
      </c>
      <c r="L662" s="31">
        <v>1</v>
      </c>
      <c r="M662" s="31" t="s">
        <v>1681</v>
      </c>
      <c r="N662" s="34">
        <v>1</v>
      </c>
      <c r="O662" s="35">
        <v>0</v>
      </c>
      <c r="P662" s="35">
        <v>10</v>
      </c>
      <c r="Q662" s="35">
        <v>0</v>
      </c>
      <c r="R662" s="36">
        <v>1.04</v>
      </c>
      <c r="S662" s="37" t="str">
        <f>IFERROR(_xlfn.XLOOKUP(R662,'1_Presupuesto'!$E:$E,'1_Presupuesto'!$D:$D),"")</f>
        <v>Preliminares</v>
      </c>
    </row>
    <row r="663" spans="1:19" x14ac:dyDescent="0.35">
      <c r="A663" s="31" t="s">
        <v>1682</v>
      </c>
      <c r="B663" s="31" t="s">
        <v>497</v>
      </c>
      <c r="C663" s="31" t="s">
        <v>498</v>
      </c>
      <c r="D663" s="31" t="s">
        <v>1683</v>
      </c>
      <c r="E663" s="31" t="s">
        <v>1684</v>
      </c>
      <c r="F663" s="31" t="s">
        <v>261</v>
      </c>
      <c r="G663" s="32">
        <v>30</v>
      </c>
      <c r="H663" s="33">
        <v>0</v>
      </c>
      <c r="I663" s="34">
        <v>5430.8842975206599</v>
      </c>
      <c r="J663" s="34">
        <v>162926.52892561999</v>
      </c>
      <c r="K663" s="31" t="s">
        <v>1685</v>
      </c>
      <c r="L663" s="31">
        <v>1</v>
      </c>
      <c r="M663" s="31" t="s">
        <v>1686</v>
      </c>
      <c r="N663" s="34">
        <v>1</v>
      </c>
      <c r="O663" s="35">
        <v>0</v>
      </c>
      <c r="P663" s="35">
        <v>1</v>
      </c>
      <c r="Q663" s="35">
        <v>0</v>
      </c>
      <c r="R663" s="36">
        <v>1.05</v>
      </c>
      <c r="S663" s="37" t="str">
        <f>IFERROR(_xlfn.XLOOKUP(R663,'1_Presupuesto'!$E:$E,'1_Presupuesto'!$D:$D),"")</f>
        <v>Preliminares</v>
      </c>
    </row>
    <row r="664" spans="1:19" x14ac:dyDescent="0.35">
      <c r="A664" s="31" t="s">
        <v>1682</v>
      </c>
      <c r="B664" s="31" t="s">
        <v>497</v>
      </c>
      <c r="C664" s="31" t="s">
        <v>498</v>
      </c>
      <c r="D664" s="31" t="s">
        <v>1687</v>
      </c>
      <c r="E664" s="31" t="s">
        <v>1688</v>
      </c>
      <c r="F664" s="31" t="s">
        <v>261</v>
      </c>
      <c r="G664" s="32">
        <v>30</v>
      </c>
      <c r="H664" s="33">
        <v>0</v>
      </c>
      <c r="I664" s="34">
        <v>13196.9</v>
      </c>
      <c r="J664" s="34">
        <v>395907</v>
      </c>
      <c r="K664" s="31" t="s">
        <v>1685</v>
      </c>
      <c r="L664" s="31">
        <v>2</v>
      </c>
      <c r="M664" s="31" t="s">
        <v>1689</v>
      </c>
      <c r="N664" s="34">
        <v>1</v>
      </c>
      <c r="O664" s="35">
        <v>0</v>
      </c>
      <c r="P664" s="35">
        <v>1</v>
      </c>
      <c r="Q664" s="35">
        <v>0</v>
      </c>
      <c r="R664" s="36">
        <v>1.05</v>
      </c>
      <c r="S664" s="37" t="str">
        <f>IFERROR(_xlfn.XLOOKUP(R664,'1_Presupuesto'!$E:$E,'1_Presupuesto'!$D:$D),"")</f>
        <v>Preliminares</v>
      </c>
    </row>
    <row r="665" spans="1:19" x14ac:dyDescent="0.35">
      <c r="A665" s="31" t="s">
        <v>1682</v>
      </c>
      <c r="B665" s="31" t="s">
        <v>497</v>
      </c>
      <c r="C665" s="31" t="s">
        <v>498</v>
      </c>
      <c r="D665" s="31" t="s">
        <v>1690</v>
      </c>
      <c r="E665" s="31" t="s">
        <v>1691</v>
      </c>
      <c r="F665" s="31" t="s">
        <v>261</v>
      </c>
      <c r="G665" s="32">
        <v>74</v>
      </c>
      <c r="H665" s="33">
        <v>0</v>
      </c>
      <c r="I665" s="34">
        <v>1109.3689999999999</v>
      </c>
      <c r="J665" s="34">
        <v>82093.305999999997</v>
      </c>
      <c r="K665" s="31" t="s">
        <v>1685</v>
      </c>
      <c r="L665" s="31">
        <v>3</v>
      </c>
      <c r="M665" s="31" t="s">
        <v>1692</v>
      </c>
      <c r="N665" s="34">
        <v>1</v>
      </c>
      <c r="O665" s="35">
        <v>0</v>
      </c>
      <c r="P665" s="35">
        <v>1</v>
      </c>
      <c r="Q665" s="35">
        <v>0</v>
      </c>
      <c r="R665" s="36">
        <v>1.05</v>
      </c>
      <c r="S665" s="37" t="str">
        <f>IFERROR(_xlfn.XLOOKUP(R665,'1_Presupuesto'!$E:$E,'1_Presupuesto'!$D:$D),"")</f>
        <v>Preliminares</v>
      </c>
    </row>
    <row r="666" spans="1:19" x14ac:dyDescent="0.35">
      <c r="A666" s="31" t="s">
        <v>1682</v>
      </c>
      <c r="B666" s="31" t="s">
        <v>497</v>
      </c>
      <c r="C666" s="31" t="s">
        <v>498</v>
      </c>
      <c r="D666" s="31" t="s">
        <v>1693</v>
      </c>
      <c r="E666" s="31" t="s">
        <v>1694</v>
      </c>
      <c r="F666" s="31" t="s">
        <v>261</v>
      </c>
      <c r="G666" s="32">
        <v>37</v>
      </c>
      <c r="H666" s="33">
        <v>0</v>
      </c>
      <c r="I666" s="34">
        <v>2496.0823333333301</v>
      </c>
      <c r="J666" s="34">
        <v>92355.046333333201</v>
      </c>
      <c r="K666" s="31" t="s">
        <v>1685</v>
      </c>
      <c r="L666" s="31">
        <v>4</v>
      </c>
      <c r="M666" s="31" t="s">
        <v>1695</v>
      </c>
      <c r="N666" s="34">
        <v>1</v>
      </c>
      <c r="O666" s="35">
        <v>0</v>
      </c>
      <c r="P666" s="35">
        <v>1</v>
      </c>
      <c r="Q666" s="35">
        <v>0</v>
      </c>
      <c r="R666" s="36">
        <v>1.05</v>
      </c>
      <c r="S666" s="37" t="str">
        <f>IFERROR(_xlfn.XLOOKUP(R666,'1_Presupuesto'!$E:$E,'1_Presupuesto'!$D:$D),"")</f>
        <v>Preliminares</v>
      </c>
    </row>
    <row r="667" spans="1:19" x14ac:dyDescent="0.35">
      <c r="A667" s="31" t="s">
        <v>1682</v>
      </c>
      <c r="B667" s="31" t="s">
        <v>497</v>
      </c>
      <c r="C667" s="31" t="s">
        <v>498</v>
      </c>
      <c r="D667" s="31" t="s">
        <v>1696</v>
      </c>
      <c r="E667" s="31" t="s">
        <v>1697</v>
      </c>
      <c r="F667" s="31" t="s">
        <v>261</v>
      </c>
      <c r="G667" s="32">
        <v>20</v>
      </c>
      <c r="H667" s="33">
        <v>0</v>
      </c>
      <c r="I667" s="34">
        <v>4992.1646666666702</v>
      </c>
      <c r="J667" s="34">
        <v>99843.293333333393</v>
      </c>
      <c r="K667" s="31" t="s">
        <v>1685</v>
      </c>
      <c r="L667" s="31">
        <v>5</v>
      </c>
      <c r="M667" s="31" t="s">
        <v>1698</v>
      </c>
      <c r="N667" s="34">
        <v>1</v>
      </c>
      <c r="O667" s="35">
        <v>0</v>
      </c>
      <c r="P667" s="35">
        <v>1</v>
      </c>
      <c r="Q667" s="35">
        <v>0</v>
      </c>
      <c r="R667" s="36">
        <v>1.05</v>
      </c>
      <c r="S667" s="37" t="str">
        <f>IFERROR(_xlfn.XLOOKUP(R667,'1_Presupuesto'!$E:$E,'1_Presupuesto'!$D:$D),"")</f>
        <v>Preliminares</v>
      </c>
    </row>
    <row r="668" spans="1:19" x14ac:dyDescent="0.35">
      <c r="A668" s="31" t="s">
        <v>1682</v>
      </c>
      <c r="B668" s="31" t="s">
        <v>497</v>
      </c>
      <c r="C668" s="31" t="s">
        <v>498</v>
      </c>
      <c r="D668" s="31" t="s">
        <v>1699</v>
      </c>
      <c r="E668" s="31" t="s">
        <v>1700</v>
      </c>
      <c r="F668" s="31" t="s">
        <v>261</v>
      </c>
      <c r="G668" s="32">
        <v>0</v>
      </c>
      <c r="H668" s="33">
        <v>0</v>
      </c>
      <c r="I668" s="34">
        <v>274291.64566666703</v>
      </c>
      <c r="J668" s="34">
        <v>0</v>
      </c>
      <c r="K668" s="31" t="s">
        <v>1685</v>
      </c>
      <c r="L668" s="31">
        <v>6</v>
      </c>
      <c r="M668" s="31" t="s">
        <v>1701</v>
      </c>
      <c r="N668" s="34">
        <v>1</v>
      </c>
      <c r="O668" s="35">
        <v>0</v>
      </c>
      <c r="P668" s="35">
        <v>1</v>
      </c>
      <c r="Q668" s="35">
        <v>0</v>
      </c>
      <c r="R668" s="36">
        <v>1.05</v>
      </c>
      <c r="S668" s="37" t="str">
        <f>IFERROR(_xlfn.XLOOKUP(R668,'1_Presupuesto'!$E:$E,'1_Presupuesto'!$D:$D),"")</f>
        <v>Preliminares</v>
      </c>
    </row>
    <row r="669" spans="1:19" x14ac:dyDescent="0.35">
      <c r="A669" s="31" t="s">
        <v>1682</v>
      </c>
      <c r="B669" s="31" t="s">
        <v>478</v>
      </c>
      <c r="C669" s="31" t="s">
        <v>498</v>
      </c>
      <c r="D669" s="31" t="s">
        <v>1702</v>
      </c>
      <c r="E669" s="31" t="s">
        <v>1703</v>
      </c>
      <c r="F669" s="31" t="s">
        <v>481</v>
      </c>
      <c r="G669" s="32">
        <v>4</v>
      </c>
      <c r="H669" s="33">
        <v>0</v>
      </c>
      <c r="I669" s="34">
        <v>250000</v>
      </c>
      <c r="J669" s="34">
        <v>1000000</v>
      </c>
      <c r="K669" s="31" t="s">
        <v>1704</v>
      </c>
      <c r="L669" s="31">
        <v>1</v>
      </c>
      <c r="M669" s="31" t="s">
        <v>1705</v>
      </c>
      <c r="N669" s="34">
        <v>1</v>
      </c>
      <c r="O669" s="35">
        <v>0</v>
      </c>
      <c r="P669" s="35">
        <v>1</v>
      </c>
      <c r="Q669" s="35">
        <v>0</v>
      </c>
      <c r="R669" s="36">
        <v>1.05</v>
      </c>
      <c r="S669" s="37" t="str">
        <f>IFERROR(_xlfn.XLOOKUP(R669,'1_Presupuesto'!$E:$E,'1_Presupuesto'!$D:$D),"")</f>
        <v>Preliminares</v>
      </c>
    </row>
    <row r="670" spans="1:19" x14ac:dyDescent="0.35">
      <c r="A670" s="31" t="s">
        <v>1682</v>
      </c>
      <c r="B670" s="31" t="s">
        <v>497</v>
      </c>
      <c r="C670" s="31" t="s">
        <v>1706</v>
      </c>
      <c r="D670" s="31" t="s">
        <v>1707</v>
      </c>
      <c r="E670" s="31" t="s">
        <v>1708</v>
      </c>
      <c r="F670" s="31" t="s">
        <v>261</v>
      </c>
      <c r="G670" s="32">
        <v>1</v>
      </c>
      <c r="H670" s="33">
        <v>0</v>
      </c>
      <c r="I670" s="34">
        <v>300000</v>
      </c>
      <c r="J670" s="34">
        <v>300000</v>
      </c>
      <c r="K670" s="31" t="s">
        <v>1685</v>
      </c>
      <c r="L670" s="31">
        <v>7</v>
      </c>
      <c r="M670" s="31" t="s">
        <v>1709</v>
      </c>
      <c r="N670" s="34">
        <v>1</v>
      </c>
      <c r="O670" s="35">
        <v>0</v>
      </c>
      <c r="P670" s="35">
        <v>1</v>
      </c>
      <c r="Q670" s="35">
        <v>0</v>
      </c>
      <c r="R670" s="36">
        <v>1.05</v>
      </c>
      <c r="S670" s="37" t="str">
        <f>IFERROR(_xlfn.XLOOKUP(R670,'1_Presupuesto'!$E:$E,'1_Presupuesto'!$D:$D),"")</f>
        <v>Preliminares</v>
      </c>
    </row>
    <row r="671" spans="1:19" x14ac:dyDescent="0.35">
      <c r="A671" s="31" t="s">
        <v>1682</v>
      </c>
      <c r="B671" s="31" t="s">
        <v>478</v>
      </c>
      <c r="C671" s="31" t="s">
        <v>479</v>
      </c>
      <c r="D671" s="31" t="s">
        <v>1673</v>
      </c>
      <c r="E671" s="31" t="s">
        <v>184</v>
      </c>
      <c r="F671" s="31" t="s">
        <v>481</v>
      </c>
      <c r="G671" s="32">
        <v>24.5</v>
      </c>
      <c r="H671" s="33">
        <v>0</v>
      </c>
      <c r="I671" s="34">
        <v>84612.512709566407</v>
      </c>
      <c r="J671" s="34">
        <v>2073006.5613843801</v>
      </c>
      <c r="K671" s="31" t="s">
        <v>1704</v>
      </c>
      <c r="L671" s="31">
        <v>2</v>
      </c>
      <c r="M671" s="31" t="s">
        <v>1710</v>
      </c>
      <c r="N671" s="34">
        <v>1</v>
      </c>
      <c r="O671" s="35">
        <v>24.5</v>
      </c>
      <c r="P671" s="35">
        <v>1</v>
      </c>
      <c r="Q671" s="35">
        <v>24.5</v>
      </c>
      <c r="R671" s="36">
        <v>1.05</v>
      </c>
      <c r="S671" s="37" t="str">
        <f>IFERROR(_xlfn.XLOOKUP(R671,'1_Presupuesto'!$E:$E,'1_Presupuesto'!$D:$D),"")</f>
        <v>Preliminares</v>
      </c>
    </row>
    <row r="672" spans="1:19" x14ac:dyDescent="0.35">
      <c r="A672" s="31" t="s">
        <v>1682</v>
      </c>
      <c r="B672" s="31" t="s">
        <v>478</v>
      </c>
      <c r="C672" s="31" t="s">
        <v>479</v>
      </c>
      <c r="D672" s="31" t="s">
        <v>494</v>
      </c>
      <c r="E672" s="31" t="s">
        <v>185</v>
      </c>
      <c r="F672" s="31" t="s">
        <v>481</v>
      </c>
      <c r="G672" s="32">
        <v>8</v>
      </c>
      <c r="H672" s="33">
        <v>0</v>
      </c>
      <c r="I672" s="34">
        <v>72132.138365590101</v>
      </c>
      <c r="J672" s="34">
        <v>577057.10692472104</v>
      </c>
      <c r="K672" s="31" t="s">
        <v>1704</v>
      </c>
      <c r="L672" s="31">
        <v>3</v>
      </c>
      <c r="M672" s="31" t="s">
        <v>1711</v>
      </c>
      <c r="N672" s="34">
        <v>1</v>
      </c>
      <c r="O672" s="35">
        <v>8</v>
      </c>
      <c r="P672" s="35">
        <v>1</v>
      </c>
      <c r="Q672" s="35">
        <v>8</v>
      </c>
      <c r="R672" s="36">
        <v>1.05</v>
      </c>
      <c r="S672" s="37" t="str">
        <f>IFERROR(_xlfn.XLOOKUP(R672,'1_Presupuesto'!$E:$E,'1_Presupuesto'!$D:$D),"")</f>
        <v>Preliminares</v>
      </c>
    </row>
    <row r="673" spans="1:19" x14ac:dyDescent="0.35">
      <c r="A673" s="31" t="s">
        <v>1682</v>
      </c>
      <c r="B673" s="31" t="s">
        <v>478</v>
      </c>
      <c r="C673" s="31" t="s">
        <v>479</v>
      </c>
      <c r="D673" s="31" t="s">
        <v>484</v>
      </c>
      <c r="E673" s="31" t="s">
        <v>186</v>
      </c>
      <c r="F673" s="31" t="s">
        <v>481</v>
      </c>
      <c r="G673" s="32">
        <v>25.5</v>
      </c>
      <c r="H673" s="33">
        <v>0</v>
      </c>
      <c r="I673" s="34">
        <v>67240.498860267602</v>
      </c>
      <c r="J673" s="34">
        <v>1714632.7209368199</v>
      </c>
      <c r="K673" s="31" t="s">
        <v>1704</v>
      </c>
      <c r="L673" s="31">
        <v>4</v>
      </c>
      <c r="M673" s="31" t="s">
        <v>1712</v>
      </c>
      <c r="N673" s="34">
        <v>1</v>
      </c>
      <c r="O673" s="35">
        <v>25.5</v>
      </c>
      <c r="P673" s="35">
        <v>1</v>
      </c>
      <c r="Q673" s="35">
        <v>25.5</v>
      </c>
      <c r="R673" s="36">
        <v>1.05</v>
      </c>
      <c r="S673" s="37" t="str">
        <f>IFERROR(_xlfn.XLOOKUP(R673,'1_Presupuesto'!$E:$E,'1_Presupuesto'!$D:$D),"")</f>
        <v>Preliminares</v>
      </c>
    </row>
    <row r="674" spans="1:19" x14ac:dyDescent="0.35">
      <c r="A674" s="31" t="s">
        <v>1682</v>
      </c>
      <c r="B674" s="31" t="s">
        <v>497</v>
      </c>
      <c r="C674" s="31" t="s">
        <v>498</v>
      </c>
      <c r="D674" s="31" t="s">
        <v>1713</v>
      </c>
      <c r="E674" s="31" t="s">
        <v>1714</v>
      </c>
      <c r="F674" s="31" t="s">
        <v>261</v>
      </c>
      <c r="G674" s="32">
        <v>1</v>
      </c>
      <c r="H674" s="33">
        <v>0</v>
      </c>
      <c r="I674" s="34">
        <v>250000</v>
      </c>
      <c r="J674" s="34">
        <v>250000</v>
      </c>
      <c r="K674" s="31" t="s">
        <v>1685</v>
      </c>
      <c r="L674" s="31">
        <v>8</v>
      </c>
      <c r="M674" s="31" t="s">
        <v>1715</v>
      </c>
      <c r="N674" s="34">
        <v>1</v>
      </c>
      <c r="O674" s="35">
        <v>0</v>
      </c>
      <c r="P674" s="35">
        <v>1</v>
      </c>
      <c r="Q674" s="35">
        <v>0</v>
      </c>
      <c r="R674" s="36">
        <v>1.05</v>
      </c>
      <c r="S674" s="37" t="str">
        <f>IFERROR(_xlfn.XLOOKUP(R674,'1_Presupuesto'!$E:$E,'1_Presupuesto'!$D:$D),"")</f>
        <v>Preliminares</v>
      </c>
    </row>
    <row r="675" spans="1:19" x14ac:dyDescent="0.35">
      <c r="A675" s="31" t="s">
        <v>1682</v>
      </c>
      <c r="B675" s="31" t="s">
        <v>497</v>
      </c>
      <c r="C675" s="31" t="s">
        <v>498</v>
      </c>
      <c r="D675" s="31" t="s">
        <v>1716</v>
      </c>
      <c r="E675" s="31" t="s">
        <v>1717</v>
      </c>
      <c r="F675" s="31" t="s">
        <v>261</v>
      </c>
      <c r="G675" s="32">
        <v>10</v>
      </c>
      <c r="H675" s="33">
        <v>0</v>
      </c>
      <c r="I675" s="34">
        <v>500</v>
      </c>
      <c r="J675" s="34">
        <v>5000</v>
      </c>
      <c r="K675" s="31" t="s">
        <v>1685</v>
      </c>
      <c r="L675" s="31">
        <v>9</v>
      </c>
      <c r="M675" s="31" t="s">
        <v>1718</v>
      </c>
      <c r="N675" s="34">
        <v>1</v>
      </c>
      <c r="O675" s="35">
        <v>0</v>
      </c>
      <c r="P675" s="35">
        <v>1</v>
      </c>
      <c r="Q675" s="35">
        <v>0</v>
      </c>
      <c r="R675" s="36">
        <v>1.05</v>
      </c>
      <c r="S675" s="37" t="str">
        <f>IFERROR(_xlfn.XLOOKUP(R675,'1_Presupuesto'!$E:$E,'1_Presupuesto'!$D:$D),"")</f>
        <v>Preliminares</v>
      </c>
    </row>
    <row r="676" spans="1:19" x14ac:dyDescent="0.35">
      <c r="A676" s="31" t="s">
        <v>1682</v>
      </c>
      <c r="B676" s="31" t="s">
        <v>497</v>
      </c>
      <c r="C676" s="31" t="s">
        <v>498</v>
      </c>
      <c r="D676" s="31" t="s">
        <v>1719</v>
      </c>
      <c r="E676" s="31" t="s">
        <v>1720</v>
      </c>
      <c r="F676" s="31" t="s">
        <v>261</v>
      </c>
      <c r="G676" s="32">
        <v>10</v>
      </c>
      <c r="H676" s="33">
        <v>0</v>
      </c>
      <c r="I676" s="34">
        <v>3000</v>
      </c>
      <c r="J676" s="34">
        <v>30000</v>
      </c>
      <c r="K676" s="31" t="s">
        <v>1685</v>
      </c>
      <c r="L676" s="31">
        <v>10</v>
      </c>
      <c r="M676" s="31" t="s">
        <v>1721</v>
      </c>
      <c r="N676" s="34">
        <v>1</v>
      </c>
      <c r="O676" s="35">
        <v>0</v>
      </c>
      <c r="P676" s="35">
        <v>1</v>
      </c>
      <c r="Q676" s="35">
        <v>0</v>
      </c>
      <c r="R676" s="36">
        <v>1.05</v>
      </c>
      <c r="S676" s="37" t="str">
        <f>IFERROR(_xlfn.XLOOKUP(R676,'1_Presupuesto'!$E:$E,'1_Presupuesto'!$D:$D),"")</f>
        <v>Preliminares</v>
      </c>
    </row>
    <row r="677" spans="1:19" x14ac:dyDescent="0.35">
      <c r="A677" s="31" t="s">
        <v>1682</v>
      </c>
      <c r="B677" s="31" t="s">
        <v>497</v>
      </c>
      <c r="C677" s="31" t="s">
        <v>498</v>
      </c>
      <c r="D677" s="31" t="s">
        <v>1722</v>
      </c>
      <c r="E677" s="31" t="s">
        <v>1723</v>
      </c>
      <c r="F677" s="31" t="s">
        <v>261</v>
      </c>
      <c r="G677" s="32">
        <v>0.5</v>
      </c>
      <c r="H677" s="33">
        <v>0</v>
      </c>
      <c r="I677" s="34">
        <v>285000</v>
      </c>
      <c r="J677" s="34">
        <v>142500</v>
      </c>
      <c r="K677" s="31" t="s">
        <v>1685</v>
      </c>
      <c r="L677" s="31">
        <v>11</v>
      </c>
      <c r="M677" s="31" t="s">
        <v>1724</v>
      </c>
      <c r="N677" s="34">
        <v>1</v>
      </c>
      <c r="O677" s="35">
        <v>0</v>
      </c>
      <c r="P677" s="35">
        <v>1</v>
      </c>
      <c r="Q677" s="35">
        <v>0</v>
      </c>
      <c r="R677" s="36">
        <v>1.05</v>
      </c>
      <c r="S677" s="37" t="str">
        <f>IFERROR(_xlfn.XLOOKUP(R677,'1_Presupuesto'!$E:$E,'1_Presupuesto'!$D:$D),"")</f>
        <v>Preliminares</v>
      </c>
    </row>
    <row r="678" spans="1:19" x14ac:dyDescent="0.35">
      <c r="A678" s="31" t="s">
        <v>1682</v>
      </c>
      <c r="B678" s="31" t="s">
        <v>478</v>
      </c>
      <c r="C678" s="31" t="s">
        <v>479</v>
      </c>
      <c r="D678" s="31" t="s">
        <v>480</v>
      </c>
      <c r="E678" s="31" t="s">
        <v>183</v>
      </c>
      <c r="F678" s="31" t="s">
        <v>481</v>
      </c>
      <c r="G678" s="32">
        <v>7</v>
      </c>
      <c r="H678" s="33">
        <v>0</v>
      </c>
      <c r="I678" s="34">
        <v>94177.137883538904</v>
      </c>
      <c r="J678" s="34">
        <v>659239.96518477204</v>
      </c>
      <c r="K678" s="31" t="s">
        <v>1704</v>
      </c>
      <c r="L678" s="31">
        <v>5</v>
      </c>
      <c r="M678" s="31" t="s">
        <v>1725</v>
      </c>
      <c r="N678" s="34">
        <v>1</v>
      </c>
      <c r="O678" s="35">
        <v>7</v>
      </c>
      <c r="P678" s="35">
        <v>1</v>
      </c>
      <c r="Q678" s="35">
        <v>7</v>
      </c>
      <c r="R678" s="36">
        <v>1.05</v>
      </c>
      <c r="S678" s="37" t="str">
        <f>IFERROR(_xlfn.XLOOKUP(R678,'1_Presupuesto'!$E:$E,'1_Presupuesto'!$D:$D),"")</f>
        <v>Preliminares</v>
      </c>
    </row>
    <row r="679" spans="1:19" x14ac:dyDescent="0.35">
      <c r="A679" s="31" t="s">
        <v>1682</v>
      </c>
      <c r="B679" s="31" t="s">
        <v>497</v>
      </c>
      <c r="C679" s="31" t="s">
        <v>498</v>
      </c>
      <c r="D679" s="31" t="s">
        <v>1726</v>
      </c>
      <c r="E679" s="31" t="s">
        <v>1727</v>
      </c>
      <c r="F679" s="31" t="s">
        <v>261</v>
      </c>
      <c r="G679" s="32">
        <v>1</v>
      </c>
      <c r="H679" s="33">
        <v>0</v>
      </c>
      <c r="I679" s="34">
        <v>300000</v>
      </c>
      <c r="J679" s="34">
        <v>300000</v>
      </c>
      <c r="K679" s="31" t="s">
        <v>1685</v>
      </c>
      <c r="L679" s="31">
        <v>12</v>
      </c>
      <c r="M679" s="31" t="s">
        <v>1728</v>
      </c>
      <c r="N679" s="34">
        <v>1</v>
      </c>
      <c r="O679" s="35">
        <v>0</v>
      </c>
      <c r="P679" s="35">
        <v>1</v>
      </c>
      <c r="Q679" s="35">
        <v>0</v>
      </c>
      <c r="R679" s="36">
        <v>1.05</v>
      </c>
      <c r="S679" s="37" t="str">
        <f>IFERROR(_xlfn.XLOOKUP(R679,'1_Presupuesto'!$E:$E,'1_Presupuesto'!$D:$D),"")</f>
        <v>Preliminares</v>
      </c>
    </row>
    <row r="680" spans="1:19" x14ac:dyDescent="0.35">
      <c r="A680" s="31" t="s">
        <v>1682</v>
      </c>
      <c r="B680" s="31" t="s">
        <v>497</v>
      </c>
      <c r="C680" s="31" t="s">
        <v>498</v>
      </c>
      <c r="D680" s="31" t="s">
        <v>1729</v>
      </c>
      <c r="E680" s="31" t="s">
        <v>1730</v>
      </c>
      <c r="F680" s="31" t="s">
        <v>261</v>
      </c>
      <c r="G680" s="32">
        <v>2</v>
      </c>
      <c r="H680" s="33">
        <v>0</v>
      </c>
      <c r="I680" s="34">
        <v>150000</v>
      </c>
      <c r="J680" s="34">
        <v>300000</v>
      </c>
      <c r="K680" s="31" t="s">
        <v>1685</v>
      </c>
      <c r="L680" s="31">
        <v>13</v>
      </c>
      <c r="M680" s="31" t="s">
        <v>1731</v>
      </c>
      <c r="N680" s="34">
        <v>1</v>
      </c>
      <c r="O680" s="35">
        <v>0</v>
      </c>
      <c r="P680" s="35">
        <v>1</v>
      </c>
      <c r="Q680" s="35">
        <v>0</v>
      </c>
      <c r="R680" s="36">
        <v>1.05</v>
      </c>
      <c r="S680" s="37" t="str">
        <f>IFERROR(_xlfn.XLOOKUP(R680,'1_Presupuesto'!$E:$E,'1_Presupuesto'!$D:$D),"")</f>
        <v>Preliminares</v>
      </c>
    </row>
    <row r="681" spans="1:19" x14ac:dyDescent="0.35">
      <c r="A681" s="31" t="s">
        <v>1682</v>
      </c>
      <c r="B681" s="31" t="s">
        <v>497</v>
      </c>
      <c r="C681" s="31" t="s">
        <v>498</v>
      </c>
      <c r="D681" s="31" t="s">
        <v>1732</v>
      </c>
      <c r="E681" s="31" t="s">
        <v>1733</v>
      </c>
      <c r="F681" s="31" t="s">
        <v>261</v>
      </c>
      <c r="G681" s="32">
        <v>2</v>
      </c>
      <c r="H681" s="33">
        <v>0</v>
      </c>
      <c r="I681" s="34">
        <v>25000</v>
      </c>
      <c r="J681" s="34">
        <v>50000</v>
      </c>
      <c r="K681" s="31" t="s">
        <v>1685</v>
      </c>
      <c r="L681" s="31">
        <v>14</v>
      </c>
      <c r="M681" s="31" t="s">
        <v>1734</v>
      </c>
      <c r="N681" s="34">
        <v>1</v>
      </c>
      <c r="O681" s="35">
        <v>0</v>
      </c>
      <c r="P681" s="35">
        <v>1</v>
      </c>
      <c r="Q681" s="35">
        <v>0</v>
      </c>
      <c r="R681" s="36">
        <v>1.05</v>
      </c>
      <c r="S681" s="37" t="str">
        <f>IFERROR(_xlfn.XLOOKUP(R681,'1_Presupuesto'!$E:$E,'1_Presupuesto'!$D:$D),"")</f>
        <v>Preliminares</v>
      </c>
    </row>
    <row r="682" spans="1:19" x14ac:dyDescent="0.35">
      <c r="A682" s="31" t="s">
        <v>1682</v>
      </c>
      <c r="B682" s="31" t="s">
        <v>497</v>
      </c>
      <c r="C682" s="31" t="s">
        <v>498</v>
      </c>
      <c r="D682" s="31" t="s">
        <v>1735</v>
      </c>
      <c r="E682" s="31" t="s">
        <v>1736</v>
      </c>
      <c r="F682" s="31" t="s">
        <v>261</v>
      </c>
      <c r="G682" s="32">
        <v>2</v>
      </c>
      <c r="H682" s="33">
        <v>0</v>
      </c>
      <c r="I682" s="34">
        <v>30000</v>
      </c>
      <c r="J682" s="34">
        <v>60000</v>
      </c>
      <c r="K682" s="31" t="s">
        <v>1685</v>
      </c>
      <c r="L682" s="31">
        <v>15</v>
      </c>
      <c r="M682" s="31" t="s">
        <v>1737</v>
      </c>
      <c r="N682" s="34">
        <v>1</v>
      </c>
      <c r="O682" s="35">
        <v>0</v>
      </c>
      <c r="P682" s="35">
        <v>1</v>
      </c>
      <c r="Q682" s="35">
        <v>0</v>
      </c>
      <c r="R682" s="36">
        <v>1.05</v>
      </c>
      <c r="S682" s="37" t="str">
        <f>IFERROR(_xlfn.XLOOKUP(R682,'1_Presupuesto'!$E:$E,'1_Presupuesto'!$D:$D),"")</f>
        <v>Preliminares</v>
      </c>
    </row>
    <row r="683" spans="1:19" x14ac:dyDescent="0.35">
      <c r="A683" s="31" t="s">
        <v>1682</v>
      </c>
      <c r="B683" s="31" t="s">
        <v>497</v>
      </c>
      <c r="C683" s="31" t="s">
        <v>498</v>
      </c>
      <c r="D683" s="31" t="s">
        <v>1738</v>
      </c>
      <c r="E683" s="31" t="s">
        <v>1739</v>
      </c>
      <c r="F683" s="31" t="s">
        <v>261</v>
      </c>
      <c r="G683" s="32">
        <v>1</v>
      </c>
      <c r="H683" s="33">
        <v>0</v>
      </c>
      <c r="I683" s="34">
        <v>300000</v>
      </c>
      <c r="J683" s="34">
        <v>300000</v>
      </c>
      <c r="K683" s="31" t="s">
        <v>1685</v>
      </c>
      <c r="L683" s="31">
        <v>16</v>
      </c>
      <c r="M683" s="31" t="s">
        <v>1740</v>
      </c>
      <c r="N683" s="34">
        <v>1</v>
      </c>
      <c r="O683" s="35">
        <v>0</v>
      </c>
      <c r="P683" s="35">
        <v>1</v>
      </c>
      <c r="Q683" s="35">
        <v>0</v>
      </c>
      <c r="R683" s="36">
        <v>1.05</v>
      </c>
      <c r="S683" s="37" t="str">
        <f>IFERROR(_xlfn.XLOOKUP(R683,'1_Presupuesto'!$E:$E,'1_Presupuesto'!$D:$D),"")</f>
        <v>Preliminares</v>
      </c>
    </row>
    <row r="684" spans="1:19" x14ac:dyDescent="0.35">
      <c r="A684" s="31" t="s">
        <v>1682</v>
      </c>
      <c r="B684" s="31" t="s">
        <v>203</v>
      </c>
      <c r="C684" s="31"/>
      <c r="D684" s="31" t="s">
        <v>1741</v>
      </c>
      <c r="E684" s="31" t="s">
        <v>1742</v>
      </c>
      <c r="F684" s="31"/>
      <c r="G684" s="32">
        <v>1</v>
      </c>
      <c r="H684" s="33">
        <v>0</v>
      </c>
      <c r="I684" s="34">
        <v>128918.42293534501</v>
      </c>
      <c r="J684" s="34">
        <v>128918.42293534501</v>
      </c>
      <c r="K684" s="31" t="s">
        <v>1743</v>
      </c>
      <c r="L684" s="31">
        <v>1</v>
      </c>
      <c r="M684" s="31" t="s">
        <v>1744</v>
      </c>
      <c r="N684" s="34">
        <v>1</v>
      </c>
      <c r="O684" s="35">
        <v>0</v>
      </c>
      <c r="P684" s="35">
        <v>1</v>
      </c>
      <c r="Q684" s="35">
        <v>0</v>
      </c>
      <c r="R684" s="36">
        <v>1.05</v>
      </c>
      <c r="S684" s="37" t="str">
        <f>IFERROR(_xlfn.XLOOKUP(R684,'1_Presupuesto'!$E:$E,'1_Presupuesto'!$D:$D),"")</f>
        <v>Preliminares</v>
      </c>
    </row>
    <row r="685" spans="1:19" x14ac:dyDescent="0.35">
      <c r="A685" s="31" t="s">
        <v>1745</v>
      </c>
      <c r="B685" s="31" t="s">
        <v>478</v>
      </c>
      <c r="C685" s="31" t="s">
        <v>498</v>
      </c>
      <c r="D685" s="31" t="s">
        <v>1746</v>
      </c>
      <c r="E685" s="31" t="s">
        <v>1747</v>
      </c>
      <c r="F685" s="31" t="s">
        <v>481</v>
      </c>
      <c r="G685" s="32">
        <v>1</v>
      </c>
      <c r="H685" s="33">
        <v>0</v>
      </c>
      <c r="I685" s="34">
        <v>80000</v>
      </c>
      <c r="J685" s="34">
        <v>80000</v>
      </c>
      <c r="K685" s="31" t="s">
        <v>1748</v>
      </c>
      <c r="L685" s="31">
        <v>1</v>
      </c>
      <c r="M685" s="31" t="s">
        <v>1749</v>
      </c>
      <c r="N685" s="34">
        <v>1</v>
      </c>
      <c r="O685" s="35">
        <v>0</v>
      </c>
      <c r="P685" s="35">
        <v>4</v>
      </c>
      <c r="Q685" s="35">
        <v>0</v>
      </c>
      <c r="R685" s="36">
        <v>1.06</v>
      </c>
      <c r="S685" s="37">
        <f>IFERROR(_xlfn.XLOOKUP(R685,'1_Presupuesto'!$E:$E,'1_Presupuesto'!$D:$D),"")</f>
        <v>0</v>
      </c>
    </row>
    <row r="686" spans="1:19" x14ac:dyDescent="0.35">
      <c r="A686" s="31" t="s">
        <v>1745</v>
      </c>
      <c r="B686" s="31" t="s">
        <v>478</v>
      </c>
      <c r="C686" s="31" t="s">
        <v>498</v>
      </c>
      <c r="D686" s="31" t="s">
        <v>1750</v>
      </c>
      <c r="E686" s="31" t="s">
        <v>1751</v>
      </c>
      <c r="F686" s="31" t="s">
        <v>481</v>
      </c>
      <c r="G686" s="32">
        <v>1</v>
      </c>
      <c r="H686" s="33">
        <v>0</v>
      </c>
      <c r="I686" s="34">
        <v>80000</v>
      </c>
      <c r="J686" s="34">
        <v>80000</v>
      </c>
      <c r="K686" s="31" t="s">
        <v>1748</v>
      </c>
      <c r="L686" s="31">
        <v>2</v>
      </c>
      <c r="M686" s="31" t="s">
        <v>1752</v>
      </c>
      <c r="N686" s="34">
        <v>1</v>
      </c>
      <c r="O686" s="35">
        <v>0</v>
      </c>
      <c r="P686" s="35">
        <v>4</v>
      </c>
      <c r="Q686" s="35">
        <v>0</v>
      </c>
      <c r="R686" s="36">
        <v>1.06</v>
      </c>
      <c r="S686" s="37">
        <f>IFERROR(_xlfn.XLOOKUP(R686,'1_Presupuesto'!$E:$E,'1_Presupuesto'!$D:$D),"")</f>
        <v>0</v>
      </c>
    </row>
    <row r="687" spans="1:19" x14ac:dyDescent="0.35">
      <c r="A687" s="31" t="s">
        <v>1745</v>
      </c>
      <c r="B687" s="31" t="s">
        <v>478</v>
      </c>
      <c r="C687" s="31" t="s">
        <v>498</v>
      </c>
      <c r="D687" s="31" t="s">
        <v>1753</v>
      </c>
      <c r="E687" s="31" t="s">
        <v>1754</v>
      </c>
      <c r="F687" s="31" t="s">
        <v>481</v>
      </c>
      <c r="G687" s="32">
        <v>1</v>
      </c>
      <c r="H687" s="33">
        <v>0</v>
      </c>
      <c r="I687" s="34">
        <v>80000</v>
      </c>
      <c r="J687" s="34">
        <v>80000</v>
      </c>
      <c r="K687" s="31" t="s">
        <v>1748</v>
      </c>
      <c r="L687" s="31">
        <v>3</v>
      </c>
      <c r="M687" s="31" t="s">
        <v>1755</v>
      </c>
      <c r="N687" s="34">
        <v>1</v>
      </c>
      <c r="O687" s="35">
        <v>0</v>
      </c>
      <c r="P687" s="35">
        <v>4</v>
      </c>
      <c r="Q687" s="35">
        <v>0</v>
      </c>
      <c r="R687" s="36">
        <v>1.06</v>
      </c>
      <c r="S687" s="37">
        <f>IFERROR(_xlfn.XLOOKUP(R687,'1_Presupuesto'!$E:$E,'1_Presupuesto'!$D:$D),"")</f>
        <v>0</v>
      </c>
    </row>
    <row r="688" spans="1:19" x14ac:dyDescent="0.35">
      <c r="A688" s="31" t="s">
        <v>1745</v>
      </c>
      <c r="B688" s="31" t="s">
        <v>478</v>
      </c>
      <c r="C688" s="31" t="s">
        <v>498</v>
      </c>
      <c r="D688" s="31" t="s">
        <v>1756</v>
      </c>
      <c r="E688" s="31" t="s">
        <v>1757</v>
      </c>
      <c r="F688" s="31" t="s">
        <v>481</v>
      </c>
      <c r="G688" s="32">
        <v>1</v>
      </c>
      <c r="H688" s="33">
        <v>0</v>
      </c>
      <c r="I688" s="34">
        <v>20000</v>
      </c>
      <c r="J688" s="34">
        <v>20000</v>
      </c>
      <c r="K688" s="31" t="s">
        <v>1748</v>
      </c>
      <c r="L688" s="31">
        <v>4</v>
      </c>
      <c r="M688" s="31" t="s">
        <v>1758</v>
      </c>
      <c r="N688" s="34">
        <v>1</v>
      </c>
      <c r="O688" s="35">
        <v>0</v>
      </c>
      <c r="P688" s="35">
        <v>4</v>
      </c>
      <c r="Q688" s="35">
        <v>0</v>
      </c>
      <c r="R688" s="36">
        <v>1.06</v>
      </c>
      <c r="S688" s="37">
        <f>IFERROR(_xlfn.XLOOKUP(R688,'1_Presupuesto'!$E:$E,'1_Presupuesto'!$D:$D),"")</f>
        <v>0</v>
      </c>
    </row>
    <row r="689" spans="1:19" x14ac:dyDescent="0.35">
      <c r="A689" s="31" t="s">
        <v>1759</v>
      </c>
      <c r="B689" s="31" t="s">
        <v>497</v>
      </c>
      <c r="C689" s="31" t="s">
        <v>1706</v>
      </c>
      <c r="D689" s="31" t="s">
        <v>1760</v>
      </c>
      <c r="E689" s="31" t="s">
        <v>1761</v>
      </c>
      <c r="F689" s="31" t="s">
        <v>261</v>
      </c>
      <c r="G689" s="32">
        <v>2</v>
      </c>
      <c r="H689" s="33">
        <v>0</v>
      </c>
      <c r="I689" s="34">
        <v>50000</v>
      </c>
      <c r="J689" s="34">
        <v>100000</v>
      </c>
      <c r="K689" s="31" t="s">
        <v>1762</v>
      </c>
      <c r="L689" s="31">
        <v>1</v>
      </c>
      <c r="M689" s="31" t="s">
        <v>1763</v>
      </c>
      <c r="N689" s="34">
        <v>1</v>
      </c>
      <c r="O689" s="35">
        <v>0</v>
      </c>
      <c r="P689" s="35">
        <v>1</v>
      </c>
      <c r="Q689" s="35">
        <v>0</v>
      </c>
      <c r="R689" s="36">
        <v>1.07</v>
      </c>
      <c r="S689" s="37" t="str">
        <f>IFERROR(_xlfn.XLOOKUP(R689,'1_Presupuesto'!$E:$E,'1_Presupuesto'!$D:$D),"")</f>
        <v>Preliminares</v>
      </c>
    </row>
    <row r="690" spans="1:19" x14ac:dyDescent="0.35">
      <c r="A690" s="31" t="s">
        <v>1759</v>
      </c>
      <c r="B690" s="31" t="s">
        <v>478</v>
      </c>
      <c r="C690" s="31" t="s">
        <v>479</v>
      </c>
      <c r="D690" s="31" t="s">
        <v>1673</v>
      </c>
      <c r="E690" s="31" t="s">
        <v>184</v>
      </c>
      <c r="F690" s="31" t="s">
        <v>481</v>
      </c>
      <c r="G690" s="32">
        <v>4</v>
      </c>
      <c r="H690" s="33">
        <v>0</v>
      </c>
      <c r="I690" s="34">
        <v>84612.512709566407</v>
      </c>
      <c r="J690" s="34">
        <v>338450.05083826598</v>
      </c>
      <c r="K690" s="31" t="s">
        <v>1764</v>
      </c>
      <c r="L690" s="31">
        <v>1</v>
      </c>
      <c r="M690" s="31" t="s">
        <v>1765</v>
      </c>
      <c r="N690" s="34">
        <v>1</v>
      </c>
      <c r="O690" s="35">
        <v>4</v>
      </c>
      <c r="P690" s="35">
        <v>1</v>
      </c>
      <c r="Q690" s="35">
        <v>4</v>
      </c>
      <c r="R690" s="36">
        <v>1.07</v>
      </c>
      <c r="S690" s="37" t="str">
        <f>IFERROR(_xlfn.XLOOKUP(R690,'1_Presupuesto'!$E:$E,'1_Presupuesto'!$D:$D),"")</f>
        <v>Preliminares</v>
      </c>
    </row>
    <row r="691" spans="1:19" x14ac:dyDescent="0.35">
      <c r="A691" s="31" t="s">
        <v>1759</v>
      </c>
      <c r="B691" s="31" t="s">
        <v>478</v>
      </c>
      <c r="C691" s="31" t="s">
        <v>479</v>
      </c>
      <c r="D691" s="31" t="s">
        <v>484</v>
      </c>
      <c r="E691" s="31" t="s">
        <v>186</v>
      </c>
      <c r="F691" s="31" t="s">
        <v>481</v>
      </c>
      <c r="G691" s="32">
        <v>2</v>
      </c>
      <c r="H691" s="33">
        <v>0</v>
      </c>
      <c r="I691" s="34">
        <v>67240.498860267602</v>
      </c>
      <c r="J691" s="34">
        <v>134480.997720535</v>
      </c>
      <c r="K691" s="31" t="s">
        <v>1764</v>
      </c>
      <c r="L691" s="31">
        <v>2</v>
      </c>
      <c r="M691" s="31" t="s">
        <v>1766</v>
      </c>
      <c r="N691" s="34">
        <v>1</v>
      </c>
      <c r="O691" s="35">
        <v>2</v>
      </c>
      <c r="P691" s="35">
        <v>1</v>
      </c>
      <c r="Q691" s="35">
        <v>2</v>
      </c>
      <c r="R691" s="36">
        <v>1.07</v>
      </c>
      <c r="S691" s="37" t="str">
        <f>IFERROR(_xlfn.XLOOKUP(R691,'1_Presupuesto'!$E:$E,'1_Presupuesto'!$D:$D),"")</f>
        <v>Preliminares</v>
      </c>
    </row>
    <row r="692" spans="1:19" x14ac:dyDescent="0.35">
      <c r="A692" s="31" t="s">
        <v>1759</v>
      </c>
      <c r="B692" s="31" t="s">
        <v>497</v>
      </c>
      <c r="C692" s="31" t="s">
        <v>498</v>
      </c>
      <c r="D692" s="31" t="s">
        <v>1767</v>
      </c>
      <c r="E692" s="31" t="s">
        <v>1768</v>
      </c>
      <c r="F692" s="31" t="s">
        <v>261</v>
      </c>
      <c r="G692" s="32">
        <v>1</v>
      </c>
      <c r="H692" s="33">
        <v>0</v>
      </c>
      <c r="I692" s="34">
        <v>150000</v>
      </c>
      <c r="J692" s="34">
        <v>150000</v>
      </c>
      <c r="K692" s="31" t="s">
        <v>1762</v>
      </c>
      <c r="L692" s="31">
        <v>2</v>
      </c>
      <c r="M692" s="31" t="s">
        <v>1769</v>
      </c>
      <c r="N692" s="34">
        <v>1</v>
      </c>
      <c r="O692" s="35">
        <v>0</v>
      </c>
      <c r="P692" s="35">
        <v>1</v>
      </c>
      <c r="Q692" s="35">
        <v>0</v>
      </c>
      <c r="R692" s="36">
        <v>1.07</v>
      </c>
      <c r="S692" s="37" t="str">
        <f>IFERROR(_xlfn.XLOOKUP(R692,'1_Presupuesto'!$E:$E,'1_Presupuesto'!$D:$D),"")</f>
        <v>Preliminares</v>
      </c>
    </row>
    <row r="693" spans="1:19" x14ac:dyDescent="0.35">
      <c r="A693" s="31" t="s">
        <v>1759</v>
      </c>
      <c r="B693" s="31" t="s">
        <v>497</v>
      </c>
      <c r="C693" s="31" t="s">
        <v>498</v>
      </c>
      <c r="D693" s="31" t="s">
        <v>1770</v>
      </c>
      <c r="E693" s="31" t="s">
        <v>1771</v>
      </c>
      <c r="F693" s="31" t="s">
        <v>261</v>
      </c>
      <c r="G693" s="32">
        <v>1</v>
      </c>
      <c r="H693" s="33">
        <v>0</v>
      </c>
      <c r="I693" s="34">
        <v>15000</v>
      </c>
      <c r="J693" s="34">
        <v>15000</v>
      </c>
      <c r="K693" s="31" t="s">
        <v>1762</v>
      </c>
      <c r="L693" s="31">
        <v>3</v>
      </c>
      <c r="M693" s="31" t="s">
        <v>1772</v>
      </c>
      <c r="N693" s="34">
        <v>1</v>
      </c>
      <c r="O693" s="35">
        <v>0</v>
      </c>
      <c r="P693" s="35">
        <v>1</v>
      </c>
      <c r="Q693" s="35">
        <v>0</v>
      </c>
      <c r="R693" s="36">
        <v>1.07</v>
      </c>
      <c r="S693" s="37" t="str">
        <f>IFERROR(_xlfn.XLOOKUP(R693,'1_Presupuesto'!$E:$E,'1_Presupuesto'!$D:$D),"")</f>
        <v>Preliminares</v>
      </c>
    </row>
    <row r="694" spans="1:19" x14ac:dyDescent="0.35">
      <c r="A694" s="31" t="s">
        <v>1759</v>
      </c>
      <c r="B694" s="31" t="s">
        <v>497</v>
      </c>
      <c r="C694" s="31" t="s">
        <v>498</v>
      </c>
      <c r="D694" s="31" t="s">
        <v>1773</v>
      </c>
      <c r="E694" s="31" t="s">
        <v>1774</v>
      </c>
      <c r="F694" s="31" t="s">
        <v>261</v>
      </c>
      <c r="G694" s="32">
        <v>50</v>
      </c>
      <c r="H694" s="33">
        <v>0</v>
      </c>
      <c r="I694" s="34">
        <v>16500</v>
      </c>
      <c r="J694" s="34">
        <v>825000</v>
      </c>
      <c r="K694" s="31" t="s">
        <v>1762</v>
      </c>
      <c r="L694" s="31">
        <v>4</v>
      </c>
      <c r="M694" s="31" t="s">
        <v>1775</v>
      </c>
      <c r="N694" s="34">
        <v>1</v>
      </c>
      <c r="O694" s="35">
        <v>0</v>
      </c>
      <c r="P694" s="35">
        <v>1</v>
      </c>
      <c r="Q694" s="35">
        <v>0</v>
      </c>
      <c r="R694" s="36">
        <v>1.07</v>
      </c>
      <c r="S694" s="37" t="str">
        <f>IFERROR(_xlfn.XLOOKUP(R694,'1_Presupuesto'!$E:$E,'1_Presupuesto'!$D:$D),"")</f>
        <v>Preliminares</v>
      </c>
    </row>
    <row r="695" spans="1:19" x14ac:dyDescent="0.35">
      <c r="A695" s="31" t="s">
        <v>1759</v>
      </c>
      <c r="B695" s="31" t="s">
        <v>497</v>
      </c>
      <c r="C695" s="31" t="s">
        <v>498</v>
      </c>
      <c r="D695" s="31" t="s">
        <v>1776</v>
      </c>
      <c r="E695" s="31" t="s">
        <v>1777</v>
      </c>
      <c r="F695" s="31" t="s">
        <v>261</v>
      </c>
      <c r="G695" s="32">
        <v>1</v>
      </c>
      <c r="H695" s="33">
        <v>0</v>
      </c>
      <c r="I695" s="34">
        <v>300000</v>
      </c>
      <c r="J695" s="34">
        <v>300000</v>
      </c>
      <c r="K695" s="31" t="s">
        <v>1762</v>
      </c>
      <c r="L695" s="31">
        <v>5</v>
      </c>
      <c r="M695" s="31" t="s">
        <v>1778</v>
      </c>
      <c r="N695" s="34">
        <v>1</v>
      </c>
      <c r="O695" s="35">
        <v>0</v>
      </c>
      <c r="P695" s="35">
        <v>1</v>
      </c>
      <c r="Q695" s="35">
        <v>0</v>
      </c>
      <c r="R695" s="36">
        <v>1.07</v>
      </c>
      <c r="S695" s="37" t="str">
        <f>IFERROR(_xlfn.XLOOKUP(R695,'1_Presupuesto'!$E:$E,'1_Presupuesto'!$D:$D),"")</f>
        <v>Preliminares</v>
      </c>
    </row>
    <row r="696" spans="1:19" x14ac:dyDescent="0.35">
      <c r="A696" s="31" t="s">
        <v>1759</v>
      </c>
      <c r="B696" s="31" t="s">
        <v>478</v>
      </c>
      <c r="C696" s="31" t="s">
        <v>479</v>
      </c>
      <c r="D696" s="31" t="s">
        <v>480</v>
      </c>
      <c r="E696" s="31" t="s">
        <v>183</v>
      </c>
      <c r="F696" s="31" t="s">
        <v>481</v>
      </c>
      <c r="G696" s="32">
        <v>2</v>
      </c>
      <c r="H696" s="33">
        <v>0</v>
      </c>
      <c r="I696" s="34">
        <v>94177.137883538904</v>
      </c>
      <c r="J696" s="34">
        <v>188354.27576707801</v>
      </c>
      <c r="K696" s="31" t="s">
        <v>1764</v>
      </c>
      <c r="L696" s="31">
        <v>3</v>
      </c>
      <c r="M696" s="31" t="s">
        <v>1779</v>
      </c>
      <c r="N696" s="34">
        <v>1</v>
      </c>
      <c r="O696" s="35">
        <v>2</v>
      </c>
      <c r="P696" s="35">
        <v>1</v>
      </c>
      <c r="Q696" s="35">
        <v>2</v>
      </c>
      <c r="R696" s="36">
        <v>1.07</v>
      </c>
      <c r="S696" s="37" t="str">
        <f>IFERROR(_xlfn.XLOOKUP(R696,'1_Presupuesto'!$E:$E,'1_Presupuesto'!$D:$D),"")</f>
        <v>Preliminares</v>
      </c>
    </row>
    <row r="697" spans="1:19" x14ac:dyDescent="0.35">
      <c r="A697" s="31" t="s">
        <v>1759</v>
      </c>
      <c r="B697" s="31" t="s">
        <v>203</v>
      </c>
      <c r="C697" s="31"/>
      <c r="D697" s="31" t="s">
        <v>1780</v>
      </c>
      <c r="E697" s="31" t="s">
        <v>1781</v>
      </c>
      <c r="F697" s="31"/>
      <c r="G697" s="32">
        <v>1</v>
      </c>
      <c r="H697" s="33">
        <v>0</v>
      </c>
      <c r="I697" s="34">
        <v>30769.279864888202</v>
      </c>
      <c r="J697" s="34">
        <v>30769.279864888202</v>
      </c>
      <c r="K697" s="31" t="s">
        <v>1782</v>
      </c>
      <c r="L697" s="31">
        <v>1</v>
      </c>
      <c r="M697" s="31" t="s">
        <v>1783</v>
      </c>
      <c r="N697" s="34">
        <v>1</v>
      </c>
      <c r="O697" s="35">
        <v>0</v>
      </c>
      <c r="P697" s="35">
        <v>1</v>
      </c>
      <c r="Q697" s="35">
        <v>0</v>
      </c>
      <c r="R697" s="36">
        <v>1.07</v>
      </c>
      <c r="S697" s="37" t="str">
        <f>IFERROR(_xlfn.XLOOKUP(R697,'1_Presupuesto'!$E:$E,'1_Presupuesto'!$D:$D),"")</f>
        <v>Preliminares</v>
      </c>
    </row>
    <row r="698" spans="1:19" x14ac:dyDescent="0.35">
      <c r="A698" s="31" t="s">
        <v>1784</v>
      </c>
      <c r="B698" s="31" t="s">
        <v>497</v>
      </c>
      <c r="C698" s="31" t="s">
        <v>498</v>
      </c>
      <c r="D698" s="31" t="s">
        <v>1785</v>
      </c>
      <c r="E698" s="31" t="s">
        <v>1786</v>
      </c>
      <c r="F698" s="31" t="s">
        <v>261</v>
      </c>
      <c r="G698" s="32">
        <v>1</v>
      </c>
      <c r="H698" s="33">
        <v>0</v>
      </c>
      <c r="I698" s="34">
        <v>200000</v>
      </c>
      <c r="J698" s="34">
        <v>200000</v>
      </c>
      <c r="K698" s="31" t="s">
        <v>1787</v>
      </c>
      <c r="L698" s="31">
        <v>1</v>
      </c>
      <c r="M698" s="31" t="s">
        <v>1788</v>
      </c>
      <c r="N698" s="34">
        <v>1</v>
      </c>
      <c r="O698" s="35">
        <v>0</v>
      </c>
      <c r="P698" s="35">
        <v>1</v>
      </c>
      <c r="Q698" s="35">
        <v>0</v>
      </c>
      <c r="R698" s="36">
        <v>1.08</v>
      </c>
      <c r="S698" s="37" t="str">
        <f>IFERROR(_xlfn.XLOOKUP(R698,'1_Presupuesto'!$E:$E,'1_Presupuesto'!$D:$D),"")</f>
        <v>Preliminares</v>
      </c>
    </row>
    <row r="699" spans="1:19" x14ac:dyDescent="0.35">
      <c r="A699" s="31" t="s">
        <v>1784</v>
      </c>
      <c r="B699" s="31" t="s">
        <v>497</v>
      </c>
      <c r="C699" s="31" t="s">
        <v>498</v>
      </c>
      <c r="D699" s="31" t="s">
        <v>1789</v>
      </c>
      <c r="E699" s="31" t="s">
        <v>1790</v>
      </c>
      <c r="F699" s="31" t="s">
        <v>261</v>
      </c>
      <c r="G699" s="32">
        <v>1</v>
      </c>
      <c r="H699" s="33">
        <v>0</v>
      </c>
      <c r="I699" s="34">
        <v>200000</v>
      </c>
      <c r="J699" s="34">
        <v>200000</v>
      </c>
      <c r="K699" s="31" t="s">
        <v>1787</v>
      </c>
      <c r="L699" s="31">
        <v>2</v>
      </c>
      <c r="M699" s="31" t="s">
        <v>1791</v>
      </c>
      <c r="N699" s="34">
        <v>1</v>
      </c>
      <c r="O699" s="35">
        <v>0</v>
      </c>
      <c r="P699" s="35">
        <v>1</v>
      </c>
      <c r="Q699" s="35">
        <v>0</v>
      </c>
      <c r="R699" s="36">
        <v>1.08</v>
      </c>
      <c r="S699" s="37" t="str">
        <f>IFERROR(_xlfn.XLOOKUP(R699,'1_Presupuesto'!$E:$E,'1_Presupuesto'!$D:$D),"")</f>
        <v>Preliminares</v>
      </c>
    </row>
    <row r="700" spans="1:19" x14ac:dyDescent="0.35">
      <c r="A700" s="31" t="s">
        <v>1784</v>
      </c>
      <c r="B700" s="31" t="s">
        <v>497</v>
      </c>
      <c r="C700" s="31" t="s">
        <v>498</v>
      </c>
      <c r="D700" s="31" t="s">
        <v>1792</v>
      </c>
      <c r="E700" s="31" t="s">
        <v>1793</v>
      </c>
      <c r="F700" s="31" t="s">
        <v>261</v>
      </c>
      <c r="G700" s="32">
        <v>1</v>
      </c>
      <c r="H700" s="33">
        <v>0</v>
      </c>
      <c r="I700" s="34">
        <v>50000</v>
      </c>
      <c r="J700" s="34">
        <v>50000</v>
      </c>
      <c r="K700" s="31" t="s">
        <v>1787</v>
      </c>
      <c r="L700" s="31">
        <v>3</v>
      </c>
      <c r="M700" s="31" t="s">
        <v>1794</v>
      </c>
      <c r="N700" s="34">
        <v>1</v>
      </c>
      <c r="O700" s="35">
        <v>0</v>
      </c>
      <c r="P700" s="35">
        <v>1</v>
      </c>
      <c r="Q700" s="35">
        <v>0</v>
      </c>
      <c r="R700" s="36">
        <v>1.08</v>
      </c>
      <c r="S700" s="37" t="str">
        <f>IFERROR(_xlfn.XLOOKUP(R700,'1_Presupuesto'!$E:$E,'1_Presupuesto'!$D:$D),"")</f>
        <v>Preliminares</v>
      </c>
    </row>
    <row r="701" spans="1:19" x14ac:dyDescent="0.35">
      <c r="A701" s="31" t="s">
        <v>1784</v>
      </c>
      <c r="B701" s="31" t="s">
        <v>497</v>
      </c>
      <c r="C701" s="31" t="s">
        <v>498</v>
      </c>
      <c r="D701" s="31" t="s">
        <v>1795</v>
      </c>
      <c r="E701" s="31" t="s">
        <v>1796</v>
      </c>
      <c r="F701" s="31" t="s">
        <v>261</v>
      </c>
      <c r="G701" s="32">
        <v>1</v>
      </c>
      <c r="H701" s="33">
        <v>0</v>
      </c>
      <c r="I701" s="34">
        <v>10000</v>
      </c>
      <c r="J701" s="34">
        <v>10000</v>
      </c>
      <c r="K701" s="31" t="s">
        <v>1787</v>
      </c>
      <c r="L701" s="31">
        <v>4</v>
      </c>
      <c r="M701" s="31" t="s">
        <v>1797</v>
      </c>
      <c r="N701" s="34">
        <v>1</v>
      </c>
      <c r="O701" s="35">
        <v>0</v>
      </c>
      <c r="P701" s="35">
        <v>1</v>
      </c>
      <c r="Q701" s="35">
        <v>0</v>
      </c>
      <c r="R701" s="36">
        <v>1.08</v>
      </c>
      <c r="S701" s="37" t="str">
        <f>IFERROR(_xlfn.XLOOKUP(R701,'1_Presupuesto'!$E:$E,'1_Presupuesto'!$D:$D),"")</f>
        <v>Preliminares</v>
      </c>
    </row>
    <row r="702" spans="1:19" x14ac:dyDescent="0.35">
      <c r="A702" s="31" t="s">
        <v>1784</v>
      </c>
      <c r="B702" s="31" t="s">
        <v>497</v>
      </c>
      <c r="C702" s="31" t="s">
        <v>498</v>
      </c>
      <c r="D702" s="31" t="s">
        <v>1798</v>
      </c>
      <c r="E702" s="31" t="s">
        <v>1799</v>
      </c>
      <c r="F702" s="31" t="s">
        <v>261</v>
      </c>
      <c r="G702" s="32">
        <v>12</v>
      </c>
      <c r="H702" s="33">
        <v>0</v>
      </c>
      <c r="I702" s="34">
        <v>15000</v>
      </c>
      <c r="J702" s="34">
        <v>180000</v>
      </c>
      <c r="K702" s="31" t="s">
        <v>1787</v>
      </c>
      <c r="L702" s="31">
        <v>5</v>
      </c>
      <c r="M702" s="31" t="s">
        <v>1800</v>
      </c>
      <c r="N702" s="34">
        <v>1</v>
      </c>
      <c r="O702" s="35">
        <v>0</v>
      </c>
      <c r="P702" s="35">
        <v>1</v>
      </c>
      <c r="Q702" s="35">
        <v>0</v>
      </c>
      <c r="R702" s="36">
        <v>1.08</v>
      </c>
      <c r="S702" s="37" t="str">
        <f>IFERROR(_xlfn.XLOOKUP(R702,'1_Presupuesto'!$E:$E,'1_Presupuesto'!$D:$D),"")</f>
        <v>Preliminares</v>
      </c>
    </row>
    <row r="703" spans="1:19" x14ac:dyDescent="0.35">
      <c r="A703" s="31" t="s">
        <v>1784</v>
      </c>
      <c r="B703" s="31" t="s">
        <v>497</v>
      </c>
      <c r="C703" s="31" t="s">
        <v>498</v>
      </c>
      <c r="D703" s="31" t="s">
        <v>1801</v>
      </c>
      <c r="E703" s="31" t="s">
        <v>1802</v>
      </c>
      <c r="F703" s="31" t="s">
        <v>261</v>
      </c>
      <c r="G703" s="32">
        <v>8</v>
      </c>
      <c r="H703" s="33">
        <v>0</v>
      </c>
      <c r="I703" s="34">
        <v>15000</v>
      </c>
      <c r="J703" s="34">
        <v>120000</v>
      </c>
      <c r="K703" s="31" t="s">
        <v>1787</v>
      </c>
      <c r="L703" s="31">
        <v>6</v>
      </c>
      <c r="M703" s="31" t="s">
        <v>1803</v>
      </c>
      <c r="N703" s="34">
        <v>1</v>
      </c>
      <c r="O703" s="35">
        <v>0</v>
      </c>
      <c r="P703" s="35">
        <v>1</v>
      </c>
      <c r="Q703" s="35">
        <v>0</v>
      </c>
      <c r="R703" s="36">
        <v>1.08</v>
      </c>
      <c r="S703" s="37" t="str">
        <f>IFERROR(_xlfn.XLOOKUP(R703,'1_Presupuesto'!$E:$E,'1_Presupuesto'!$D:$D),"")</f>
        <v>Preliminares</v>
      </c>
    </row>
    <row r="704" spans="1:19" x14ac:dyDescent="0.35">
      <c r="A704" s="31" t="s">
        <v>1784</v>
      </c>
      <c r="B704" s="31" t="s">
        <v>497</v>
      </c>
      <c r="C704" s="31" t="s">
        <v>498</v>
      </c>
      <c r="D704" s="31" t="s">
        <v>1804</v>
      </c>
      <c r="E704" s="31" t="s">
        <v>1805</v>
      </c>
      <c r="F704" s="31" t="s">
        <v>261</v>
      </c>
      <c r="G704" s="32">
        <v>10</v>
      </c>
      <c r="H704" s="33">
        <v>0</v>
      </c>
      <c r="I704" s="34">
        <v>2000</v>
      </c>
      <c r="J704" s="34">
        <v>20000</v>
      </c>
      <c r="K704" s="31" t="s">
        <v>1787</v>
      </c>
      <c r="L704" s="31">
        <v>7</v>
      </c>
      <c r="M704" s="31" t="s">
        <v>1806</v>
      </c>
      <c r="N704" s="34">
        <v>1</v>
      </c>
      <c r="O704" s="35">
        <v>0</v>
      </c>
      <c r="P704" s="35">
        <v>1</v>
      </c>
      <c r="Q704" s="35">
        <v>0</v>
      </c>
      <c r="R704" s="36">
        <v>1.08</v>
      </c>
      <c r="S704" s="37" t="str">
        <f>IFERROR(_xlfn.XLOOKUP(R704,'1_Presupuesto'!$E:$E,'1_Presupuesto'!$D:$D),"")</f>
        <v>Preliminares</v>
      </c>
    </row>
    <row r="705" spans="1:19" x14ac:dyDescent="0.35">
      <c r="A705" s="31" t="s">
        <v>1784</v>
      </c>
      <c r="B705" s="31" t="s">
        <v>497</v>
      </c>
      <c r="C705" s="31" t="s">
        <v>498</v>
      </c>
      <c r="D705" s="31" t="s">
        <v>1807</v>
      </c>
      <c r="E705" s="31" t="s">
        <v>1808</v>
      </c>
      <c r="F705" s="31" t="s">
        <v>261</v>
      </c>
      <c r="G705" s="32">
        <v>0.2</v>
      </c>
      <c r="H705" s="33">
        <v>0</v>
      </c>
      <c r="I705" s="34">
        <v>780000</v>
      </c>
      <c r="J705" s="34">
        <v>156000</v>
      </c>
      <c r="K705" s="31" t="s">
        <v>1787</v>
      </c>
      <c r="L705" s="31">
        <v>8</v>
      </c>
      <c r="M705" s="31" t="s">
        <v>1809</v>
      </c>
      <c r="N705" s="34">
        <v>1</v>
      </c>
      <c r="O705" s="35">
        <v>0</v>
      </c>
      <c r="P705" s="35">
        <v>1</v>
      </c>
      <c r="Q705" s="35">
        <v>0</v>
      </c>
      <c r="R705" s="36">
        <v>1.08</v>
      </c>
      <c r="S705" s="37" t="str">
        <f>IFERROR(_xlfn.XLOOKUP(R705,'1_Presupuesto'!$E:$E,'1_Presupuesto'!$D:$D),"")</f>
        <v>Preliminares</v>
      </c>
    </row>
    <row r="706" spans="1:19" x14ac:dyDescent="0.35">
      <c r="A706" s="31" t="s">
        <v>1784</v>
      </c>
      <c r="B706" s="31" t="s">
        <v>478</v>
      </c>
      <c r="C706" s="31" t="s">
        <v>479</v>
      </c>
      <c r="D706" s="31" t="s">
        <v>480</v>
      </c>
      <c r="E706" s="31" t="s">
        <v>183</v>
      </c>
      <c r="F706" s="31" t="s">
        <v>481</v>
      </c>
      <c r="G706" s="32">
        <v>3</v>
      </c>
      <c r="H706" s="33">
        <v>0</v>
      </c>
      <c r="I706" s="34">
        <v>94177.137883538904</v>
      </c>
      <c r="J706" s="34">
        <v>282531.413650617</v>
      </c>
      <c r="K706" s="31" t="s">
        <v>1810</v>
      </c>
      <c r="L706" s="31">
        <v>1</v>
      </c>
      <c r="M706" s="31" t="s">
        <v>1811</v>
      </c>
      <c r="N706" s="34">
        <v>1</v>
      </c>
      <c r="O706" s="35">
        <v>3</v>
      </c>
      <c r="P706" s="35">
        <v>1</v>
      </c>
      <c r="Q706" s="35">
        <v>3</v>
      </c>
      <c r="R706" s="36">
        <v>1.08</v>
      </c>
      <c r="S706" s="37" t="str">
        <f>IFERROR(_xlfn.XLOOKUP(R706,'1_Presupuesto'!$E:$E,'1_Presupuesto'!$D:$D),"")</f>
        <v>Preliminares</v>
      </c>
    </row>
    <row r="707" spans="1:19" x14ac:dyDescent="0.35">
      <c r="A707" s="31" t="s">
        <v>1784</v>
      </c>
      <c r="B707" s="31" t="s">
        <v>478</v>
      </c>
      <c r="C707" s="31" t="s">
        <v>479</v>
      </c>
      <c r="D707" s="31" t="s">
        <v>1673</v>
      </c>
      <c r="E707" s="31" t="s">
        <v>184</v>
      </c>
      <c r="F707" s="31" t="s">
        <v>481</v>
      </c>
      <c r="G707" s="32">
        <v>3</v>
      </c>
      <c r="H707" s="33">
        <v>0</v>
      </c>
      <c r="I707" s="34">
        <v>84612.512709566407</v>
      </c>
      <c r="J707" s="34">
        <v>253837.538128699</v>
      </c>
      <c r="K707" s="31" t="s">
        <v>1810</v>
      </c>
      <c r="L707" s="31">
        <v>2</v>
      </c>
      <c r="M707" s="31" t="s">
        <v>1812</v>
      </c>
      <c r="N707" s="34">
        <v>1</v>
      </c>
      <c r="O707" s="35">
        <v>3</v>
      </c>
      <c r="P707" s="35">
        <v>1</v>
      </c>
      <c r="Q707" s="35">
        <v>3</v>
      </c>
      <c r="R707" s="36">
        <v>1.08</v>
      </c>
      <c r="S707" s="37" t="str">
        <f>IFERROR(_xlfn.XLOOKUP(R707,'1_Presupuesto'!$E:$E,'1_Presupuesto'!$D:$D),"")</f>
        <v>Preliminares</v>
      </c>
    </row>
    <row r="708" spans="1:19" x14ac:dyDescent="0.35">
      <c r="A708" s="31" t="s">
        <v>1784</v>
      </c>
      <c r="B708" s="31" t="s">
        <v>203</v>
      </c>
      <c r="C708" s="31"/>
      <c r="D708" s="31" t="s">
        <v>1813</v>
      </c>
      <c r="E708" s="31" t="s">
        <v>1814</v>
      </c>
      <c r="F708" s="31"/>
      <c r="G708" s="32">
        <v>1</v>
      </c>
      <c r="H708" s="33">
        <v>0</v>
      </c>
      <c r="I708" s="34">
        <v>22085.534276689701</v>
      </c>
      <c r="J708" s="34">
        <v>22085.534276689701</v>
      </c>
      <c r="K708" s="31" t="s">
        <v>1815</v>
      </c>
      <c r="L708" s="31">
        <v>1</v>
      </c>
      <c r="M708" s="31" t="s">
        <v>1816</v>
      </c>
      <c r="N708" s="34">
        <v>1</v>
      </c>
      <c r="O708" s="35">
        <v>0</v>
      </c>
      <c r="P708" s="35">
        <v>1</v>
      </c>
      <c r="Q708" s="35">
        <v>0</v>
      </c>
      <c r="R708" s="36">
        <v>1.08</v>
      </c>
      <c r="S708" s="37" t="str">
        <f>IFERROR(_xlfn.XLOOKUP(R708,'1_Presupuesto'!$E:$E,'1_Presupuesto'!$D:$D),"")</f>
        <v>Preliminares</v>
      </c>
    </row>
    <row r="709" spans="1:19" x14ac:dyDescent="0.35">
      <c r="A709" s="31" t="s">
        <v>1817</v>
      </c>
      <c r="B709" s="31" t="s">
        <v>478</v>
      </c>
      <c r="C709" s="31" t="s">
        <v>498</v>
      </c>
      <c r="D709" s="31" t="s">
        <v>1818</v>
      </c>
      <c r="E709" s="31" t="s">
        <v>1819</v>
      </c>
      <c r="F709" s="31" t="s">
        <v>481</v>
      </c>
      <c r="G709" s="32">
        <v>1</v>
      </c>
      <c r="H709" s="33">
        <v>0</v>
      </c>
      <c r="I709" s="34">
        <v>157327.46103959001</v>
      </c>
      <c r="J709" s="34">
        <v>157327.46103959001</v>
      </c>
      <c r="K709" s="31" t="s">
        <v>1820</v>
      </c>
      <c r="L709" s="31">
        <v>1</v>
      </c>
      <c r="M709" s="31" t="s">
        <v>1821</v>
      </c>
      <c r="N709" s="34">
        <v>1</v>
      </c>
      <c r="O709" s="35">
        <v>0</v>
      </c>
      <c r="P709" s="35">
        <v>1</v>
      </c>
      <c r="Q709" s="35">
        <v>0</v>
      </c>
      <c r="R709" s="36">
        <v>1.0900000000000001</v>
      </c>
      <c r="S709" s="37">
        <f>IFERROR(_xlfn.XLOOKUP(R709,'1_Presupuesto'!$E:$E,'1_Presupuesto'!$D:$D),"")</f>
        <v>0</v>
      </c>
    </row>
    <row r="710" spans="1:19" x14ac:dyDescent="0.35">
      <c r="A710" s="31" t="s">
        <v>1817</v>
      </c>
      <c r="B710" s="31" t="s">
        <v>478</v>
      </c>
      <c r="C710" s="31" t="s">
        <v>498</v>
      </c>
      <c r="D710" s="31" t="s">
        <v>1822</v>
      </c>
      <c r="E710" s="31" t="s">
        <v>1823</v>
      </c>
      <c r="F710" s="31" t="s">
        <v>481</v>
      </c>
      <c r="G710" s="32">
        <v>2</v>
      </c>
      <c r="H710" s="33">
        <v>0</v>
      </c>
      <c r="I710" s="34">
        <v>113275.771948505</v>
      </c>
      <c r="J710" s="34">
        <v>226551.54389701001</v>
      </c>
      <c r="K710" s="31" t="s">
        <v>1820</v>
      </c>
      <c r="L710" s="31">
        <v>2</v>
      </c>
      <c r="M710" s="31" t="s">
        <v>1824</v>
      </c>
      <c r="N710" s="34">
        <v>1</v>
      </c>
      <c r="O710" s="35">
        <v>0</v>
      </c>
      <c r="P710" s="35">
        <v>1</v>
      </c>
      <c r="Q710" s="35">
        <v>0</v>
      </c>
      <c r="R710" s="36">
        <v>1.0900000000000001</v>
      </c>
      <c r="S710" s="37">
        <f>IFERROR(_xlfn.XLOOKUP(R710,'1_Presupuesto'!$E:$E,'1_Presupuesto'!$D:$D),"")</f>
        <v>0</v>
      </c>
    </row>
    <row r="711" spans="1:19" x14ac:dyDescent="0.35">
      <c r="A711" s="31" t="s">
        <v>1817</v>
      </c>
      <c r="B711" s="31" t="s">
        <v>478</v>
      </c>
      <c r="C711" s="31" t="s">
        <v>498</v>
      </c>
      <c r="D711" s="31" t="s">
        <v>1825</v>
      </c>
      <c r="E711" s="31" t="s">
        <v>1826</v>
      </c>
      <c r="F711" s="31" t="s">
        <v>481</v>
      </c>
      <c r="G711" s="32">
        <v>1</v>
      </c>
      <c r="H711" s="33">
        <v>0</v>
      </c>
      <c r="I711" s="34">
        <v>99116.300454941505</v>
      </c>
      <c r="J711" s="34">
        <v>99116.300454941505</v>
      </c>
      <c r="K711" s="31" t="s">
        <v>1820</v>
      </c>
      <c r="L711" s="31">
        <v>3</v>
      </c>
      <c r="M711" s="31" t="s">
        <v>1827</v>
      </c>
      <c r="N711" s="34">
        <v>1</v>
      </c>
      <c r="O711" s="35">
        <v>0</v>
      </c>
      <c r="P711" s="35">
        <v>1</v>
      </c>
      <c r="Q711" s="35">
        <v>0</v>
      </c>
      <c r="R711" s="36">
        <v>1.0900000000000001</v>
      </c>
      <c r="S711" s="37">
        <f>IFERROR(_xlfn.XLOOKUP(R711,'1_Presupuesto'!$E:$E,'1_Presupuesto'!$D:$D),"")</f>
        <v>0</v>
      </c>
    </row>
    <row r="712" spans="1:19" x14ac:dyDescent="0.35">
      <c r="A712" s="31" t="s">
        <v>1828</v>
      </c>
      <c r="B712" s="31" t="s">
        <v>478</v>
      </c>
      <c r="C712" s="31" t="s">
        <v>498</v>
      </c>
      <c r="D712" s="31" t="s">
        <v>1829</v>
      </c>
      <c r="E712" s="31" t="s">
        <v>1830</v>
      </c>
      <c r="F712" s="31" t="s">
        <v>481</v>
      </c>
      <c r="G712" s="32">
        <v>1.1000000000000001</v>
      </c>
      <c r="H712" s="33">
        <v>0</v>
      </c>
      <c r="I712" s="34">
        <v>23552.222222222201</v>
      </c>
      <c r="J712" s="34">
        <v>25907.444444444402</v>
      </c>
      <c r="K712" s="31" t="s">
        <v>1831</v>
      </c>
      <c r="L712" s="31">
        <v>1</v>
      </c>
      <c r="M712" s="31" t="s">
        <v>1832</v>
      </c>
      <c r="N712" s="34">
        <v>1</v>
      </c>
      <c r="O712" s="35">
        <v>0</v>
      </c>
      <c r="P712" s="35">
        <v>219</v>
      </c>
      <c r="Q712" s="35">
        <v>0</v>
      </c>
      <c r="R712" s="36">
        <v>2.0099999999999998</v>
      </c>
      <c r="S712" s="37" t="str">
        <f>IFERROR(_xlfn.XLOOKUP(R712,'1_Presupuesto'!$E:$E,'1_Presupuesto'!$D:$D),"")</f>
        <v>Homigón MO</v>
      </c>
    </row>
    <row r="713" spans="1:19" x14ac:dyDescent="0.35">
      <c r="A713" s="31" t="s">
        <v>1828</v>
      </c>
      <c r="B713" s="31" t="s">
        <v>478</v>
      </c>
      <c r="C713" s="31" t="s">
        <v>479</v>
      </c>
      <c r="D713" s="31" t="s">
        <v>484</v>
      </c>
      <c r="E713" s="31" t="s">
        <v>186</v>
      </c>
      <c r="F713" s="31" t="s">
        <v>481</v>
      </c>
      <c r="G713" s="32">
        <v>4.5662000000000001E-2</v>
      </c>
      <c r="H713" s="33">
        <v>0</v>
      </c>
      <c r="I713" s="34">
        <v>67240.498860267602</v>
      </c>
      <c r="J713" s="34">
        <v>3070.3356589575401</v>
      </c>
      <c r="K713" s="31" t="s">
        <v>1831</v>
      </c>
      <c r="L713" s="31">
        <v>2</v>
      </c>
      <c r="M713" s="31" t="s">
        <v>1833</v>
      </c>
      <c r="N713" s="34">
        <v>1</v>
      </c>
      <c r="O713" s="35">
        <v>4.5662000000000001E-2</v>
      </c>
      <c r="P713" s="35">
        <v>219</v>
      </c>
      <c r="Q713" s="35">
        <v>9.9999780000000005</v>
      </c>
      <c r="R713" s="36">
        <v>2.0099999999999998</v>
      </c>
      <c r="S713" s="37" t="str">
        <f>IFERROR(_xlfn.XLOOKUP(R713,'1_Presupuesto'!$E:$E,'1_Presupuesto'!$D:$D),"")</f>
        <v>Homigón MO</v>
      </c>
    </row>
    <row r="714" spans="1:19" x14ac:dyDescent="0.35">
      <c r="A714" s="31" t="s">
        <v>1834</v>
      </c>
      <c r="B714" s="31" t="s">
        <v>478</v>
      </c>
      <c r="C714" s="31" t="s">
        <v>498</v>
      </c>
      <c r="D714" s="31" t="s">
        <v>1835</v>
      </c>
      <c r="E714" s="31" t="s">
        <v>1836</v>
      </c>
      <c r="F714" s="31" t="s">
        <v>481</v>
      </c>
      <c r="G714" s="32">
        <v>0.03</v>
      </c>
      <c r="H714" s="33">
        <v>0</v>
      </c>
      <c r="I714" s="34">
        <v>528000</v>
      </c>
      <c r="J714" s="34">
        <v>15840</v>
      </c>
      <c r="K714" s="31" t="s">
        <v>1837</v>
      </c>
      <c r="L714" s="31">
        <v>1</v>
      </c>
      <c r="M714" s="31" t="s">
        <v>1838</v>
      </c>
      <c r="N714" s="34">
        <v>1</v>
      </c>
      <c r="O714" s="35">
        <v>0</v>
      </c>
      <c r="P714" s="35">
        <v>100</v>
      </c>
      <c r="Q714" s="35">
        <v>0</v>
      </c>
      <c r="R714" s="36">
        <v>2.02</v>
      </c>
      <c r="S714" s="37" t="str">
        <f>IFERROR(_xlfn.XLOOKUP(R714,'1_Presupuesto'!$E:$E,'1_Presupuesto'!$D:$D),"")</f>
        <v>Homigón MO</v>
      </c>
    </row>
    <row r="715" spans="1:19" x14ac:dyDescent="0.35">
      <c r="A715" s="31" t="s">
        <v>1834</v>
      </c>
      <c r="B715" s="31" t="s">
        <v>478</v>
      </c>
      <c r="C715" s="31" t="s">
        <v>498</v>
      </c>
      <c r="D715" s="31" t="s">
        <v>1839</v>
      </c>
      <c r="E715" s="31" t="s">
        <v>1840</v>
      </c>
      <c r="F715" s="31" t="s">
        <v>481</v>
      </c>
      <c r="G715" s="32">
        <v>0.05</v>
      </c>
      <c r="H715" s="33">
        <v>0</v>
      </c>
      <c r="I715" s="34">
        <v>140000</v>
      </c>
      <c r="J715" s="34">
        <v>7000</v>
      </c>
      <c r="K715" s="31" t="s">
        <v>1837</v>
      </c>
      <c r="L715" s="31">
        <v>2</v>
      </c>
      <c r="M715" s="31" t="s">
        <v>1841</v>
      </c>
      <c r="N715" s="34">
        <v>1</v>
      </c>
      <c r="O715" s="35">
        <v>0</v>
      </c>
      <c r="P715" s="35">
        <v>100</v>
      </c>
      <c r="Q715" s="35">
        <v>0</v>
      </c>
      <c r="R715" s="36">
        <v>2.02</v>
      </c>
      <c r="S715" s="37" t="str">
        <f>IFERROR(_xlfn.XLOOKUP(R715,'1_Presupuesto'!$E:$E,'1_Presupuesto'!$D:$D),"")</f>
        <v>Homigón MO</v>
      </c>
    </row>
    <row r="716" spans="1:19" x14ac:dyDescent="0.35">
      <c r="A716" s="31" t="s">
        <v>1834</v>
      </c>
      <c r="B716" s="31" t="s">
        <v>478</v>
      </c>
      <c r="C716" s="31" t="s">
        <v>498</v>
      </c>
      <c r="D716" s="31" t="s">
        <v>1842</v>
      </c>
      <c r="E716" s="31" t="s">
        <v>1843</v>
      </c>
      <c r="F716" s="31" t="s">
        <v>481</v>
      </c>
      <c r="G716" s="32">
        <v>0.02</v>
      </c>
      <c r="H716" s="33">
        <v>0</v>
      </c>
      <c r="I716" s="34">
        <v>80000</v>
      </c>
      <c r="J716" s="34">
        <v>1600</v>
      </c>
      <c r="K716" s="31" t="s">
        <v>1837</v>
      </c>
      <c r="L716" s="31">
        <v>3</v>
      </c>
      <c r="M716" s="31" t="s">
        <v>1844</v>
      </c>
      <c r="N716" s="34">
        <v>1</v>
      </c>
      <c r="O716" s="35">
        <v>0</v>
      </c>
      <c r="P716" s="35">
        <v>100</v>
      </c>
      <c r="Q716" s="35">
        <v>0</v>
      </c>
      <c r="R716" s="36">
        <v>2.02</v>
      </c>
      <c r="S716" s="37" t="str">
        <f>IFERROR(_xlfn.XLOOKUP(R716,'1_Presupuesto'!$E:$E,'1_Presupuesto'!$D:$D),"")</f>
        <v>Homigón MO</v>
      </c>
    </row>
    <row r="717" spans="1:19" x14ac:dyDescent="0.35">
      <c r="A717" s="31" t="s">
        <v>1834</v>
      </c>
      <c r="B717" s="31" t="s">
        <v>478</v>
      </c>
      <c r="C717" s="31" t="s">
        <v>479</v>
      </c>
      <c r="D717" s="31" t="s">
        <v>484</v>
      </c>
      <c r="E717" s="31" t="s">
        <v>186</v>
      </c>
      <c r="F717" s="31" t="s">
        <v>481</v>
      </c>
      <c r="G717" s="32">
        <v>0.1</v>
      </c>
      <c r="H717" s="33">
        <v>0</v>
      </c>
      <c r="I717" s="34">
        <v>67240.498860267602</v>
      </c>
      <c r="J717" s="34">
        <v>6724.0498860267599</v>
      </c>
      <c r="K717" s="31" t="s">
        <v>1837</v>
      </c>
      <c r="L717" s="31">
        <v>4</v>
      </c>
      <c r="M717" s="31" t="s">
        <v>1845</v>
      </c>
      <c r="N717" s="34">
        <v>1</v>
      </c>
      <c r="O717" s="35">
        <v>0.1</v>
      </c>
      <c r="P717" s="35">
        <v>100</v>
      </c>
      <c r="Q717" s="35">
        <v>10</v>
      </c>
      <c r="R717" s="36">
        <v>2.02</v>
      </c>
      <c r="S717" s="37" t="str">
        <f>IFERROR(_xlfn.XLOOKUP(R717,'1_Presupuesto'!$E:$E,'1_Presupuesto'!$D:$D),"")</f>
        <v>Homigón MO</v>
      </c>
    </row>
    <row r="718" spans="1:19" x14ac:dyDescent="0.35">
      <c r="A718" s="31" t="s">
        <v>1834</v>
      </c>
      <c r="B718" s="31" t="s">
        <v>203</v>
      </c>
      <c r="C718" s="31"/>
      <c r="D718" s="31" t="s">
        <v>1846</v>
      </c>
      <c r="E718" s="31" t="s">
        <v>1847</v>
      </c>
      <c r="F718" s="31"/>
      <c r="G718" s="32">
        <v>1</v>
      </c>
      <c r="H718" s="33">
        <v>0</v>
      </c>
      <c r="I718" s="34">
        <v>467.460748290401</v>
      </c>
      <c r="J718" s="34">
        <v>467.460748290401</v>
      </c>
      <c r="K718" s="31" t="s">
        <v>1848</v>
      </c>
      <c r="L718" s="31">
        <v>1</v>
      </c>
      <c r="M718" s="31" t="s">
        <v>1849</v>
      </c>
      <c r="N718" s="34">
        <v>1</v>
      </c>
      <c r="O718" s="35">
        <v>0</v>
      </c>
      <c r="P718" s="35">
        <v>100</v>
      </c>
      <c r="Q718" s="35">
        <v>0</v>
      </c>
      <c r="R718" s="36">
        <v>2.02</v>
      </c>
      <c r="S718" s="37" t="str">
        <f>IFERROR(_xlfn.XLOOKUP(R718,'1_Presupuesto'!$E:$E,'1_Presupuesto'!$D:$D),"")</f>
        <v>Homigón MO</v>
      </c>
    </row>
    <row r="719" spans="1:19" x14ac:dyDescent="0.35">
      <c r="A719" s="31" t="s">
        <v>1850</v>
      </c>
      <c r="B719" s="31" t="s">
        <v>478</v>
      </c>
      <c r="C719" s="31" t="s">
        <v>479</v>
      </c>
      <c r="D719" s="31" t="s">
        <v>484</v>
      </c>
      <c r="E719" s="31" t="s">
        <v>186</v>
      </c>
      <c r="F719" s="31" t="s">
        <v>481</v>
      </c>
      <c r="G719" s="32">
        <v>1</v>
      </c>
      <c r="H719" s="33">
        <v>0</v>
      </c>
      <c r="I719" s="34">
        <v>67240.498860267602</v>
      </c>
      <c r="J719" s="34">
        <v>67240.498860267602</v>
      </c>
      <c r="K719" s="31" t="s">
        <v>1851</v>
      </c>
      <c r="L719" s="31">
        <v>1</v>
      </c>
      <c r="M719" s="31" t="s">
        <v>1852</v>
      </c>
      <c r="N719" s="34">
        <v>1</v>
      </c>
      <c r="O719" s="35">
        <v>1</v>
      </c>
      <c r="P719" s="35">
        <v>43</v>
      </c>
      <c r="Q719" s="35">
        <v>43</v>
      </c>
      <c r="R719" s="36">
        <v>2.0299999999999998</v>
      </c>
      <c r="S719" s="37" t="str">
        <f>IFERROR(_xlfn.XLOOKUP(R719,'1_Presupuesto'!$E:$E,'1_Presupuesto'!$D:$D),"")</f>
        <v>Homigón MO</v>
      </c>
    </row>
    <row r="720" spans="1:19" x14ac:dyDescent="0.35">
      <c r="A720" s="31" t="s">
        <v>1853</v>
      </c>
      <c r="B720" s="31" t="s">
        <v>497</v>
      </c>
      <c r="C720" s="31" t="s">
        <v>498</v>
      </c>
      <c r="D720" s="31" t="s">
        <v>1854</v>
      </c>
      <c r="E720" s="31" t="s">
        <v>1855</v>
      </c>
      <c r="F720" s="31" t="s">
        <v>261</v>
      </c>
      <c r="G720" s="32">
        <v>1</v>
      </c>
      <c r="H720" s="33">
        <v>0</v>
      </c>
      <c r="I720" s="34">
        <v>115100</v>
      </c>
      <c r="J720" s="34">
        <v>115100</v>
      </c>
      <c r="K720" s="31" t="s">
        <v>1856</v>
      </c>
      <c r="L720" s="31">
        <v>1</v>
      </c>
      <c r="M720" s="31" t="s">
        <v>1857</v>
      </c>
      <c r="N720" s="34">
        <v>1</v>
      </c>
      <c r="O720" s="35">
        <v>0</v>
      </c>
      <c r="P720" s="35">
        <v>3</v>
      </c>
      <c r="Q720" s="35">
        <v>0</v>
      </c>
      <c r="R720" s="36">
        <v>3.01</v>
      </c>
      <c r="S720" s="37" t="str">
        <f>IFERROR(_xlfn.XLOOKUP(R720,'1_Presupuesto'!$E:$E,'1_Presupuesto'!$D:$D),"")</f>
        <v>Homigón MO</v>
      </c>
    </row>
    <row r="721" spans="1:19" x14ac:dyDescent="0.35">
      <c r="A721" s="31" t="s">
        <v>1853</v>
      </c>
      <c r="B721" s="31" t="s">
        <v>497</v>
      </c>
      <c r="C721" s="31" t="s">
        <v>498</v>
      </c>
      <c r="D721" s="31" t="s">
        <v>1858</v>
      </c>
      <c r="E721" s="31" t="s">
        <v>1859</v>
      </c>
      <c r="F721" s="31" t="s">
        <v>261</v>
      </c>
      <c r="G721" s="32">
        <v>1</v>
      </c>
      <c r="H721" s="33">
        <v>0</v>
      </c>
      <c r="I721" s="34">
        <v>5330</v>
      </c>
      <c r="J721" s="34">
        <v>5330</v>
      </c>
      <c r="K721" s="31" t="s">
        <v>1856</v>
      </c>
      <c r="L721" s="31">
        <v>2</v>
      </c>
      <c r="M721" s="31" t="s">
        <v>1860</v>
      </c>
      <c r="N721" s="34">
        <v>1</v>
      </c>
      <c r="O721" s="35">
        <v>0</v>
      </c>
      <c r="P721" s="35">
        <v>3</v>
      </c>
      <c r="Q721" s="35">
        <v>0</v>
      </c>
      <c r="R721" s="36">
        <v>3.01</v>
      </c>
      <c r="S721" s="37" t="str">
        <f>IFERROR(_xlfn.XLOOKUP(R721,'1_Presupuesto'!$E:$E,'1_Presupuesto'!$D:$D),"")</f>
        <v>Homigón MO</v>
      </c>
    </row>
    <row r="722" spans="1:19" x14ac:dyDescent="0.35">
      <c r="A722" s="31" t="s">
        <v>1853</v>
      </c>
      <c r="B722" s="31" t="s">
        <v>497</v>
      </c>
      <c r="C722" s="31" t="s">
        <v>498</v>
      </c>
      <c r="D722" s="31" t="s">
        <v>1861</v>
      </c>
      <c r="E722" s="31" t="s">
        <v>1862</v>
      </c>
      <c r="F722" s="31" t="s">
        <v>261</v>
      </c>
      <c r="G722" s="32">
        <v>0</v>
      </c>
      <c r="H722" s="33">
        <v>0</v>
      </c>
      <c r="I722" s="34">
        <v>533000</v>
      </c>
      <c r="J722" s="34">
        <v>0</v>
      </c>
      <c r="K722" s="31" t="s">
        <v>1856</v>
      </c>
      <c r="L722" s="31">
        <v>3</v>
      </c>
      <c r="M722" s="31" t="s">
        <v>1863</v>
      </c>
      <c r="N722" s="34">
        <v>1</v>
      </c>
      <c r="O722" s="35">
        <v>0</v>
      </c>
      <c r="P722" s="35">
        <v>3</v>
      </c>
      <c r="Q722" s="35">
        <v>0</v>
      </c>
      <c r="R722" s="36">
        <v>3.01</v>
      </c>
      <c r="S722" s="37" t="str">
        <f>IFERROR(_xlfn.XLOOKUP(R722,'1_Presupuesto'!$E:$E,'1_Presupuesto'!$D:$D),"")</f>
        <v>Homigón MO</v>
      </c>
    </row>
    <row r="723" spans="1:19" x14ac:dyDescent="0.35">
      <c r="A723" s="31" t="s">
        <v>1853</v>
      </c>
      <c r="B723" s="31" t="s">
        <v>478</v>
      </c>
      <c r="C723" s="31" t="s">
        <v>479</v>
      </c>
      <c r="D723" s="31" t="s">
        <v>480</v>
      </c>
      <c r="E723" s="31" t="s">
        <v>183</v>
      </c>
      <c r="F723" s="31" t="s">
        <v>481</v>
      </c>
      <c r="G723" s="32">
        <v>0.33333299999999999</v>
      </c>
      <c r="H723" s="33">
        <v>0</v>
      </c>
      <c r="I723" s="34">
        <v>94177.137883538904</v>
      </c>
      <c r="J723" s="34">
        <v>31392.347902133701</v>
      </c>
      <c r="K723" s="31" t="s">
        <v>1864</v>
      </c>
      <c r="L723" s="31">
        <v>1</v>
      </c>
      <c r="M723" s="31" t="s">
        <v>1865</v>
      </c>
      <c r="N723" s="34">
        <v>1</v>
      </c>
      <c r="O723" s="35">
        <v>0.33333299999999999</v>
      </c>
      <c r="P723" s="35">
        <v>3</v>
      </c>
      <c r="Q723" s="35">
        <v>0.99999899999999997</v>
      </c>
      <c r="R723" s="36">
        <v>3.01</v>
      </c>
      <c r="S723" s="37" t="str">
        <f>IFERROR(_xlfn.XLOOKUP(R723,'1_Presupuesto'!$E:$E,'1_Presupuesto'!$D:$D),"")</f>
        <v>Homigón MO</v>
      </c>
    </row>
    <row r="724" spans="1:19" x14ac:dyDescent="0.35">
      <c r="A724" s="31" t="s">
        <v>1853</v>
      </c>
      <c r="B724" s="31" t="s">
        <v>478</v>
      </c>
      <c r="C724" s="31" t="s">
        <v>479</v>
      </c>
      <c r="D724" s="31" t="s">
        <v>1673</v>
      </c>
      <c r="E724" s="31" t="s">
        <v>184</v>
      </c>
      <c r="F724" s="31" t="s">
        <v>481</v>
      </c>
      <c r="G724" s="32">
        <v>0.66666700000000001</v>
      </c>
      <c r="H724" s="33">
        <v>0</v>
      </c>
      <c r="I724" s="34">
        <v>84612.512709566407</v>
      </c>
      <c r="J724" s="34">
        <v>56408.370010548497</v>
      </c>
      <c r="K724" s="31" t="s">
        <v>1864</v>
      </c>
      <c r="L724" s="31">
        <v>2</v>
      </c>
      <c r="M724" s="31" t="s">
        <v>1866</v>
      </c>
      <c r="N724" s="34">
        <v>1</v>
      </c>
      <c r="O724" s="35">
        <v>0.66666700000000001</v>
      </c>
      <c r="P724" s="35">
        <v>3</v>
      </c>
      <c r="Q724" s="35">
        <v>2.0000010000000001</v>
      </c>
      <c r="R724" s="36">
        <v>3.01</v>
      </c>
      <c r="S724" s="37" t="str">
        <f>IFERROR(_xlfn.XLOOKUP(R724,'1_Presupuesto'!$E:$E,'1_Presupuesto'!$D:$D),"")</f>
        <v>Homigón MO</v>
      </c>
    </row>
    <row r="725" spans="1:19" x14ac:dyDescent="0.35">
      <c r="A725" s="31" t="s">
        <v>1853</v>
      </c>
      <c r="B725" s="31" t="s">
        <v>478</v>
      </c>
      <c r="C725" s="31" t="s">
        <v>479</v>
      </c>
      <c r="D725" s="31" t="s">
        <v>484</v>
      </c>
      <c r="E725" s="31" t="s">
        <v>186</v>
      </c>
      <c r="F725" s="31" t="s">
        <v>481</v>
      </c>
      <c r="G725" s="32">
        <v>1</v>
      </c>
      <c r="H725" s="33">
        <v>0</v>
      </c>
      <c r="I725" s="34">
        <v>67240.498860267602</v>
      </c>
      <c r="J725" s="34">
        <v>67240.498860267602</v>
      </c>
      <c r="K725" s="31" t="s">
        <v>1864</v>
      </c>
      <c r="L725" s="31">
        <v>3</v>
      </c>
      <c r="M725" s="31" t="s">
        <v>1867</v>
      </c>
      <c r="N725" s="34">
        <v>1</v>
      </c>
      <c r="O725" s="35">
        <v>1</v>
      </c>
      <c r="P725" s="35">
        <v>3</v>
      </c>
      <c r="Q725" s="35">
        <v>3</v>
      </c>
      <c r="R725" s="36">
        <v>3.01</v>
      </c>
      <c r="S725" s="37" t="str">
        <f>IFERROR(_xlfn.XLOOKUP(R725,'1_Presupuesto'!$E:$E,'1_Presupuesto'!$D:$D),"")</f>
        <v>Homigón MO</v>
      </c>
    </row>
    <row r="726" spans="1:19" x14ac:dyDescent="0.35">
      <c r="A726" s="31" t="s">
        <v>1853</v>
      </c>
      <c r="B726" s="31" t="s">
        <v>203</v>
      </c>
      <c r="C726" s="31"/>
      <c r="D726" s="31" t="s">
        <v>1868</v>
      </c>
      <c r="E726" s="31" t="s">
        <v>1869</v>
      </c>
      <c r="F726" s="31"/>
      <c r="G726" s="32">
        <v>1</v>
      </c>
      <c r="H726" s="33">
        <v>0</v>
      </c>
      <c r="I726" s="34">
        <v>4132.0682994173703</v>
      </c>
      <c r="J726" s="34">
        <v>4132.0682994173703</v>
      </c>
      <c r="K726" s="31" t="s">
        <v>1870</v>
      </c>
      <c r="L726" s="31">
        <v>1</v>
      </c>
      <c r="M726" s="31" t="s">
        <v>1871</v>
      </c>
      <c r="N726" s="34">
        <v>1</v>
      </c>
      <c r="O726" s="35">
        <v>0</v>
      </c>
      <c r="P726" s="35">
        <v>3</v>
      </c>
      <c r="Q726" s="35">
        <v>0</v>
      </c>
      <c r="R726" s="36">
        <v>3.01</v>
      </c>
      <c r="S726" s="37" t="str">
        <f>IFERROR(_xlfn.XLOOKUP(R726,'1_Presupuesto'!$E:$E,'1_Presupuesto'!$D:$D),"")</f>
        <v>Homigón MO</v>
      </c>
    </row>
    <row r="727" spans="1:19" x14ac:dyDescent="0.35">
      <c r="A727" s="31" t="s">
        <v>1872</v>
      </c>
      <c r="B727" s="31" t="s">
        <v>478</v>
      </c>
      <c r="C727" s="31" t="s">
        <v>498</v>
      </c>
      <c r="D727" s="31" t="s">
        <v>1873</v>
      </c>
      <c r="E727" s="31" t="s">
        <v>1874</v>
      </c>
      <c r="F727" s="31" t="s">
        <v>481</v>
      </c>
      <c r="G727" s="32">
        <v>1</v>
      </c>
      <c r="H727" s="33">
        <v>0</v>
      </c>
      <c r="I727" s="34">
        <v>34350000</v>
      </c>
      <c r="J727" s="34">
        <v>34350000</v>
      </c>
      <c r="K727" s="31" t="s">
        <v>1875</v>
      </c>
      <c r="L727" s="31">
        <v>1</v>
      </c>
      <c r="M727" s="31" t="s">
        <v>1876</v>
      </c>
      <c r="N727" s="34">
        <v>1</v>
      </c>
      <c r="O727" s="35">
        <v>0</v>
      </c>
      <c r="P727" s="35">
        <v>1</v>
      </c>
      <c r="Q727" s="35">
        <v>0</v>
      </c>
      <c r="R727" s="36">
        <v>3.02</v>
      </c>
      <c r="S727" s="37" t="str">
        <f>IFERROR(_xlfn.XLOOKUP(R727,'1_Presupuesto'!$E:$E,'1_Presupuesto'!$D:$D),"")</f>
        <v>Homigón MO</v>
      </c>
    </row>
    <row r="728" spans="1:19" x14ac:dyDescent="0.35">
      <c r="A728" s="31" t="s">
        <v>1872</v>
      </c>
      <c r="B728" s="31" t="s">
        <v>478</v>
      </c>
      <c r="C728" s="31" t="s">
        <v>498</v>
      </c>
      <c r="D728" s="31" t="s">
        <v>1877</v>
      </c>
      <c r="E728" s="31" t="s">
        <v>1878</v>
      </c>
      <c r="F728" s="31" t="s">
        <v>481</v>
      </c>
      <c r="G728" s="32">
        <v>1</v>
      </c>
      <c r="H728" s="33">
        <v>0</v>
      </c>
      <c r="I728" s="34">
        <v>950000</v>
      </c>
      <c r="J728" s="34">
        <v>950000</v>
      </c>
      <c r="K728" s="31" t="s">
        <v>1875</v>
      </c>
      <c r="L728" s="31">
        <v>2</v>
      </c>
      <c r="M728" s="31" t="s">
        <v>1879</v>
      </c>
      <c r="N728" s="34">
        <v>1</v>
      </c>
      <c r="O728" s="35">
        <v>0</v>
      </c>
      <c r="P728" s="35">
        <v>1</v>
      </c>
      <c r="Q728" s="35">
        <v>0</v>
      </c>
      <c r="R728" s="36">
        <v>3.02</v>
      </c>
      <c r="S728" s="37" t="str">
        <f>IFERROR(_xlfn.XLOOKUP(R728,'1_Presupuesto'!$E:$E,'1_Presupuesto'!$D:$D),"")</f>
        <v>Homigón MO</v>
      </c>
    </row>
    <row r="729" spans="1:19" x14ac:dyDescent="0.35">
      <c r="A729" s="31" t="s">
        <v>1872</v>
      </c>
      <c r="B729" s="31" t="s">
        <v>497</v>
      </c>
      <c r="C729" s="31" t="s">
        <v>498</v>
      </c>
      <c r="D729" s="31" t="s">
        <v>1880</v>
      </c>
      <c r="E729" s="31" t="s">
        <v>1881</v>
      </c>
      <c r="F729" s="31" t="s">
        <v>261</v>
      </c>
      <c r="G729" s="32">
        <v>1100</v>
      </c>
      <c r="H729" s="33">
        <v>0</v>
      </c>
      <c r="I729" s="34">
        <v>7809.92</v>
      </c>
      <c r="J729" s="34">
        <v>8590912</v>
      </c>
      <c r="K729" s="31" t="s">
        <v>1882</v>
      </c>
      <c r="L729" s="31">
        <v>1</v>
      </c>
      <c r="M729" s="31" t="s">
        <v>1883</v>
      </c>
      <c r="N729" s="34">
        <v>1</v>
      </c>
      <c r="O729" s="35">
        <v>0</v>
      </c>
      <c r="P729" s="35">
        <v>1</v>
      </c>
      <c r="Q729" s="35">
        <v>0</v>
      </c>
      <c r="R729" s="36">
        <v>3.02</v>
      </c>
      <c r="S729" s="37" t="str">
        <f>IFERROR(_xlfn.XLOOKUP(R729,'1_Presupuesto'!$E:$E,'1_Presupuesto'!$D:$D),"")</f>
        <v>Homigón MO</v>
      </c>
    </row>
    <row r="730" spans="1:19" x14ac:dyDescent="0.35">
      <c r="A730" s="31" t="s">
        <v>1872</v>
      </c>
      <c r="B730" s="31" t="s">
        <v>497</v>
      </c>
      <c r="C730" s="31" t="s">
        <v>498</v>
      </c>
      <c r="D730" s="31" t="s">
        <v>1884</v>
      </c>
      <c r="E730" s="31" t="s">
        <v>1885</v>
      </c>
      <c r="F730" s="31" t="s">
        <v>261</v>
      </c>
      <c r="G730" s="32">
        <v>800</v>
      </c>
      <c r="H730" s="33">
        <v>0</v>
      </c>
      <c r="I730" s="34">
        <v>1338.79</v>
      </c>
      <c r="J730" s="34">
        <v>1071032</v>
      </c>
      <c r="K730" s="31" t="s">
        <v>1882</v>
      </c>
      <c r="L730" s="31">
        <v>2</v>
      </c>
      <c r="M730" s="31" t="s">
        <v>1886</v>
      </c>
      <c r="N730" s="34">
        <v>1</v>
      </c>
      <c r="O730" s="35">
        <v>0</v>
      </c>
      <c r="P730" s="35">
        <v>1</v>
      </c>
      <c r="Q730" s="35">
        <v>0</v>
      </c>
      <c r="R730" s="36">
        <v>3.02</v>
      </c>
      <c r="S730" s="37" t="str">
        <f>IFERROR(_xlfn.XLOOKUP(R730,'1_Presupuesto'!$E:$E,'1_Presupuesto'!$D:$D),"")</f>
        <v>Homigón MO</v>
      </c>
    </row>
    <row r="731" spans="1:19" x14ac:dyDescent="0.35">
      <c r="A731" s="31" t="s">
        <v>1872</v>
      </c>
      <c r="B731" s="31" t="s">
        <v>497</v>
      </c>
      <c r="C731" s="31" t="s">
        <v>498</v>
      </c>
      <c r="D731" s="31" t="s">
        <v>1887</v>
      </c>
      <c r="E731" s="31" t="s">
        <v>1888</v>
      </c>
      <c r="F731" s="31" t="s">
        <v>261</v>
      </c>
      <c r="G731" s="32">
        <v>6</v>
      </c>
      <c r="H731" s="33">
        <v>0</v>
      </c>
      <c r="I731" s="34">
        <v>150000</v>
      </c>
      <c r="J731" s="34">
        <v>900000</v>
      </c>
      <c r="K731" s="31" t="s">
        <v>1882</v>
      </c>
      <c r="L731" s="31">
        <v>3</v>
      </c>
      <c r="M731" s="31" t="s">
        <v>1889</v>
      </c>
      <c r="N731" s="34">
        <v>1</v>
      </c>
      <c r="O731" s="35">
        <v>0</v>
      </c>
      <c r="P731" s="35">
        <v>1</v>
      </c>
      <c r="Q731" s="35">
        <v>0</v>
      </c>
      <c r="R731" s="36">
        <v>3.02</v>
      </c>
      <c r="S731" s="37" t="str">
        <f>IFERROR(_xlfn.XLOOKUP(R731,'1_Presupuesto'!$E:$E,'1_Presupuesto'!$D:$D),"")</f>
        <v>Homigón MO</v>
      </c>
    </row>
    <row r="732" spans="1:19" x14ac:dyDescent="0.35">
      <c r="A732" s="31" t="s">
        <v>1872</v>
      </c>
      <c r="B732" s="31" t="s">
        <v>497</v>
      </c>
      <c r="C732" s="31" t="s">
        <v>498</v>
      </c>
      <c r="D732" s="31" t="s">
        <v>597</v>
      </c>
      <c r="E732" s="31" t="s">
        <v>598</v>
      </c>
      <c r="F732" s="31" t="s">
        <v>218</v>
      </c>
      <c r="G732" s="32">
        <v>528097.19999999995</v>
      </c>
      <c r="H732" s="33">
        <v>0</v>
      </c>
      <c r="I732" s="34">
        <v>1</v>
      </c>
      <c r="J732" s="34">
        <v>528097.19999999995</v>
      </c>
      <c r="K732" s="31" t="s">
        <v>1882</v>
      </c>
      <c r="L732" s="31">
        <v>4</v>
      </c>
      <c r="M732" s="31" t="s">
        <v>1890</v>
      </c>
      <c r="N732" s="34">
        <v>1</v>
      </c>
      <c r="O732" s="35">
        <v>0</v>
      </c>
      <c r="P732" s="35">
        <v>1</v>
      </c>
      <c r="Q732" s="35">
        <v>0</v>
      </c>
      <c r="R732" s="36">
        <v>3.02</v>
      </c>
      <c r="S732" s="37" t="str">
        <f>IFERROR(_xlfn.XLOOKUP(R732,'1_Presupuesto'!$E:$E,'1_Presupuesto'!$D:$D),"")</f>
        <v>Homigón MO</v>
      </c>
    </row>
    <row r="733" spans="1:19" x14ac:dyDescent="0.35">
      <c r="A733" s="31" t="s">
        <v>1872</v>
      </c>
      <c r="B733" s="31" t="s">
        <v>478</v>
      </c>
      <c r="C733" s="31" t="s">
        <v>479</v>
      </c>
      <c r="D733" s="31" t="s">
        <v>480</v>
      </c>
      <c r="E733" s="31" t="s">
        <v>183</v>
      </c>
      <c r="F733" s="31" t="s">
        <v>481</v>
      </c>
      <c r="G733" s="32">
        <v>10</v>
      </c>
      <c r="H733" s="33">
        <v>0</v>
      </c>
      <c r="I733" s="34">
        <v>94177.137883538904</v>
      </c>
      <c r="J733" s="34">
        <v>941771.37883538904</v>
      </c>
      <c r="K733" s="31" t="s">
        <v>1875</v>
      </c>
      <c r="L733" s="31">
        <v>3</v>
      </c>
      <c r="M733" s="31" t="s">
        <v>1891</v>
      </c>
      <c r="N733" s="34">
        <v>1</v>
      </c>
      <c r="O733" s="35">
        <v>10</v>
      </c>
      <c r="P733" s="35">
        <v>1</v>
      </c>
      <c r="Q733" s="35">
        <v>10</v>
      </c>
      <c r="R733" s="36">
        <v>3.02</v>
      </c>
      <c r="S733" s="37" t="str">
        <f>IFERROR(_xlfn.XLOOKUP(R733,'1_Presupuesto'!$E:$E,'1_Presupuesto'!$D:$D),"")</f>
        <v>Homigón MO</v>
      </c>
    </row>
    <row r="734" spans="1:19" x14ac:dyDescent="0.35">
      <c r="A734" s="31" t="s">
        <v>1872</v>
      </c>
      <c r="B734" s="31" t="s">
        <v>478</v>
      </c>
      <c r="C734" s="31" t="s">
        <v>479</v>
      </c>
      <c r="D734" s="31" t="s">
        <v>1673</v>
      </c>
      <c r="E734" s="31" t="s">
        <v>184</v>
      </c>
      <c r="F734" s="31" t="s">
        <v>481</v>
      </c>
      <c r="G734" s="32">
        <v>10</v>
      </c>
      <c r="H734" s="33">
        <v>0</v>
      </c>
      <c r="I734" s="34">
        <v>84612.512709566407</v>
      </c>
      <c r="J734" s="34">
        <v>846125.12709566404</v>
      </c>
      <c r="K734" s="31" t="s">
        <v>1875</v>
      </c>
      <c r="L734" s="31">
        <v>4</v>
      </c>
      <c r="M734" s="31" t="s">
        <v>1892</v>
      </c>
      <c r="N734" s="34">
        <v>1</v>
      </c>
      <c r="O734" s="35">
        <v>10</v>
      </c>
      <c r="P734" s="35">
        <v>1</v>
      </c>
      <c r="Q734" s="35">
        <v>10</v>
      </c>
      <c r="R734" s="36">
        <v>3.02</v>
      </c>
      <c r="S734" s="37" t="str">
        <f>IFERROR(_xlfn.XLOOKUP(R734,'1_Presupuesto'!$E:$E,'1_Presupuesto'!$D:$D),"")</f>
        <v>Homigón MO</v>
      </c>
    </row>
    <row r="735" spans="1:19" x14ac:dyDescent="0.35">
      <c r="A735" s="31" t="s">
        <v>1872</v>
      </c>
      <c r="B735" s="31" t="s">
        <v>478</v>
      </c>
      <c r="C735" s="31" t="s">
        <v>479</v>
      </c>
      <c r="D735" s="31" t="s">
        <v>484</v>
      </c>
      <c r="E735" s="31" t="s">
        <v>186</v>
      </c>
      <c r="F735" s="31" t="s">
        <v>481</v>
      </c>
      <c r="G735" s="32">
        <v>10</v>
      </c>
      <c r="H735" s="33">
        <v>0</v>
      </c>
      <c r="I735" s="34">
        <v>67240.498860267602</v>
      </c>
      <c r="J735" s="34">
        <v>672404.98860267596</v>
      </c>
      <c r="K735" s="31" t="s">
        <v>1875</v>
      </c>
      <c r="L735" s="31">
        <v>5</v>
      </c>
      <c r="M735" s="31" t="s">
        <v>1893</v>
      </c>
      <c r="N735" s="34">
        <v>1</v>
      </c>
      <c r="O735" s="35">
        <v>10</v>
      </c>
      <c r="P735" s="35">
        <v>1</v>
      </c>
      <c r="Q735" s="35">
        <v>10</v>
      </c>
      <c r="R735" s="36">
        <v>3.02</v>
      </c>
      <c r="S735" s="37" t="str">
        <f>IFERROR(_xlfn.XLOOKUP(R735,'1_Presupuesto'!$E:$E,'1_Presupuesto'!$D:$D),"")</f>
        <v>Homigón MO</v>
      </c>
    </row>
    <row r="736" spans="1:19" x14ac:dyDescent="0.35">
      <c r="A736" s="31" t="s">
        <v>1872</v>
      </c>
      <c r="B736" s="31" t="s">
        <v>203</v>
      </c>
      <c r="C736" s="31"/>
      <c r="D736" s="31" t="s">
        <v>1894</v>
      </c>
      <c r="E736" s="31" t="s">
        <v>1895</v>
      </c>
      <c r="F736" s="31"/>
      <c r="G736" s="32">
        <v>1</v>
      </c>
      <c r="H736" s="33">
        <v>0</v>
      </c>
      <c r="I736" s="34">
        <v>718505.14041800599</v>
      </c>
      <c r="J736" s="34">
        <v>718505.14041800599</v>
      </c>
      <c r="K736" s="31" t="s">
        <v>1896</v>
      </c>
      <c r="L736" s="31">
        <v>1</v>
      </c>
      <c r="M736" s="31" t="s">
        <v>1897</v>
      </c>
      <c r="N736" s="34">
        <v>1</v>
      </c>
      <c r="O736" s="35">
        <v>0</v>
      </c>
      <c r="P736" s="35">
        <v>1</v>
      </c>
      <c r="Q736" s="35">
        <v>0</v>
      </c>
      <c r="R736" s="36">
        <v>3.02</v>
      </c>
      <c r="S736" s="37" t="str">
        <f>IFERROR(_xlfn.XLOOKUP(R736,'1_Presupuesto'!$E:$E,'1_Presupuesto'!$D:$D),"")</f>
        <v>Homigón MO</v>
      </c>
    </row>
    <row r="737" spans="1:19" x14ac:dyDescent="0.35">
      <c r="A737" s="31" t="s">
        <v>1898</v>
      </c>
      <c r="B737" s="31" t="s">
        <v>478</v>
      </c>
      <c r="C737" s="31" t="s">
        <v>498</v>
      </c>
      <c r="D737" s="31" t="s">
        <v>1899</v>
      </c>
      <c r="E737" s="31" t="s">
        <v>1900</v>
      </c>
      <c r="F737" s="31" t="s">
        <v>481</v>
      </c>
      <c r="G737" s="32">
        <v>1</v>
      </c>
      <c r="H737" s="33">
        <v>0</v>
      </c>
      <c r="I737" s="34">
        <v>222927.95987015401</v>
      </c>
      <c r="J737" s="34">
        <v>222927.95987015401</v>
      </c>
      <c r="K737" s="31" t="s">
        <v>1901</v>
      </c>
      <c r="L737" s="31">
        <v>1</v>
      </c>
      <c r="M737" s="31" t="s">
        <v>1902</v>
      </c>
      <c r="N737" s="34">
        <v>1</v>
      </c>
      <c r="O737" s="35">
        <v>0</v>
      </c>
      <c r="P737" s="35">
        <v>7</v>
      </c>
      <c r="Q737" s="35">
        <v>0</v>
      </c>
      <c r="R737" s="36">
        <v>3.03</v>
      </c>
      <c r="S737" s="37">
        <f>IFERROR(_xlfn.XLOOKUP(R737,'1_Presupuesto'!$E:$E,'1_Presupuesto'!$D:$D),"")</f>
        <v>0</v>
      </c>
    </row>
    <row r="738" spans="1:19" x14ac:dyDescent="0.35">
      <c r="A738" s="31" t="s">
        <v>1898</v>
      </c>
      <c r="B738" s="31" t="s">
        <v>497</v>
      </c>
      <c r="C738" s="31" t="s">
        <v>1706</v>
      </c>
      <c r="D738" s="31" t="s">
        <v>1903</v>
      </c>
      <c r="E738" s="31" t="s">
        <v>1904</v>
      </c>
      <c r="F738" s="31" t="s">
        <v>567</v>
      </c>
      <c r="G738" s="32">
        <v>110</v>
      </c>
      <c r="H738" s="33">
        <v>0</v>
      </c>
      <c r="I738" s="34">
        <v>1772</v>
      </c>
      <c r="J738" s="34">
        <v>194920</v>
      </c>
      <c r="K738" s="31" t="s">
        <v>1905</v>
      </c>
      <c r="L738" s="31">
        <v>1</v>
      </c>
      <c r="M738" s="31" t="s">
        <v>1906</v>
      </c>
      <c r="N738" s="34">
        <v>1</v>
      </c>
      <c r="O738" s="35">
        <v>0</v>
      </c>
      <c r="P738" s="35">
        <v>7</v>
      </c>
      <c r="Q738" s="35">
        <v>0</v>
      </c>
      <c r="R738" s="36">
        <v>3.03</v>
      </c>
      <c r="S738" s="37">
        <f>IFERROR(_xlfn.XLOOKUP(R738,'1_Presupuesto'!$E:$E,'1_Presupuesto'!$D:$D),"")</f>
        <v>0</v>
      </c>
    </row>
    <row r="739" spans="1:19" x14ac:dyDescent="0.35">
      <c r="A739" s="31" t="s">
        <v>1898</v>
      </c>
      <c r="B739" s="31" t="s">
        <v>203</v>
      </c>
      <c r="C739" s="31"/>
      <c r="D739" s="31" t="s">
        <v>1907</v>
      </c>
      <c r="E739" s="31" t="s">
        <v>1908</v>
      </c>
      <c r="F739" s="31"/>
      <c r="G739" s="32">
        <v>1</v>
      </c>
      <c r="H739" s="33">
        <v>0</v>
      </c>
      <c r="I739" s="34">
        <v>8701.11194359402</v>
      </c>
      <c r="J739" s="34">
        <v>8701.11194359402</v>
      </c>
      <c r="K739" s="31" t="s">
        <v>1909</v>
      </c>
      <c r="L739" s="31">
        <v>1</v>
      </c>
      <c r="M739" s="31" t="s">
        <v>1910</v>
      </c>
      <c r="N739" s="34">
        <v>1</v>
      </c>
      <c r="O739" s="35">
        <v>0</v>
      </c>
      <c r="P739" s="35">
        <v>7</v>
      </c>
      <c r="Q739" s="35">
        <v>0</v>
      </c>
      <c r="R739" s="36">
        <v>3.03</v>
      </c>
      <c r="S739" s="37">
        <f>IFERROR(_xlfn.XLOOKUP(R739,'1_Presupuesto'!$E:$E,'1_Presupuesto'!$D:$D),"")</f>
        <v>0</v>
      </c>
    </row>
    <row r="740" spans="1:19" x14ac:dyDescent="0.35">
      <c r="A740" s="31" t="s">
        <v>1911</v>
      </c>
      <c r="B740" s="31" t="s">
        <v>478</v>
      </c>
      <c r="C740" s="31" t="s">
        <v>498</v>
      </c>
      <c r="D740" s="31" t="s">
        <v>1912</v>
      </c>
      <c r="E740" s="31" t="s">
        <v>1913</v>
      </c>
      <c r="F740" s="31" t="s">
        <v>481</v>
      </c>
      <c r="G740" s="32">
        <v>1</v>
      </c>
      <c r="H740" s="33">
        <v>0</v>
      </c>
      <c r="I740" s="34">
        <v>323083.99981181801</v>
      </c>
      <c r="J740" s="34">
        <v>323083.99981181801</v>
      </c>
      <c r="K740" s="31" t="s">
        <v>1914</v>
      </c>
      <c r="L740" s="31">
        <v>1</v>
      </c>
      <c r="M740" s="31" t="s">
        <v>1915</v>
      </c>
      <c r="N740" s="34">
        <v>1</v>
      </c>
      <c r="O740" s="35">
        <v>0</v>
      </c>
      <c r="P740" s="35">
        <v>4</v>
      </c>
      <c r="Q740" s="35">
        <v>0</v>
      </c>
      <c r="R740" s="36">
        <v>3.04</v>
      </c>
      <c r="S740" s="37">
        <f>IFERROR(_xlfn.XLOOKUP(R740,'1_Presupuesto'!$E:$E,'1_Presupuesto'!$D:$D),"")</f>
        <v>0</v>
      </c>
    </row>
    <row r="741" spans="1:19" x14ac:dyDescent="0.35">
      <c r="A741" s="31" t="s">
        <v>1911</v>
      </c>
      <c r="B741" s="31" t="s">
        <v>497</v>
      </c>
      <c r="C741" s="31" t="s">
        <v>1706</v>
      </c>
      <c r="D741" s="31" t="s">
        <v>1903</v>
      </c>
      <c r="E741" s="31" t="s">
        <v>1904</v>
      </c>
      <c r="F741" s="31" t="s">
        <v>567</v>
      </c>
      <c r="G741" s="32">
        <v>180</v>
      </c>
      <c r="H741" s="33">
        <v>0</v>
      </c>
      <c r="I741" s="34">
        <v>1772</v>
      </c>
      <c r="J741" s="34">
        <v>318960</v>
      </c>
      <c r="K741" s="31" t="s">
        <v>1916</v>
      </c>
      <c r="L741" s="31">
        <v>1</v>
      </c>
      <c r="M741" s="31" t="s">
        <v>1917</v>
      </c>
      <c r="N741" s="34">
        <v>1</v>
      </c>
      <c r="O741" s="35">
        <v>0</v>
      </c>
      <c r="P741" s="35">
        <v>4</v>
      </c>
      <c r="Q741" s="35">
        <v>0</v>
      </c>
      <c r="R741" s="36">
        <v>3.04</v>
      </c>
      <c r="S741" s="37">
        <f>IFERROR(_xlfn.XLOOKUP(R741,'1_Presupuesto'!$E:$E,'1_Presupuesto'!$D:$D),"")</f>
        <v>0</v>
      </c>
    </row>
    <row r="742" spans="1:19" x14ac:dyDescent="0.35">
      <c r="A742" s="31" t="s">
        <v>1911</v>
      </c>
      <c r="B742" s="31" t="s">
        <v>203</v>
      </c>
      <c r="C742" s="31"/>
      <c r="D742" s="31" t="s">
        <v>1918</v>
      </c>
      <c r="E742" s="31" t="s">
        <v>1919</v>
      </c>
      <c r="F742" s="31"/>
      <c r="G742" s="32">
        <v>1</v>
      </c>
      <c r="H742" s="33">
        <v>0</v>
      </c>
      <c r="I742" s="34">
        <v>12913.459315141001</v>
      </c>
      <c r="J742" s="34">
        <v>12913.459315141001</v>
      </c>
      <c r="K742" s="31" t="s">
        <v>1920</v>
      </c>
      <c r="L742" s="31">
        <v>1</v>
      </c>
      <c r="M742" s="31" t="s">
        <v>1921</v>
      </c>
      <c r="N742" s="34">
        <v>1</v>
      </c>
      <c r="O742" s="35">
        <v>0</v>
      </c>
      <c r="P742" s="35">
        <v>4</v>
      </c>
      <c r="Q742" s="35">
        <v>0</v>
      </c>
      <c r="R742" s="36">
        <v>3.04</v>
      </c>
      <c r="S742" s="37">
        <f>IFERROR(_xlfn.XLOOKUP(R742,'1_Presupuesto'!$E:$E,'1_Presupuesto'!$D:$D),"")</f>
        <v>0</v>
      </c>
    </row>
    <row r="743" spans="1:19" x14ac:dyDescent="0.35">
      <c r="A743" s="31" t="s">
        <v>1922</v>
      </c>
      <c r="B743" s="31" t="s">
        <v>478</v>
      </c>
      <c r="C743" s="31" t="s">
        <v>498</v>
      </c>
      <c r="D743" s="31" t="s">
        <v>1923</v>
      </c>
      <c r="E743" s="31" t="s">
        <v>1924</v>
      </c>
      <c r="F743" s="31" t="s">
        <v>481</v>
      </c>
      <c r="G743" s="32">
        <v>1</v>
      </c>
      <c r="H743" s="33">
        <v>0</v>
      </c>
      <c r="I743" s="34">
        <v>222927.95987015401</v>
      </c>
      <c r="J743" s="34">
        <v>222927.95987015401</v>
      </c>
      <c r="K743" s="31" t="s">
        <v>1925</v>
      </c>
      <c r="L743" s="31">
        <v>1</v>
      </c>
      <c r="M743" s="31" t="s">
        <v>1926</v>
      </c>
      <c r="N743" s="34">
        <v>1</v>
      </c>
      <c r="O743" s="35">
        <v>0</v>
      </c>
      <c r="P743" s="35">
        <v>2</v>
      </c>
      <c r="Q743" s="35">
        <v>0</v>
      </c>
      <c r="R743" s="36">
        <v>3.05</v>
      </c>
      <c r="S743" s="37">
        <f>IFERROR(_xlfn.XLOOKUP(R743,'1_Presupuesto'!$E:$E,'1_Presupuesto'!$D:$D),"")</f>
        <v>0</v>
      </c>
    </row>
    <row r="744" spans="1:19" x14ac:dyDescent="0.35">
      <c r="A744" s="31" t="s">
        <v>1922</v>
      </c>
      <c r="B744" s="31" t="s">
        <v>497</v>
      </c>
      <c r="C744" s="31" t="s">
        <v>498</v>
      </c>
      <c r="D744" s="31" t="s">
        <v>1927</v>
      </c>
      <c r="E744" s="31" t="s">
        <v>1928</v>
      </c>
      <c r="F744" s="31" t="s">
        <v>261</v>
      </c>
      <c r="G744" s="32">
        <v>1</v>
      </c>
      <c r="H744" s="33">
        <v>0</v>
      </c>
      <c r="I744" s="34">
        <v>357146.16970278003</v>
      </c>
      <c r="J744" s="34">
        <v>357146.16970278003</v>
      </c>
      <c r="K744" s="31" t="s">
        <v>1929</v>
      </c>
      <c r="L744" s="31">
        <v>1</v>
      </c>
      <c r="M744" s="31" t="s">
        <v>1930</v>
      </c>
      <c r="N744" s="34">
        <v>1</v>
      </c>
      <c r="O744" s="35">
        <v>0</v>
      </c>
      <c r="P744" s="35">
        <v>2</v>
      </c>
      <c r="Q744" s="35">
        <v>0</v>
      </c>
      <c r="R744" s="36">
        <v>3.05</v>
      </c>
      <c r="S744" s="37">
        <f>IFERROR(_xlfn.XLOOKUP(R744,'1_Presupuesto'!$E:$E,'1_Presupuesto'!$D:$D),"")</f>
        <v>0</v>
      </c>
    </row>
    <row r="745" spans="1:19" x14ac:dyDescent="0.35">
      <c r="A745" s="31" t="s">
        <v>1922</v>
      </c>
      <c r="B745" s="31" t="s">
        <v>203</v>
      </c>
      <c r="C745" s="31"/>
      <c r="D745" s="31" t="s">
        <v>1931</v>
      </c>
      <c r="E745" s="31" t="s">
        <v>1932</v>
      </c>
      <c r="F745" s="31"/>
      <c r="G745" s="32">
        <v>1</v>
      </c>
      <c r="H745" s="33">
        <v>0</v>
      </c>
      <c r="I745" s="34">
        <v>8701.11194359402</v>
      </c>
      <c r="J745" s="34">
        <v>8701.11194359402</v>
      </c>
      <c r="K745" s="31" t="s">
        <v>1933</v>
      </c>
      <c r="L745" s="31">
        <v>1</v>
      </c>
      <c r="M745" s="31" t="s">
        <v>1934</v>
      </c>
      <c r="N745" s="34">
        <v>1</v>
      </c>
      <c r="O745" s="35">
        <v>0</v>
      </c>
      <c r="P745" s="35">
        <v>2</v>
      </c>
      <c r="Q745" s="35">
        <v>0</v>
      </c>
      <c r="R745" s="36">
        <v>3.05</v>
      </c>
      <c r="S745" s="37">
        <f>IFERROR(_xlfn.XLOOKUP(R745,'1_Presupuesto'!$E:$E,'1_Presupuesto'!$D:$D),"")</f>
        <v>0</v>
      </c>
    </row>
    <row r="746" spans="1:19" x14ac:dyDescent="0.35">
      <c r="A746" s="31" t="s">
        <v>1935</v>
      </c>
      <c r="B746" s="31" t="s">
        <v>478</v>
      </c>
      <c r="C746" s="31" t="s">
        <v>498</v>
      </c>
      <c r="D746" s="31" t="s">
        <v>1936</v>
      </c>
      <c r="E746" s="31" t="s">
        <v>1937</v>
      </c>
      <c r="F746" s="31" t="s">
        <v>481</v>
      </c>
      <c r="G746" s="32">
        <v>1</v>
      </c>
      <c r="H746" s="33">
        <v>0</v>
      </c>
      <c r="I746" s="34">
        <v>222927.95987015401</v>
      </c>
      <c r="J746" s="34">
        <v>222927.95987015401</v>
      </c>
      <c r="K746" s="31" t="s">
        <v>1938</v>
      </c>
      <c r="L746" s="31">
        <v>1</v>
      </c>
      <c r="M746" s="31" t="s">
        <v>1939</v>
      </c>
      <c r="N746" s="34">
        <v>1</v>
      </c>
      <c r="O746" s="35">
        <v>0</v>
      </c>
      <c r="P746" s="35">
        <v>11</v>
      </c>
      <c r="Q746" s="35">
        <v>0</v>
      </c>
      <c r="R746" s="36">
        <v>3.06</v>
      </c>
      <c r="S746" s="37">
        <f>IFERROR(_xlfn.XLOOKUP(R746,'1_Presupuesto'!$E:$E,'1_Presupuesto'!$D:$D),"")</f>
        <v>0</v>
      </c>
    </row>
    <row r="747" spans="1:19" x14ac:dyDescent="0.35">
      <c r="A747" s="31" t="s">
        <v>1935</v>
      </c>
      <c r="B747" s="31" t="s">
        <v>497</v>
      </c>
      <c r="C747" s="31" t="s">
        <v>1706</v>
      </c>
      <c r="D747" s="31" t="s">
        <v>1903</v>
      </c>
      <c r="E747" s="31" t="s">
        <v>1904</v>
      </c>
      <c r="F747" s="31" t="s">
        <v>567</v>
      </c>
      <c r="G747" s="32">
        <v>130</v>
      </c>
      <c r="H747" s="33">
        <v>0</v>
      </c>
      <c r="I747" s="34">
        <v>1772</v>
      </c>
      <c r="J747" s="34">
        <v>230360</v>
      </c>
      <c r="K747" s="31" t="s">
        <v>1940</v>
      </c>
      <c r="L747" s="31">
        <v>1</v>
      </c>
      <c r="M747" s="31" t="s">
        <v>1941</v>
      </c>
      <c r="N747" s="34">
        <v>1</v>
      </c>
      <c r="O747" s="35">
        <v>0</v>
      </c>
      <c r="P747" s="35">
        <v>11</v>
      </c>
      <c r="Q747" s="35">
        <v>0</v>
      </c>
      <c r="R747" s="36">
        <v>3.06</v>
      </c>
      <c r="S747" s="37">
        <f>IFERROR(_xlfn.XLOOKUP(R747,'1_Presupuesto'!$E:$E,'1_Presupuesto'!$D:$D),"")</f>
        <v>0</v>
      </c>
    </row>
    <row r="748" spans="1:19" x14ac:dyDescent="0.35">
      <c r="A748" s="31" t="s">
        <v>1935</v>
      </c>
      <c r="B748" s="31" t="s">
        <v>203</v>
      </c>
      <c r="C748" s="31"/>
      <c r="D748" s="31" t="s">
        <v>1942</v>
      </c>
      <c r="E748" s="31" t="s">
        <v>1943</v>
      </c>
      <c r="F748" s="31"/>
      <c r="G748" s="32">
        <v>1</v>
      </c>
      <c r="H748" s="33">
        <v>0</v>
      </c>
      <c r="I748" s="34">
        <v>9232.7119435940203</v>
      </c>
      <c r="J748" s="34">
        <v>9232.7119435940203</v>
      </c>
      <c r="K748" s="31" t="s">
        <v>1944</v>
      </c>
      <c r="L748" s="31">
        <v>1</v>
      </c>
      <c r="M748" s="31" t="s">
        <v>1945</v>
      </c>
      <c r="N748" s="34">
        <v>1</v>
      </c>
      <c r="O748" s="35">
        <v>0</v>
      </c>
      <c r="P748" s="35">
        <v>11</v>
      </c>
      <c r="Q748" s="35">
        <v>0</v>
      </c>
      <c r="R748" s="36">
        <v>3.06</v>
      </c>
      <c r="S748" s="37">
        <f>IFERROR(_xlfn.XLOOKUP(R748,'1_Presupuesto'!$E:$E,'1_Presupuesto'!$D:$D),"")</f>
        <v>0</v>
      </c>
    </row>
    <row r="749" spans="1:19" x14ac:dyDescent="0.35">
      <c r="A749" s="31" t="s">
        <v>1946</v>
      </c>
      <c r="B749" s="31" t="s">
        <v>478</v>
      </c>
      <c r="C749" s="31" t="s">
        <v>498</v>
      </c>
      <c r="D749" s="31" t="s">
        <v>1947</v>
      </c>
      <c r="E749" s="31" t="s">
        <v>1948</v>
      </c>
      <c r="F749" s="31" t="s">
        <v>481</v>
      </c>
      <c r="G749" s="32">
        <v>1</v>
      </c>
      <c r="H749" s="33">
        <v>0</v>
      </c>
      <c r="I749" s="34">
        <v>323083.99981181801</v>
      </c>
      <c r="J749" s="34">
        <v>323083.99981181801</v>
      </c>
      <c r="K749" s="31" t="s">
        <v>1949</v>
      </c>
      <c r="L749" s="31">
        <v>1</v>
      </c>
      <c r="M749" s="31" t="s">
        <v>1950</v>
      </c>
      <c r="N749" s="34">
        <v>1</v>
      </c>
      <c r="O749" s="35">
        <v>0</v>
      </c>
      <c r="P749" s="35">
        <v>9</v>
      </c>
      <c r="Q749" s="35">
        <v>0</v>
      </c>
      <c r="R749" s="36">
        <v>3.07</v>
      </c>
      <c r="S749" s="37">
        <f>IFERROR(_xlfn.XLOOKUP(R749,'1_Presupuesto'!$E:$E,'1_Presupuesto'!$D:$D),"")</f>
        <v>0</v>
      </c>
    </row>
    <row r="750" spans="1:19" x14ac:dyDescent="0.35">
      <c r="A750" s="31" t="s">
        <v>1946</v>
      </c>
      <c r="B750" s="31" t="s">
        <v>497</v>
      </c>
      <c r="C750" s="31" t="s">
        <v>1706</v>
      </c>
      <c r="D750" s="31" t="s">
        <v>1903</v>
      </c>
      <c r="E750" s="31" t="s">
        <v>1904</v>
      </c>
      <c r="F750" s="31" t="s">
        <v>567</v>
      </c>
      <c r="G750" s="32">
        <v>180</v>
      </c>
      <c r="H750" s="33">
        <v>0</v>
      </c>
      <c r="I750" s="34">
        <v>1772</v>
      </c>
      <c r="J750" s="34">
        <v>318960</v>
      </c>
      <c r="K750" s="31" t="s">
        <v>1951</v>
      </c>
      <c r="L750" s="31">
        <v>1</v>
      </c>
      <c r="M750" s="31" t="s">
        <v>1952</v>
      </c>
      <c r="N750" s="34">
        <v>1</v>
      </c>
      <c r="O750" s="35">
        <v>0</v>
      </c>
      <c r="P750" s="35">
        <v>9</v>
      </c>
      <c r="Q750" s="35">
        <v>0</v>
      </c>
      <c r="R750" s="36">
        <v>3.07</v>
      </c>
      <c r="S750" s="37">
        <f>IFERROR(_xlfn.XLOOKUP(R750,'1_Presupuesto'!$E:$E,'1_Presupuesto'!$D:$D),"")</f>
        <v>0</v>
      </c>
    </row>
    <row r="751" spans="1:19" x14ac:dyDescent="0.35">
      <c r="A751" s="31" t="s">
        <v>1946</v>
      </c>
      <c r="B751" s="31" t="s">
        <v>203</v>
      </c>
      <c r="C751" s="31"/>
      <c r="D751" s="31" t="s">
        <v>1953</v>
      </c>
      <c r="E751" s="31" t="s">
        <v>1954</v>
      </c>
      <c r="F751" s="31"/>
      <c r="G751" s="32">
        <v>1</v>
      </c>
      <c r="H751" s="33">
        <v>0</v>
      </c>
      <c r="I751" s="34">
        <v>12913.459315141001</v>
      </c>
      <c r="J751" s="34">
        <v>12913.459315141001</v>
      </c>
      <c r="K751" s="31" t="s">
        <v>1955</v>
      </c>
      <c r="L751" s="31">
        <v>1</v>
      </c>
      <c r="M751" s="31" t="s">
        <v>1956</v>
      </c>
      <c r="N751" s="34">
        <v>1</v>
      </c>
      <c r="O751" s="35">
        <v>0</v>
      </c>
      <c r="P751" s="35">
        <v>9</v>
      </c>
      <c r="Q751" s="35">
        <v>0</v>
      </c>
      <c r="R751" s="36">
        <v>3.07</v>
      </c>
      <c r="S751" s="37">
        <f>IFERROR(_xlfn.XLOOKUP(R751,'1_Presupuesto'!$E:$E,'1_Presupuesto'!$D:$D),"")</f>
        <v>0</v>
      </c>
    </row>
    <row r="752" spans="1:19" x14ac:dyDescent="0.35">
      <c r="A752" s="31" t="s">
        <v>1957</v>
      </c>
      <c r="B752" s="31" t="s">
        <v>478</v>
      </c>
      <c r="C752" s="31" t="s">
        <v>498</v>
      </c>
      <c r="D752" s="31" t="s">
        <v>1958</v>
      </c>
      <c r="E752" s="31" t="s">
        <v>1959</v>
      </c>
      <c r="F752" s="31" t="s">
        <v>481</v>
      </c>
      <c r="G752" s="32">
        <v>1</v>
      </c>
      <c r="H752" s="33">
        <v>0</v>
      </c>
      <c r="I752" s="34">
        <v>392678.734102213</v>
      </c>
      <c r="J752" s="34">
        <v>392678.734102213</v>
      </c>
      <c r="K752" s="31" t="s">
        <v>1960</v>
      </c>
      <c r="L752" s="31">
        <v>1</v>
      </c>
      <c r="M752" s="31" t="s">
        <v>1961</v>
      </c>
      <c r="N752" s="34">
        <v>1</v>
      </c>
      <c r="O752" s="35">
        <v>0</v>
      </c>
      <c r="P752" s="35">
        <v>9</v>
      </c>
      <c r="Q752" s="35">
        <v>0</v>
      </c>
      <c r="R752" s="36">
        <v>3.08</v>
      </c>
      <c r="S752" s="37">
        <f>IFERROR(_xlfn.XLOOKUP(R752,'1_Presupuesto'!$E:$E,'1_Presupuesto'!$D:$D),"")</f>
        <v>0</v>
      </c>
    </row>
    <row r="753" spans="1:19" x14ac:dyDescent="0.35">
      <c r="A753" s="31" t="s">
        <v>1957</v>
      </c>
      <c r="B753" s="31" t="s">
        <v>497</v>
      </c>
      <c r="C753" s="31" t="s">
        <v>1706</v>
      </c>
      <c r="D753" s="31" t="s">
        <v>1903</v>
      </c>
      <c r="E753" s="31" t="s">
        <v>1904</v>
      </c>
      <c r="F753" s="31" t="s">
        <v>567</v>
      </c>
      <c r="G753" s="32">
        <v>90</v>
      </c>
      <c r="H753" s="33">
        <v>0</v>
      </c>
      <c r="I753" s="34">
        <v>1772</v>
      </c>
      <c r="J753" s="34">
        <v>159480</v>
      </c>
      <c r="K753" s="31" t="s">
        <v>1962</v>
      </c>
      <c r="L753" s="31">
        <v>1</v>
      </c>
      <c r="M753" s="31" t="s">
        <v>1963</v>
      </c>
      <c r="N753" s="34">
        <v>1</v>
      </c>
      <c r="O753" s="35">
        <v>0</v>
      </c>
      <c r="P753" s="35">
        <v>9</v>
      </c>
      <c r="Q753" s="35">
        <v>0</v>
      </c>
      <c r="R753" s="36">
        <v>3.08</v>
      </c>
      <c r="S753" s="37">
        <f>IFERROR(_xlfn.XLOOKUP(R753,'1_Presupuesto'!$E:$E,'1_Presupuesto'!$D:$D),"")</f>
        <v>0</v>
      </c>
    </row>
    <row r="754" spans="1:19" x14ac:dyDescent="0.35">
      <c r="A754" s="31" t="s">
        <v>1957</v>
      </c>
      <c r="B754" s="31" t="s">
        <v>203</v>
      </c>
      <c r="C754" s="31"/>
      <c r="D754" s="31" t="s">
        <v>1964</v>
      </c>
      <c r="E754" s="31" t="s">
        <v>1965</v>
      </c>
      <c r="F754" s="31"/>
      <c r="G754" s="32">
        <v>1</v>
      </c>
      <c r="H754" s="33">
        <v>0</v>
      </c>
      <c r="I754" s="34">
        <v>11806.2092972475</v>
      </c>
      <c r="J754" s="34">
        <v>11806.2092972475</v>
      </c>
      <c r="K754" s="31" t="s">
        <v>1966</v>
      </c>
      <c r="L754" s="31">
        <v>1</v>
      </c>
      <c r="M754" s="31" t="s">
        <v>1967</v>
      </c>
      <c r="N754" s="34">
        <v>1</v>
      </c>
      <c r="O754" s="35">
        <v>0</v>
      </c>
      <c r="P754" s="35">
        <v>9</v>
      </c>
      <c r="Q754" s="35">
        <v>0</v>
      </c>
      <c r="R754" s="36">
        <v>3.08</v>
      </c>
      <c r="S754" s="37">
        <f>IFERROR(_xlfn.XLOOKUP(R754,'1_Presupuesto'!$E:$E,'1_Presupuesto'!$D:$D),"")</f>
        <v>0</v>
      </c>
    </row>
    <row r="755" spans="1:19" x14ac:dyDescent="0.35">
      <c r="A755" s="31" t="s">
        <v>1968</v>
      </c>
      <c r="B755" s="31" t="s">
        <v>478</v>
      </c>
      <c r="C755" s="31" t="s">
        <v>498</v>
      </c>
      <c r="D755" s="31" t="s">
        <v>1969</v>
      </c>
      <c r="E755" s="31" t="s">
        <v>1970</v>
      </c>
      <c r="F755" s="31" t="s">
        <v>481</v>
      </c>
      <c r="G755" s="32">
        <v>1</v>
      </c>
      <c r="H755" s="33">
        <v>0</v>
      </c>
      <c r="I755" s="34">
        <v>362209.60749629402</v>
      </c>
      <c r="J755" s="34">
        <v>362209.60749629402</v>
      </c>
      <c r="K755" s="31" t="s">
        <v>1971</v>
      </c>
      <c r="L755" s="31">
        <v>1</v>
      </c>
      <c r="M755" s="31" t="s">
        <v>1972</v>
      </c>
      <c r="N755" s="34">
        <v>1</v>
      </c>
      <c r="O755" s="35">
        <v>0</v>
      </c>
      <c r="P755" s="35">
        <v>1</v>
      </c>
      <c r="Q755" s="35">
        <v>0</v>
      </c>
      <c r="R755" s="36">
        <v>3.09</v>
      </c>
      <c r="S755" s="37">
        <f>IFERROR(_xlfn.XLOOKUP(R755,'1_Presupuesto'!$E:$E,'1_Presupuesto'!$D:$D),"")</f>
        <v>0</v>
      </c>
    </row>
    <row r="756" spans="1:19" x14ac:dyDescent="0.35">
      <c r="A756" s="31" t="s">
        <v>1968</v>
      </c>
      <c r="B756" s="31" t="s">
        <v>497</v>
      </c>
      <c r="C756" s="31" t="s">
        <v>498</v>
      </c>
      <c r="D756" s="31" t="s">
        <v>1973</v>
      </c>
      <c r="E756" s="31" t="s">
        <v>1974</v>
      </c>
      <c r="F756" s="31" t="s">
        <v>261</v>
      </c>
      <c r="G756" s="32">
        <v>1</v>
      </c>
      <c r="H756" s="33">
        <v>0</v>
      </c>
      <c r="I756" s="34">
        <v>542036.05081495701</v>
      </c>
      <c r="J756" s="34">
        <v>542036.05081495701</v>
      </c>
      <c r="K756" s="31" t="s">
        <v>1975</v>
      </c>
      <c r="L756" s="31">
        <v>1</v>
      </c>
      <c r="M756" s="31" t="s">
        <v>1976</v>
      </c>
      <c r="N756" s="34">
        <v>1</v>
      </c>
      <c r="O756" s="35">
        <v>0</v>
      </c>
      <c r="P756" s="35">
        <v>1</v>
      </c>
      <c r="Q756" s="35">
        <v>0</v>
      </c>
      <c r="R756" s="36">
        <v>3.09</v>
      </c>
      <c r="S756" s="37">
        <f>IFERROR(_xlfn.XLOOKUP(R756,'1_Presupuesto'!$E:$E,'1_Presupuesto'!$D:$D),"")</f>
        <v>0</v>
      </c>
    </row>
    <row r="757" spans="1:19" x14ac:dyDescent="0.35">
      <c r="A757" s="31" t="s">
        <v>1968</v>
      </c>
      <c r="B757" s="31" t="s">
        <v>203</v>
      </c>
      <c r="C757" s="31"/>
      <c r="D757" s="31" t="s">
        <v>1977</v>
      </c>
      <c r="E757" s="31" t="s">
        <v>1978</v>
      </c>
      <c r="F757" s="31"/>
      <c r="G757" s="32">
        <v>1</v>
      </c>
      <c r="H757" s="33">
        <v>0</v>
      </c>
      <c r="I757" s="34">
        <v>13563.684874668799</v>
      </c>
      <c r="J757" s="34">
        <v>13563.684874668799</v>
      </c>
      <c r="K757" s="31" t="s">
        <v>1979</v>
      </c>
      <c r="L757" s="31">
        <v>1</v>
      </c>
      <c r="M757" s="31" t="s">
        <v>1980</v>
      </c>
      <c r="N757" s="34">
        <v>1</v>
      </c>
      <c r="O757" s="35">
        <v>0</v>
      </c>
      <c r="P757" s="35">
        <v>1</v>
      </c>
      <c r="Q757" s="35">
        <v>0</v>
      </c>
      <c r="R757" s="36">
        <v>3.09</v>
      </c>
      <c r="S757" s="37">
        <f>IFERROR(_xlfn.XLOOKUP(R757,'1_Presupuesto'!$E:$E,'1_Presupuesto'!$D:$D),"")</f>
        <v>0</v>
      </c>
    </row>
    <row r="758" spans="1:19" x14ac:dyDescent="0.35">
      <c r="A758" s="31" t="s">
        <v>1981</v>
      </c>
      <c r="B758" s="31" t="s">
        <v>478</v>
      </c>
      <c r="C758" s="31" t="s">
        <v>498</v>
      </c>
      <c r="D758" s="31" t="s">
        <v>1982</v>
      </c>
      <c r="E758" s="31" t="s">
        <v>1983</v>
      </c>
      <c r="F758" s="31" t="s">
        <v>481</v>
      </c>
      <c r="G758" s="32">
        <v>1</v>
      </c>
      <c r="H758" s="33">
        <v>0</v>
      </c>
      <c r="I758" s="34">
        <v>362209.60749629402</v>
      </c>
      <c r="J758" s="34">
        <v>362209.60749629402</v>
      </c>
      <c r="K758" s="31" t="s">
        <v>1984</v>
      </c>
      <c r="L758" s="31">
        <v>1</v>
      </c>
      <c r="M758" s="31" t="s">
        <v>1985</v>
      </c>
      <c r="N758" s="34">
        <v>1</v>
      </c>
      <c r="O758" s="35">
        <v>0</v>
      </c>
      <c r="P758" s="35">
        <v>32</v>
      </c>
      <c r="Q758" s="35">
        <v>0</v>
      </c>
      <c r="R758" s="36">
        <v>3.1</v>
      </c>
      <c r="S758" s="37">
        <f>IFERROR(_xlfn.XLOOKUP(R758,'1_Presupuesto'!$E:$E,'1_Presupuesto'!$D:$D),"")</f>
        <v>0</v>
      </c>
    </row>
    <row r="759" spans="1:19" x14ac:dyDescent="0.35">
      <c r="A759" s="31" t="s">
        <v>1981</v>
      </c>
      <c r="B759" s="31" t="s">
        <v>497</v>
      </c>
      <c r="C759" s="31" t="s">
        <v>1706</v>
      </c>
      <c r="D759" s="31" t="s">
        <v>1903</v>
      </c>
      <c r="E759" s="31" t="s">
        <v>1904</v>
      </c>
      <c r="F759" s="31" t="s">
        <v>567</v>
      </c>
      <c r="G759" s="32">
        <v>240</v>
      </c>
      <c r="H759" s="33">
        <v>0</v>
      </c>
      <c r="I759" s="34">
        <v>1772</v>
      </c>
      <c r="J759" s="34">
        <v>425280</v>
      </c>
      <c r="K759" s="31" t="s">
        <v>1986</v>
      </c>
      <c r="L759" s="31">
        <v>1</v>
      </c>
      <c r="M759" s="31" t="s">
        <v>1987</v>
      </c>
      <c r="N759" s="34">
        <v>1</v>
      </c>
      <c r="O759" s="35">
        <v>0</v>
      </c>
      <c r="P759" s="35">
        <v>32</v>
      </c>
      <c r="Q759" s="35">
        <v>0</v>
      </c>
      <c r="R759" s="36">
        <v>3.1</v>
      </c>
      <c r="S759" s="37">
        <f>IFERROR(_xlfn.XLOOKUP(R759,'1_Presupuesto'!$E:$E,'1_Presupuesto'!$D:$D),"")</f>
        <v>0</v>
      </c>
    </row>
    <row r="760" spans="1:19" x14ac:dyDescent="0.35">
      <c r="A760" s="31" t="s">
        <v>1981</v>
      </c>
      <c r="B760" s="31" t="s">
        <v>203</v>
      </c>
      <c r="C760" s="31"/>
      <c r="D760" s="31" t="s">
        <v>1988</v>
      </c>
      <c r="E760" s="31" t="s">
        <v>1989</v>
      </c>
      <c r="F760" s="31"/>
      <c r="G760" s="32">
        <v>1</v>
      </c>
      <c r="H760" s="33">
        <v>0</v>
      </c>
      <c r="I760" s="34">
        <v>15158.4848746688</v>
      </c>
      <c r="J760" s="34">
        <v>15158.4848746688</v>
      </c>
      <c r="K760" s="31" t="s">
        <v>1990</v>
      </c>
      <c r="L760" s="31">
        <v>1</v>
      </c>
      <c r="M760" s="31" t="s">
        <v>1991</v>
      </c>
      <c r="N760" s="34">
        <v>1</v>
      </c>
      <c r="O760" s="35">
        <v>0</v>
      </c>
      <c r="P760" s="35">
        <v>32</v>
      </c>
      <c r="Q760" s="35">
        <v>0</v>
      </c>
      <c r="R760" s="36">
        <v>3.1</v>
      </c>
      <c r="S760" s="37">
        <f>IFERROR(_xlfn.XLOOKUP(R760,'1_Presupuesto'!$E:$E,'1_Presupuesto'!$D:$D),"")</f>
        <v>0</v>
      </c>
    </row>
    <row r="761" spans="1:19" x14ac:dyDescent="0.35">
      <c r="A761" s="31" t="s">
        <v>1992</v>
      </c>
      <c r="B761" s="31" t="s">
        <v>478</v>
      </c>
      <c r="C761" s="31" t="s">
        <v>498</v>
      </c>
      <c r="D761" s="31" t="s">
        <v>1993</v>
      </c>
      <c r="E761" s="31" t="s">
        <v>1994</v>
      </c>
      <c r="F761" s="31" t="s">
        <v>481</v>
      </c>
      <c r="G761" s="32">
        <v>1</v>
      </c>
      <c r="H761" s="33">
        <v>0</v>
      </c>
      <c r="I761" s="34">
        <v>392678.734102213</v>
      </c>
      <c r="J761" s="34">
        <v>392678.734102213</v>
      </c>
      <c r="K761" s="31" t="s">
        <v>1995</v>
      </c>
      <c r="L761" s="31">
        <v>1</v>
      </c>
      <c r="M761" s="31" t="s">
        <v>1996</v>
      </c>
      <c r="N761" s="34">
        <v>1</v>
      </c>
      <c r="O761" s="35">
        <v>0</v>
      </c>
      <c r="P761" s="35">
        <v>30</v>
      </c>
      <c r="Q761" s="35">
        <v>0</v>
      </c>
      <c r="R761" s="36">
        <v>3.11</v>
      </c>
      <c r="S761" s="37">
        <f>IFERROR(_xlfn.XLOOKUP(R761,'1_Presupuesto'!$E:$E,'1_Presupuesto'!$D:$D),"")</f>
        <v>0</v>
      </c>
    </row>
    <row r="762" spans="1:19" x14ac:dyDescent="0.35">
      <c r="A762" s="31" t="s">
        <v>1992</v>
      </c>
      <c r="B762" s="31" t="s">
        <v>497</v>
      </c>
      <c r="C762" s="31" t="s">
        <v>1706</v>
      </c>
      <c r="D762" s="31" t="s">
        <v>1903</v>
      </c>
      <c r="E762" s="31" t="s">
        <v>1904</v>
      </c>
      <c r="F762" s="31" t="s">
        <v>567</v>
      </c>
      <c r="G762" s="32">
        <v>120</v>
      </c>
      <c r="H762" s="33">
        <v>0</v>
      </c>
      <c r="I762" s="34">
        <v>1772</v>
      </c>
      <c r="J762" s="34">
        <v>212640</v>
      </c>
      <c r="K762" s="31" t="s">
        <v>1997</v>
      </c>
      <c r="L762" s="31">
        <v>1</v>
      </c>
      <c r="M762" s="31" t="s">
        <v>1998</v>
      </c>
      <c r="N762" s="34">
        <v>1</v>
      </c>
      <c r="O762" s="35">
        <v>0</v>
      </c>
      <c r="P762" s="35">
        <v>30</v>
      </c>
      <c r="Q762" s="35">
        <v>0</v>
      </c>
      <c r="R762" s="36">
        <v>3.11</v>
      </c>
      <c r="S762" s="37">
        <f>IFERROR(_xlfn.XLOOKUP(R762,'1_Presupuesto'!$E:$E,'1_Presupuesto'!$D:$D),"")</f>
        <v>0</v>
      </c>
    </row>
    <row r="763" spans="1:19" x14ac:dyDescent="0.35">
      <c r="A763" s="31" t="s">
        <v>1992</v>
      </c>
      <c r="B763" s="31" t="s">
        <v>203</v>
      </c>
      <c r="C763" s="31"/>
      <c r="D763" s="31" t="s">
        <v>1999</v>
      </c>
      <c r="E763" s="31" t="s">
        <v>2000</v>
      </c>
      <c r="F763" s="31"/>
      <c r="G763" s="32">
        <v>1</v>
      </c>
      <c r="H763" s="33">
        <v>0</v>
      </c>
      <c r="I763" s="34">
        <v>12603.6092972475</v>
      </c>
      <c r="J763" s="34">
        <v>12603.6092972475</v>
      </c>
      <c r="K763" s="31" t="s">
        <v>2001</v>
      </c>
      <c r="L763" s="31">
        <v>1</v>
      </c>
      <c r="M763" s="31" t="s">
        <v>2002</v>
      </c>
      <c r="N763" s="34">
        <v>1</v>
      </c>
      <c r="O763" s="35">
        <v>0</v>
      </c>
      <c r="P763" s="35">
        <v>30</v>
      </c>
      <c r="Q763" s="35">
        <v>0</v>
      </c>
      <c r="R763" s="36">
        <v>3.11</v>
      </c>
      <c r="S763" s="37">
        <f>IFERROR(_xlfn.XLOOKUP(R763,'1_Presupuesto'!$E:$E,'1_Presupuesto'!$D:$D),"")</f>
        <v>0</v>
      </c>
    </row>
    <row r="764" spans="1:19" x14ac:dyDescent="0.35">
      <c r="A764" s="31" t="s">
        <v>2003</v>
      </c>
      <c r="B764" s="31" t="s">
        <v>478</v>
      </c>
      <c r="C764" s="31" t="s">
        <v>498</v>
      </c>
      <c r="D764" s="31" t="s">
        <v>2004</v>
      </c>
      <c r="E764" s="31" t="s">
        <v>2005</v>
      </c>
      <c r="F764" s="31" t="s">
        <v>481</v>
      </c>
      <c r="G764" s="32">
        <v>1</v>
      </c>
      <c r="H764" s="33">
        <v>0</v>
      </c>
      <c r="I764" s="34">
        <v>629584.35516405001</v>
      </c>
      <c r="J764" s="34">
        <v>629584.35516405001</v>
      </c>
      <c r="K764" s="31" t="s">
        <v>2006</v>
      </c>
      <c r="L764" s="31">
        <v>1</v>
      </c>
      <c r="M764" s="31" t="s">
        <v>2007</v>
      </c>
      <c r="N764" s="34">
        <v>1</v>
      </c>
      <c r="O764" s="35">
        <v>0</v>
      </c>
      <c r="P764" s="35">
        <v>7</v>
      </c>
      <c r="Q764" s="35">
        <v>0</v>
      </c>
      <c r="R764" s="36">
        <v>3.12</v>
      </c>
      <c r="S764" s="37" t="str">
        <f>IFERROR(_xlfn.XLOOKUP(R764,'1_Presupuesto'!$E:$E,'1_Presupuesto'!$D:$D),"")</f>
        <v>Homigón MO</v>
      </c>
    </row>
    <row r="765" spans="1:19" x14ac:dyDescent="0.35">
      <c r="A765" s="31" t="s">
        <v>2003</v>
      </c>
      <c r="B765" s="31" t="s">
        <v>497</v>
      </c>
      <c r="C765" s="31" t="s">
        <v>1706</v>
      </c>
      <c r="D765" s="31" t="s">
        <v>1903</v>
      </c>
      <c r="E765" s="31" t="s">
        <v>1904</v>
      </c>
      <c r="F765" s="31" t="s">
        <v>567</v>
      </c>
      <c r="G765" s="32">
        <v>120</v>
      </c>
      <c r="H765" s="33">
        <v>0</v>
      </c>
      <c r="I765" s="34">
        <v>1772</v>
      </c>
      <c r="J765" s="34">
        <v>212640</v>
      </c>
      <c r="K765" s="31" t="s">
        <v>2008</v>
      </c>
      <c r="L765" s="31">
        <v>1</v>
      </c>
      <c r="M765" s="31" t="s">
        <v>2009</v>
      </c>
      <c r="N765" s="34">
        <v>1</v>
      </c>
      <c r="O765" s="35">
        <v>0</v>
      </c>
      <c r="P765" s="35">
        <v>7</v>
      </c>
      <c r="Q765" s="35">
        <v>0</v>
      </c>
      <c r="R765" s="36">
        <v>3.12</v>
      </c>
      <c r="S765" s="37" t="str">
        <f>IFERROR(_xlfn.XLOOKUP(R765,'1_Presupuesto'!$E:$E,'1_Presupuesto'!$D:$D),"")</f>
        <v>Homigón MO</v>
      </c>
    </row>
    <row r="766" spans="1:19" x14ac:dyDescent="0.35">
      <c r="A766" s="31" t="s">
        <v>2003</v>
      </c>
      <c r="B766" s="31" t="s">
        <v>203</v>
      </c>
      <c r="C766" s="31"/>
      <c r="D766" s="31" t="s">
        <v>2010</v>
      </c>
      <c r="E766" s="31" t="s">
        <v>2011</v>
      </c>
      <c r="F766" s="31"/>
      <c r="G766" s="32">
        <v>1</v>
      </c>
      <c r="H766" s="33">
        <v>0</v>
      </c>
      <c r="I766" s="34">
        <v>18800.546137111702</v>
      </c>
      <c r="J766" s="34">
        <v>18800.546137111702</v>
      </c>
      <c r="K766" s="31" t="s">
        <v>2012</v>
      </c>
      <c r="L766" s="31">
        <v>1</v>
      </c>
      <c r="M766" s="31" t="s">
        <v>2013</v>
      </c>
      <c r="N766" s="34">
        <v>1</v>
      </c>
      <c r="O766" s="35">
        <v>0</v>
      </c>
      <c r="P766" s="35">
        <v>7</v>
      </c>
      <c r="Q766" s="35">
        <v>0</v>
      </c>
      <c r="R766" s="36">
        <v>3.12</v>
      </c>
      <c r="S766" s="37" t="str">
        <f>IFERROR(_xlfn.XLOOKUP(R766,'1_Presupuesto'!$E:$E,'1_Presupuesto'!$D:$D),"")</f>
        <v>Homigón MO</v>
      </c>
    </row>
    <row r="767" spans="1:19" x14ac:dyDescent="0.35">
      <c r="A767" s="31" t="s">
        <v>2014</v>
      </c>
      <c r="B767" s="31" t="s">
        <v>478</v>
      </c>
      <c r="C767" s="31" t="s">
        <v>498</v>
      </c>
      <c r="D767" s="31" t="s">
        <v>2015</v>
      </c>
      <c r="E767" s="31" t="s">
        <v>2016</v>
      </c>
      <c r="F767" s="31" t="s">
        <v>481</v>
      </c>
      <c r="G767" s="32">
        <v>1</v>
      </c>
      <c r="H767" s="33">
        <v>0</v>
      </c>
      <c r="I767" s="34">
        <v>629584.35516405001</v>
      </c>
      <c r="J767" s="34">
        <v>629584.35516405001</v>
      </c>
      <c r="K767" s="31" t="s">
        <v>2017</v>
      </c>
      <c r="L767" s="31">
        <v>1</v>
      </c>
      <c r="M767" s="31" t="s">
        <v>2018</v>
      </c>
      <c r="N767" s="34">
        <v>1</v>
      </c>
      <c r="O767" s="35">
        <v>0</v>
      </c>
      <c r="P767" s="35">
        <v>12</v>
      </c>
      <c r="Q767" s="35">
        <v>0</v>
      </c>
      <c r="R767" s="36">
        <v>3.13</v>
      </c>
      <c r="S767" s="37" t="str">
        <f>IFERROR(_xlfn.XLOOKUP(R767,'1_Presupuesto'!$E:$E,'1_Presupuesto'!$D:$D),"")</f>
        <v>Homigón MO</v>
      </c>
    </row>
    <row r="768" spans="1:19" x14ac:dyDescent="0.35">
      <c r="A768" s="31" t="s">
        <v>2014</v>
      </c>
      <c r="B768" s="31" t="s">
        <v>497</v>
      </c>
      <c r="C768" s="31" t="s">
        <v>1706</v>
      </c>
      <c r="D768" s="31" t="s">
        <v>1903</v>
      </c>
      <c r="E768" s="31" t="s">
        <v>1904</v>
      </c>
      <c r="F768" s="31" t="s">
        <v>567</v>
      </c>
      <c r="G768" s="32">
        <v>180</v>
      </c>
      <c r="H768" s="33">
        <v>0</v>
      </c>
      <c r="I768" s="34">
        <v>1772</v>
      </c>
      <c r="J768" s="34">
        <v>318960</v>
      </c>
      <c r="K768" s="31" t="s">
        <v>2019</v>
      </c>
      <c r="L768" s="31">
        <v>1</v>
      </c>
      <c r="M768" s="31" t="s">
        <v>2020</v>
      </c>
      <c r="N768" s="34">
        <v>1</v>
      </c>
      <c r="O768" s="35">
        <v>0</v>
      </c>
      <c r="P768" s="35">
        <v>12</v>
      </c>
      <c r="Q768" s="35">
        <v>0</v>
      </c>
      <c r="R768" s="36">
        <v>3.13</v>
      </c>
      <c r="S768" s="37" t="str">
        <f>IFERROR(_xlfn.XLOOKUP(R768,'1_Presupuesto'!$E:$E,'1_Presupuesto'!$D:$D),"")</f>
        <v>Homigón MO</v>
      </c>
    </row>
    <row r="769" spans="1:19" x14ac:dyDescent="0.35">
      <c r="A769" s="31" t="s">
        <v>2014</v>
      </c>
      <c r="B769" s="31" t="s">
        <v>203</v>
      </c>
      <c r="C769" s="31"/>
      <c r="D769" s="31" t="s">
        <v>2021</v>
      </c>
      <c r="E769" s="31" t="s">
        <v>2022</v>
      </c>
      <c r="F769" s="31"/>
      <c r="G769" s="32">
        <v>1</v>
      </c>
      <c r="H769" s="33">
        <v>0</v>
      </c>
      <c r="I769" s="34">
        <v>20480.249291157201</v>
      </c>
      <c r="J769" s="34">
        <v>20480.249291157201</v>
      </c>
      <c r="K769" s="31" t="s">
        <v>2023</v>
      </c>
      <c r="L769" s="31">
        <v>1</v>
      </c>
      <c r="M769" s="31" t="s">
        <v>2024</v>
      </c>
      <c r="N769" s="34">
        <v>1</v>
      </c>
      <c r="O769" s="35">
        <v>0</v>
      </c>
      <c r="P769" s="35">
        <v>12</v>
      </c>
      <c r="Q769" s="35">
        <v>0</v>
      </c>
      <c r="R769" s="36">
        <v>3.13</v>
      </c>
      <c r="S769" s="37" t="str">
        <f>IFERROR(_xlfn.XLOOKUP(R769,'1_Presupuesto'!$E:$E,'1_Presupuesto'!$D:$D),"")</f>
        <v>Homigón MO</v>
      </c>
    </row>
    <row r="770" spans="1:19" x14ac:dyDescent="0.35">
      <c r="A770" s="31" t="s">
        <v>2025</v>
      </c>
      <c r="B770" s="31" t="s">
        <v>478</v>
      </c>
      <c r="C770" s="31" t="s">
        <v>498</v>
      </c>
      <c r="D770" s="31" t="s">
        <v>2026</v>
      </c>
      <c r="E770" s="31" t="s">
        <v>2027</v>
      </c>
      <c r="F770" s="31" t="s">
        <v>481</v>
      </c>
      <c r="G770" s="32">
        <v>1</v>
      </c>
      <c r="H770" s="33">
        <v>0</v>
      </c>
      <c r="I770" s="34">
        <v>629584.35516405001</v>
      </c>
      <c r="J770" s="34">
        <v>629584.35516405001</v>
      </c>
      <c r="K770" s="31" t="s">
        <v>2028</v>
      </c>
      <c r="L770" s="31">
        <v>1</v>
      </c>
      <c r="M770" s="31" t="s">
        <v>2029</v>
      </c>
      <c r="N770" s="34">
        <v>1</v>
      </c>
      <c r="O770" s="35">
        <v>0</v>
      </c>
      <c r="P770" s="35">
        <v>41</v>
      </c>
      <c r="Q770" s="35">
        <v>0</v>
      </c>
      <c r="R770" s="36">
        <v>3.14</v>
      </c>
      <c r="S770" s="37">
        <f>IFERROR(_xlfn.XLOOKUP(R770,'1_Presupuesto'!$E:$E,'1_Presupuesto'!$D:$D),"")</f>
        <v>0</v>
      </c>
    </row>
    <row r="771" spans="1:19" x14ac:dyDescent="0.35">
      <c r="A771" s="31" t="s">
        <v>2025</v>
      </c>
      <c r="B771" s="31" t="s">
        <v>497</v>
      </c>
      <c r="C771" s="31" t="s">
        <v>1706</v>
      </c>
      <c r="D771" s="31" t="s">
        <v>1903</v>
      </c>
      <c r="E771" s="31" t="s">
        <v>1904</v>
      </c>
      <c r="F771" s="31" t="s">
        <v>567</v>
      </c>
      <c r="G771" s="32">
        <v>120</v>
      </c>
      <c r="H771" s="33">
        <v>0</v>
      </c>
      <c r="I771" s="34">
        <v>1772</v>
      </c>
      <c r="J771" s="34">
        <v>212640</v>
      </c>
      <c r="K771" s="31" t="s">
        <v>2030</v>
      </c>
      <c r="L771" s="31">
        <v>1</v>
      </c>
      <c r="M771" s="31" t="s">
        <v>2031</v>
      </c>
      <c r="N771" s="34">
        <v>1</v>
      </c>
      <c r="O771" s="35">
        <v>0</v>
      </c>
      <c r="P771" s="35">
        <v>41</v>
      </c>
      <c r="Q771" s="35">
        <v>0</v>
      </c>
      <c r="R771" s="36">
        <v>3.14</v>
      </c>
      <c r="S771" s="37">
        <f>IFERROR(_xlfn.XLOOKUP(R771,'1_Presupuesto'!$E:$E,'1_Presupuesto'!$D:$D),"")</f>
        <v>0</v>
      </c>
    </row>
    <row r="772" spans="1:19" x14ac:dyDescent="0.35">
      <c r="A772" s="31" t="s">
        <v>2025</v>
      </c>
      <c r="B772" s="31" t="s">
        <v>203</v>
      </c>
      <c r="C772" s="31"/>
      <c r="D772" s="31" t="s">
        <v>2032</v>
      </c>
      <c r="E772" s="31" t="s">
        <v>2033</v>
      </c>
      <c r="F772" s="31"/>
      <c r="G772" s="32">
        <v>1</v>
      </c>
      <c r="H772" s="33">
        <v>0</v>
      </c>
      <c r="I772" s="34">
        <v>16524.507959292001</v>
      </c>
      <c r="J772" s="34">
        <v>16524.507959292001</v>
      </c>
      <c r="K772" s="31" t="s">
        <v>2034</v>
      </c>
      <c r="L772" s="31">
        <v>1</v>
      </c>
      <c r="M772" s="31" t="s">
        <v>2035</v>
      </c>
      <c r="N772" s="34">
        <v>1</v>
      </c>
      <c r="O772" s="35">
        <v>0</v>
      </c>
      <c r="P772" s="35">
        <v>41</v>
      </c>
      <c r="Q772" s="35">
        <v>0</v>
      </c>
      <c r="R772" s="36">
        <v>3.14</v>
      </c>
      <c r="S772" s="37">
        <f>IFERROR(_xlfn.XLOOKUP(R772,'1_Presupuesto'!$E:$E,'1_Presupuesto'!$D:$D),"")</f>
        <v>0</v>
      </c>
    </row>
    <row r="773" spans="1:19" x14ac:dyDescent="0.35">
      <c r="A773" s="31" t="s">
        <v>2036</v>
      </c>
      <c r="B773" s="31" t="s">
        <v>478</v>
      </c>
      <c r="C773" s="31" t="s">
        <v>498</v>
      </c>
      <c r="D773" s="31" t="s">
        <v>2037</v>
      </c>
      <c r="E773" s="31" t="s">
        <v>2038</v>
      </c>
      <c r="F773" s="31" t="s">
        <v>481</v>
      </c>
      <c r="G773" s="32">
        <v>1</v>
      </c>
      <c r="H773" s="33">
        <v>0</v>
      </c>
      <c r="I773" s="34">
        <v>253632.45059711899</v>
      </c>
      <c r="J773" s="34">
        <v>253632.45059711899</v>
      </c>
      <c r="K773" s="31" t="s">
        <v>2039</v>
      </c>
      <c r="L773" s="31">
        <v>1</v>
      </c>
      <c r="M773" s="31" t="s">
        <v>2040</v>
      </c>
      <c r="N773" s="34">
        <v>1</v>
      </c>
      <c r="O773" s="35">
        <v>0</v>
      </c>
      <c r="P773" s="35">
        <v>135</v>
      </c>
      <c r="Q773" s="35">
        <v>0</v>
      </c>
      <c r="R773" s="36">
        <v>3.15</v>
      </c>
      <c r="S773" s="37">
        <f>IFERROR(_xlfn.XLOOKUP(R773,'1_Presupuesto'!$E:$E,'1_Presupuesto'!$D:$D),"")</f>
        <v>0</v>
      </c>
    </row>
    <row r="774" spans="1:19" x14ac:dyDescent="0.35">
      <c r="A774" s="31" t="s">
        <v>2036</v>
      </c>
      <c r="B774" s="31" t="s">
        <v>497</v>
      </c>
      <c r="C774" s="31" t="s">
        <v>1706</v>
      </c>
      <c r="D774" s="31" t="s">
        <v>1903</v>
      </c>
      <c r="E774" s="31" t="s">
        <v>1904</v>
      </c>
      <c r="F774" s="31" t="s">
        <v>567</v>
      </c>
      <c r="G774" s="32">
        <v>95</v>
      </c>
      <c r="H774" s="33">
        <v>0</v>
      </c>
      <c r="I774" s="34">
        <v>1772</v>
      </c>
      <c r="J774" s="34">
        <v>168340</v>
      </c>
      <c r="K774" s="31" t="s">
        <v>2041</v>
      </c>
      <c r="L774" s="31">
        <v>1</v>
      </c>
      <c r="M774" s="31" t="s">
        <v>2042</v>
      </c>
      <c r="N774" s="34">
        <v>1</v>
      </c>
      <c r="O774" s="35">
        <v>0</v>
      </c>
      <c r="P774" s="35">
        <v>135</v>
      </c>
      <c r="Q774" s="35">
        <v>0</v>
      </c>
      <c r="R774" s="36">
        <v>3.15</v>
      </c>
      <c r="S774" s="37">
        <f>IFERROR(_xlfn.XLOOKUP(R774,'1_Presupuesto'!$E:$E,'1_Presupuesto'!$D:$D),"")</f>
        <v>0</v>
      </c>
    </row>
    <row r="775" spans="1:19" x14ac:dyDescent="0.35">
      <c r="A775" s="31" t="s">
        <v>2036</v>
      </c>
      <c r="B775" s="31" t="s">
        <v>203</v>
      </c>
      <c r="C775" s="31"/>
      <c r="D775" s="31" t="s">
        <v>2043</v>
      </c>
      <c r="E775" s="31" t="s">
        <v>2044</v>
      </c>
      <c r="F775" s="31"/>
      <c r="G775" s="32">
        <v>1</v>
      </c>
      <c r="H775" s="33">
        <v>0</v>
      </c>
      <c r="I775" s="34">
        <v>9227.9350954860201</v>
      </c>
      <c r="J775" s="34">
        <v>9227.9350954860201</v>
      </c>
      <c r="K775" s="31" t="s">
        <v>2045</v>
      </c>
      <c r="L775" s="31">
        <v>1</v>
      </c>
      <c r="M775" s="31" t="s">
        <v>2046</v>
      </c>
      <c r="N775" s="34">
        <v>1</v>
      </c>
      <c r="O775" s="35">
        <v>0</v>
      </c>
      <c r="P775" s="35">
        <v>135</v>
      </c>
      <c r="Q775" s="35">
        <v>0</v>
      </c>
      <c r="R775" s="36">
        <v>3.15</v>
      </c>
      <c r="S775" s="37">
        <f>IFERROR(_xlfn.XLOOKUP(R775,'1_Presupuesto'!$E:$E,'1_Presupuesto'!$D:$D),"")</f>
        <v>0</v>
      </c>
    </row>
    <row r="776" spans="1:19" x14ac:dyDescent="0.35">
      <c r="A776" s="31" t="s">
        <v>2047</v>
      </c>
      <c r="B776" s="31" t="s">
        <v>478</v>
      </c>
      <c r="C776" s="31" t="s">
        <v>498</v>
      </c>
      <c r="D776" s="31" t="s">
        <v>2048</v>
      </c>
      <c r="E776" s="31" t="s">
        <v>2049</v>
      </c>
      <c r="F776" s="31" t="s">
        <v>481</v>
      </c>
      <c r="G776" s="32">
        <v>1</v>
      </c>
      <c r="H776" s="33">
        <v>0</v>
      </c>
      <c r="I776" s="34">
        <v>253632.45059711899</v>
      </c>
      <c r="J776" s="34">
        <v>253632.45059711899</v>
      </c>
      <c r="K776" s="31" t="s">
        <v>2050</v>
      </c>
      <c r="L776" s="31">
        <v>1</v>
      </c>
      <c r="M776" s="31" t="s">
        <v>2051</v>
      </c>
      <c r="N776" s="34">
        <v>1</v>
      </c>
      <c r="O776" s="35">
        <v>0</v>
      </c>
      <c r="P776" s="35">
        <v>13</v>
      </c>
      <c r="Q776" s="35">
        <v>0</v>
      </c>
      <c r="R776" s="36">
        <v>3.16</v>
      </c>
      <c r="S776" s="37" t="str">
        <f>IFERROR(_xlfn.XLOOKUP(R776,'1_Presupuesto'!$E:$E,'1_Presupuesto'!$D:$D),"")</f>
        <v>Homigón MO</v>
      </c>
    </row>
    <row r="777" spans="1:19" x14ac:dyDescent="0.35">
      <c r="A777" s="31" t="s">
        <v>2047</v>
      </c>
      <c r="B777" s="31" t="s">
        <v>497</v>
      </c>
      <c r="C777" s="31" t="s">
        <v>1706</v>
      </c>
      <c r="D777" s="31" t="s">
        <v>1903</v>
      </c>
      <c r="E777" s="31" t="s">
        <v>1904</v>
      </c>
      <c r="F777" s="31" t="s">
        <v>567</v>
      </c>
      <c r="G777" s="32">
        <v>95</v>
      </c>
      <c r="H777" s="33">
        <v>0</v>
      </c>
      <c r="I777" s="34">
        <v>1772</v>
      </c>
      <c r="J777" s="34">
        <v>168340</v>
      </c>
      <c r="K777" s="31" t="s">
        <v>2052</v>
      </c>
      <c r="L777" s="31">
        <v>1</v>
      </c>
      <c r="M777" s="31" t="s">
        <v>2053</v>
      </c>
      <c r="N777" s="34">
        <v>1</v>
      </c>
      <c r="O777" s="35">
        <v>0</v>
      </c>
      <c r="P777" s="35">
        <v>13</v>
      </c>
      <c r="Q777" s="35">
        <v>0</v>
      </c>
      <c r="R777" s="36">
        <v>3.16</v>
      </c>
      <c r="S777" s="37" t="str">
        <f>IFERROR(_xlfn.XLOOKUP(R777,'1_Presupuesto'!$E:$E,'1_Presupuesto'!$D:$D),"")</f>
        <v>Homigón MO</v>
      </c>
    </row>
    <row r="778" spans="1:19" x14ac:dyDescent="0.35">
      <c r="A778" s="31" t="s">
        <v>2047</v>
      </c>
      <c r="B778" s="31" t="s">
        <v>203</v>
      </c>
      <c r="C778" s="31"/>
      <c r="D778" s="31" t="s">
        <v>2054</v>
      </c>
      <c r="E778" s="31" t="s">
        <v>2055</v>
      </c>
      <c r="F778" s="31"/>
      <c r="G778" s="32">
        <v>1</v>
      </c>
      <c r="H778" s="33">
        <v>0</v>
      </c>
      <c r="I778" s="34">
        <v>10275.5267245294</v>
      </c>
      <c r="J778" s="34">
        <v>10275.5267245294</v>
      </c>
      <c r="K778" s="31" t="s">
        <v>2056</v>
      </c>
      <c r="L778" s="31">
        <v>1</v>
      </c>
      <c r="M778" s="31" t="s">
        <v>2057</v>
      </c>
      <c r="N778" s="34">
        <v>1</v>
      </c>
      <c r="O778" s="35">
        <v>0</v>
      </c>
      <c r="P778" s="35">
        <v>13</v>
      </c>
      <c r="Q778" s="35">
        <v>0</v>
      </c>
      <c r="R778" s="36">
        <v>3.16</v>
      </c>
      <c r="S778" s="37" t="str">
        <f>IFERROR(_xlfn.XLOOKUP(R778,'1_Presupuesto'!$E:$E,'1_Presupuesto'!$D:$D),"")</f>
        <v>Homigón MO</v>
      </c>
    </row>
    <row r="779" spans="1:19" x14ac:dyDescent="0.35">
      <c r="A779" s="31" t="s">
        <v>2058</v>
      </c>
      <c r="B779" s="31" t="s">
        <v>478</v>
      </c>
      <c r="C779" s="31" t="s">
        <v>498</v>
      </c>
      <c r="D779" s="31" t="s">
        <v>2059</v>
      </c>
      <c r="E779" s="31" t="s">
        <v>2060</v>
      </c>
      <c r="F779" s="31" t="s">
        <v>481</v>
      </c>
      <c r="G779" s="32">
        <v>1</v>
      </c>
      <c r="H779" s="33">
        <v>0</v>
      </c>
      <c r="I779" s="34">
        <v>370454.15079626901</v>
      </c>
      <c r="J779" s="34">
        <v>370454.15079626901</v>
      </c>
      <c r="K779" s="31" t="s">
        <v>2061</v>
      </c>
      <c r="L779" s="31">
        <v>1</v>
      </c>
      <c r="M779" s="31" t="s">
        <v>2062</v>
      </c>
      <c r="N779" s="34">
        <v>1</v>
      </c>
      <c r="O779" s="35">
        <v>0</v>
      </c>
      <c r="P779" s="35">
        <v>14</v>
      </c>
      <c r="Q779" s="35">
        <v>0</v>
      </c>
      <c r="R779" s="36">
        <v>3.17</v>
      </c>
      <c r="S779" s="37">
        <f>IFERROR(_xlfn.XLOOKUP(R779,'1_Presupuesto'!$E:$E,'1_Presupuesto'!$D:$D),"")</f>
        <v>0</v>
      </c>
    </row>
    <row r="780" spans="1:19" x14ac:dyDescent="0.35">
      <c r="A780" s="31" t="s">
        <v>2058</v>
      </c>
      <c r="B780" s="31" t="s">
        <v>497</v>
      </c>
      <c r="C780" s="31" t="s">
        <v>1706</v>
      </c>
      <c r="D780" s="31" t="s">
        <v>1903</v>
      </c>
      <c r="E780" s="31" t="s">
        <v>1904</v>
      </c>
      <c r="F780" s="31" t="s">
        <v>567</v>
      </c>
      <c r="G780" s="32">
        <v>105</v>
      </c>
      <c r="H780" s="33">
        <v>0</v>
      </c>
      <c r="I780" s="34">
        <v>1772</v>
      </c>
      <c r="J780" s="34">
        <v>186060</v>
      </c>
      <c r="K780" s="31" t="s">
        <v>2063</v>
      </c>
      <c r="L780" s="31">
        <v>1</v>
      </c>
      <c r="M780" s="31" t="s">
        <v>2064</v>
      </c>
      <c r="N780" s="34">
        <v>1</v>
      </c>
      <c r="O780" s="35">
        <v>0</v>
      </c>
      <c r="P780" s="35">
        <v>14</v>
      </c>
      <c r="Q780" s="35">
        <v>0</v>
      </c>
      <c r="R780" s="36">
        <v>3.17</v>
      </c>
      <c r="S780" s="37">
        <f>IFERROR(_xlfn.XLOOKUP(R780,'1_Presupuesto'!$E:$E,'1_Presupuesto'!$D:$D),"")</f>
        <v>0</v>
      </c>
    </row>
    <row r="781" spans="1:19" x14ac:dyDescent="0.35">
      <c r="A781" s="31" t="s">
        <v>2058</v>
      </c>
      <c r="B781" s="31" t="s">
        <v>203</v>
      </c>
      <c r="C781" s="31"/>
      <c r="D781" s="31" t="s">
        <v>2065</v>
      </c>
      <c r="E781" s="31" t="s">
        <v>2066</v>
      </c>
      <c r="F781" s="31"/>
      <c r="G781" s="32">
        <v>1</v>
      </c>
      <c r="H781" s="33">
        <v>0</v>
      </c>
      <c r="I781" s="34">
        <v>11629.8657612729</v>
      </c>
      <c r="J781" s="34">
        <v>11629.8657612729</v>
      </c>
      <c r="K781" s="31" t="s">
        <v>2067</v>
      </c>
      <c r="L781" s="31">
        <v>1</v>
      </c>
      <c r="M781" s="31" t="s">
        <v>2068</v>
      </c>
      <c r="N781" s="34">
        <v>1</v>
      </c>
      <c r="O781" s="35">
        <v>0</v>
      </c>
      <c r="P781" s="35">
        <v>14</v>
      </c>
      <c r="Q781" s="35">
        <v>0</v>
      </c>
      <c r="R781" s="36">
        <v>3.17</v>
      </c>
      <c r="S781" s="37">
        <f>IFERROR(_xlfn.XLOOKUP(R781,'1_Presupuesto'!$E:$E,'1_Presupuesto'!$D:$D),"")</f>
        <v>0</v>
      </c>
    </row>
    <row r="782" spans="1:19" x14ac:dyDescent="0.35">
      <c r="A782" s="31" t="s">
        <v>2069</v>
      </c>
      <c r="B782" s="31" t="s">
        <v>478</v>
      </c>
      <c r="C782" s="31" t="s">
        <v>498</v>
      </c>
      <c r="D782" s="31" t="s">
        <v>2070</v>
      </c>
      <c r="E782" s="31" t="s">
        <v>2071</v>
      </c>
      <c r="F782" s="31" t="s">
        <v>481</v>
      </c>
      <c r="G782" s="32">
        <v>1</v>
      </c>
      <c r="H782" s="33">
        <v>0</v>
      </c>
      <c r="I782" s="34">
        <v>629584.35516405001</v>
      </c>
      <c r="J782" s="34">
        <v>629584.35516405001</v>
      </c>
      <c r="K782" s="31" t="s">
        <v>2072</v>
      </c>
      <c r="L782" s="31">
        <v>1</v>
      </c>
      <c r="M782" s="31" t="s">
        <v>2073</v>
      </c>
      <c r="N782" s="34">
        <v>1</v>
      </c>
      <c r="O782" s="35">
        <v>0</v>
      </c>
      <c r="P782" s="35">
        <v>2</v>
      </c>
      <c r="Q782" s="35">
        <v>0</v>
      </c>
      <c r="R782" s="36">
        <v>3.18</v>
      </c>
      <c r="S782" s="37" t="str">
        <f>IFERROR(_xlfn.XLOOKUP(R782,'1_Presupuesto'!$E:$E,'1_Presupuesto'!$D:$D),"")</f>
        <v>Homigón MO</v>
      </c>
    </row>
    <row r="783" spans="1:19" x14ac:dyDescent="0.35">
      <c r="A783" s="31" t="s">
        <v>2069</v>
      </c>
      <c r="B783" s="31" t="s">
        <v>497</v>
      </c>
      <c r="C783" s="31" t="s">
        <v>1706</v>
      </c>
      <c r="D783" s="31" t="s">
        <v>1903</v>
      </c>
      <c r="E783" s="31" t="s">
        <v>1904</v>
      </c>
      <c r="F783" s="31" t="s">
        <v>567</v>
      </c>
      <c r="G783" s="32">
        <v>120</v>
      </c>
      <c r="H783" s="33">
        <v>0</v>
      </c>
      <c r="I783" s="34">
        <v>1772</v>
      </c>
      <c r="J783" s="34">
        <v>212640</v>
      </c>
      <c r="K783" s="31" t="s">
        <v>2074</v>
      </c>
      <c r="L783" s="31">
        <v>1</v>
      </c>
      <c r="M783" s="31" t="s">
        <v>2075</v>
      </c>
      <c r="N783" s="34">
        <v>1</v>
      </c>
      <c r="O783" s="35">
        <v>0</v>
      </c>
      <c r="P783" s="35">
        <v>2</v>
      </c>
      <c r="Q783" s="35">
        <v>0</v>
      </c>
      <c r="R783" s="36">
        <v>3.18</v>
      </c>
      <c r="S783" s="37" t="str">
        <f>IFERROR(_xlfn.XLOOKUP(R783,'1_Presupuesto'!$E:$E,'1_Presupuesto'!$D:$D),"")</f>
        <v>Homigón MO</v>
      </c>
    </row>
    <row r="784" spans="1:19" x14ac:dyDescent="0.35">
      <c r="A784" s="31" t="s">
        <v>2069</v>
      </c>
      <c r="B784" s="31" t="s">
        <v>203</v>
      </c>
      <c r="C784" s="31"/>
      <c r="D784" s="31" t="s">
        <v>2076</v>
      </c>
      <c r="E784" s="31" t="s">
        <v>2077</v>
      </c>
      <c r="F784" s="31"/>
      <c r="G784" s="32">
        <v>1</v>
      </c>
      <c r="H784" s="33">
        <v>0</v>
      </c>
      <c r="I784" s="34">
        <v>18800.546137111702</v>
      </c>
      <c r="J784" s="34">
        <v>18800.546137111702</v>
      </c>
      <c r="K784" s="31" t="s">
        <v>2078</v>
      </c>
      <c r="L784" s="31">
        <v>1</v>
      </c>
      <c r="M784" s="31" t="s">
        <v>2079</v>
      </c>
      <c r="N784" s="34">
        <v>1</v>
      </c>
      <c r="O784" s="35">
        <v>0</v>
      </c>
      <c r="P784" s="35">
        <v>2</v>
      </c>
      <c r="Q784" s="35">
        <v>0</v>
      </c>
      <c r="R784" s="36">
        <v>3.18</v>
      </c>
      <c r="S784" s="37" t="str">
        <f>IFERROR(_xlfn.XLOOKUP(R784,'1_Presupuesto'!$E:$E,'1_Presupuesto'!$D:$D),"")</f>
        <v>Homigón MO</v>
      </c>
    </row>
    <row r="785" spans="1:19" x14ac:dyDescent="0.35">
      <c r="A785" s="31" t="s">
        <v>2080</v>
      </c>
      <c r="B785" s="31" t="s">
        <v>203</v>
      </c>
      <c r="C785" s="31"/>
      <c r="D785" s="31" t="s">
        <v>2081</v>
      </c>
      <c r="E785" s="31" t="s">
        <v>2082</v>
      </c>
      <c r="F785" s="31"/>
      <c r="G785" s="32">
        <v>1</v>
      </c>
      <c r="H785" s="33">
        <v>0</v>
      </c>
      <c r="I785" s="34">
        <v>10584987.9932345</v>
      </c>
      <c r="J785" s="34">
        <v>10584987.9932345</v>
      </c>
      <c r="K785" s="31" t="s">
        <v>2083</v>
      </c>
      <c r="L785" s="31">
        <v>1</v>
      </c>
      <c r="M785" s="31" t="s">
        <v>2084</v>
      </c>
      <c r="N785" s="34">
        <v>1</v>
      </c>
      <c r="O785" s="35">
        <v>0</v>
      </c>
      <c r="P785" s="35">
        <v>1</v>
      </c>
      <c r="Q785" s="35">
        <v>0</v>
      </c>
      <c r="R785" s="36">
        <v>3.19</v>
      </c>
      <c r="S785" s="37">
        <f>IFERROR(_xlfn.XLOOKUP(R785,'1_Presupuesto'!$E:$E,'1_Presupuesto'!$D:$D),"")</f>
        <v>0</v>
      </c>
    </row>
    <row r="786" spans="1:19" x14ac:dyDescent="0.35">
      <c r="A786" s="31" t="s">
        <v>2085</v>
      </c>
      <c r="B786" s="31" t="s">
        <v>478</v>
      </c>
      <c r="C786" s="31" t="s">
        <v>498</v>
      </c>
      <c r="D786" s="31" t="s">
        <v>2086</v>
      </c>
      <c r="E786" s="31" t="s">
        <v>2087</v>
      </c>
      <c r="F786" s="31" t="s">
        <v>481</v>
      </c>
      <c r="G786" s="32">
        <v>1</v>
      </c>
      <c r="H786" s="33">
        <v>0</v>
      </c>
      <c r="I786" s="34">
        <v>246942.14876033101</v>
      </c>
      <c r="J786" s="34">
        <v>246942.14876033101</v>
      </c>
      <c r="K786" s="31" t="s">
        <v>2088</v>
      </c>
      <c r="L786" s="31">
        <v>1</v>
      </c>
      <c r="M786" s="31" t="s">
        <v>2089</v>
      </c>
      <c r="N786" s="34">
        <v>1</v>
      </c>
      <c r="O786" s="35">
        <v>0</v>
      </c>
      <c r="P786" s="35">
        <v>13</v>
      </c>
      <c r="Q786" s="35">
        <v>0</v>
      </c>
      <c r="R786" s="36">
        <v>3.2</v>
      </c>
      <c r="S786" s="37">
        <f>IFERROR(_xlfn.XLOOKUP(R786,'1_Presupuesto'!$E:$E,'1_Presupuesto'!$D:$D),"")</f>
        <v>0</v>
      </c>
    </row>
    <row r="787" spans="1:19" x14ac:dyDescent="0.35">
      <c r="A787" s="31" t="s">
        <v>2090</v>
      </c>
      <c r="B787" s="31" t="s">
        <v>497</v>
      </c>
      <c r="C787" s="31" t="s">
        <v>498</v>
      </c>
      <c r="D787" s="31" t="s">
        <v>2091</v>
      </c>
      <c r="E787" s="31" t="s">
        <v>262</v>
      </c>
      <c r="F787" s="31" t="s">
        <v>261</v>
      </c>
      <c r="G787" s="32">
        <v>1</v>
      </c>
      <c r="H787" s="33">
        <v>0</v>
      </c>
      <c r="I787" s="34">
        <v>55000</v>
      </c>
      <c r="J787" s="34">
        <v>55000</v>
      </c>
      <c r="K787" s="31" t="s">
        <v>2092</v>
      </c>
      <c r="L787" s="31">
        <v>1</v>
      </c>
      <c r="M787" s="31" t="s">
        <v>2093</v>
      </c>
      <c r="N787" s="34">
        <v>1</v>
      </c>
      <c r="O787" s="35">
        <v>0</v>
      </c>
      <c r="P787" s="35">
        <v>3</v>
      </c>
      <c r="Q787" s="35">
        <v>0</v>
      </c>
      <c r="R787" s="36">
        <v>3.21</v>
      </c>
      <c r="S787" s="37">
        <f>IFERROR(_xlfn.XLOOKUP(R787,'1_Presupuesto'!$E:$E,'1_Presupuesto'!$D:$D),"")</f>
        <v>0</v>
      </c>
    </row>
    <row r="788" spans="1:19" x14ac:dyDescent="0.35">
      <c r="A788" s="31" t="s">
        <v>2094</v>
      </c>
      <c r="B788" s="31" t="s">
        <v>497</v>
      </c>
      <c r="C788" s="31" t="s">
        <v>498</v>
      </c>
      <c r="D788" s="31" t="s">
        <v>597</v>
      </c>
      <c r="E788" s="31" t="s">
        <v>598</v>
      </c>
      <c r="F788" s="31" t="s">
        <v>218</v>
      </c>
      <c r="G788" s="32">
        <v>4615.3846149999999</v>
      </c>
      <c r="H788" s="33">
        <v>0</v>
      </c>
      <c r="I788" s="34">
        <v>1</v>
      </c>
      <c r="J788" s="34">
        <v>4615.3846149999999</v>
      </c>
      <c r="K788" s="31" t="s">
        <v>2095</v>
      </c>
      <c r="L788" s="31">
        <v>1</v>
      </c>
      <c r="M788" s="31" t="s">
        <v>2096</v>
      </c>
      <c r="N788" s="34">
        <v>1</v>
      </c>
      <c r="O788" s="35">
        <v>0</v>
      </c>
      <c r="P788" s="35">
        <v>65</v>
      </c>
      <c r="Q788" s="35">
        <v>0</v>
      </c>
      <c r="R788" s="36">
        <v>3.22</v>
      </c>
      <c r="S788" s="37" t="str">
        <f>IFERROR(_xlfn.XLOOKUP(R788,'1_Presupuesto'!$E:$E,'1_Presupuesto'!$D:$D),"")</f>
        <v>Homigón MO</v>
      </c>
    </row>
    <row r="789" spans="1:19" x14ac:dyDescent="0.35">
      <c r="A789" s="31" t="s">
        <v>2094</v>
      </c>
      <c r="B789" s="31" t="s">
        <v>497</v>
      </c>
      <c r="C789" s="31" t="s">
        <v>498</v>
      </c>
      <c r="D789" s="31" t="s">
        <v>2097</v>
      </c>
      <c r="E789" s="31" t="s">
        <v>273</v>
      </c>
      <c r="F789" s="31" t="s">
        <v>261</v>
      </c>
      <c r="G789" s="32">
        <v>4.6154000000000001E-2</v>
      </c>
      <c r="H789" s="33">
        <v>0</v>
      </c>
      <c r="I789" s="34">
        <v>100000</v>
      </c>
      <c r="J789" s="34">
        <v>4615.3999999999996</v>
      </c>
      <c r="K789" s="31" t="s">
        <v>2095</v>
      </c>
      <c r="L789" s="31">
        <v>2</v>
      </c>
      <c r="M789" s="31" t="s">
        <v>2098</v>
      </c>
      <c r="N789" s="34">
        <v>1</v>
      </c>
      <c r="O789" s="35">
        <v>0</v>
      </c>
      <c r="P789" s="35">
        <v>65</v>
      </c>
      <c r="Q789" s="35">
        <v>0</v>
      </c>
      <c r="R789" s="36">
        <v>3.22</v>
      </c>
      <c r="S789" s="37" t="str">
        <f>IFERROR(_xlfn.XLOOKUP(R789,'1_Presupuesto'!$E:$E,'1_Presupuesto'!$D:$D),"")</f>
        <v>Homigón MO</v>
      </c>
    </row>
    <row r="790" spans="1:19" x14ac:dyDescent="0.35">
      <c r="A790" s="31" t="s">
        <v>2094</v>
      </c>
      <c r="B790" s="31" t="s">
        <v>478</v>
      </c>
      <c r="C790" s="31" t="s">
        <v>479</v>
      </c>
      <c r="D790" s="31" t="s">
        <v>1673</v>
      </c>
      <c r="E790" s="31" t="s">
        <v>184</v>
      </c>
      <c r="F790" s="31" t="s">
        <v>481</v>
      </c>
      <c r="G790" s="32">
        <v>9.2308000000000001E-2</v>
      </c>
      <c r="H790" s="33">
        <v>0</v>
      </c>
      <c r="I790" s="34">
        <v>84612.512709566407</v>
      </c>
      <c r="J790" s="34">
        <v>7810.4118231946604</v>
      </c>
      <c r="K790" s="31" t="s">
        <v>2099</v>
      </c>
      <c r="L790" s="31">
        <v>1</v>
      </c>
      <c r="M790" s="31" t="s">
        <v>2100</v>
      </c>
      <c r="N790" s="34">
        <v>1</v>
      </c>
      <c r="O790" s="35">
        <v>9.2308000000000001E-2</v>
      </c>
      <c r="P790" s="35">
        <v>65</v>
      </c>
      <c r="Q790" s="35">
        <v>6.0000200000000001</v>
      </c>
      <c r="R790" s="36">
        <v>3.22</v>
      </c>
      <c r="S790" s="37" t="str">
        <f>IFERROR(_xlfn.XLOOKUP(R790,'1_Presupuesto'!$E:$E,'1_Presupuesto'!$D:$D),"")</f>
        <v>Homigón MO</v>
      </c>
    </row>
    <row r="791" spans="1:19" x14ac:dyDescent="0.35">
      <c r="A791" s="31" t="s">
        <v>2094</v>
      </c>
      <c r="B791" s="31" t="s">
        <v>478</v>
      </c>
      <c r="C791" s="31" t="s">
        <v>479</v>
      </c>
      <c r="D791" s="31" t="s">
        <v>484</v>
      </c>
      <c r="E791" s="31" t="s">
        <v>186</v>
      </c>
      <c r="F791" s="31" t="s">
        <v>481</v>
      </c>
      <c r="G791" s="32">
        <v>0.184615</v>
      </c>
      <c r="H791" s="33">
        <v>0</v>
      </c>
      <c r="I791" s="34">
        <v>67240.498860267602</v>
      </c>
      <c r="J791" s="34">
        <v>12413.6046970883</v>
      </c>
      <c r="K791" s="31" t="s">
        <v>2099</v>
      </c>
      <c r="L791" s="31">
        <v>2</v>
      </c>
      <c r="M791" s="31" t="s">
        <v>2101</v>
      </c>
      <c r="N791" s="34">
        <v>1</v>
      </c>
      <c r="O791" s="35">
        <v>0.184615</v>
      </c>
      <c r="P791" s="35">
        <v>65</v>
      </c>
      <c r="Q791" s="35">
        <v>11.999974999999999</v>
      </c>
      <c r="R791" s="36">
        <v>3.22</v>
      </c>
      <c r="S791" s="37" t="str">
        <f>IFERROR(_xlfn.XLOOKUP(R791,'1_Presupuesto'!$E:$E,'1_Presupuesto'!$D:$D),"")</f>
        <v>Homigón MO</v>
      </c>
    </row>
    <row r="792" spans="1:19" x14ac:dyDescent="0.35">
      <c r="A792" s="31" t="s">
        <v>2094</v>
      </c>
      <c r="B792" s="31" t="s">
        <v>203</v>
      </c>
      <c r="C792" s="31"/>
      <c r="D792" s="31" t="s">
        <v>2102</v>
      </c>
      <c r="E792" s="31" t="s">
        <v>2103</v>
      </c>
      <c r="F792" s="31"/>
      <c r="G792" s="32">
        <v>1</v>
      </c>
      <c r="H792" s="33">
        <v>0</v>
      </c>
      <c r="I792" s="34">
        <v>441.82178367244802</v>
      </c>
      <c r="J792" s="34">
        <v>441.82178367244802</v>
      </c>
      <c r="K792" s="31" t="s">
        <v>2104</v>
      </c>
      <c r="L792" s="31">
        <v>1</v>
      </c>
      <c r="M792" s="31" t="s">
        <v>2105</v>
      </c>
      <c r="N792" s="34">
        <v>1</v>
      </c>
      <c r="O792" s="35">
        <v>0</v>
      </c>
      <c r="P792" s="35">
        <v>65</v>
      </c>
      <c r="Q792" s="35">
        <v>0</v>
      </c>
      <c r="R792" s="36">
        <v>3.22</v>
      </c>
      <c r="S792" s="37" t="str">
        <f>IFERROR(_xlfn.XLOOKUP(R792,'1_Presupuesto'!$E:$E,'1_Presupuesto'!$D:$D),"")</f>
        <v>Homigón MO</v>
      </c>
    </row>
    <row r="793" spans="1:19" x14ac:dyDescent="0.35">
      <c r="A793" s="31" t="s">
        <v>2106</v>
      </c>
      <c r="B793" s="31" t="s">
        <v>497</v>
      </c>
      <c r="C793" s="31" t="s">
        <v>498</v>
      </c>
      <c r="D793" s="31" t="s">
        <v>851</v>
      </c>
      <c r="E793" s="31" t="s">
        <v>852</v>
      </c>
      <c r="F793" s="31">
        <v>0</v>
      </c>
      <c r="G793" s="32">
        <v>15</v>
      </c>
      <c r="H793" s="33">
        <v>0.05</v>
      </c>
      <c r="I793" s="34">
        <v>506.52</v>
      </c>
      <c r="J793" s="34">
        <v>7977.69</v>
      </c>
      <c r="K793" s="31" t="s">
        <v>2107</v>
      </c>
      <c r="L793" s="31">
        <v>1</v>
      </c>
      <c r="M793" s="31" t="s">
        <v>2108</v>
      </c>
      <c r="N793" s="34">
        <v>15</v>
      </c>
      <c r="O793" s="35">
        <v>0</v>
      </c>
      <c r="P793" s="35">
        <v>437</v>
      </c>
      <c r="Q793" s="35">
        <v>0</v>
      </c>
      <c r="R793" s="36">
        <v>4.01</v>
      </c>
      <c r="S793" s="37" t="str">
        <f>IFERROR(_xlfn.XLOOKUP(R793,'1_Presupuesto'!$E:$E,'1_Presupuesto'!$D:$D),"")</f>
        <v>Albañilería MO</v>
      </c>
    </row>
    <row r="794" spans="1:19" x14ac:dyDescent="0.35">
      <c r="A794" s="31" t="s">
        <v>2106</v>
      </c>
      <c r="B794" s="31" t="s">
        <v>497</v>
      </c>
      <c r="C794" s="31" t="s">
        <v>498</v>
      </c>
      <c r="D794" s="31" t="s">
        <v>601</v>
      </c>
      <c r="E794" s="31" t="s">
        <v>602</v>
      </c>
      <c r="F794" s="31">
        <v>0</v>
      </c>
      <c r="G794" s="32">
        <v>0.17</v>
      </c>
      <c r="H794" s="33">
        <v>0.1</v>
      </c>
      <c r="I794" s="34">
        <v>3620.13</v>
      </c>
      <c r="J794" s="34">
        <v>676.96430999999995</v>
      </c>
      <c r="K794" s="31" t="s">
        <v>2107</v>
      </c>
      <c r="L794" s="31">
        <v>2</v>
      </c>
      <c r="M794" s="31" t="s">
        <v>2109</v>
      </c>
      <c r="N794" s="34">
        <v>15</v>
      </c>
      <c r="O794" s="35">
        <v>0</v>
      </c>
      <c r="P794" s="35">
        <v>437</v>
      </c>
      <c r="Q794" s="35">
        <v>0</v>
      </c>
      <c r="R794" s="36">
        <v>4.01</v>
      </c>
      <c r="S794" s="37" t="str">
        <f>IFERROR(_xlfn.XLOOKUP(R794,'1_Presupuesto'!$E:$E,'1_Presupuesto'!$D:$D),"")</f>
        <v>Albañilería MO</v>
      </c>
    </row>
    <row r="795" spans="1:19" x14ac:dyDescent="0.35">
      <c r="A795" s="31" t="s">
        <v>2106</v>
      </c>
      <c r="B795" s="31" t="s">
        <v>497</v>
      </c>
      <c r="C795" s="31" t="s">
        <v>498</v>
      </c>
      <c r="D795" s="31" t="s">
        <v>534</v>
      </c>
      <c r="E795" s="31" t="s">
        <v>535</v>
      </c>
      <c r="F795" s="31">
        <v>0</v>
      </c>
      <c r="G795" s="32">
        <v>1.2E-2</v>
      </c>
      <c r="H795" s="33">
        <v>0.1</v>
      </c>
      <c r="I795" s="34">
        <v>32620.38</v>
      </c>
      <c r="J795" s="34">
        <v>430.58901600000002</v>
      </c>
      <c r="K795" s="31" t="s">
        <v>2107</v>
      </c>
      <c r="L795" s="31">
        <v>3</v>
      </c>
      <c r="M795" s="31" t="s">
        <v>2110</v>
      </c>
      <c r="N795" s="34">
        <v>15</v>
      </c>
      <c r="O795" s="35">
        <v>0</v>
      </c>
      <c r="P795" s="35">
        <v>437</v>
      </c>
      <c r="Q795" s="35">
        <v>0</v>
      </c>
      <c r="R795" s="36">
        <v>4.01</v>
      </c>
      <c r="S795" s="37" t="str">
        <f>IFERROR(_xlfn.XLOOKUP(R795,'1_Presupuesto'!$E:$E,'1_Presupuesto'!$D:$D),"")</f>
        <v>Albañilería MO</v>
      </c>
    </row>
    <row r="796" spans="1:19" x14ac:dyDescent="0.35">
      <c r="A796" s="31" t="s">
        <v>2106</v>
      </c>
      <c r="B796" s="31" t="s">
        <v>497</v>
      </c>
      <c r="C796" s="31" t="s">
        <v>498</v>
      </c>
      <c r="D796" s="31" t="s">
        <v>538</v>
      </c>
      <c r="E796" s="31" t="s">
        <v>539</v>
      </c>
      <c r="F796" s="31">
        <v>0</v>
      </c>
      <c r="G796" s="32">
        <v>0.1</v>
      </c>
      <c r="H796" s="33">
        <v>0.1</v>
      </c>
      <c r="I796" s="34">
        <v>3927.28</v>
      </c>
      <c r="J796" s="34">
        <v>432.00080000000003</v>
      </c>
      <c r="K796" s="31" t="s">
        <v>2107</v>
      </c>
      <c r="L796" s="31">
        <v>4</v>
      </c>
      <c r="M796" s="31" t="s">
        <v>2111</v>
      </c>
      <c r="N796" s="34">
        <v>15</v>
      </c>
      <c r="O796" s="35">
        <v>0</v>
      </c>
      <c r="P796" s="35">
        <v>437</v>
      </c>
      <c r="Q796" s="35">
        <v>0</v>
      </c>
      <c r="R796" s="36">
        <v>4.01</v>
      </c>
      <c r="S796" s="37" t="str">
        <f>IFERROR(_xlfn.XLOOKUP(R796,'1_Presupuesto'!$E:$E,'1_Presupuesto'!$D:$D),"")</f>
        <v>Albañilería MO</v>
      </c>
    </row>
    <row r="797" spans="1:19" x14ac:dyDescent="0.35">
      <c r="A797" s="31" t="s">
        <v>2106</v>
      </c>
      <c r="B797" s="31" t="s">
        <v>497</v>
      </c>
      <c r="C797" s="31" t="s">
        <v>498</v>
      </c>
      <c r="D797" s="31" t="s">
        <v>541</v>
      </c>
      <c r="E797" s="31" t="s">
        <v>542</v>
      </c>
      <c r="F797" s="31">
        <v>0</v>
      </c>
      <c r="G797" s="32">
        <v>0.05</v>
      </c>
      <c r="H797" s="33">
        <v>0.1</v>
      </c>
      <c r="I797" s="34">
        <v>7891.74</v>
      </c>
      <c r="J797" s="34">
        <v>434.04570000000001</v>
      </c>
      <c r="K797" s="31" t="s">
        <v>2107</v>
      </c>
      <c r="L797" s="31">
        <v>5</v>
      </c>
      <c r="M797" s="31" t="s">
        <v>2112</v>
      </c>
      <c r="N797" s="34">
        <v>15</v>
      </c>
      <c r="O797" s="35">
        <v>0</v>
      </c>
      <c r="P797" s="35">
        <v>437</v>
      </c>
      <c r="Q797" s="35">
        <v>0</v>
      </c>
      <c r="R797" s="36">
        <v>4.01</v>
      </c>
      <c r="S797" s="37" t="str">
        <f>IFERROR(_xlfn.XLOOKUP(R797,'1_Presupuesto'!$E:$E,'1_Presupuesto'!$D:$D),"")</f>
        <v>Albañilería MO</v>
      </c>
    </row>
    <row r="798" spans="1:19" x14ac:dyDescent="0.35">
      <c r="A798" s="31" t="s">
        <v>2106</v>
      </c>
      <c r="B798" s="31" t="s">
        <v>497</v>
      </c>
      <c r="C798" s="31" t="s">
        <v>498</v>
      </c>
      <c r="D798" s="31" t="s">
        <v>597</v>
      </c>
      <c r="E798" s="31" t="s">
        <v>598</v>
      </c>
      <c r="F798" s="31" t="s">
        <v>218</v>
      </c>
      <c r="G798" s="32">
        <v>102.4983</v>
      </c>
      <c r="H798" s="33">
        <v>0</v>
      </c>
      <c r="I798" s="34">
        <v>1</v>
      </c>
      <c r="J798" s="34">
        <v>102.4983</v>
      </c>
      <c r="K798" s="31" t="s">
        <v>2107</v>
      </c>
      <c r="L798" s="31">
        <v>6</v>
      </c>
      <c r="M798" s="31" t="s">
        <v>2113</v>
      </c>
      <c r="N798" s="34">
        <v>15</v>
      </c>
      <c r="O798" s="35">
        <v>0</v>
      </c>
      <c r="P798" s="35">
        <v>437</v>
      </c>
      <c r="Q798" s="35">
        <v>0</v>
      </c>
      <c r="R798" s="36">
        <v>4.01</v>
      </c>
      <c r="S798" s="37" t="str">
        <f>IFERROR(_xlfn.XLOOKUP(R798,'1_Presupuesto'!$E:$E,'1_Presupuesto'!$D:$D),"")</f>
        <v>Albañilería MO</v>
      </c>
    </row>
    <row r="799" spans="1:19" x14ac:dyDescent="0.35">
      <c r="A799" s="31" t="s">
        <v>2106</v>
      </c>
      <c r="B799" s="31" t="s">
        <v>478</v>
      </c>
      <c r="C799" s="31" t="s">
        <v>479</v>
      </c>
      <c r="D799" s="31" t="s">
        <v>480</v>
      </c>
      <c r="E799" s="31" t="s">
        <v>183</v>
      </c>
      <c r="F799" s="31" t="s">
        <v>481</v>
      </c>
      <c r="G799" s="32">
        <v>1</v>
      </c>
      <c r="H799" s="33">
        <v>0</v>
      </c>
      <c r="I799" s="34">
        <v>94177.137883538904</v>
      </c>
      <c r="J799" s="34">
        <v>94177.137883538904</v>
      </c>
      <c r="K799" s="31" t="s">
        <v>2114</v>
      </c>
      <c r="L799" s="31">
        <v>1</v>
      </c>
      <c r="M799" s="31" t="s">
        <v>2115</v>
      </c>
      <c r="N799" s="34">
        <v>15</v>
      </c>
      <c r="O799" s="35">
        <v>6.6666666666666693E-2</v>
      </c>
      <c r="P799" s="35">
        <v>437</v>
      </c>
      <c r="Q799" s="35">
        <v>29.133333333333301</v>
      </c>
      <c r="R799" s="36">
        <v>4.01</v>
      </c>
      <c r="S799" s="37" t="str">
        <f>IFERROR(_xlfn.XLOOKUP(R799,'1_Presupuesto'!$E:$E,'1_Presupuesto'!$D:$D),"")</f>
        <v>Albañilería MO</v>
      </c>
    </row>
    <row r="800" spans="1:19" x14ac:dyDescent="0.35">
      <c r="A800" s="31" t="s">
        <v>2106</v>
      </c>
      <c r="B800" s="31" t="s">
        <v>478</v>
      </c>
      <c r="C800" s="31" t="s">
        <v>479</v>
      </c>
      <c r="D800" s="31" t="s">
        <v>484</v>
      </c>
      <c r="E800" s="31" t="s">
        <v>186</v>
      </c>
      <c r="F800" s="31" t="s">
        <v>481</v>
      </c>
      <c r="G800" s="32">
        <v>1</v>
      </c>
      <c r="H800" s="33">
        <v>0</v>
      </c>
      <c r="I800" s="34">
        <v>67240.498860267602</v>
      </c>
      <c r="J800" s="34">
        <v>67240.498860267602</v>
      </c>
      <c r="K800" s="31" t="s">
        <v>2114</v>
      </c>
      <c r="L800" s="31">
        <v>2</v>
      </c>
      <c r="M800" s="31" t="s">
        <v>2116</v>
      </c>
      <c r="N800" s="34">
        <v>15</v>
      </c>
      <c r="O800" s="35">
        <v>6.6666666666666693E-2</v>
      </c>
      <c r="P800" s="35">
        <v>437</v>
      </c>
      <c r="Q800" s="35">
        <v>29.133333333333301</v>
      </c>
      <c r="R800" s="36">
        <v>4.01</v>
      </c>
      <c r="S800" s="37" t="str">
        <f>IFERROR(_xlfn.XLOOKUP(R800,'1_Presupuesto'!$E:$E,'1_Presupuesto'!$D:$D),"")</f>
        <v>Albañilería MO</v>
      </c>
    </row>
    <row r="801" spans="1:19" x14ac:dyDescent="0.35">
      <c r="A801" s="31" t="s">
        <v>2106</v>
      </c>
      <c r="B801" s="31" t="s">
        <v>203</v>
      </c>
      <c r="C801" s="31"/>
      <c r="D801" s="31" t="s">
        <v>609</v>
      </c>
      <c r="E801" s="31" t="s">
        <v>610</v>
      </c>
      <c r="F801" s="31"/>
      <c r="G801" s="32">
        <v>1</v>
      </c>
      <c r="H801" s="33">
        <v>0</v>
      </c>
      <c r="I801" s="34">
        <v>2485.8709964594</v>
      </c>
      <c r="J801" s="34">
        <v>2485.8709964594</v>
      </c>
      <c r="K801" s="31" t="s">
        <v>2117</v>
      </c>
      <c r="L801" s="31">
        <v>1</v>
      </c>
      <c r="M801" s="31" t="s">
        <v>2118</v>
      </c>
      <c r="N801" s="34">
        <v>15</v>
      </c>
      <c r="O801" s="35">
        <v>0</v>
      </c>
      <c r="P801" s="35">
        <v>437</v>
      </c>
      <c r="Q801" s="35">
        <v>0</v>
      </c>
      <c r="R801" s="36">
        <v>4.01</v>
      </c>
      <c r="S801" s="37" t="str">
        <f>IFERROR(_xlfn.XLOOKUP(R801,'1_Presupuesto'!$E:$E,'1_Presupuesto'!$D:$D),"")</f>
        <v>Albañilería MO</v>
      </c>
    </row>
    <row r="802" spans="1:19" x14ac:dyDescent="0.35">
      <c r="A802" s="31" t="s">
        <v>2106</v>
      </c>
      <c r="B802" s="31" t="s">
        <v>203</v>
      </c>
      <c r="C802" s="31"/>
      <c r="D802" s="31" t="s">
        <v>613</v>
      </c>
      <c r="E802" s="31" t="s">
        <v>614</v>
      </c>
      <c r="F802" s="31"/>
      <c r="G802" s="32">
        <v>0.5</v>
      </c>
      <c r="H802" s="33">
        <v>0</v>
      </c>
      <c r="I802" s="34">
        <v>620.81078197718296</v>
      </c>
      <c r="J802" s="34">
        <v>310.40539098859199</v>
      </c>
      <c r="K802" s="31" t="s">
        <v>2117</v>
      </c>
      <c r="L802" s="31">
        <v>2</v>
      </c>
      <c r="M802" s="31" t="s">
        <v>2119</v>
      </c>
      <c r="N802" s="34">
        <v>15</v>
      </c>
      <c r="O802" s="35">
        <v>0</v>
      </c>
      <c r="P802" s="35">
        <v>437</v>
      </c>
      <c r="Q802" s="35">
        <v>0</v>
      </c>
      <c r="R802" s="36">
        <v>4.01</v>
      </c>
      <c r="S802" s="37" t="str">
        <f>IFERROR(_xlfn.XLOOKUP(R802,'1_Presupuesto'!$E:$E,'1_Presupuesto'!$D:$D),"")</f>
        <v>Albañilería MO</v>
      </c>
    </row>
    <row r="803" spans="1:19" x14ac:dyDescent="0.35">
      <c r="A803" s="31" t="s">
        <v>2106</v>
      </c>
      <c r="B803" s="31" t="s">
        <v>203</v>
      </c>
      <c r="C803" s="31"/>
      <c r="D803" s="31" t="s">
        <v>616</v>
      </c>
      <c r="E803" s="31" t="s">
        <v>617</v>
      </c>
      <c r="F803" s="31"/>
      <c r="G803" s="32">
        <v>1</v>
      </c>
      <c r="H803" s="33">
        <v>0</v>
      </c>
      <c r="I803" s="34">
        <v>1040.43144867052</v>
      </c>
      <c r="J803" s="34">
        <v>1040.43144867052</v>
      </c>
      <c r="K803" s="31" t="s">
        <v>2117</v>
      </c>
      <c r="L803" s="31">
        <v>3</v>
      </c>
      <c r="M803" s="31" t="s">
        <v>2120</v>
      </c>
      <c r="N803" s="34">
        <v>15</v>
      </c>
      <c r="O803" s="35">
        <v>0</v>
      </c>
      <c r="P803" s="35">
        <v>437</v>
      </c>
      <c r="Q803" s="35">
        <v>0</v>
      </c>
      <c r="R803" s="36">
        <v>4.01</v>
      </c>
      <c r="S803" s="37" t="str">
        <f>IFERROR(_xlfn.XLOOKUP(R803,'1_Presupuesto'!$E:$E,'1_Presupuesto'!$D:$D),"")</f>
        <v>Albañilería MO</v>
      </c>
    </row>
    <row r="804" spans="1:19" x14ac:dyDescent="0.35">
      <c r="A804" s="31" t="s">
        <v>2121</v>
      </c>
      <c r="B804" s="31" t="s">
        <v>497</v>
      </c>
      <c r="C804" s="31" t="s">
        <v>498</v>
      </c>
      <c r="D804" s="31" t="s">
        <v>925</v>
      </c>
      <c r="E804" s="31" t="s">
        <v>926</v>
      </c>
      <c r="F804" s="31">
        <v>0</v>
      </c>
      <c r="G804" s="32">
        <v>15</v>
      </c>
      <c r="H804" s="33">
        <v>0.05</v>
      </c>
      <c r="I804" s="34">
        <v>977.76</v>
      </c>
      <c r="J804" s="34">
        <v>15399.72</v>
      </c>
      <c r="K804" s="31" t="s">
        <v>2122</v>
      </c>
      <c r="L804" s="31">
        <v>1</v>
      </c>
      <c r="M804" s="31" t="s">
        <v>2123</v>
      </c>
      <c r="N804" s="34">
        <v>15</v>
      </c>
      <c r="O804" s="35">
        <v>0</v>
      </c>
      <c r="P804" s="35">
        <v>723</v>
      </c>
      <c r="Q804" s="35">
        <v>0</v>
      </c>
      <c r="R804" s="36">
        <v>4.0199999999999996</v>
      </c>
      <c r="S804" s="37" t="str">
        <f>IFERROR(_xlfn.XLOOKUP(R804,'1_Presupuesto'!$E:$E,'1_Presupuesto'!$D:$D),"")</f>
        <v>Albañilería MO</v>
      </c>
    </row>
    <row r="805" spans="1:19" x14ac:dyDescent="0.35">
      <c r="A805" s="31" t="s">
        <v>2121</v>
      </c>
      <c r="B805" s="31" t="s">
        <v>497</v>
      </c>
      <c r="C805" s="31" t="s">
        <v>498</v>
      </c>
      <c r="D805" s="31" t="s">
        <v>601</v>
      </c>
      <c r="E805" s="31" t="s">
        <v>602</v>
      </c>
      <c r="F805" s="31">
        <v>0</v>
      </c>
      <c r="G805" s="32">
        <v>0.17</v>
      </c>
      <c r="H805" s="33">
        <v>0.1</v>
      </c>
      <c r="I805" s="34">
        <v>3620.13</v>
      </c>
      <c r="J805" s="34">
        <v>676.96430999999995</v>
      </c>
      <c r="K805" s="31" t="s">
        <v>2122</v>
      </c>
      <c r="L805" s="31">
        <v>2</v>
      </c>
      <c r="M805" s="31" t="s">
        <v>2124</v>
      </c>
      <c r="N805" s="34">
        <v>15</v>
      </c>
      <c r="O805" s="35">
        <v>0</v>
      </c>
      <c r="P805" s="35">
        <v>723</v>
      </c>
      <c r="Q805" s="35">
        <v>0</v>
      </c>
      <c r="R805" s="36">
        <v>4.0199999999999996</v>
      </c>
      <c r="S805" s="37" t="str">
        <f>IFERROR(_xlfn.XLOOKUP(R805,'1_Presupuesto'!$E:$E,'1_Presupuesto'!$D:$D),"")</f>
        <v>Albañilería MO</v>
      </c>
    </row>
    <row r="806" spans="1:19" x14ac:dyDescent="0.35">
      <c r="A806" s="31" t="s">
        <v>2121</v>
      </c>
      <c r="B806" s="31" t="s">
        <v>497</v>
      </c>
      <c r="C806" s="31" t="s">
        <v>498</v>
      </c>
      <c r="D806" s="31" t="s">
        <v>538</v>
      </c>
      <c r="E806" s="31" t="s">
        <v>539</v>
      </c>
      <c r="F806" s="31">
        <v>0</v>
      </c>
      <c r="G806" s="32">
        <v>0.15</v>
      </c>
      <c r="H806" s="33">
        <v>0.1</v>
      </c>
      <c r="I806" s="34">
        <v>3927.28</v>
      </c>
      <c r="J806" s="34">
        <v>648.00120000000004</v>
      </c>
      <c r="K806" s="31" t="s">
        <v>2122</v>
      </c>
      <c r="L806" s="31">
        <v>3</v>
      </c>
      <c r="M806" s="31" t="s">
        <v>2125</v>
      </c>
      <c r="N806" s="34">
        <v>15</v>
      </c>
      <c r="O806" s="35">
        <v>0</v>
      </c>
      <c r="P806" s="35">
        <v>723</v>
      </c>
      <c r="Q806" s="35">
        <v>0</v>
      </c>
      <c r="R806" s="36">
        <v>4.0199999999999996</v>
      </c>
      <c r="S806" s="37" t="str">
        <f>IFERROR(_xlfn.XLOOKUP(R806,'1_Presupuesto'!$E:$E,'1_Presupuesto'!$D:$D),"")</f>
        <v>Albañilería MO</v>
      </c>
    </row>
    <row r="807" spans="1:19" x14ac:dyDescent="0.35">
      <c r="A807" s="31" t="s">
        <v>2121</v>
      </c>
      <c r="B807" s="31" t="s">
        <v>497</v>
      </c>
      <c r="C807" s="31" t="s">
        <v>498</v>
      </c>
      <c r="D807" s="31" t="s">
        <v>541</v>
      </c>
      <c r="E807" s="31" t="s">
        <v>542</v>
      </c>
      <c r="F807" s="31">
        <v>0</v>
      </c>
      <c r="G807" s="32">
        <v>7.4999999999999997E-2</v>
      </c>
      <c r="H807" s="33">
        <v>0.1</v>
      </c>
      <c r="I807" s="34">
        <v>7891.74</v>
      </c>
      <c r="J807" s="34">
        <v>651.06854999999996</v>
      </c>
      <c r="K807" s="31" t="s">
        <v>2122</v>
      </c>
      <c r="L807" s="31">
        <v>4</v>
      </c>
      <c r="M807" s="31" t="s">
        <v>2126</v>
      </c>
      <c r="N807" s="34">
        <v>15</v>
      </c>
      <c r="O807" s="35">
        <v>0</v>
      </c>
      <c r="P807" s="35">
        <v>723</v>
      </c>
      <c r="Q807" s="35">
        <v>0</v>
      </c>
      <c r="R807" s="36">
        <v>4.0199999999999996</v>
      </c>
      <c r="S807" s="37" t="str">
        <f>IFERROR(_xlfn.XLOOKUP(R807,'1_Presupuesto'!$E:$E,'1_Presupuesto'!$D:$D),"")</f>
        <v>Albañilería MO</v>
      </c>
    </row>
    <row r="808" spans="1:19" x14ac:dyDescent="0.35">
      <c r="A808" s="31" t="s">
        <v>2121</v>
      </c>
      <c r="B808" s="31" t="s">
        <v>497</v>
      </c>
      <c r="C808" s="31" t="s">
        <v>498</v>
      </c>
      <c r="D808" s="31" t="s">
        <v>534</v>
      </c>
      <c r="E808" s="31" t="s">
        <v>535</v>
      </c>
      <c r="F808" s="31">
        <v>0</v>
      </c>
      <c r="G808" s="32">
        <v>1.7999999999999999E-2</v>
      </c>
      <c r="H808" s="33">
        <v>0.1</v>
      </c>
      <c r="I808" s="34">
        <v>32620.38</v>
      </c>
      <c r="J808" s="34">
        <v>645.88352399999997</v>
      </c>
      <c r="K808" s="31" t="s">
        <v>2122</v>
      </c>
      <c r="L808" s="31">
        <v>5</v>
      </c>
      <c r="M808" s="31" t="s">
        <v>2127</v>
      </c>
      <c r="N808" s="34">
        <v>15</v>
      </c>
      <c r="O808" s="35">
        <v>0</v>
      </c>
      <c r="P808" s="35">
        <v>723</v>
      </c>
      <c r="Q808" s="35">
        <v>0</v>
      </c>
      <c r="R808" s="36">
        <v>4.0199999999999996</v>
      </c>
      <c r="S808" s="37" t="str">
        <f>IFERROR(_xlfn.XLOOKUP(R808,'1_Presupuesto'!$E:$E,'1_Presupuesto'!$D:$D),"")</f>
        <v>Albañilería MO</v>
      </c>
    </row>
    <row r="809" spans="1:19" x14ac:dyDescent="0.35">
      <c r="A809" s="31" t="s">
        <v>2121</v>
      </c>
      <c r="B809" s="31" t="s">
        <v>497</v>
      </c>
      <c r="C809" s="31" t="s">
        <v>498</v>
      </c>
      <c r="D809" s="31" t="s">
        <v>597</v>
      </c>
      <c r="E809" s="31" t="s">
        <v>598</v>
      </c>
      <c r="F809" s="31" t="s">
        <v>218</v>
      </c>
      <c r="G809" s="32">
        <v>185.62289999999999</v>
      </c>
      <c r="H809" s="33">
        <v>0</v>
      </c>
      <c r="I809" s="34">
        <v>1</v>
      </c>
      <c r="J809" s="34">
        <v>185.62289999999999</v>
      </c>
      <c r="K809" s="31" t="s">
        <v>2122</v>
      </c>
      <c r="L809" s="31">
        <v>6</v>
      </c>
      <c r="M809" s="31" t="s">
        <v>2128</v>
      </c>
      <c r="N809" s="34">
        <v>15</v>
      </c>
      <c r="O809" s="35">
        <v>0</v>
      </c>
      <c r="P809" s="35">
        <v>723</v>
      </c>
      <c r="Q809" s="35">
        <v>0</v>
      </c>
      <c r="R809" s="36">
        <v>4.0199999999999996</v>
      </c>
      <c r="S809" s="37" t="str">
        <f>IFERROR(_xlfn.XLOOKUP(R809,'1_Presupuesto'!$E:$E,'1_Presupuesto'!$D:$D),"")</f>
        <v>Albañilería MO</v>
      </c>
    </row>
    <row r="810" spans="1:19" x14ac:dyDescent="0.35">
      <c r="A810" s="31" t="s">
        <v>2121</v>
      </c>
      <c r="B810" s="31" t="s">
        <v>478</v>
      </c>
      <c r="C810" s="31" t="s">
        <v>479</v>
      </c>
      <c r="D810" s="31" t="s">
        <v>480</v>
      </c>
      <c r="E810" s="31" t="s">
        <v>183</v>
      </c>
      <c r="F810" s="31" t="s">
        <v>481</v>
      </c>
      <c r="G810" s="32">
        <v>1</v>
      </c>
      <c r="H810" s="33">
        <v>0</v>
      </c>
      <c r="I810" s="34">
        <v>94177.137883538904</v>
      </c>
      <c r="J810" s="34">
        <v>94177.137883538904</v>
      </c>
      <c r="K810" s="31" t="s">
        <v>2129</v>
      </c>
      <c r="L810" s="31">
        <v>1</v>
      </c>
      <c r="M810" s="31" t="s">
        <v>2130</v>
      </c>
      <c r="N810" s="34">
        <v>15</v>
      </c>
      <c r="O810" s="35">
        <v>6.6666666666666693E-2</v>
      </c>
      <c r="P810" s="35">
        <v>723</v>
      </c>
      <c r="Q810" s="35">
        <v>48.2</v>
      </c>
      <c r="R810" s="36">
        <v>4.0199999999999996</v>
      </c>
      <c r="S810" s="37" t="str">
        <f>IFERROR(_xlfn.XLOOKUP(R810,'1_Presupuesto'!$E:$E,'1_Presupuesto'!$D:$D),"")</f>
        <v>Albañilería MO</v>
      </c>
    </row>
    <row r="811" spans="1:19" x14ac:dyDescent="0.35">
      <c r="A811" s="31" t="s">
        <v>2121</v>
      </c>
      <c r="B811" s="31" t="s">
        <v>478</v>
      </c>
      <c r="C811" s="31" t="s">
        <v>479</v>
      </c>
      <c r="D811" s="31" t="s">
        <v>484</v>
      </c>
      <c r="E811" s="31" t="s">
        <v>186</v>
      </c>
      <c r="F811" s="31" t="s">
        <v>481</v>
      </c>
      <c r="G811" s="32">
        <v>1</v>
      </c>
      <c r="H811" s="33">
        <v>0</v>
      </c>
      <c r="I811" s="34">
        <v>67240.498860267602</v>
      </c>
      <c r="J811" s="34">
        <v>67240.498860267602</v>
      </c>
      <c r="K811" s="31" t="s">
        <v>2129</v>
      </c>
      <c r="L811" s="31">
        <v>2</v>
      </c>
      <c r="M811" s="31" t="s">
        <v>2131</v>
      </c>
      <c r="N811" s="34">
        <v>15</v>
      </c>
      <c r="O811" s="35">
        <v>6.6666666666666693E-2</v>
      </c>
      <c r="P811" s="35">
        <v>723</v>
      </c>
      <c r="Q811" s="35">
        <v>48.2</v>
      </c>
      <c r="R811" s="36">
        <v>4.0199999999999996</v>
      </c>
      <c r="S811" s="37" t="str">
        <f>IFERROR(_xlfn.XLOOKUP(R811,'1_Presupuesto'!$E:$E,'1_Presupuesto'!$D:$D),"")</f>
        <v>Albañilería MO</v>
      </c>
    </row>
    <row r="812" spans="1:19" x14ac:dyDescent="0.35">
      <c r="A812" s="31" t="s">
        <v>2121</v>
      </c>
      <c r="B812" s="31" t="s">
        <v>203</v>
      </c>
      <c r="C812" s="31"/>
      <c r="D812" s="31" t="s">
        <v>609</v>
      </c>
      <c r="E812" s="31" t="s">
        <v>610</v>
      </c>
      <c r="F812" s="31"/>
      <c r="G812" s="32">
        <v>1</v>
      </c>
      <c r="H812" s="33">
        <v>0</v>
      </c>
      <c r="I812" s="34">
        <v>2485.8709964594</v>
      </c>
      <c r="J812" s="34">
        <v>2485.8709964594</v>
      </c>
      <c r="K812" s="31" t="s">
        <v>2132</v>
      </c>
      <c r="L812" s="31">
        <v>1</v>
      </c>
      <c r="M812" s="31" t="s">
        <v>2133</v>
      </c>
      <c r="N812" s="34">
        <v>15</v>
      </c>
      <c r="O812" s="35">
        <v>0</v>
      </c>
      <c r="P812" s="35">
        <v>723</v>
      </c>
      <c r="Q812" s="35">
        <v>0</v>
      </c>
      <c r="R812" s="36">
        <v>4.0199999999999996</v>
      </c>
      <c r="S812" s="37" t="str">
        <f>IFERROR(_xlfn.XLOOKUP(R812,'1_Presupuesto'!$E:$E,'1_Presupuesto'!$D:$D),"")</f>
        <v>Albañilería MO</v>
      </c>
    </row>
    <row r="813" spans="1:19" x14ac:dyDescent="0.35">
      <c r="A813" s="31" t="s">
        <v>2121</v>
      </c>
      <c r="B813" s="31" t="s">
        <v>203</v>
      </c>
      <c r="C813" s="31"/>
      <c r="D813" s="31" t="s">
        <v>613</v>
      </c>
      <c r="E813" s="31" t="s">
        <v>614</v>
      </c>
      <c r="F813" s="31"/>
      <c r="G813" s="32">
        <v>0.5</v>
      </c>
      <c r="H813" s="33">
        <v>0</v>
      </c>
      <c r="I813" s="34">
        <v>620.81078197718296</v>
      </c>
      <c r="J813" s="34">
        <v>310.40539098859199</v>
      </c>
      <c r="K813" s="31" t="s">
        <v>2132</v>
      </c>
      <c r="L813" s="31">
        <v>2</v>
      </c>
      <c r="M813" s="31" t="s">
        <v>2134</v>
      </c>
      <c r="N813" s="34">
        <v>15</v>
      </c>
      <c r="O813" s="35">
        <v>0</v>
      </c>
      <c r="P813" s="35">
        <v>723</v>
      </c>
      <c r="Q813" s="35">
        <v>0</v>
      </c>
      <c r="R813" s="36">
        <v>4.0199999999999996</v>
      </c>
      <c r="S813" s="37" t="str">
        <f>IFERROR(_xlfn.XLOOKUP(R813,'1_Presupuesto'!$E:$E,'1_Presupuesto'!$D:$D),"")</f>
        <v>Albañilería MO</v>
      </c>
    </row>
    <row r="814" spans="1:19" x14ac:dyDescent="0.35">
      <c r="A814" s="31" t="s">
        <v>2121</v>
      </c>
      <c r="B814" s="31" t="s">
        <v>203</v>
      </c>
      <c r="C814" s="31"/>
      <c r="D814" s="31" t="s">
        <v>616</v>
      </c>
      <c r="E814" s="31" t="s">
        <v>617</v>
      </c>
      <c r="F814" s="31"/>
      <c r="G814" s="32">
        <v>1</v>
      </c>
      <c r="H814" s="33">
        <v>0</v>
      </c>
      <c r="I814" s="34">
        <v>1040.43144867052</v>
      </c>
      <c r="J814" s="34">
        <v>1040.43144867052</v>
      </c>
      <c r="K814" s="31" t="s">
        <v>2132</v>
      </c>
      <c r="L814" s="31">
        <v>3</v>
      </c>
      <c r="M814" s="31" t="s">
        <v>2135</v>
      </c>
      <c r="N814" s="34">
        <v>15</v>
      </c>
      <c r="O814" s="35">
        <v>0</v>
      </c>
      <c r="P814" s="35">
        <v>723</v>
      </c>
      <c r="Q814" s="35">
        <v>0</v>
      </c>
      <c r="R814" s="36">
        <v>4.0199999999999996</v>
      </c>
      <c r="S814" s="37" t="str">
        <f>IFERROR(_xlfn.XLOOKUP(R814,'1_Presupuesto'!$E:$E,'1_Presupuesto'!$D:$D),"")</f>
        <v>Albañilería MO</v>
      </c>
    </row>
    <row r="815" spans="1:19" x14ac:dyDescent="0.35">
      <c r="A815" s="31" t="s">
        <v>2136</v>
      </c>
      <c r="B815" s="31" t="s">
        <v>497</v>
      </c>
      <c r="C815" s="31" t="s">
        <v>498</v>
      </c>
      <c r="D815" s="31" t="s">
        <v>601</v>
      </c>
      <c r="E815" s="31" t="s">
        <v>602</v>
      </c>
      <c r="F815" s="31">
        <v>0</v>
      </c>
      <c r="G815" s="32">
        <v>0.17</v>
      </c>
      <c r="H815" s="33">
        <v>0.1</v>
      </c>
      <c r="I815" s="34">
        <v>3620.13</v>
      </c>
      <c r="J815" s="34">
        <v>676.96430999999995</v>
      </c>
      <c r="K815" s="31" t="s">
        <v>2137</v>
      </c>
      <c r="L815" s="31">
        <v>1</v>
      </c>
      <c r="M815" s="31" t="s">
        <v>2138</v>
      </c>
      <c r="N815" s="34">
        <v>15</v>
      </c>
      <c r="O815" s="35">
        <v>0</v>
      </c>
      <c r="P815" s="35">
        <v>1008</v>
      </c>
      <c r="Q815" s="35">
        <v>0</v>
      </c>
      <c r="R815" s="36">
        <v>4.03</v>
      </c>
      <c r="S815" s="37" t="str">
        <f>IFERROR(_xlfn.XLOOKUP(R815,'1_Presupuesto'!$E:$E,'1_Presupuesto'!$D:$D),"")</f>
        <v>Albañilería MO</v>
      </c>
    </row>
    <row r="816" spans="1:19" x14ac:dyDescent="0.35">
      <c r="A816" s="31" t="s">
        <v>2136</v>
      </c>
      <c r="B816" s="31" t="s">
        <v>497</v>
      </c>
      <c r="C816" s="31" t="s">
        <v>498</v>
      </c>
      <c r="D816" s="31" t="s">
        <v>870</v>
      </c>
      <c r="E816" s="31" t="s">
        <v>871</v>
      </c>
      <c r="F816" s="31">
        <v>0</v>
      </c>
      <c r="G816" s="32">
        <v>15</v>
      </c>
      <c r="H816" s="33">
        <v>0.05</v>
      </c>
      <c r="I816" s="34">
        <v>624.96</v>
      </c>
      <c r="J816" s="34">
        <v>9843.1200000000008</v>
      </c>
      <c r="K816" s="31" t="s">
        <v>2137</v>
      </c>
      <c r="L816" s="31">
        <v>2</v>
      </c>
      <c r="M816" s="31" t="s">
        <v>2139</v>
      </c>
      <c r="N816" s="34">
        <v>15</v>
      </c>
      <c r="O816" s="35">
        <v>0</v>
      </c>
      <c r="P816" s="35">
        <v>1008</v>
      </c>
      <c r="Q816" s="35">
        <v>0</v>
      </c>
      <c r="R816" s="36">
        <v>4.03</v>
      </c>
      <c r="S816" s="37" t="str">
        <f>IFERROR(_xlfn.XLOOKUP(R816,'1_Presupuesto'!$E:$E,'1_Presupuesto'!$D:$D),"")</f>
        <v>Albañilería MO</v>
      </c>
    </row>
    <row r="817" spans="1:19" x14ac:dyDescent="0.35">
      <c r="A817" s="31" t="s">
        <v>2136</v>
      </c>
      <c r="B817" s="31" t="s">
        <v>497</v>
      </c>
      <c r="C817" s="31" t="s">
        <v>498</v>
      </c>
      <c r="D817" s="31" t="s">
        <v>538</v>
      </c>
      <c r="E817" s="31" t="s">
        <v>539</v>
      </c>
      <c r="F817" s="31">
        <v>0</v>
      </c>
      <c r="G817" s="32">
        <v>0.15</v>
      </c>
      <c r="H817" s="33">
        <v>0.1</v>
      </c>
      <c r="I817" s="34">
        <v>3927.28</v>
      </c>
      <c r="J817" s="34">
        <v>648.00120000000004</v>
      </c>
      <c r="K817" s="31" t="s">
        <v>2137</v>
      </c>
      <c r="L817" s="31">
        <v>3</v>
      </c>
      <c r="M817" s="31" t="s">
        <v>2140</v>
      </c>
      <c r="N817" s="34">
        <v>15</v>
      </c>
      <c r="O817" s="35">
        <v>0</v>
      </c>
      <c r="P817" s="35">
        <v>1008</v>
      </c>
      <c r="Q817" s="35">
        <v>0</v>
      </c>
      <c r="R817" s="36">
        <v>4.03</v>
      </c>
      <c r="S817" s="37" t="str">
        <f>IFERROR(_xlfn.XLOOKUP(R817,'1_Presupuesto'!$E:$E,'1_Presupuesto'!$D:$D),"")</f>
        <v>Albañilería MO</v>
      </c>
    </row>
    <row r="818" spans="1:19" x14ac:dyDescent="0.35">
      <c r="A818" s="31" t="s">
        <v>2136</v>
      </c>
      <c r="B818" s="31" t="s">
        <v>497</v>
      </c>
      <c r="C818" s="31" t="s">
        <v>498</v>
      </c>
      <c r="D818" s="31" t="s">
        <v>541</v>
      </c>
      <c r="E818" s="31" t="s">
        <v>542</v>
      </c>
      <c r="F818" s="31">
        <v>0</v>
      </c>
      <c r="G818" s="32">
        <v>7.4999999999999997E-2</v>
      </c>
      <c r="H818" s="33">
        <v>0.1</v>
      </c>
      <c r="I818" s="34">
        <v>7891.74</v>
      </c>
      <c r="J818" s="34">
        <v>651.06854999999996</v>
      </c>
      <c r="K818" s="31" t="s">
        <v>2137</v>
      </c>
      <c r="L818" s="31">
        <v>4</v>
      </c>
      <c r="M818" s="31" t="s">
        <v>2141</v>
      </c>
      <c r="N818" s="34">
        <v>15</v>
      </c>
      <c r="O818" s="35">
        <v>0</v>
      </c>
      <c r="P818" s="35">
        <v>1008</v>
      </c>
      <c r="Q818" s="35">
        <v>0</v>
      </c>
      <c r="R818" s="36">
        <v>4.03</v>
      </c>
      <c r="S818" s="37" t="str">
        <f>IFERROR(_xlfn.XLOOKUP(R818,'1_Presupuesto'!$E:$E,'1_Presupuesto'!$D:$D),"")</f>
        <v>Albañilería MO</v>
      </c>
    </row>
    <row r="819" spans="1:19" x14ac:dyDescent="0.35">
      <c r="A819" s="31" t="s">
        <v>2136</v>
      </c>
      <c r="B819" s="31" t="s">
        <v>497</v>
      </c>
      <c r="C819" s="31" t="s">
        <v>498</v>
      </c>
      <c r="D819" s="31" t="s">
        <v>534</v>
      </c>
      <c r="E819" s="31" t="s">
        <v>535</v>
      </c>
      <c r="F819" s="31">
        <v>0</v>
      </c>
      <c r="G819" s="32">
        <v>1.7999999999999999E-2</v>
      </c>
      <c r="H819" s="33">
        <v>0.1</v>
      </c>
      <c r="I819" s="34">
        <v>32620.38</v>
      </c>
      <c r="J819" s="34">
        <v>645.88352399999997</v>
      </c>
      <c r="K819" s="31" t="s">
        <v>2137</v>
      </c>
      <c r="L819" s="31">
        <v>5</v>
      </c>
      <c r="M819" s="31" t="s">
        <v>2142</v>
      </c>
      <c r="N819" s="34">
        <v>15</v>
      </c>
      <c r="O819" s="35">
        <v>0</v>
      </c>
      <c r="P819" s="35">
        <v>1008</v>
      </c>
      <c r="Q819" s="35">
        <v>0</v>
      </c>
      <c r="R819" s="36">
        <v>4.03</v>
      </c>
      <c r="S819" s="37" t="str">
        <f>IFERROR(_xlfn.XLOOKUP(R819,'1_Presupuesto'!$E:$E,'1_Presupuesto'!$D:$D),"")</f>
        <v>Albañilería MO</v>
      </c>
    </row>
    <row r="820" spans="1:19" x14ac:dyDescent="0.35">
      <c r="A820" s="31" t="s">
        <v>2136</v>
      </c>
      <c r="B820" s="31" t="s">
        <v>497</v>
      </c>
      <c r="C820" s="31" t="s">
        <v>498</v>
      </c>
      <c r="D820" s="31" t="s">
        <v>597</v>
      </c>
      <c r="E820" s="31" t="s">
        <v>598</v>
      </c>
      <c r="F820" s="31" t="s">
        <v>218</v>
      </c>
      <c r="G820" s="32">
        <v>0.01</v>
      </c>
      <c r="H820" s="33">
        <v>0</v>
      </c>
      <c r="I820" s="34">
        <v>1</v>
      </c>
      <c r="J820" s="34">
        <v>0.01</v>
      </c>
      <c r="K820" s="31" t="s">
        <v>2137</v>
      </c>
      <c r="L820" s="31">
        <v>6</v>
      </c>
      <c r="M820" s="31" t="s">
        <v>2143</v>
      </c>
      <c r="N820" s="34">
        <v>15</v>
      </c>
      <c r="O820" s="35">
        <v>0</v>
      </c>
      <c r="P820" s="35">
        <v>1008</v>
      </c>
      <c r="Q820" s="35">
        <v>0</v>
      </c>
      <c r="R820" s="36">
        <v>4.03</v>
      </c>
      <c r="S820" s="37" t="str">
        <f>IFERROR(_xlfn.XLOOKUP(R820,'1_Presupuesto'!$E:$E,'1_Presupuesto'!$D:$D),"")</f>
        <v>Albañilería MO</v>
      </c>
    </row>
    <row r="821" spans="1:19" x14ac:dyDescent="0.35">
      <c r="A821" s="31" t="s">
        <v>2136</v>
      </c>
      <c r="B821" s="31" t="s">
        <v>478</v>
      </c>
      <c r="C821" s="31" t="s">
        <v>479</v>
      </c>
      <c r="D821" s="31" t="s">
        <v>480</v>
      </c>
      <c r="E821" s="31" t="s">
        <v>183</v>
      </c>
      <c r="F821" s="31" t="s">
        <v>481</v>
      </c>
      <c r="G821" s="32">
        <v>1</v>
      </c>
      <c r="H821" s="33">
        <v>0</v>
      </c>
      <c r="I821" s="34">
        <v>94177.137883538904</v>
      </c>
      <c r="J821" s="34">
        <v>94177.137883538904</v>
      </c>
      <c r="K821" s="31" t="s">
        <v>2144</v>
      </c>
      <c r="L821" s="31">
        <v>1</v>
      </c>
      <c r="M821" s="31" t="s">
        <v>2145</v>
      </c>
      <c r="N821" s="34">
        <v>15</v>
      </c>
      <c r="O821" s="35">
        <v>6.6666666666666693E-2</v>
      </c>
      <c r="P821" s="35">
        <v>1008</v>
      </c>
      <c r="Q821" s="35">
        <v>67.2</v>
      </c>
      <c r="R821" s="36">
        <v>4.03</v>
      </c>
      <c r="S821" s="37" t="str">
        <f>IFERROR(_xlfn.XLOOKUP(R821,'1_Presupuesto'!$E:$E,'1_Presupuesto'!$D:$D),"")</f>
        <v>Albañilería MO</v>
      </c>
    </row>
    <row r="822" spans="1:19" x14ac:dyDescent="0.35">
      <c r="A822" s="31" t="s">
        <v>2136</v>
      </c>
      <c r="B822" s="31" t="s">
        <v>478</v>
      </c>
      <c r="C822" s="31" t="s">
        <v>479</v>
      </c>
      <c r="D822" s="31" t="s">
        <v>484</v>
      </c>
      <c r="E822" s="31" t="s">
        <v>186</v>
      </c>
      <c r="F822" s="31" t="s">
        <v>481</v>
      </c>
      <c r="G822" s="32">
        <v>1</v>
      </c>
      <c r="H822" s="33">
        <v>0</v>
      </c>
      <c r="I822" s="34">
        <v>67240.498860267602</v>
      </c>
      <c r="J822" s="34">
        <v>67240.498860267602</v>
      </c>
      <c r="K822" s="31" t="s">
        <v>2144</v>
      </c>
      <c r="L822" s="31">
        <v>2</v>
      </c>
      <c r="M822" s="31" t="s">
        <v>2146</v>
      </c>
      <c r="N822" s="34">
        <v>15</v>
      </c>
      <c r="O822" s="35">
        <v>6.6666666666666693E-2</v>
      </c>
      <c r="P822" s="35">
        <v>1008</v>
      </c>
      <c r="Q822" s="35">
        <v>67.2</v>
      </c>
      <c r="R822" s="36">
        <v>4.03</v>
      </c>
      <c r="S822" s="37" t="str">
        <f>IFERROR(_xlfn.XLOOKUP(R822,'1_Presupuesto'!$E:$E,'1_Presupuesto'!$D:$D),"")</f>
        <v>Albañilería MO</v>
      </c>
    </row>
    <row r="823" spans="1:19" x14ac:dyDescent="0.35">
      <c r="A823" s="31" t="s">
        <v>2136</v>
      </c>
      <c r="B823" s="31" t="s">
        <v>203</v>
      </c>
      <c r="C823" s="31"/>
      <c r="D823" s="31" t="s">
        <v>609</v>
      </c>
      <c r="E823" s="31" t="s">
        <v>610</v>
      </c>
      <c r="F823" s="31"/>
      <c r="G823" s="32">
        <v>1</v>
      </c>
      <c r="H823" s="33">
        <v>0</v>
      </c>
      <c r="I823" s="34">
        <v>2485.8709964594</v>
      </c>
      <c r="J823" s="34">
        <v>2485.8709964594</v>
      </c>
      <c r="K823" s="31" t="s">
        <v>2147</v>
      </c>
      <c r="L823" s="31">
        <v>1</v>
      </c>
      <c r="M823" s="31" t="s">
        <v>2148</v>
      </c>
      <c r="N823" s="34">
        <v>15</v>
      </c>
      <c r="O823" s="35">
        <v>0</v>
      </c>
      <c r="P823" s="35">
        <v>1008</v>
      </c>
      <c r="Q823" s="35">
        <v>0</v>
      </c>
      <c r="R823" s="36">
        <v>4.03</v>
      </c>
      <c r="S823" s="37" t="str">
        <f>IFERROR(_xlfn.XLOOKUP(R823,'1_Presupuesto'!$E:$E,'1_Presupuesto'!$D:$D),"")</f>
        <v>Albañilería MO</v>
      </c>
    </row>
    <row r="824" spans="1:19" x14ac:dyDescent="0.35">
      <c r="A824" s="31" t="s">
        <v>2136</v>
      </c>
      <c r="B824" s="31" t="s">
        <v>203</v>
      </c>
      <c r="C824" s="31"/>
      <c r="D824" s="31" t="s">
        <v>613</v>
      </c>
      <c r="E824" s="31" t="s">
        <v>614</v>
      </c>
      <c r="F824" s="31"/>
      <c r="G824" s="32">
        <v>0.5</v>
      </c>
      <c r="H824" s="33">
        <v>0</v>
      </c>
      <c r="I824" s="34">
        <v>620.81078197718296</v>
      </c>
      <c r="J824" s="34">
        <v>310.40539098859199</v>
      </c>
      <c r="K824" s="31" t="s">
        <v>2147</v>
      </c>
      <c r="L824" s="31">
        <v>2</v>
      </c>
      <c r="M824" s="31" t="s">
        <v>2149</v>
      </c>
      <c r="N824" s="34">
        <v>15</v>
      </c>
      <c r="O824" s="35">
        <v>0</v>
      </c>
      <c r="P824" s="35">
        <v>1008</v>
      </c>
      <c r="Q824" s="35">
        <v>0</v>
      </c>
      <c r="R824" s="36">
        <v>4.03</v>
      </c>
      <c r="S824" s="37" t="str">
        <f>IFERROR(_xlfn.XLOOKUP(R824,'1_Presupuesto'!$E:$E,'1_Presupuesto'!$D:$D),"")</f>
        <v>Albañilería MO</v>
      </c>
    </row>
    <row r="825" spans="1:19" x14ac:dyDescent="0.35">
      <c r="A825" s="31" t="s">
        <v>2136</v>
      </c>
      <c r="B825" s="31" t="s">
        <v>203</v>
      </c>
      <c r="C825" s="31"/>
      <c r="D825" s="31" t="s">
        <v>616</v>
      </c>
      <c r="E825" s="31" t="s">
        <v>617</v>
      </c>
      <c r="F825" s="31"/>
      <c r="G825" s="32">
        <v>1</v>
      </c>
      <c r="H825" s="33">
        <v>0</v>
      </c>
      <c r="I825" s="34">
        <v>1040.43144867052</v>
      </c>
      <c r="J825" s="34">
        <v>1040.43144867052</v>
      </c>
      <c r="K825" s="31" t="s">
        <v>2147</v>
      </c>
      <c r="L825" s="31">
        <v>3</v>
      </c>
      <c r="M825" s="31" t="s">
        <v>2150</v>
      </c>
      <c r="N825" s="34">
        <v>15</v>
      </c>
      <c r="O825" s="35">
        <v>0</v>
      </c>
      <c r="P825" s="35">
        <v>1008</v>
      </c>
      <c r="Q825" s="35">
        <v>0</v>
      </c>
      <c r="R825" s="36">
        <v>4.03</v>
      </c>
      <c r="S825" s="37" t="str">
        <f>IFERROR(_xlfn.XLOOKUP(R825,'1_Presupuesto'!$E:$E,'1_Presupuesto'!$D:$D),"")</f>
        <v>Albañilería MO</v>
      </c>
    </row>
    <row r="826" spans="1:19" x14ac:dyDescent="0.35">
      <c r="A826" s="31" t="s">
        <v>2151</v>
      </c>
      <c r="B826" s="31" t="s">
        <v>497</v>
      </c>
      <c r="C826" s="31" t="s">
        <v>498</v>
      </c>
      <c r="D826" s="31" t="s">
        <v>925</v>
      </c>
      <c r="E826" s="31" t="s">
        <v>926</v>
      </c>
      <c r="F826" s="31">
        <v>0</v>
      </c>
      <c r="G826" s="32">
        <v>5</v>
      </c>
      <c r="H826" s="33">
        <v>0.05</v>
      </c>
      <c r="I826" s="34">
        <v>977.76</v>
      </c>
      <c r="J826" s="34">
        <v>5133.24</v>
      </c>
      <c r="K826" s="31" t="s">
        <v>2152</v>
      </c>
      <c r="L826" s="31">
        <v>1</v>
      </c>
      <c r="M826" s="31" t="s">
        <v>2153</v>
      </c>
      <c r="N826" s="34">
        <v>15</v>
      </c>
      <c r="O826" s="35">
        <v>0</v>
      </c>
      <c r="P826" s="35">
        <v>199</v>
      </c>
      <c r="Q826" s="35">
        <v>0</v>
      </c>
      <c r="R826" s="36">
        <v>4.04</v>
      </c>
      <c r="S826" s="37" t="str">
        <f>IFERROR(_xlfn.XLOOKUP(R826,'1_Presupuesto'!$E:$E,'1_Presupuesto'!$D:$D),"")</f>
        <v>Albañilería MO</v>
      </c>
    </row>
    <row r="827" spans="1:19" x14ac:dyDescent="0.35">
      <c r="A827" s="31" t="s">
        <v>2151</v>
      </c>
      <c r="B827" s="31" t="s">
        <v>497</v>
      </c>
      <c r="C827" s="31" t="s">
        <v>498</v>
      </c>
      <c r="D827" s="31" t="s">
        <v>601</v>
      </c>
      <c r="E827" s="31" t="s">
        <v>602</v>
      </c>
      <c r="F827" s="31">
        <v>0</v>
      </c>
      <c r="G827" s="32">
        <v>5.67E-2</v>
      </c>
      <c r="H827" s="33">
        <v>0.1</v>
      </c>
      <c r="I827" s="34">
        <v>3620.13</v>
      </c>
      <c r="J827" s="34">
        <v>225.7875081</v>
      </c>
      <c r="K827" s="31" t="s">
        <v>2152</v>
      </c>
      <c r="L827" s="31">
        <v>2</v>
      </c>
      <c r="M827" s="31" t="s">
        <v>2154</v>
      </c>
      <c r="N827" s="34">
        <v>15</v>
      </c>
      <c r="O827" s="35">
        <v>0</v>
      </c>
      <c r="P827" s="35">
        <v>199</v>
      </c>
      <c r="Q827" s="35">
        <v>0</v>
      </c>
      <c r="R827" s="36">
        <v>4.04</v>
      </c>
      <c r="S827" s="37" t="str">
        <f>IFERROR(_xlfn.XLOOKUP(R827,'1_Presupuesto'!$E:$E,'1_Presupuesto'!$D:$D),"")</f>
        <v>Albañilería MO</v>
      </c>
    </row>
    <row r="828" spans="1:19" x14ac:dyDescent="0.35">
      <c r="A828" s="31" t="s">
        <v>2151</v>
      </c>
      <c r="B828" s="31" t="s">
        <v>497</v>
      </c>
      <c r="C828" s="31" t="s">
        <v>498</v>
      </c>
      <c r="D828" s="31" t="s">
        <v>538</v>
      </c>
      <c r="E828" s="31" t="s">
        <v>539</v>
      </c>
      <c r="F828" s="31">
        <v>0</v>
      </c>
      <c r="G828" s="32">
        <v>0.05</v>
      </c>
      <c r="H828" s="33">
        <v>0.1</v>
      </c>
      <c r="I828" s="34">
        <v>3927.28</v>
      </c>
      <c r="J828" s="34">
        <v>216.00040000000001</v>
      </c>
      <c r="K828" s="31" t="s">
        <v>2152</v>
      </c>
      <c r="L828" s="31">
        <v>3</v>
      </c>
      <c r="M828" s="31" t="s">
        <v>2155</v>
      </c>
      <c r="N828" s="34">
        <v>15</v>
      </c>
      <c r="O828" s="35">
        <v>0</v>
      </c>
      <c r="P828" s="35">
        <v>199</v>
      </c>
      <c r="Q828" s="35">
        <v>0</v>
      </c>
      <c r="R828" s="36">
        <v>4.04</v>
      </c>
      <c r="S828" s="37" t="str">
        <f>IFERROR(_xlfn.XLOOKUP(R828,'1_Presupuesto'!$E:$E,'1_Presupuesto'!$D:$D),"")</f>
        <v>Albañilería MO</v>
      </c>
    </row>
    <row r="829" spans="1:19" x14ac:dyDescent="0.35">
      <c r="A829" s="31" t="s">
        <v>2151</v>
      </c>
      <c r="B829" s="31" t="s">
        <v>497</v>
      </c>
      <c r="C829" s="31" t="s">
        <v>498</v>
      </c>
      <c r="D829" s="31" t="s">
        <v>541</v>
      </c>
      <c r="E829" s="31" t="s">
        <v>542</v>
      </c>
      <c r="F829" s="31">
        <v>0</v>
      </c>
      <c r="G829" s="32">
        <v>2.5000000000000001E-2</v>
      </c>
      <c r="H829" s="33">
        <v>0.1</v>
      </c>
      <c r="I829" s="34">
        <v>7891.74</v>
      </c>
      <c r="J829" s="34">
        <v>217.02285000000001</v>
      </c>
      <c r="K829" s="31" t="s">
        <v>2152</v>
      </c>
      <c r="L829" s="31">
        <v>4</v>
      </c>
      <c r="M829" s="31" t="s">
        <v>2156</v>
      </c>
      <c r="N829" s="34">
        <v>15</v>
      </c>
      <c r="O829" s="35">
        <v>0</v>
      </c>
      <c r="P829" s="35">
        <v>199</v>
      </c>
      <c r="Q829" s="35">
        <v>0</v>
      </c>
      <c r="R829" s="36">
        <v>4.04</v>
      </c>
      <c r="S829" s="37" t="str">
        <f>IFERROR(_xlfn.XLOOKUP(R829,'1_Presupuesto'!$E:$E,'1_Presupuesto'!$D:$D),"")</f>
        <v>Albañilería MO</v>
      </c>
    </row>
    <row r="830" spans="1:19" x14ac:dyDescent="0.35">
      <c r="A830" s="31" t="s">
        <v>2151</v>
      </c>
      <c r="B830" s="31" t="s">
        <v>497</v>
      </c>
      <c r="C830" s="31" t="s">
        <v>498</v>
      </c>
      <c r="D830" s="31" t="s">
        <v>534</v>
      </c>
      <c r="E830" s="31" t="s">
        <v>535</v>
      </c>
      <c r="F830" s="31">
        <v>0</v>
      </c>
      <c r="G830" s="32">
        <v>6.0000000000000001E-3</v>
      </c>
      <c r="H830" s="33">
        <v>0.1</v>
      </c>
      <c r="I830" s="34">
        <v>32620.38</v>
      </c>
      <c r="J830" s="34">
        <v>215.29450800000001</v>
      </c>
      <c r="K830" s="31" t="s">
        <v>2152</v>
      </c>
      <c r="L830" s="31">
        <v>5</v>
      </c>
      <c r="M830" s="31" t="s">
        <v>2157</v>
      </c>
      <c r="N830" s="34">
        <v>15</v>
      </c>
      <c r="O830" s="35">
        <v>0</v>
      </c>
      <c r="P830" s="35">
        <v>199</v>
      </c>
      <c r="Q830" s="35">
        <v>0</v>
      </c>
      <c r="R830" s="36">
        <v>4.04</v>
      </c>
      <c r="S830" s="37" t="str">
        <f>IFERROR(_xlfn.XLOOKUP(R830,'1_Presupuesto'!$E:$E,'1_Presupuesto'!$D:$D),"")</f>
        <v>Albañilería MO</v>
      </c>
    </row>
    <row r="831" spans="1:19" x14ac:dyDescent="0.35">
      <c r="A831" s="31" t="s">
        <v>2151</v>
      </c>
      <c r="B831" s="31" t="s">
        <v>497</v>
      </c>
      <c r="C831" s="31" t="s">
        <v>498</v>
      </c>
      <c r="D831" s="31" t="s">
        <v>597</v>
      </c>
      <c r="E831" s="31" t="s">
        <v>598</v>
      </c>
      <c r="F831" s="31" t="s">
        <v>218</v>
      </c>
      <c r="G831" s="32">
        <v>61.874299999999998</v>
      </c>
      <c r="H831" s="33">
        <v>0</v>
      </c>
      <c r="I831" s="34">
        <v>1</v>
      </c>
      <c r="J831" s="34">
        <v>61.874299999999998</v>
      </c>
      <c r="K831" s="31" t="s">
        <v>2152</v>
      </c>
      <c r="L831" s="31">
        <v>6</v>
      </c>
      <c r="M831" s="31" t="s">
        <v>2158</v>
      </c>
      <c r="N831" s="34">
        <v>15</v>
      </c>
      <c r="O831" s="35">
        <v>0</v>
      </c>
      <c r="P831" s="35">
        <v>199</v>
      </c>
      <c r="Q831" s="35">
        <v>0</v>
      </c>
      <c r="R831" s="36">
        <v>4.04</v>
      </c>
      <c r="S831" s="37" t="str">
        <f>IFERROR(_xlfn.XLOOKUP(R831,'1_Presupuesto'!$E:$E,'1_Presupuesto'!$D:$D),"")</f>
        <v>Albañilería MO</v>
      </c>
    </row>
    <row r="832" spans="1:19" x14ac:dyDescent="0.35">
      <c r="A832" s="31" t="s">
        <v>2151</v>
      </c>
      <c r="B832" s="31" t="s">
        <v>478</v>
      </c>
      <c r="C832" s="31" t="s">
        <v>479</v>
      </c>
      <c r="D832" s="31" t="s">
        <v>480</v>
      </c>
      <c r="E832" s="31" t="s">
        <v>183</v>
      </c>
      <c r="F832" s="31" t="s">
        <v>481</v>
      </c>
      <c r="G832" s="32">
        <v>0.5</v>
      </c>
      <c r="H832" s="33">
        <v>0</v>
      </c>
      <c r="I832" s="34">
        <v>94177.137883538904</v>
      </c>
      <c r="J832" s="34">
        <v>47088.568941769503</v>
      </c>
      <c r="K832" s="31" t="s">
        <v>2159</v>
      </c>
      <c r="L832" s="31">
        <v>1</v>
      </c>
      <c r="M832" s="31" t="s">
        <v>2160</v>
      </c>
      <c r="N832" s="34">
        <v>15</v>
      </c>
      <c r="O832" s="35">
        <v>3.3333333333333298E-2</v>
      </c>
      <c r="P832" s="35">
        <v>199</v>
      </c>
      <c r="Q832" s="35">
        <v>6.6333333333333302</v>
      </c>
      <c r="R832" s="36">
        <v>4.04</v>
      </c>
      <c r="S832" s="37" t="str">
        <f>IFERROR(_xlfn.XLOOKUP(R832,'1_Presupuesto'!$E:$E,'1_Presupuesto'!$D:$D),"")</f>
        <v>Albañilería MO</v>
      </c>
    </row>
    <row r="833" spans="1:19" x14ac:dyDescent="0.35">
      <c r="A833" s="31" t="s">
        <v>2151</v>
      </c>
      <c r="B833" s="31" t="s">
        <v>478</v>
      </c>
      <c r="C833" s="31" t="s">
        <v>479</v>
      </c>
      <c r="D833" s="31" t="s">
        <v>484</v>
      </c>
      <c r="E833" s="31" t="s">
        <v>186</v>
      </c>
      <c r="F833" s="31" t="s">
        <v>481</v>
      </c>
      <c r="G833" s="32">
        <v>0.5</v>
      </c>
      <c r="H833" s="33">
        <v>0</v>
      </c>
      <c r="I833" s="34">
        <v>67240.498860267602</v>
      </c>
      <c r="J833" s="34">
        <v>33620.249430133801</v>
      </c>
      <c r="K833" s="31" t="s">
        <v>2159</v>
      </c>
      <c r="L833" s="31">
        <v>2</v>
      </c>
      <c r="M833" s="31" t="s">
        <v>2161</v>
      </c>
      <c r="N833" s="34">
        <v>15</v>
      </c>
      <c r="O833" s="35">
        <v>3.3333333333333298E-2</v>
      </c>
      <c r="P833" s="35">
        <v>199</v>
      </c>
      <c r="Q833" s="35">
        <v>6.6333333333333302</v>
      </c>
      <c r="R833" s="36">
        <v>4.04</v>
      </c>
      <c r="S833" s="37" t="str">
        <f>IFERROR(_xlfn.XLOOKUP(R833,'1_Presupuesto'!$E:$E,'1_Presupuesto'!$D:$D),"")</f>
        <v>Albañilería MO</v>
      </c>
    </row>
    <row r="834" spans="1:19" x14ac:dyDescent="0.35">
      <c r="A834" s="31" t="s">
        <v>2151</v>
      </c>
      <c r="B834" s="31" t="s">
        <v>203</v>
      </c>
      <c r="C834" s="31"/>
      <c r="D834" s="31" t="s">
        <v>609</v>
      </c>
      <c r="E834" s="31" t="s">
        <v>610</v>
      </c>
      <c r="F834" s="31"/>
      <c r="G834" s="32">
        <v>1</v>
      </c>
      <c r="H834" s="33">
        <v>0</v>
      </c>
      <c r="I834" s="34">
        <v>2485.8709964594</v>
      </c>
      <c r="J834" s="34">
        <v>2485.8709964594</v>
      </c>
      <c r="K834" s="31" t="s">
        <v>2162</v>
      </c>
      <c r="L834" s="31">
        <v>1</v>
      </c>
      <c r="M834" s="31" t="s">
        <v>2163</v>
      </c>
      <c r="N834" s="34">
        <v>15</v>
      </c>
      <c r="O834" s="35">
        <v>0</v>
      </c>
      <c r="P834" s="35">
        <v>199</v>
      </c>
      <c r="Q834" s="35">
        <v>0</v>
      </c>
      <c r="R834" s="36">
        <v>4.04</v>
      </c>
      <c r="S834" s="37" t="str">
        <f>IFERROR(_xlfn.XLOOKUP(R834,'1_Presupuesto'!$E:$E,'1_Presupuesto'!$D:$D),"")</f>
        <v>Albañilería MO</v>
      </c>
    </row>
    <row r="835" spans="1:19" x14ac:dyDescent="0.35">
      <c r="A835" s="31" t="s">
        <v>2151</v>
      </c>
      <c r="B835" s="31" t="s">
        <v>203</v>
      </c>
      <c r="C835" s="31"/>
      <c r="D835" s="31" t="s">
        <v>613</v>
      </c>
      <c r="E835" s="31" t="s">
        <v>614</v>
      </c>
      <c r="F835" s="31"/>
      <c r="G835" s="32">
        <v>0.5</v>
      </c>
      <c r="H835" s="33">
        <v>0</v>
      </c>
      <c r="I835" s="34">
        <v>620.81078197718296</v>
      </c>
      <c r="J835" s="34">
        <v>310.40539098859199</v>
      </c>
      <c r="K835" s="31" t="s">
        <v>2162</v>
      </c>
      <c r="L835" s="31">
        <v>2</v>
      </c>
      <c r="M835" s="31" t="s">
        <v>2164</v>
      </c>
      <c r="N835" s="34">
        <v>15</v>
      </c>
      <c r="O835" s="35">
        <v>0</v>
      </c>
      <c r="P835" s="35">
        <v>199</v>
      </c>
      <c r="Q835" s="35">
        <v>0</v>
      </c>
      <c r="R835" s="36">
        <v>4.04</v>
      </c>
      <c r="S835" s="37" t="str">
        <f>IFERROR(_xlfn.XLOOKUP(R835,'1_Presupuesto'!$E:$E,'1_Presupuesto'!$D:$D),"")</f>
        <v>Albañilería MO</v>
      </c>
    </row>
    <row r="836" spans="1:19" x14ac:dyDescent="0.35">
      <c r="A836" s="31" t="s">
        <v>2151</v>
      </c>
      <c r="B836" s="31" t="s">
        <v>203</v>
      </c>
      <c r="C836" s="31"/>
      <c r="D836" s="31" t="s">
        <v>616</v>
      </c>
      <c r="E836" s="31" t="s">
        <v>617</v>
      </c>
      <c r="F836" s="31"/>
      <c r="G836" s="32">
        <v>1</v>
      </c>
      <c r="H836" s="33">
        <v>0</v>
      </c>
      <c r="I836" s="34">
        <v>1040.43144867052</v>
      </c>
      <c r="J836" s="34">
        <v>1040.43144867052</v>
      </c>
      <c r="K836" s="31" t="s">
        <v>2162</v>
      </c>
      <c r="L836" s="31">
        <v>3</v>
      </c>
      <c r="M836" s="31" t="s">
        <v>2165</v>
      </c>
      <c r="N836" s="34">
        <v>15</v>
      </c>
      <c r="O836" s="35">
        <v>0</v>
      </c>
      <c r="P836" s="35">
        <v>199</v>
      </c>
      <c r="Q836" s="35">
        <v>0</v>
      </c>
      <c r="R836" s="36">
        <v>4.04</v>
      </c>
      <c r="S836" s="37" t="str">
        <f>IFERROR(_xlfn.XLOOKUP(R836,'1_Presupuesto'!$E:$E,'1_Presupuesto'!$D:$D),"")</f>
        <v>Albañilería MO</v>
      </c>
    </row>
    <row r="837" spans="1:19" x14ac:dyDescent="0.35">
      <c r="A837" s="31" t="s">
        <v>2166</v>
      </c>
      <c r="B837" s="31" t="s">
        <v>497</v>
      </c>
      <c r="C837" s="31" t="s">
        <v>498</v>
      </c>
      <c r="D837" s="31" t="s">
        <v>1281</v>
      </c>
      <c r="E837" s="31" t="s">
        <v>1282</v>
      </c>
      <c r="F837" s="31" t="s">
        <v>261</v>
      </c>
      <c r="G837" s="32">
        <v>0.46150000000000002</v>
      </c>
      <c r="H837" s="33">
        <v>0.1</v>
      </c>
      <c r="I837" s="34">
        <v>3084.79</v>
      </c>
      <c r="J837" s="34">
        <v>1565.9936435</v>
      </c>
      <c r="K837" s="31" t="s">
        <v>2167</v>
      </c>
      <c r="L837" s="31">
        <v>1</v>
      </c>
      <c r="M837" s="31" t="s">
        <v>2168</v>
      </c>
      <c r="N837" s="34">
        <v>6</v>
      </c>
      <c r="O837" s="35">
        <v>0</v>
      </c>
      <c r="P837" s="35">
        <v>34</v>
      </c>
      <c r="Q837" s="35">
        <v>0</v>
      </c>
      <c r="R837" s="36">
        <v>4.05</v>
      </c>
      <c r="S837" s="37">
        <f>IFERROR(_xlfn.XLOOKUP(R837,'1_Presupuesto'!$E:$E,'1_Presupuesto'!$D:$D),"")</f>
        <v>0</v>
      </c>
    </row>
    <row r="838" spans="1:19" x14ac:dyDescent="0.35">
      <c r="A838" s="31" t="s">
        <v>2166</v>
      </c>
      <c r="B838" s="31" t="s">
        <v>497</v>
      </c>
      <c r="C838" s="31" t="s">
        <v>498</v>
      </c>
      <c r="D838" s="31" t="s">
        <v>1285</v>
      </c>
      <c r="E838" s="31" t="s">
        <v>1286</v>
      </c>
      <c r="F838" s="31" t="s">
        <v>261</v>
      </c>
      <c r="G838" s="32">
        <v>1.1537999999999999</v>
      </c>
      <c r="H838" s="33">
        <v>0.1</v>
      </c>
      <c r="I838" s="34">
        <v>3385.62</v>
      </c>
      <c r="J838" s="34">
        <v>4296.9611916000003</v>
      </c>
      <c r="K838" s="31" t="s">
        <v>2167</v>
      </c>
      <c r="L838" s="31">
        <v>2</v>
      </c>
      <c r="M838" s="31" t="s">
        <v>2169</v>
      </c>
      <c r="N838" s="34">
        <v>6</v>
      </c>
      <c r="O838" s="35">
        <v>0</v>
      </c>
      <c r="P838" s="35">
        <v>34</v>
      </c>
      <c r="Q838" s="35">
        <v>0</v>
      </c>
      <c r="R838" s="36">
        <v>4.05</v>
      </c>
      <c r="S838" s="37">
        <f>IFERROR(_xlfn.XLOOKUP(R838,'1_Presupuesto'!$E:$E,'1_Presupuesto'!$D:$D),"")</f>
        <v>0</v>
      </c>
    </row>
    <row r="839" spans="1:19" x14ac:dyDescent="0.35">
      <c r="A839" s="31" t="s">
        <v>2166</v>
      </c>
      <c r="B839" s="31" t="s">
        <v>497</v>
      </c>
      <c r="C839" s="31" t="s">
        <v>498</v>
      </c>
      <c r="D839" s="31" t="s">
        <v>1260</v>
      </c>
      <c r="E839" s="31" t="s">
        <v>1261</v>
      </c>
      <c r="F839" s="31" t="s">
        <v>261</v>
      </c>
      <c r="G839" s="32">
        <v>10</v>
      </c>
      <c r="H839" s="33">
        <v>0.05</v>
      </c>
      <c r="I839" s="34">
        <v>26.153884000000001</v>
      </c>
      <c r="J839" s="34">
        <v>274.61578200000002</v>
      </c>
      <c r="K839" s="31" t="s">
        <v>2167</v>
      </c>
      <c r="L839" s="31">
        <v>3</v>
      </c>
      <c r="M839" s="31" t="s">
        <v>2170</v>
      </c>
      <c r="N839" s="34">
        <v>6</v>
      </c>
      <c r="O839" s="35">
        <v>0</v>
      </c>
      <c r="P839" s="35">
        <v>34</v>
      </c>
      <c r="Q839" s="35">
        <v>0</v>
      </c>
      <c r="R839" s="36">
        <v>4.05</v>
      </c>
      <c r="S839" s="37">
        <f>IFERROR(_xlfn.XLOOKUP(R839,'1_Presupuesto'!$E:$E,'1_Presupuesto'!$D:$D),"")</f>
        <v>0</v>
      </c>
    </row>
    <row r="840" spans="1:19" x14ac:dyDescent="0.35">
      <c r="A840" s="31" t="s">
        <v>2166</v>
      </c>
      <c r="B840" s="31" t="s">
        <v>497</v>
      </c>
      <c r="C840" s="31" t="s">
        <v>498</v>
      </c>
      <c r="D840" s="31" t="s">
        <v>587</v>
      </c>
      <c r="E840" s="31" t="s">
        <v>588</v>
      </c>
      <c r="F840" s="31" t="s">
        <v>261</v>
      </c>
      <c r="G840" s="32">
        <v>15</v>
      </c>
      <c r="H840" s="33">
        <v>0.05</v>
      </c>
      <c r="I840" s="34">
        <v>9.1146919999999998</v>
      </c>
      <c r="J840" s="34">
        <v>143.556399</v>
      </c>
      <c r="K840" s="31" t="s">
        <v>2167</v>
      </c>
      <c r="L840" s="31">
        <v>4</v>
      </c>
      <c r="M840" s="31" t="s">
        <v>2171</v>
      </c>
      <c r="N840" s="34">
        <v>6</v>
      </c>
      <c r="O840" s="35">
        <v>0</v>
      </c>
      <c r="P840" s="35">
        <v>34</v>
      </c>
      <c r="Q840" s="35">
        <v>0</v>
      </c>
      <c r="R840" s="36">
        <v>4.05</v>
      </c>
      <c r="S840" s="37">
        <f>IFERROR(_xlfn.XLOOKUP(R840,'1_Presupuesto'!$E:$E,'1_Presupuesto'!$D:$D),"")</f>
        <v>0</v>
      </c>
    </row>
    <row r="841" spans="1:19" x14ac:dyDescent="0.35">
      <c r="A841" s="31" t="s">
        <v>2166</v>
      </c>
      <c r="B841" s="31" t="s">
        <v>497</v>
      </c>
      <c r="C841" s="31" t="s">
        <v>498</v>
      </c>
      <c r="D841" s="31" t="s">
        <v>1369</v>
      </c>
      <c r="E841" s="31" t="s">
        <v>1370</v>
      </c>
      <c r="F841" s="31" t="s">
        <v>261</v>
      </c>
      <c r="G841" s="32">
        <v>30</v>
      </c>
      <c r="H841" s="33">
        <v>0.05</v>
      </c>
      <c r="I841" s="34">
        <v>18.832004000000001</v>
      </c>
      <c r="J841" s="34">
        <v>593.20812599999999</v>
      </c>
      <c r="K841" s="31" t="s">
        <v>2167</v>
      </c>
      <c r="L841" s="31">
        <v>5</v>
      </c>
      <c r="M841" s="31" t="s">
        <v>2172</v>
      </c>
      <c r="N841" s="34">
        <v>6</v>
      </c>
      <c r="O841" s="35">
        <v>0</v>
      </c>
      <c r="P841" s="35">
        <v>34</v>
      </c>
      <c r="Q841" s="35">
        <v>0</v>
      </c>
      <c r="R841" s="36">
        <v>4.05</v>
      </c>
      <c r="S841" s="37">
        <f>IFERROR(_xlfn.XLOOKUP(R841,'1_Presupuesto'!$E:$E,'1_Presupuesto'!$D:$D),"")</f>
        <v>0</v>
      </c>
    </row>
    <row r="842" spans="1:19" x14ac:dyDescent="0.35">
      <c r="A842" s="31" t="s">
        <v>2166</v>
      </c>
      <c r="B842" s="31" t="s">
        <v>497</v>
      </c>
      <c r="C842" s="31" t="s">
        <v>498</v>
      </c>
      <c r="D842" s="31" t="s">
        <v>562</v>
      </c>
      <c r="E842" s="31" t="s">
        <v>563</v>
      </c>
      <c r="F842" s="31" t="s">
        <v>261</v>
      </c>
      <c r="G842" s="32">
        <v>3.5</v>
      </c>
      <c r="H842" s="33">
        <v>0.05</v>
      </c>
      <c r="I842" s="34">
        <v>63.381982999999998</v>
      </c>
      <c r="J842" s="34">
        <v>232.92878752499999</v>
      </c>
      <c r="K842" s="31" t="s">
        <v>2167</v>
      </c>
      <c r="L842" s="31">
        <v>6</v>
      </c>
      <c r="M842" s="31" t="s">
        <v>2173</v>
      </c>
      <c r="N842" s="34">
        <v>6</v>
      </c>
      <c r="O842" s="35">
        <v>0</v>
      </c>
      <c r="P842" s="35">
        <v>34</v>
      </c>
      <c r="Q842" s="35">
        <v>0</v>
      </c>
      <c r="R842" s="36">
        <v>4.05</v>
      </c>
      <c r="S842" s="37">
        <f>IFERROR(_xlfn.XLOOKUP(R842,'1_Presupuesto'!$E:$E,'1_Presupuesto'!$D:$D),"")</f>
        <v>0</v>
      </c>
    </row>
    <row r="843" spans="1:19" x14ac:dyDescent="0.35">
      <c r="A843" s="31" t="s">
        <v>2166</v>
      </c>
      <c r="B843" s="31" t="s">
        <v>497</v>
      </c>
      <c r="C843" s="31" t="s">
        <v>498</v>
      </c>
      <c r="D843" s="31" t="s">
        <v>1265</v>
      </c>
      <c r="E843" s="31" t="s">
        <v>1266</v>
      </c>
      <c r="F843" s="31" t="s">
        <v>261</v>
      </c>
      <c r="G843" s="32">
        <v>0.04</v>
      </c>
      <c r="H843" s="33">
        <v>0.05</v>
      </c>
      <c r="I843" s="34">
        <v>4734.07</v>
      </c>
      <c r="J843" s="34">
        <v>198.83094</v>
      </c>
      <c r="K843" s="31" t="s">
        <v>2167</v>
      </c>
      <c r="L843" s="31">
        <v>7</v>
      </c>
      <c r="M843" s="31" t="s">
        <v>2174</v>
      </c>
      <c r="N843" s="34">
        <v>6</v>
      </c>
      <c r="O843" s="35">
        <v>0</v>
      </c>
      <c r="P843" s="35">
        <v>34</v>
      </c>
      <c r="Q843" s="35">
        <v>0</v>
      </c>
      <c r="R843" s="36">
        <v>4.05</v>
      </c>
      <c r="S843" s="37">
        <f>IFERROR(_xlfn.XLOOKUP(R843,'1_Presupuesto'!$E:$E,'1_Presupuesto'!$D:$D),"")</f>
        <v>0</v>
      </c>
    </row>
    <row r="844" spans="1:19" x14ac:dyDescent="0.35">
      <c r="A844" s="31" t="s">
        <v>2166</v>
      </c>
      <c r="B844" s="31" t="s">
        <v>497</v>
      </c>
      <c r="C844" s="31" t="s">
        <v>498</v>
      </c>
      <c r="D844" s="31" t="s">
        <v>1268</v>
      </c>
      <c r="E844" s="31" t="s">
        <v>1269</v>
      </c>
      <c r="F844" s="31" t="s">
        <v>261</v>
      </c>
      <c r="G844" s="32">
        <v>5.6300000000000003E-2</v>
      </c>
      <c r="H844" s="33">
        <v>0.05</v>
      </c>
      <c r="I844" s="34">
        <v>23166.59</v>
      </c>
      <c r="J844" s="34">
        <v>1369.49296785</v>
      </c>
      <c r="K844" s="31" t="s">
        <v>2167</v>
      </c>
      <c r="L844" s="31">
        <v>8</v>
      </c>
      <c r="M844" s="31" t="s">
        <v>2175</v>
      </c>
      <c r="N844" s="34">
        <v>6</v>
      </c>
      <c r="O844" s="35">
        <v>0</v>
      </c>
      <c r="P844" s="35">
        <v>34</v>
      </c>
      <c r="Q844" s="35">
        <v>0</v>
      </c>
      <c r="R844" s="36">
        <v>4.05</v>
      </c>
      <c r="S844" s="37">
        <f>IFERROR(_xlfn.XLOOKUP(R844,'1_Presupuesto'!$E:$E,'1_Presupuesto'!$D:$D),"")</f>
        <v>0</v>
      </c>
    </row>
    <row r="845" spans="1:19" x14ac:dyDescent="0.35">
      <c r="A845" s="31" t="s">
        <v>2166</v>
      </c>
      <c r="B845" s="31" t="s">
        <v>497</v>
      </c>
      <c r="C845" s="31" t="s">
        <v>498</v>
      </c>
      <c r="D845" s="31" t="s">
        <v>1353</v>
      </c>
      <c r="E845" s="31" t="s">
        <v>1354</v>
      </c>
      <c r="F845" s="31" t="s">
        <v>261</v>
      </c>
      <c r="G845" s="32">
        <v>4.6300000000000001E-2</v>
      </c>
      <c r="H845" s="33">
        <v>0.1</v>
      </c>
      <c r="I845" s="34">
        <v>77226.259999999995</v>
      </c>
      <c r="J845" s="34">
        <v>3933.1334218000002</v>
      </c>
      <c r="K845" s="31" t="s">
        <v>2167</v>
      </c>
      <c r="L845" s="31">
        <v>9</v>
      </c>
      <c r="M845" s="31" t="s">
        <v>2176</v>
      </c>
      <c r="N845" s="34">
        <v>6</v>
      </c>
      <c r="O845" s="35">
        <v>0</v>
      </c>
      <c r="P845" s="35">
        <v>34</v>
      </c>
      <c r="Q845" s="35">
        <v>0</v>
      </c>
      <c r="R845" s="36">
        <v>4.05</v>
      </c>
      <c r="S845" s="37">
        <f>IFERROR(_xlfn.XLOOKUP(R845,'1_Presupuesto'!$E:$E,'1_Presupuesto'!$D:$D),"")</f>
        <v>0</v>
      </c>
    </row>
    <row r="846" spans="1:19" x14ac:dyDescent="0.35">
      <c r="A846" s="31" t="s">
        <v>2166</v>
      </c>
      <c r="B846" s="31" t="s">
        <v>497</v>
      </c>
      <c r="C846" s="31" t="s">
        <v>498</v>
      </c>
      <c r="D846" s="31" t="s">
        <v>1271</v>
      </c>
      <c r="E846" s="31" t="s">
        <v>1272</v>
      </c>
      <c r="F846" s="31" t="s">
        <v>261</v>
      </c>
      <c r="G846" s="32">
        <v>1.42</v>
      </c>
      <c r="H846" s="33">
        <v>0.1</v>
      </c>
      <c r="I846" s="34">
        <v>10458</v>
      </c>
      <c r="J846" s="34">
        <v>16335.396000000001</v>
      </c>
      <c r="K846" s="31" t="s">
        <v>2167</v>
      </c>
      <c r="L846" s="31">
        <v>10</v>
      </c>
      <c r="M846" s="31" t="s">
        <v>2177</v>
      </c>
      <c r="N846" s="34">
        <v>6</v>
      </c>
      <c r="O846" s="35">
        <v>0</v>
      </c>
      <c r="P846" s="35">
        <v>34</v>
      </c>
      <c r="Q846" s="35">
        <v>0</v>
      </c>
      <c r="R846" s="36">
        <v>4.05</v>
      </c>
      <c r="S846" s="37">
        <f>IFERROR(_xlfn.XLOOKUP(R846,'1_Presupuesto'!$E:$E,'1_Presupuesto'!$D:$D),"")</f>
        <v>0</v>
      </c>
    </row>
    <row r="847" spans="1:19" x14ac:dyDescent="0.35">
      <c r="A847" s="31" t="s">
        <v>2166</v>
      </c>
      <c r="B847" s="31" t="s">
        <v>203</v>
      </c>
      <c r="C847" s="31"/>
      <c r="D847" s="31" t="s">
        <v>572</v>
      </c>
      <c r="E847" s="31" t="s">
        <v>573</v>
      </c>
      <c r="F847" s="31"/>
      <c r="G847" s="32">
        <v>0.5</v>
      </c>
      <c r="H847" s="33">
        <v>0</v>
      </c>
      <c r="I847" s="34">
        <v>152.380274273738</v>
      </c>
      <c r="J847" s="34">
        <v>76.190137136869097</v>
      </c>
      <c r="K847" s="31" t="s">
        <v>2178</v>
      </c>
      <c r="L847" s="31">
        <v>1</v>
      </c>
      <c r="M847" s="31" t="s">
        <v>2179</v>
      </c>
      <c r="N847" s="34">
        <v>6</v>
      </c>
      <c r="O847" s="35">
        <v>0</v>
      </c>
      <c r="P847" s="35">
        <v>34</v>
      </c>
      <c r="Q847" s="35">
        <v>0</v>
      </c>
      <c r="R847" s="36">
        <v>4.05</v>
      </c>
      <c r="S847" s="37">
        <f>IFERROR(_xlfn.XLOOKUP(R847,'1_Presupuesto'!$E:$E,'1_Presupuesto'!$D:$D),"")</f>
        <v>0</v>
      </c>
    </row>
    <row r="848" spans="1:19" x14ac:dyDescent="0.35">
      <c r="A848" s="31" t="s">
        <v>2166</v>
      </c>
      <c r="B848" s="31" t="s">
        <v>203</v>
      </c>
      <c r="C848" s="31"/>
      <c r="D848" s="31" t="s">
        <v>576</v>
      </c>
      <c r="E848" s="31" t="s">
        <v>577</v>
      </c>
      <c r="F848" s="31"/>
      <c r="G848" s="32">
        <v>1</v>
      </c>
      <c r="H848" s="33">
        <v>0</v>
      </c>
      <c r="I848" s="34">
        <v>2570.7599166666701</v>
      </c>
      <c r="J848" s="34">
        <v>2570.7599166666701</v>
      </c>
      <c r="K848" s="31" t="s">
        <v>2178</v>
      </c>
      <c r="L848" s="31">
        <v>2</v>
      </c>
      <c r="M848" s="31" t="s">
        <v>2180</v>
      </c>
      <c r="N848" s="34">
        <v>6</v>
      </c>
      <c r="O848" s="35">
        <v>0</v>
      </c>
      <c r="P848" s="35">
        <v>34</v>
      </c>
      <c r="Q848" s="35">
        <v>0</v>
      </c>
      <c r="R848" s="36">
        <v>4.05</v>
      </c>
      <c r="S848" s="37">
        <f>IFERROR(_xlfn.XLOOKUP(R848,'1_Presupuesto'!$E:$E,'1_Presupuesto'!$D:$D),"")</f>
        <v>0</v>
      </c>
    </row>
    <row r="849" spans="1:19" x14ac:dyDescent="0.35">
      <c r="A849" s="31" t="s">
        <v>2181</v>
      </c>
      <c r="B849" s="31" t="s">
        <v>478</v>
      </c>
      <c r="C849" s="31" t="s">
        <v>479</v>
      </c>
      <c r="D849" s="31" t="s">
        <v>484</v>
      </c>
      <c r="E849" s="31" t="s">
        <v>186</v>
      </c>
      <c r="F849" s="31" t="s">
        <v>481</v>
      </c>
      <c r="G849" s="32">
        <v>0.20833333333333301</v>
      </c>
      <c r="H849" s="33">
        <v>0</v>
      </c>
      <c r="I849" s="34">
        <v>67240.498860267602</v>
      </c>
      <c r="J849" s="34">
        <v>14008.437262555701</v>
      </c>
      <c r="K849" s="31" t="s">
        <v>2182</v>
      </c>
      <c r="L849" s="31">
        <v>1</v>
      </c>
      <c r="M849" s="31" t="s">
        <v>2183</v>
      </c>
      <c r="N849" s="34">
        <v>1</v>
      </c>
      <c r="O849" s="35">
        <v>0.20833333333333301</v>
      </c>
      <c r="P849" s="35">
        <v>24</v>
      </c>
      <c r="Q849" s="35">
        <v>4.9999999999999902</v>
      </c>
      <c r="R849" s="36">
        <v>4.0599999999999996</v>
      </c>
      <c r="S849" s="37" t="str">
        <f>IFERROR(_xlfn.XLOOKUP(R849,'1_Presupuesto'!$E:$E,'1_Presupuesto'!$D:$D),"")</f>
        <v>Albañilería MO</v>
      </c>
    </row>
    <row r="850" spans="1:19" x14ac:dyDescent="0.35">
      <c r="A850" s="31" t="s">
        <v>2181</v>
      </c>
      <c r="B850" s="31" t="s">
        <v>497</v>
      </c>
      <c r="C850" s="31" t="s">
        <v>498</v>
      </c>
      <c r="D850" s="31" t="s">
        <v>2184</v>
      </c>
      <c r="E850" s="31" t="s">
        <v>2185</v>
      </c>
      <c r="F850" s="31" t="s">
        <v>261</v>
      </c>
      <c r="G850" s="32">
        <v>4.1667000000000003E-2</v>
      </c>
      <c r="H850" s="33">
        <v>0</v>
      </c>
      <c r="I850" s="34">
        <v>100000</v>
      </c>
      <c r="J850" s="34">
        <v>4166.7</v>
      </c>
      <c r="K850" s="31" t="s">
        <v>2186</v>
      </c>
      <c r="L850" s="31">
        <v>1</v>
      </c>
      <c r="M850" s="31" t="s">
        <v>2187</v>
      </c>
      <c r="N850" s="34">
        <v>1</v>
      </c>
      <c r="O850" s="35">
        <v>0</v>
      </c>
      <c r="P850" s="35">
        <v>24</v>
      </c>
      <c r="Q850" s="35">
        <v>0</v>
      </c>
      <c r="R850" s="36">
        <v>4.0599999999999996</v>
      </c>
      <c r="S850" s="37" t="str">
        <f>IFERROR(_xlfn.XLOOKUP(R850,'1_Presupuesto'!$E:$E,'1_Presupuesto'!$D:$D),"")</f>
        <v>Albañilería MO</v>
      </c>
    </row>
    <row r="851" spans="1:19" x14ac:dyDescent="0.35">
      <c r="A851" s="31" t="s">
        <v>2181</v>
      </c>
      <c r="B851" s="31" t="s">
        <v>497</v>
      </c>
      <c r="C851" s="31" t="s">
        <v>498</v>
      </c>
      <c r="D851" s="31" t="s">
        <v>2188</v>
      </c>
      <c r="E851" s="31" t="s">
        <v>2189</v>
      </c>
      <c r="F851" s="31" t="s">
        <v>261</v>
      </c>
      <c r="G851" s="32">
        <v>8.3333000000000004E-2</v>
      </c>
      <c r="H851" s="33">
        <v>0</v>
      </c>
      <c r="I851" s="34">
        <v>125000</v>
      </c>
      <c r="J851" s="34">
        <v>10416.625</v>
      </c>
      <c r="K851" s="31" t="s">
        <v>2186</v>
      </c>
      <c r="L851" s="31">
        <v>2</v>
      </c>
      <c r="M851" s="31" t="s">
        <v>2190</v>
      </c>
      <c r="N851" s="34">
        <v>1</v>
      </c>
      <c r="O851" s="35">
        <v>0</v>
      </c>
      <c r="P851" s="35">
        <v>24</v>
      </c>
      <c r="Q851" s="35">
        <v>0</v>
      </c>
      <c r="R851" s="36">
        <v>4.0599999999999996</v>
      </c>
      <c r="S851" s="37" t="str">
        <f>IFERROR(_xlfn.XLOOKUP(R851,'1_Presupuesto'!$E:$E,'1_Presupuesto'!$D:$D),"")</f>
        <v>Albañilería MO</v>
      </c>
    </row>
    <row r="852" spans="1:19" x14ac:dyDescent="0.35">
      <c r="A852" s="31" t="s">
        <v>2181</v>
      </c>
      <c r="B852" s="31" t="s">
        <v>497</v>
      </c>
      <c r="C852" s="31" t="s">
        <v>498</v>
      </c>
      <c r="D852" s="31" t="s">
        <v>1884</v>
      </c>
      <c r="E852" s="31" t="s">
        <v>1885</v>
      </c>
      <c r="F852" s="31" t="s">
        <v>261</v>
      </c>
      <c r="G852" s="32">
        <v>5</v>
      </c>
      <c r="H852" s="33">
        <v>0</v>
      </c>
      <c r="I852" s="34">
        <v>1338.79</v>
      </c>
      <c r="J852" s="34">
        <v>6693.95</v>
      </c>
      <c r="K852" s="31" t="s">
        <v>2186</v>
      </c>
      <c r="L852" s="31">
        <v>3</v>
      </c>
      <c r="M852" s="31" t="s">
        <v>2191</v>
      </c>
      <c r="N852" s="34">
        <v>1</v>
      </c>
      <c r="O852" s="35">
        <v>0</v>
      </c>
      <c r="P852" s="35">
        <v>24</v>
      </c>
      <c r="Q852" s="35">
        <v>0</v>
      </c>
      <c r="R852" s="36">
        <v>4.0599999999999996</v>
      </c>
      <c r="S852" s="37" t="str">
        <f>IFERROR(_xlfn.XLOOKUP(R852,'1_Presupuesto'!$E:$E,'1_Presupuesto'!$D:$D),"")</f>
        <v>Albañilería MO</v>
      </c>
    </row>
    <row r="853" spans="1:19" x14ac:dyDescent="0.35">
      <c r="A853" s="31" t="s">
        <v>2181</v>
      </c>
      <c r="B853" s="31" t="s">
        <v>497</v>
      </c>
      <c r="C853" s="31" t="s">
        <v>498</v>
      </c>
      <c r="D853" s="31" t="s">
        <v>597</v>
      </c>
      <c r="E853" s="31" t="s">
        <v>598</v>
      </c>
      <c r="F853" s="31" t="s">
        <v>218</v>
      </c>
      <c r="G853" s="32">
        <v>2127.7283333333298</v>
      </c>
      <c r="H853" s="33">
        <v>0</v>
      </c>
      <c r="I853" s="34">
        <v>1</v>
      </c>
      <c r="J853" s="34">
        <v>2127.7283333333298</v>
      </c>
      <c r="K853" s="31" t="s">
        <v>2186</v>
      </c>
      <c r="L853" s="31">
        <v>4</v>
      </c>
      <c r="M853" s="31" t="s">
        <v>2192</v>
      </c>
      <c r="N853" s="34">
        <v>1</v>
      </c>
      <c r="O853" s="35">
        <v>0</v>
      </c>
      <c r="P853" s="35">
        <v>24</v>
      </c>
      <c r="Q853" s="35">
        <v>0</v>
      </c>
      <c r="R853" s="36">
        <v>4.0599999999999996</v>
      </c>
      <c r="S853" s="37" t="str">
        <f>IFERROR(_xlfn.XLOOKUP(R853,'1_Presupuesto'!$E:$E,'1_Presupuesto'!$D:$D),"")</f>
        <v>Albañilería MO</v>
      </c>
    </row>
    <row r="854" spans="1:19" x14ac:dyDescent="0.35">
      <c r="A854" s="31" t="s">
        <v>2181</v>
      </c>
      <c r="B854" s="31" t="s">
        <v>478</v>
      </c>
      <c r="C854" s="31" t="s">
        <v>479</v>
      </c>
      <c r="D854" s="31" t="s">
        <v>480</v>
      </c>
      <c r="E854" s="31" t="s">
        <v>183</v>
      </c>
      <c r="F854" s="31" t="s">
        <v>481</v>
      </c>
      <c r="G854" s="32">
        <v>0.125</v>
      </c>
      <c r="H854" s="33">
        <v>0</v>
      </c>
      <c r="I854" s="34">
        <v>94177.137883538904</v>
      </c>
      <c r="J854" s="34">
        <v>11772.142235442399</v>
      </c>
      <c r="K854" s="31" t="s">
        <v>2182</v>
      </c>
      <c r="L854" s="31">
        <v>2</v>
      </c>
      <c r="M854" s="31" t="s">
        <v>2193</v>
      </c>
      <c r="N854" s="34">
        <v>1</v>
      </c>
      <c r="O854" s="35">
        <v>0.125</v>
      </c>
      <c r="P854" s="35">
        <v>24</v>
      </c>
      <c r="Q854" s="35">
        <v>3</v>
      </c>
      <c r="R854" s="36">
        <v>4.0599999999999996</v>
      </c>
      <c r="S854" s="37" t="str">
        <f>IFERROR(_xlfn.XLOOKUP(R854,'1_Presupuesto'!$E:$E,'1_Presupuesto'!$D:$D),"")</f>
        <v>Albañilería MO</v>
      </c>
    </row>
    <row r="855" spans="1:19" x14ac:dyDescent="0.35">
      <c r="A855" s="31" t="s">
        <v>2181</v>
      </c>
      <c r="B855" s="31" t="s">
        <v>478</v>
      </c>
      <c r="C855" s="31" t="s">
        <v>479</v>
      </c>
      <c r="D855" s="31" t="s">
        <v>1673</v>
      </c>
      <c r="E855" s="31" t="s">
        <v>184</v>
      </c>
      <c r="F855" s="31" t="s">
        <v>481</v>
      </c>
      <c r="G855" s="32">
        <v>0.125</v>
      </c>
      <c r="H855" s="33">
        <v>0</v>
      </c>
      <c r="I855" s="34">
        <v>84612.512709566407</v>
      </c>
      <c r="J855" s="34">
        <v>10576.564088695801</v>
      </c>
      <c r="K855" s="31" t="s">
        <v>2182</v>
      </c>
      <c r="L855" s="31">
        <v>3</v>
      </c>
      <c r="M855" s="31" t="s">
        <v>2194</v>
      </c>
      <c r="N855" s="34">
        <v>1</v>
      </c>
      <c r="O855" s="35">
        <v>0.125</v>
      </c>
      <c r="P855" s="35">
        <v>24</v>
      </c>
      <c r="Q855" s="35">
        <v>3</v>
      </c>
      <c r="R855" s="36">
        <v>4.0599999999999996</v>
      </c>
      <c r="S855" s="37" t="str">
        <f>IFERROR(_xlfn.XLOOKUP(R855,'1_Presupuesto'!$E:$E,'1_Presupuesto'!$D:$D),"")</f>
        <v>Albañilería MO</v>
      </c>
    </row>
    <row r="856" spans="1:19" x14ac:dyDescent="0.35">
      <c r="A856" s="31" t="s">
        <v>2181</v>
      </c>
      <c r="B856" s="31" t="s">
        <v>497</v>
      </c>
      <c r="C856" s="31" t="s">
        <v>1706</v>
      </c>
      <c r="D856" s="31" t="s">
        <v>2195</v>
      </c>
      <c r="E856" s="31" t="s">
        <v>2196</v>
      </c>
      <c r="F856" s="31" t="s">
        <v>261</v>
      </c>
      <c r="G856" s="32">
        <v>0</v>
      </c>
      <c r="H856" s="33">
        <v>0</v>
      </c>
      <c r="I856" s="34">
        <v>10053.788111207799</v>
      </c>
      <c r="J856" s="34">
        <v>0</v>
      </c>
      <c r="K856" s="31" t="s">
        <v>2186</v>
      </c>
      <c r="L856" s="31">
        <v>5</v>
      </c>
      <c r="M856" s="31" t="s">
        <v>2197</v>
      </c>
      <c r="N856" s="34">
        <v>1</v>
      </c>
      <c r="O856" s="35">
        <v>0</v>
      </c>
      <c r="P856" s="35">
        <v>24</v>
      </c>
      <c r="Q856" s="35">
        <v>0</v>
      </c>
      <c r="R856" s="36">
        <v>4.0599999999999996</v>
      </c>
      <c r="S856" s="37" t="str">
        <f>IFERROR(_xlfn.XLOOKUP(R856,'1_Presupuesto'!$E:$E,'1_Presupuesto'!$D:$D),"")</f>
        <v>Albañilería MO</v>
      </c>
    </row>
    <row r="857" spans="1:19" x14ac:dyDescent="0.35">
      <c r="A857" s="31" t="s">
        <v>2181</v>
      </c>
      <c r="B857" s="31" t="s">
        <v>497</v>
      </c>
      <c r="C857" s="31" t="s">
        <v>1706</v>
      </c>
      <c r="D857" s="31" t="s">
        <v>2198</v>
      </c>
      <c r="E857" s="31" t="s">
        <v>2199</v>
      </c>
      <c r="F857" s="31" t="s">
        <v>261</v>
      </c>
      <c r="G857" s="32">
        <v>0</v>
      </c>
      <c r="H857" s="33">
        <v>0</v>
      </c>
      <c r="I857" s="34">
        <v>4061.165094</v>
      </c>
      <c r="J857" s="34">
        <v>0</v>
      </c>
      <c r="K857" s="31" t="s">
        <v>2186</v>
      </c>
      <c r="L857" s="31">
        <v>6</v>
      </c>
      <c r="M857" s="31" t="s">
        <v>2200</v>
      </c>
      <c r="N857" s="34">
        <v>1</v>
      </c>
      <c r="O857" s="35">
        <v>0</v>
      </c>
      <c r="P857" s="35">
        <v>24</v>
      </c>
      <c r="Q857" s="35">
        <v>0</v>
      </c>
      <c r="R857" s="36">
        <v>4.0599999999999996</v>
      </c>
      <c r="S857" s="37" t="str">
        <f>IFERROR(_xlfn.XLOOKUP(R857,'1_Presupuesto'!$E:$E,'1_Presupuesto'!$D:$D),"")</f>
        <v>Albañilería MO</v>
      </c>
    </row>
    <row r="858" spans="1:19" x14ac:dyDescent="0.35">
      <c r="A858" s="31" t="s">
        <v>2181</v>
      </c>
      <c r="B858" s="31" t="s">
        <v>497</v>
      </c>
      <c r="C858" s="31" t="s">
        <v>498</v>
      </c>
      <c r="D858" s="31" t="s">
        <v>2201</v>
      </c>
      <c r="E858" s="31" t="s">
        <v>2202</v>
      </c>
      <c r="F858" s="31" t="s">
        <v>261</v>
      </c>
      <c r="G858" s="32">
        <v>0</v>
      </c>
      <c r="H858" s="33">
        <v>0</v>
      </c>
      <c r="I858" s="34">
        <v>15000</v>
      </c>
      <c r="J858" s="34">
        <v>0</v>
      </c>
      <c r="K858" s="31" t="s">
        <v>2186</v>
      </c>
      <c r="L858" s="31">
        <v>7</v>
      </c>
      <c r="M858" s="31" t="s">
        <v>2203</v>
      </c>
      <c r="N858" s="34">
        <v>1</v>
      </c>
      <c r="O858" s="35">
        <v>0</v>
      </c>
      <c r="P858" s="35">
        <v>24</v>
      </c>
      <c r="Q858" s="35">
        <v>0</v>
      </c>
      <c r="R858" s="36">
        <v>4.0599999999999996</v>
      </c>
      <c r="S858" s="37" t="str">
        <f>IFERROR(_xlfn.XLOOKUP(R858,'1_Presupuesto'!$E:$E,'1_Presupuesto'!$D:$D),"")</f>
        <v>Albañilería MO</v>
      </c>
    </row>
    <row r="859" spans="1:19" x14ac:dyDescent="0.35">
      <c r="A859" s="31" t="s">
        <v>2181</v>
      </c>
      <c r="B859" s="31" t="s">
        <v>497</v>
      </c>
      <c r="C859" s="31" t="s">
        <v>498</v>
      </c>
      <c r="D859" s="31" t="s">
        <v>2204</v>
      </c>
      <c r="E859" s="31" t="s">
        <v>2205</v>
      </c>
      <c r="F859" s="31" t="s">
        <v>261</v>
      </c>
      <c r="G859" s="32">
        <v>0</v>
      </c>
      <c r="H859" s="33">
        <v>0</v>
      </c>
      <c r="I859" s="34">
        <v>45000</v>
      </c>
      <c r="J859" s="34">
        <v>0</v>
      </c>
      <c r="K859" s="31" t="s">
        <v>2186</v>
      </c>
      <c r="L859" s="31">
        <v>8</v>
      </c>
      <c r="M859" s="31" t="s">
        <v>2206</v>
      </c>
      <c r="N859" s="34">
        <v>1</v>
      </c>
      <c r="O859" s="35">
        <v>0</v>
      </c>
      <c r="P859" s="35">
        <v>24</v>
      </c>
      <c r="Q859" s="35">
        <v>0</v>
      </c>
      <c r="R859" s="36">
        <v>4.0599999999999996</v>
      </c>
      <c r="S859" s="37" t="str">
        <f>IFERROR(_xlfn.XLOOKUP(R859,'1_Presupuesto'!$E:$E,'1_Presupuesto'!$D:$D),"")</f>
        <v>Albañilería MO</v>
      </c>
    </row>
    <row r="860" spans="1:19" x14ac:dyDescent="0.35">
      <c r="A860" s="31" t="s">
        <v>2181</v>
      </c>
      <c r="B860" s="31" t="s">
        <v>203</v>
      </c>
      <c r="C860" s="31"/>
      <c r="D860" s="31" t="s">
        <v>2207</v>
      </c>
      <c r="E860" s="31" t="s">
        <v>2208</v>
      </c>
      <c r="F860" s="31"/>
      <c r="G860" s="32">
        <v>1</v>
      </c>
      <c r="H860" s="33">
        <v>0</v>
      </c>
      <c r="I860" s="34">
        <v>896.43232880040898</v>
      </c>
      <c r="J860" s="34">
        <v>896.43232880040898</v>
      </c>
      <c r="K860" s="31" t="s">
        <v>2209</v>
      </c>
      <c r="L860" s="31">
        <v>1</v>
      </c>
      <c r="M860" s="31" t="s">
        <v>2210</v>
      </c>
      <c r="N860" s="34">
        <v>1</v>
      </c>
      <c r="O860" s="35">
        <v>0</v>
      </c>
      <c r="P860" s="35">
        <v>24</v>
      </c>
      <c r="Q860" s="35">
        <v>0</v>
      </c>
      <c r="R860" s="36">
        <v>4.0599999999999996</v>
      </c>
      <c r="S860" s="37" t="str">
        <f>IFERROR(_xlfn.XLOOKUP(R860,'1_Presupuesto'!$E:$E,'1_Presupuesto'!$D:$D),"")</f>
        <v>Albañilería MO</v>
      </c>
    </row>
    <row r="861" spans="1:19" x14ac:dyDescent="0.35">
      <c r="A861" s="31" t="s">
        <v>2211</v>
      </c>
      <c r="B861" s="31" t="s">
        <v>497</v>
      </c>
      <c r="C861" s="31" t="s">
        <v>498</v>
      </c>
      <c r="D861" s="31" t="s">
        <v>499</v>
      </c>
      <c r="E861" s="31" t="s">
        <v>500</v>
      </c>
      <c r="F861" s="31">
        <v>0</v>
      </c>
      <c r="G861" s="32">
        <v>2.7778000000000001E-2</v>
      </c>
      <c r="H861" s="33">
        <v>0.1</v>
      </c>
      <c r="I861" s="34">
        <v>35525.949999999997</v>
      </c>
      <c r="J861" s="34">
        <v>1085.5238230099999</v>
      </c>
      <c r="K861" s="31" t="s">
        <v>2212</v>
      </c>
      <c r="L861" s="31">
        <v>1</v>
      </c>
      <c r="M861" s="31" t="s">
        <v>2213</v>
      </c>
      <c r="N861" s="34">
        <v>1</v>
      </c>
      <c r="O861" s="35">
        <v>0</v>
      </c>
      <c r="P861" s="35">
        <v>79</v>
      </c>
      <c r="Q861" s="35">
        <v>0</v>
      </c>
      <c r="R861" s="36">
        <v>5.01</v>
      </c>
      <c r="S861" s="37" t="str">
        <f>IFERROR(_xlfn.XLOOKUP(R861,'1_Presupuesto'!$E:$E,'1_Presupuesto'!$D:$D),"")</f>
        <v>Albañilería MO</v>
      </c>
    </row>
    <row r="862" spans="1:19" x14ac:dyDescent="0.35">
      <c r="A862" s="31" t="s">
        <v>2211</v>
      </c>
      <c r="B862" s="31" t="s">
        <v>497</v>
      </c>
      <c r="C862" s="31" t="s">
        <v>498</v>
      </c>
      <c r="D862" s="31" t="s">
        <v>525</v>
      </c>
      <c r="E862" s="31" t="s">
        <v>526</v>
      </c>
      <c r="F862" s="31" t="s">
        <v>261</v>
      </c>
      <c r="G862" s="32">
        <v>0.1</v>
      </c>
      <c r="H862" s="33">
        <v>0.1</v>
      </c>
      <c r="I862" s="34">
        <v>57227.91</v>
      </c>
      <c r="J862" s="34">
        <v>6295.0700999999999</v>
      </c>
      <c r="K862" s="31" t="s">
        <v>2212</v>
      </c>
      <c r="L862" s="31">
        <v>2</v>
      </c>
      <c r="M862" s="31" t="s">
        <v>2214</v>
      </c>
      <c r="N862" s="34">
        <v>1</v>
      </c>
      <c r="O862" s="35">
        <v>0</v>
      </c>
      <c r="P862" s="35">
        <v>79</v>
      </c>
      <c r="Q862" s="35">
        <v>0</v>
      </c>
      <c r="R862" s="36">
        <v>5.01</v>
      </c>
      <c r="S862" s="37" t="str">
        <f>IFERROR(_xlfn.XLOOKUP(R862,'1_Presupuesto'!$E:$E,'1_Presupuesto'!$D:$D),"")</f>
        <v>Albañilería MO</v>
      </c>
    </row>
    <row r="863" spans="1:19" x14ac:dyDescent="0.35">
      <c r="A863" s="31" t="s">
        <v>2211</v>
      </c>
      <c r="B863" s="31" t="s">
        <v>497</v>
      </c>
      <c r="C863" s="31" t="s">
        <v>498</v>
      </c>
      <c r="D863" s="31" t="s">
        <v>503</v>
      </c>
      <c r="E863" s="31" t="s">
        <v>504</v>
      </c>
      <c r="F863" s="31" t="s">
        <v>261</v>
      </c>
      <c r="G863" s="32">
        <v>0.01</v>
      </c>
      <c r="H863" s="33">
        <v>0.05</v>
      </c>
      <c r="I863" s="34">
        <v>6442.15</v>
      </c>
      <c r="J863" s="34">
        <v>67.642574999999994</v>
      </c>
      <c r="K863" s="31" t="s">
        <v>2212</v>
      </c>
      <c r="L863" s="31">
        <v>3</v>
      </c>
      <c r="M863" s="31" t="s">
        <v>2215</v>
      </c>
      <c r="N863" s="34">
        <v>1</v>
      </c>
      <c r="O863" s="35">
        <v>0</v>
      </c>
      <c r="P863" s="35">
        <v>79</v>
      </c>
      <c r="Q863" s="35">
        <v>0</v>
      </c>
      <c r="R863" s="36">
        <v>5.01</v>
      </c>
      <c r="S863" s="37" t="str">
        <f>IFERROR(_xlfn.XLOOKUP(R863,'1_Presupuesto'!$E:$E,'1_Presupuesto'!$D:$D),"")</f>
        <v>Albañilería MO</v>
      </c>
    </row>
    <row r="864" spans="1:19" x14ac:dyDescent="0.35">
      <c r="A864" s="31" t="s">
        <v>2211</v>
      </c>
      <c r="B864" s="31" t="s">
        <v>478</v>
      </c>
      <c r="C864" s="31" t="s">
        <v>498</v>
      </c>
      <c r="D864" s="31" t="s">
        <v>2216</v>
      </c>
      <c r="E864" s="31" t="s">
        <v>2217</v>
      </c>
      <c r="F864" s="31" t="s">
        <v>481</v>
      </c>
      <c r="G864" s="32">
        <v>1</v>
      </c>
      <c r="H864" s="33">
        <v>0</v>
      </c>
      <c r="I864" s="34">
        <v>12775.619318344399</v>
      </c>
      <c r="J864" s="34">
        <v>12775.619318344399</v>
      </c>
      <c r="K864" s="31" t="s">
        <v>2218</v>
      </c>
      <c r="L864" s="31">
        <v>1</v>
      </c>
      <c r="M864" s="31" t="s">
        <v>2219</v>
      </c>
      <c r="N864" s="34">
        <v>1</v>
      </c>
      <c r="O864" s="35">
        <v>0</v>
      </c>
      <c r="P864" s="35">
        <v>79</v>
      </c>
      <c r="Q864" s="35">
        <v>0</v>
      </c>
      <c r="R864" s="36">
        <v>5.01</v>
      </c>
      <c r="S864" s="37" t="str">
        <f>IFERROR(_xlfn.XLOOKUP(R864,'1_Presupuesto'!$E:$E,'1_Presupuesto'!$D:$D),"")</f>
        <v>Albañilería MO</v>
      </c>
    </row>
    <row r="865" spans="1:19" x14ac:dyDescent="0.35">
      <c r="A865" s="31" t="s">
        <v>2211</v>
      </c>
      <c r="B865" s="31" t="s">
        <v>478</v>
      </c>
      <c r="C865" s="31" t="s">
        <v>498</v>
      </c>
      <c r="D865" s="31" t="s">
        <v>2220</v>
      </c>
      <c r="E865" s="31" t="s">
        <v>2221</v>
      </c>
      <c r="F865" s="31" t="s">
        <v>481</v>
      </c>
      <c r="G865" s="32">
        <v>4471.46676142055</v>
      </c>
      <c r="H865" s="33">
        <v>0</v>
      </c>
      <c r="I865" s="34">
        <v>1</v>
      </c>
      <c r="J865" s="34">
        <v>4471.46676142055</v>
      </c>
      <c r="K865" s="31" t="s">
        <v>2218</v>
      </c>
      <c r="L865" s="31">
        <v>2</v>
      </c>
      <c r="M865" s="31" t="s">
        <v>2222</v>
      </c>
      <c r="N865" s="34">
        <v>1</v>
      </c>
      <c r="O865" s="35">
        <v>0</v>
      </c>
      <c r="P865" s="35">
        <v>79</v>
      </c>
      <c r="Q865" s="35">
        <v>0</v>
      </c>
      <c r="R865" s="36">
        <v>5.01</v>
      </c>
      <c r="S865" s="37" t="str">
        <f>IFERROR(_xlfn.XLOOKUP(R865,'1_Presupuesto'!$E:$E,'1_Presupuesto'!$D:$D),"")</f>
        <v>Albañilería MO</v>
      </c>
    </row>
    <row r="866" spans="1:19" x14ac:dyDescent="0.35">
      <c r="A866" s="31" t="s">
        <v>2211</v>
      </c>
      <c r="B866" s="31" t="s">
        <v>497</v>
      </c>
      <c r="C866" s="31" t="s">
        <v>498</v>
      </c>
      <c r="D866" s="31" t="s">
        <v>506</v>
      </c>
      <c r="E866" s="31" t="s">
        <v>507</v>
      </c>
      <c r="F866" s="31" t="s">
        <v>261</v>
      </c>
      <c r="G866" s="32">
        <v>0.02</v>
      </c>
      <c r="H866" s="33">
        <v>0.05</v>
      </c>
      <c r="I866" s="34">
        <v>4418.1818181818198</v>
      </c>
      <c r="J866" s="34">
        <v>92.781818181818196</v>
      </c>
      <c r="K866" s="31" t="s">
        <v>2212</v>
      </c>
      <c r="L866" s="31">
        <v>4</v>
      </c>
      <c r="M866" s="31" t="s">
        <v>2223</v>
      </c>
      <c r="N866" s="34">
        <v>1</v>
      </c>
      <c r="O866" s="35">
        <v>0</v>
      </c>
      <c r="P866" s="35">
        <v>79</v>
      </c>
      <c r="Q866" s="35">
        <v>0</v>
      </c>
      <c r="R866" s="36">
        <v>5.01</v>
      </c>
      <c r="S866" s="37" t="str">
        <f>IFERROR(_xlfn.XLOOKUP(R866,'1_Presupuesto'!$E:$E,'1_Presupuesto'!$D:$D),"")</f>
        <v>Albañilería MO</v>
      </c>
    </row>
    <row r="867" spans="1:19" x14ac:dyDescent="0.35">
      <c r="A867" s="31" t="s">
        <v>2211</v>
      </c>
      <c r="B867" s="31" t="s">
        <v>497</v>
      </c>
      <c r="C867" s="31" t="s">
        <v>498</v>
      </c>
      <c r="D867" s="31" t="s">
        <v>509</v>
      </c>
      <c r="E867" s="31" t="s">
        <v>510</v>
      </c>
      <c r="F867" s="31">
        <v>0</v>
      </c>
      <c r="G867" s="32">
        <v>0.01</v>
      </c>
      <c r="H867" s="33">
        <v>0.05</v>
      </c>
      <c r="I867" s="34">
        <v>58016.528925619801</v>
      </c>
      <c r="J867" s="34">
        <v>609.17355371900805</v>
      </c>
      <c r="K867" s="31" t="s">
        <v>2212</v>
      </c>
      <c r="L867" s="31">
        <v>5</v>
      </c>
      <c r="M867" s="31" t="s">
        <v>2224</v>
      </c>
      <c r="N867" s="34">
        <v>1</v>
      </c>
      <c r="O867" s="35">
        <v>0</v>
      </c>
      <c r="P867" s="35">
        <v>79</v>
      </c>
      <c r="Q867" s="35">
        <v>0</v>
      </c>
      <c r="R867" s="36">
        <v>5.01</v>
      </c>
      <c r="S867" s="37" t="str">
        <f>IFERROR(_xlfn.XLOOKUP(R867,'1_Presupuesto'!$E:$E,'1_Presupuesto'!$D:$D),"")</f>
        <v>Albañilería MO</v>
      </c>
    </row>
    <row r="868" spans="1:19" x14ac:dyDescent="0.35">
      <c r="A868" s="31" t="s">
        <v>2211</v>
      </c>
      <c r="B868" s="31" t="s">
        <v>203</v>
      </c>
      <c r="C868" s="31"/>
      <c r="D868" s="31" t="s">
        <v>515</v>
      </c>
      <c r="E868" s="31" t="s">
        <v>516</v>
      </c>
      <c r="F868" s="31"/>
      <c r="G868" s="32">
        <v>1</v>
      </c>
      <c r="H868" s="33">
        <v>0</v>
      </c>
      <c r="I868" s="34">
        <v>874.41130614484598</v>
      </c>
      <c r="J868" s="34">
        <v>874.41130614484598</v>
      </c>
      <c r="K868" s="31" t="s">
        <v>2225</v>
      </c>
      <c r="L868" s="31">
        <v>1</v>
      </c>
      <c r="M868" s="31" t="s">
        <v>2226</v>
      </c>
      <c r="N868" s="34">
        <v>1</v>
      </c>
      <c r="O868" s="35">
        <v>0</v>
      </c>
      <c r="P868" s="35">
        <v>79</v>
      </c>
      <c r="Q868" s="35">
        <v>0</v>
      </c>
      <c r="R868" s="36">
        <v>5.01</v>
      </c>
      <c r="S868" s="37" t="str">
        <f>IFERROR(_xlfn.XLOOKUP(R868,'1_Presupuesto'!$E:$E,'1_Presupuesto'!$D:$D),"")</f>
        <v>Albañilería MO</v>
      </c>
    </row>
    <row r="869" spans="1:19" x14ac:dyDescent="0.35">
      <c r="A869" s="31" t="s">
        <v>2227</v>
      </c>
      <c r="B869" s="31" t="s">
        <v>497</v>
      </c>
      <c r="C869" s="31" t="s">
        <v>498</v>
      </c>
      <c r="D869" s="31" t="s">
        <v>534</v>
      </c>
      <c r="E869" s="31" t="s">
        <v>535</v>
      </c>
      <c r="F869" s="31">
        <v>0</v>
      </c>
      <c r="G869" s="32">
        <v>6.0000000000000001E-3</v>
      </c>
      <c r="H869" s="33">
        <v>0.1</v>
      </c>
      <c r="I869" s="34">
        <v>32620.38</v>
      </c>
      <c r="J869" s="34">
        <v>215.29450800000001</v>
      </c>
      <c r="K869" s="31" t="s">
        <v>2228</v>
      </c>
      <c r="L869" s="31">
        <v>1</v>
      </c>
      <c r="M869" s="31" t="s">
        <v>2229</v>
      </c>
      <c r="N869" s="34">
        <v>28</v>
      </c>
      <c r="O869" s="35">
        <v>0</v>
      </c>
      <c r="P869" s="35">
        <v>113</v>
      </c>
      <c r="Q869" s="35">
        <v>0</v>
      </c>
      <c r="R869" s="36">
        <v>5.0199999999999996</v>
      </c>
      <c r="S869" s="37" t="str">
        <f>IFERROR(_xlfn.XLOOKUP(R869,'1_Presupuesto'!$E:$E,'1_Presupuesto'!$D:$D),"")</f>
        <v>Albañilería MO</v>
      </c>
    </row>
    <row r="870" spans="1:19" x14ac:dyDescent="0.35">
      <c r="A870" s="31" t="s">
        <v>2227</v>
      </c>
      <c r="B870" s="31" t="s">
        <v>497</v>
      </c>
      <c r="C870" s="31" t="s">
        <v>498</v>
      </c>
      <c r="D870" s="31" t="s">
        <v>909</v>
      </c>
      <c r="E870" s="31" t="s">
        <v>910</v>
      </c>
      <c r="F870" s="31">
        <v>0</v>
      </c>
      <c r="G870" s="32">
        <v>0.1</v>
      </c>
      <c r="H870" s="33">
        <v>0.05</v>
      </c>
      <c r="I870" s="34">
        <v>1363.95</v>
      </c>
      <c r="J870" s="34">
        <v>143.21475000000001</v>
      </c>
      <c r="K870" s="31" t="s">
        <v>2228</v>
      </c>
      <c r="L870" s="31">
        <v>2</v>
      </c>
      <c r="M870" s="31" t="s">
        <v>2230</v>
      </c>
      <c r="N870" s="34">
        <v>28</v>
      </c>
      <c r="O870" s="35">
        <v>0</v>
      </c>
      <c r="P870" s="35">
        <v>113</v>
      </c>
      <c r="Q870" s="35">
        <v>0</v>
      </c>
      <c r="R870" s="36">
        <v>5.0199999999999996</v>
      </c>
      <c r="S870" s="37" t="str">
        <f>IFERROR(_xlfn.XLOOKUP(R870,'1_Presupuesto'!$E:$E,'1_Presupuesto'!$D:$D),"")</f>
        <v>Albañilería MO</v>
      </c>
    </row>
    <row r="871" spans="1:19" x14ac:dyDescent="0.35">
      <c r="A871" s="31" t="s">
        <v>2227</v>
      </c>
      <c r="B871" s="31" t="s">
        <v>497</v>
      </c>
      <c r="C871" s="31" t="s">
        <v>498</v>
      </c>
      <c r="D871" s="31" t="s">
        <v>541</v>
      </c>
      <c r="E871" s="31" t="s">
        <v>542</v>
      </c>
      <c r="F871" s="31">
        <v>0</v>
      </c>
      <c r="G871" s="32">
        <v>5.3999999999999999E-2</v>
      </c>
      <c r="H871" s="33">
        <v>0.1</v>
      </c>
      <c r="I871" s="34">
        <v>7891.74</v>
      </c>
      <c r="J871" s="34">
        <v>468.76935600000002</v>
      </c>
      <c r="K871" s="31" t="s">
        <v>2228</v>
      </c>
      <c r="L871" s="31">
        <v>3</v>
      </c>
      <c r="M871" s="31" t="s">
        <v>2231</v>
      </c>
      <c r="N871" s="34">
        <v>28</v>
      </c>
      <c r="O871" s="35">
        <v>0</v>
      </c>
      <c r="P871" s="35">
        <v>113</v>
      </c>
      <c r="Q871" s="35">
        <v>0</v>
      </c>
      <c r="R871" s="36">
        <v>5.0199999999999996</v>
      </c>
      <c r="S871" s="37" t="str">
        <f>IFERROR(_xlfn.XLOOKUP(R871,'1_Presupuesto'!$E:$E,'1_Presupuesto'!$D:$D),"")</f>
        <v>Albañilería MO</v>
      </c>
    </row>
    <row r="872" spans="1:19" x14ac:dyDescent="0.35">
      <c r="A872" s="31" t="s">
        <v>2227</v>
      </c>
      <c r="B872" s="31" t="s">
        <v>478</v>
      </c>
      <c r="C872" s="31" t="s">
        <v>479</v>
      </c>
      <c r="D872" s="31" t="s">
        <v>484</v>
      </c>
      <c r="E872" s="31" t="s">
        <v>186</v>
      </c>
      <c r="F872" s="31" t="s">
        <v>481</v>
      </c>
      <c r="G872" s="32">
        <v>0.4</v>
      </c>
      <c r="H872" s="33">
        <v>0</v>
      </c>
      <c r="I872" s="34">
        <v>67240.498860267602</v>
      </c>
      <c r="J872" s="34">
        <v>26896.199544106999</v>
      </c>
      <c r="K872" s="31" t="s">
        <v>2232</v>
      </c>
      <c r="L872" s="31">
        <v>1</v>
      </c>
      <c r="M872" s="31" t="s">
        <v>2233</v>
      </c>
      <c r="N872" s="34">
        <v>28</v>
      </c>
      <c r="O872" s="35">
        <v>1.4285714285714299E-2</v>
      </c>
      <c r="P872" s="35">
        <v>113</v>
      </c>
      <c r="Q872" s="35">
        <v>1.6142857142857101</v>
      </c>
      <c r="R872" s="36">
        <v>5.0199999999999996</v>
      </c>
      <c r="S872" s="37" t="str">
        <f>IFERROR(_xlfn.XLOOKUP(R872,'1_Presupuesto'!$E:$E,'1_Presupuesto'!$D:$D),"")</f>
        <v>Albañilería MO</v>
      </c>
    </row>
    <row r="873" spans="1:19" x14ac:dyDescent="0.35">
      <c r="A873" s="31" t="s">
        <v>2227</v>
      </c>
      <c r="B873" s="31" t="s">
        <v>478</v>
      </c>
      <c r="C873" s="31" t="s">
        <v>479</v>
      </c>
      <c r="D873" s="31" t="s">
        <v>480</v>
      </c>
      <c r="E873" s="31" t="s">
        <v>183</v>
      </c>
      <c r="F873" s="31" t="s">
        <v>481</v>
      </c>
      <c r="G873" s="32">
        <v>1</v>
      </c>
      <c r="H873" s="33">
        <v>0</v>
      </c>
      <c r="I873" s="34">
        <v>94177.137883538904</v>
      </c>
      <c r="J873" s="34">
        <v>94177.137883538904</v>
      </c>
      <c r="K873" s="31" t="s">
        <v>2232</v>
      </c>
      <c r="L873" s="31">
        <v>2</v>
      </c>
      <c r="M873" s="31" t="s">
        <v>2234</v>
      </c>
      <c r="N873" s="34">
        <v>28</v>
      </c>
      <c r="O873" s="35">
        <v>3.5714285714285698E-2</v>
      </c>
      <c r="P873" s="35">
        <v>113</v>
      </c>
      <c r="Q873" s="35">
        <v>4.03571428571429</v>
      </c>
      <c r="R873" s="36">
        <v>5.0199999999999996</v>
      </c>
      <c r="S873" s="37" t="str">
        <f>IFERROR(_xlfn.XLOOKUP(R873,'1_Presupuesto'!$E:$E,'1_Presupuesto'!$D:$D),"")</f>
        <v>Albañilería MO</v>
      </c>
    </row>
    <row r="874" spans="1:19" x14ac:dyDescent="0.35">
      <c r="A874" s="31" t="s">
        <v>2227</v>
      </c>
      <c r="B874" s="31" t="s">
        <v>203</v>
      </c>
      <c r="C874" s="31"/>
      <c r="D874" s="31" t="s">
        <v>613</v>
      </c>
      <c r="E874" s="31" t="s">
        <v>614</v>
      </c>
      <c r="F874" s="31"/>
      <c r="G874" s="32">
        <v>0.5</v>
      </c>
      <c r="H874" s="33">
        <v>0</v>
      </c>
      <c r="I874" s="34">
        <v>620.81078197718296</v>
      </c>
      <c r="J874" s="34">
        <v>310.40539098859199</v>
      </c>
      <c r="K874" s="31" t="s">
        <v>2235</v>
      </c>
      <c r="L874" s="31">
        <v>1</v>
      </c>
      <c r="M874" s="31" t="s">
        <v>2236</v>
      </c>
      <c r="N874" s="34">
        <v>28</v>
      </c>
      <c r="O874" s="35">
        <v>0</v>
      </c>
      <c r="P874" s="35">
        <v>113</v>
      </c>
      <c r="Q874" s="35">
        <v>0</v>
      </c>
      <c r="R874" s="36">
        <v>5.0199999999999996</v>
      </c>
      <c r="S874" s="37" t="str">
        <f>IFERROR(_xlfn.XLOOKUP(R874,'1_Presupuesto'!$E:$E,'1_Presupuesto'!$D:$D),"")</f>
        <v>Albañilería MO</v>
      </c>
    </row>
    <row r="875" spans="1:19" x14ac:dyDescent="0.35">
      <c r="A875" s="31" t="s">
        <v>2227</v>
      </c>
      <c r="B875" s="31" t="s">
        <v>203</v>
      </c>
      <c r="C875" s="31"/>
      <c r="D875" s="31" t="s">
        <v>609</v>
      </c>
      <c r="E875" s="31" t="s">
        <v>610</v>
      </c>
      <c r="F875" s="31"/>
      <c r="G875" s="32">
        <v>1</v>
      </c>
      <c r="H875" s="33">
        <v>0</v>
      </c>
      <c r="I875" s="34">
        <v>2485.8709964594</v>
      </c>
      <c r="J875" s="34">
        <v>2485.8709964594</v>
      </c>
      <c r="K875" s="31" t="s">
        <v>2235</v>
      </c>
      <c r="L875" s="31">
        <v>2</v>
      </c>
      <c r="M875" s="31" t="s">
        <v>2237</v>
      </c>
      <c r="N875" s="34">
        <v>28</v>
      </c>
      <c r="O875" s="35">
        <v>0</v>
      </c>
      <c r="P875" s="35">
        <v>113</v>
      </c>
      <c r="Q875" s="35">
        <v>0</v>
      </c>
      <c r="R875" s="36">
        <v>5.0199999999999996</v>
      </c>
      <c r="S875" s="37" t="str">
        <f>IFERROR(_xlfn.XLOOKUP(R875,'1_Presupuesto'!$E:$E,'1_Presupuesto'!$D:$D),"")</f>
        <v>Albañilería MO</v>
      </c>
    </row>
    <row r="876" spans="1:19" x14ac:dyDescent="0.35">
      <c r="A876" s="31" t="s">
        <v>2227</v>
      </c>
      <c r="B876" s="31" t="s">
        <v>203</v>
      </c>
      <c r="C876" s="31"/>
      <c r="D876" s="31" t="s">
        <v>616</v>
      </c>
      <c r="E876" s="31" t="s">
        <v>617</v>
      </c>
      <c r="F876" s="31"/>
      <c r="G876" s="32">
        <v>1</v>
      </c>
      <c r="H876" s="33">
        <v>0</v>
      </c>
      <c r="I876" s="34">
        <v>1040.43144867052</v>
      </c>
      <c r="J876" s="34">
        <v>1040.43144867052</v>
      </c>
      <c r="K876" s="31" t="s">
        <v>2235</v>
      </c>
      <c r="L876" s="31">
        <v>3</v>
      </c>
      <c r="M876" s="31" t="s">
        <v>2238</v>
      </c>
      <c r="N876" s="34">
        <v>28</v>
      </c>
      <c r="O876" s="35">
        <v>0</v>
      </c>
      <c r="P876" s="35">
        <v>113</v>
      </c>
      <c r="Q876" s="35">
        <v>0</v>
      </c>
      <c r="R876" s="36">
        <v>5.0199999999999996</v>
      </c>
      <c r="S876" s="37" t="str">
        <f>IFERROR(_xlfn.XLOOKUP(R876,'1_Presupuesto'!$E:$E,'1_Presupuesto'!$D:$D),"")</f>
        <v>Albañilería MO</v>
      </c>
    </row>
    <row r="877" spans="1:19" x14ac:dyDescent="0.35">
      <c r="A877" s="31" t="s">
        <v>2239</v>
      </c>
      <c r="B877" s="31" t="s">
        <v>497</v>
      </c>
      <c r="C877" s="31" t="s">
        <v>498</v>
      </c>
      <c r="D877" s="31" t="s">
        <v>534</v>
      </c>
      <c r="E877" s="31" t="s">
        <v>535</v>
      </c>
      <c r="F877" s="31">
        <v>0</v>
      </c>
      <c r="G877" s="32">
        <v>6.0000000000000001E-3</v>
      </c>
      <c r="H877" s="33">
        <v>0.1</v>
      </c>
      <c r="I877" s="34">
        <v>32620.38</v>
      </c>
      <c r="J877" s="34">
        <v>215.29450800000001</v>
      </c>
      <c r="K877" s="31" t="s">
        <v>2240</v>
      </c>
      <c r="L877" s="31">
        <v>1</v>
      </c>
      <c r="M877" s="31" t="s">
        <v>2241</v>
      </c>
      <c r="N877" s="34">
        <v>28</v>
      </c>
      <c r="O877" s="35">
        <v>0</v>
      </c>
      <c r="P877" s="35">
        <v>207</v>
      </c>
      <c r="Q877" s="35">
        <v>0</v>
      </c>
      <c r="R877" s="36">
        <v>5.03</v>
      </c>
      <c r="S877" s="37" t="str">
        <f>IFERROR(_xlfn.XLOOKUP(R877,'1_Presupuesto'!$E:$E,'1_Presupuesto'!$D:$D),"")</f>
        <v>Albañilería MO</v>
      </c>
    </row>
    <row r="878" spans="1:19" x14ac:dyDescent="0.35">
      <c r="A878" s="31" t="s">
        <v>2239</v>
      </c>
      <c r="B878" s="31" t="s">
        <v>497</v>
      </c>
      <c r="C878" s="31" t="s">
        <v>498</v>
      </c>
      <c r="D878" s="31" t="s">
        <v>909</v>
      </c>
      <c r="E878" s="31" t="s">
        <v>910</v>
      </c>
      <c r="F878" s="31">
        <v>0</v>
      </c>
      <c r="G878" s="32">
        <v>0.1</v>
      </c>
      <c r="H878" s="33">
        <v>0.05</v>
      </c>
      <c r="I878" s="34">
        <v>1363.95</v>
      </c>
      <c r="J878" s="34">
        <v>143.21475000000001</v>
      </c>
      <c r="K878" s="31" t="s">
        <v>2240</v>
      </c>
      <c r="L878" s="31">
        <v>2</v>
      </c>
      <c r="M878" s="31" t="s">
        <v>2242</v>
      </c>
      <c r="N878" s="34">
        <v>28</v>
      </c>
      <c r="O878" s="35">
        <v>0</v>
      </c>
      <c r="P878" s="35">
        <v>207</v>
      </c>
      <c r="Q878" s="35">
        <v>0</v>
      </c>
      <c r="R878" s="36">
        <v>5.03</v>
      </c>
      <c r="S878" s="37" t="str">
        <f>IFERROR(_xlfn.XLOOKUP(R878,'1_Presupuesto'!$E:$E,'1_Presupuesto'!$D:$D),"")</f>
        <v>Albañilería MO</v>
      </c>
    </row>
    <row r="879" spans="1:19" x14ac:dyDescent="0.35">
      <c r="A879" s="31" t="s">
        <v>2239</v>
      </c>
      <c r="B879" s="31" t="s">
        <v>497</v>
      </c>
      <c r="C879" s="31" t="s">
        <v>498</v>
      </c>
      <c r="D879" s="31" t="s">
        <v>541</v>
      </c>
      <c r="E879" s="31" t="s">
        <v>542</v>
      </c>
      <c r="F879" s="31">
        <v>0</v>
      </c>
      <c r="G879" s="32">
        <v>5.3999999999999999E-2</v>
      </c>
      <c r="H879" s="33">
        <v>0.1</v>
      </c>
      <c r="I879" s="34">
        <v>7891.74</v>
      </c>
      <c r="J879" s="34">
        <v>468.76935600000002</v>
      </c>
      <c r="K879" s="31" t="s">
        <v>2240</v>
      </c>
      <c r="L879" s="31">
        <v>3</v>
      </c>
      <c r="M879" s="31" t="s">
        <v>2243</v>
      </c>
      <c r="N879" s="34">
        <v>28</v>
      </c>
      <c r="O879" s="35">
        <v>0</v>
      </c>
      <c r="P879" s="35">
        <v>207</v>
      </c>
      <c r="Q879" s="35">
        <v>0</v>
      </c>
      <c r="R879" s="36">
        <v>5.03</v>
      </c>
      <c r="S879" s="37" t="str">
        <f>IFERROR(_xlfn.XLOOKUP(R879,'1_Presupuesto'!$E:$E,'1_Presupuesto'!$D:$D),"")</f>
        <v>Albañilería MO</v>
      </c>
    </row>
    <row r="880" spans="1:19" x14ac:dyDescent="0.35">
      <c r="A880" s="31" t="s">
        <v>2239</v>
      </c>
      <c r="B880" s="31" t="s">
        <v>478</v>
      </c>
      <c r="C880" s="31" t="s">
        <v>479</v>
      </c>
      <c r="D880" s="31" t="s">
        <v>484</v>
      </c>
      <c r="E880" s="31" t="s">
        <v>186</v>
      </c>
      <c r="F880" s="31" t="s">
        <v>481</v>
      </c>
      <c r="G880" s="32">
        <v>0.4</v>
      </c>
      <c r="H880" s="33">
        <v>0</v>
      </c>
      <c r="I880" s="34">
        <v>67240.498860267602</v>
      </c>
      <c r="J880" s="34">
        <v>26896.199544106999</v>
      </c>
      <c r="K880" s="31" t="s">
        <v>2244</v>
      </c>
      <c r="L880" s="31">
        <v>1</v>
      </c>
      <c r="M880" s="31" t="s">
        <v>2245</v>
      </c>
      <c r="N880" s="34">
        <v>28</v>
      </c>
      <c r="O880" s="35">
        <v>1.4285714285714299E-2</v>
      </c>
      <c r="P880" s="35">
        <v>207</v>
      </c>
      <c r="Q880" s="35">
        <v>2.95714285714286</v>
      </c>
      <c r="R880" s="36">
        <v>5.03</v>
      </c>
      <c r="S880" s="37" t="str">
        <f>IFERROR(_xlfn.XLOOKUP(R880,'1_Presupuesto'!$E:$E,'1_Presupuesto'!$D:$D),"")</f>
        <v>Albañilería MO</v>
      </c>
    </row>
    <row r="881" spans="1:19" x14ac:dyDescent="0.35">
      <c r="A881" s="31" t="s">
        <v>2239</v>
      </c>
      <c r="B881" s="31" t="s">
        <v>478</v>
      </c>
      <c r="C881" s="31" t="s">
        <v>479</v>
      </c>
      <c r="D881" s="31" t="s">
        <v>480</v>
      </c>
      <c r="E881" s="31" t="s">
        <v>183</v>
      </c>
      <c r="F881" s="31" t="s">
        <v>481</v>
      </c>
      <c r="G881" s="32">
        <v>1</v>
      </c>
      <c r="H881" s="33">
        <v>0</v>
      </c>
      <c r="I881" s="34">
        <v>94177.137883538904</v>
      </c>
      <c r="J881" s="34">
        <v>94177.137883538904</v>
      </c>
      <c r="K881" s="31" t="s">
        <v>2244</v>
      </c>
      <c r="L881" s="31">
        <v>2</v>
      </c>
      <c r="M881" s="31" t="s">
        <v>2246</v>
      </c>
      <c r="N881" s="34">
        <v>28</v>
      </c>
      <c r="O881" s="35">
        <v>3.5714285714285698E-2</v>
      </c>
      <c r="P881" s="35">
        <v>207</v>
      </c>
      <c r="Q881" s="35">
        <v>7.3928571428571397</v>
      </c>
      <c r="R881" s="36">
        <v>5.03</v>
      </c>
      <c r="S881" s="37" t="str">
        <f>IFERROR(_xlfn.XLOOKUP(R881,'1_Presupuesto'!$E:$E,'1_Presupuesto'!$D:$D),"")</f>
        <v>Albañilería MO</v>
      </c>
    </row>
    <row r="882" spans="1:19" x14ac:dyDescent="0.35">
      <c r="A882" s="31" t="s">
        <v>2239</v>
      </c>
      <c r="B882" s="31" t="s">
        <v>203</v>
      </c>
      <c r="C882" s="31"/>
      <c r="D882" s="31" t="s">
        <v>613</v>
      </c>
      <c r="E882" s="31" t="s">
        <v>614</v>
      </c>
      <c r="F882" s="31"/>
      <c r="G882" s="32">
        <v>0.5</v>
      </c>
      <c r="H882" s="33">
        <v>0</v>
      </c>
      <c r="I882" s="34">
        <v>620.81078197718296</v>
      </c>
      <c r="J882" s="34">
        <v>310.40539098859199</v>
      </c>
      <c r="K882" s="31" t="s">
        <v>2247</v>
      </c>
      <c r="L882" s="31">
        <v>1</v>
      </c>
      <c r="M882" s="31" t="s">
        <v>2248</v>
      </c>
      <c r="N882" s="34">
        <v>28</v>
      </c>
      <c r="O882" s="35">
        <v>0</v>
      </c>
      <c r="P882" s="35">
        <v>207</v>
      </c>
      <c r="Q882" s="35">
        <v>0</v>
      </c>
      <c r="R882" s="36">
        <v>5.03</v>
      </c>
      <c r="S882" s="37" t="str">
        <f>IFERROR(_xlfn.XLOOKUP(R882,'1_Presupuesto'!$E:$E,'1_Presupuesto'!$D:$D),"")</f>
        <v>Albañilería MO</v>
      </c>
    </row>
    <row r="883" spans="1:19" x14ac:dyDescent="0.35">
      <c r="A883" s="31" t="s">
        <v>2239</v>
      </c>
      <c r="B883" s="31" t="s">
        <v>203</v>
      </c>
      <c r="C883" s="31"/>
      <c r="D883" s="31" t="s">
        <v>609</v>
      </c>
      <c r="E883" s="31" t="s">
        <v>610</v>
      </c>
      <c r="F883" s="31"/>
      <c r="G883" s="32">
        <v>1</v>
      </c>
      <c r="H883" s="33">
        <v>0</v>
      </c>
      <c r="I883" s="34">
        <v>2485.8709964594</v>
      </c>
      <c r="J883" s="34">
        <v>2485.8709964594</v>
      </c>
      <c r="K883" s="31" t="s">
        <v>2247</v>
      </c>
      <c r="L883" s="31">
        <v>2</v>
      </c>
      <c r="M883" s="31" t="s">
        <v>2249</v>
      </c>
      <c r="N883" s="34">
        <v>28</v>
      </c>
      <c r="O883" s="35">
        <v>0</v>
      </c>
      <c r="P883" s="35">
        <v>207</v>
      </c>
      <c r="Q883" s="35">
        <v>0</v>
      </c>
      <c r="R883" s="36">
        <v>5.03</v>
      </c>
      <c r="S883" s="37" t="str">
        <f>IFERROR(_xlfn.XLOOKUP(R883,'1_Presupuesto'!$E:$E,'1_Presupuesto'!$D:$D),"")</f>
        <v>Albañilería MO</v>
      </c>
    </row>
    <row r="884" spans="1:19" x14ac:dyDescent="0.35">
      <c r="A884" s="31" t="s">
        <v>2239</v>
      </c>
      <c r="B884" s="31" t="s">
        <v>203</v>
      </c>
      <c r="C884" s="31"/>
      <c r="D884" s="31" t="s">
        <v>616</v>
      </c>
      <c r="E884" s="31" t="s">
        <v>617</v>
      </c>
      <c r="F884" s="31"/>
      <c r="G884" s="32">
        <v>1</v>
      </c>
      <c r="H884" s="33">
        <v>0</v>
      </c>
      <c r="I884" s="34">
        <v>1040.43144867052</v>
      </c>
      <c r="J884" s="34">
        <v>1040.43144867052</v>
      </c>
      <c r="K884" s="31" t="s">
        <v>2247</v>
      </c>
      <c r="L884" s="31">
        <v>3</v>
      </c>
      <c r="M884" s="31" t="s">
        <v>2250</v>
      </c>
      <c r="N884" s="34">
        <v>28</v>
      </c>
      <c r="O884" s="35">
        <v>0</v>
      </c>
      <c r="P884" s="35">
        <v>207</v>
      </c>
      <c r="Q884" s="35">
        <v>0</v>
      </c>
      <c r="R884" s="36">
        <v>5.03</v>
      </c>
      <c r="S884" s="37" t="str">
        <f>IFERROR(_xlfn.XLOOKUP(R884,'1_Presupuesto'!$E:$E,'1_Presupuesto'!$D:$D),"")</f>
        <v>Albañilería MO</v>
      </c>
    </row>
    <row r="885" spans="1:19" x14ac:dyDescent="0.35">
      <c r="A885" s="31" t="s">
        <v>2251</v>
      </c>
      <c r="B885" s="31" t="s">
        <v>497</v>
      </c>
      <c r="C885" s="31" t="s">
        <v>498</v>
      </c>
      <c r="D885" s="31" t="s">
        <v>2252</v>
      </c>
      <c r="E885" s="31" t="s">
        <v>2253</v>
      </c>
      <c r="F885" s="31" t="s">
        <v>261</v>
      </c>
      <c r="G885" s="32">
        <v>1</v>
      </c>
      <c r="H885" s="33">
        <v>0</v>
      </c>
      <c r="I885" s="34">
        <v>3538.08</v>
      </c>
      <c r="J885" s="34">
        <v>3538.08</v>
      </c>
      <c r="K885" s="31" t="s">
        <v>2254</v>
      </c>
      <c r="L885" s="31">
        <v>1</v>
      </c>
      <c r="M885" s="31" t="s">
        <v>2255</v>
      </c>
      <c r="N885" s="34">
        <v>1</v>
      </c>
      <c r="O885" s="35">
        <v>0</v>
      </c>
      <c r="P885" s="35">
        <v>165</v>
      </c>
      <c r="Q885" s="35">
        <v>0</v>
      </c>
      <c r="R885" s="36">
        <v>5.04</v>
      </c>
      <c r="S885" s="37">
        <f>IFERROR(_xlfn.XLOOKUP(R885,'1_Presupuesto'!$E:$E,'1_Presupuesto'!$D:$D),"")</f>
        <v>0</v>
      </c>
    </row>
    <row r="886" spans="1:19" x14ac:dyDescent="0.35">
      <c r="A886" s="31" t="s">
        <v>2256</v>
      </c>
      <c r="B886" s="31" t="s">
        <v>497</v>
      </c>
      <c r="C886" s="31" t="s">
        <v>498</v>
      </c>
      <c r="D886" s="31" t="s">
        <v>499</v>
      </c>
      <c r="E886" s="31" t="s">
        <v>500</v>
      </c>
      <c r="F886" s="31">
        <v>0</v>
      </c>
      <c r="G886" s="32">
        <v>2.7799999999999998E-2</v>
      </c>
      <c r="H886" s="33">
        <v>0.1</v>
      </c>
      <c r="I886" s="34">
        <v>35525.949999999997</v>
      </c>
      <c r="J886" s="34">
        <v>1086.3835509999999</v>
      </c>
      <c r="K886" s="31" t="s">
        <v>2257</v>
      </c>
      <c r="L886" s="31">
        <v>1</v>
      </c>
      <c r="M886" s="31" t="s">
        <v>2258</v>
      </c>
      <c r="N886" s="34">
        <v>80</v>
      </c>
      <c r="O886" s="35">
        <v>0</v>
      </c>
      <c r="P886" s="35">
        <v>165</v>
      </c>
      <c r="Q886" s="35">
        <v>0</v>
      </c>
      <c r="R886" s="36">
        <v>5.05</v>
      </c>
      <c r="S886" s="37" t="str">
        <f>IFERROR(_xlfn.XLOOKUP(R886,'1_Presupuesto'!$E:$E,'1_Presupuesto'!$D:$D),"")</f>
        <v>Albañilería MO</v>
      </c>
    </row>
    <row r="887" spans="1:19" x14ac:dyDescent="0.35">
      <c r="A887" s="31" t="s">
        <v>2256</v>
      </c>
      <c r="B887" s="31" t="s">
        <v>497</v>
      </c>
      <c r="C887" s="31" t="s">
        <v>498</v>
      </c>
      <c r="D887" s="31" t="s">
        <v>503</v>
      </c>
      <c r="E887" s="31" t="s">
        <v>504</v>
      </c>
      <c r="F887" s="31" t="s">
        <v>261</v>
      </c>
      <c r="G887" s="32">
        <v>0.01</v>
      </c>
      <c r="H887" s="33">
        <v>0.05</v>
      </c>
      <c r="I887" s="34">
        <v>6442.15</v>
      </c>
      <c r="J887" s="34">
        <v>67.642574999999994</v>
      </c>
      <c r="K887" s="31" t="s">
        <v>2257</v>
      </c>
      <c r="L887" s="31">
        <v>2</v>
      </c>
      <c r="M887" s="31" t="s">
        <v>2259</v>
      </c>
      <c r="N887" s="34">
        <v>80</v>
      </c>
      <c r="O887" s="35">
        <v>0</v>
      </c>
      <c r="P887" s="35">
        <v>165</v>
      </c>
      <c r="Q887" s="35">
        <v>0</v>
      </c>
      <c r="R887" s="36">
        <v>5.05</v>
      </c>
      <c r="S887" s="37" t="str">
        <f>IFERROR(_xlfn.XLOOKUP(R887,'1_Presupuesto'!$E:$E,'1_Presupuesto'!$D:$D),"")</f>
        <v>Albañilería MO</v>
      </c>
    </row>
    <row r="888" spans="1:19" x14ac:dyDescent="0.35">
      <c r="A888" s="31" t="s">
        <v>2256</v>
      </c>
      <c r="B888" s="31" t="s">
        <v>497</v>
      </c>
      <c r="C888" s="31" t="s">
        <v>498</v>
      </c>
      <c r="D888" s="31" t="s">
        <v>506</v>
      </c>
      <c r="E888" s="31" t="s">
        <v>507</v>
      </c>
      <c r="F888" s="31" t="s">
        <v>261</v>
      </c>
      <c r="G888" s="32">
        <v>0.02</v>
      </c>
      <c r="H888" s="33">
        <v>0.05</v>
      </c>
      <c r="I888" s="34">
        <v>4418.1818181818198</v>
      </c>
      <c r="J888" s="34">
        <v>92.781818181818196</v>
      </c>
      <c r="K888" s="31" t="s">
        <v>2257</v>
      </c>
      <c r="L888" s="31">
        <v>3</v>
      </c>
      <c r="M888" s="31" t="s">
        <v>2260</v>
      </c>
      <c r="N888" s="34">
        <v>80</v>
      </c>
      <c r="O888" s="35">
        <v>0</v>
      </c>
      <c r="P888" s="35">
        <v>165</v>
      </c>
      <c r="Q888" s="35">
        <v>0</v>
      </c>
      <c r="R888" s="36">
        <v>5.05</v>
      </c>
      <c r="S888" s="37" t="str">
        <f>IFERROR(_xlfn.XLOOKUP(R888,'1_Presupuesto'!$E:$E,'1_Presupuesto'!$D:$D),"")</f>
        <v>Albañilería MO</v>
      </c>
    </row>
    <row r="889" spans="1:19" x14ac:dyDescent="0.35">
      <c r="A889" s="31" t="s">
        <v>2256</v>
      </c>
      <c r="B889" s="31" t="s">
        <v>497</v>
      </c>
      <c r="C889" s="31" t="s">
        <v>498</v>
      </c>
      <c r="D889" s="31" t="s">
        <v>509</v>
      </c>
      <c r="E889" s="31" t="s">
        <v>510</v>
      </c>
      <c r="F889" s="31">
        <v>0</v>
      </c>
      <c r="G889" s="32">
        <v>2E-3</v>
      </c>
      <c r="H889" s="33">
        <v>0.05</v>
      </c>
      <c r="I889" s="34">
        <v>58016.528925619801</v>
      </c>
      <c r="J889" s="34">
        <v>121.83471074380201</v>
      </c>
      <c r="K889" s="31" t="s">
        <v>2257</v>
      </c>
      <c r="L889" s="31">
        <v>4</v>
      </c>
      <c r="M889" s="31" t="s">
        <v>2261</v>
      </c>
      <c r="N889" s="34">
        <v>80</v>
      </c>
      <c r="O889" s="35">
        <v>0</v>
      </c>
      <c r="P889" s="35">
        <v>165</v>
      </c>
      <c r="Q889" s="35">
        <v>0</v>
      </c>
      <c r="R889" s="36">
        <v>5.05</v>
      </c>
      <c r="S889" s="37" t="str">
        <f>IFERROR(_xlfn.XLOOKUP(R889,'1_Presupuesto'!$E:$E,'1_Presupuesto'!$D:$D),"")</f>
        <v>Albañilería MO</v>
      </c>
    </row>
    <row r="890" spans="1:19" x14ac:dyDescent="0.35">
      <c r="A890" s="31" t="s">
        <v>2256</v>
      </c>
      <c r="B890" s="31" t="s">
        <v>497</v>
      </c>
      <c r="C890" s="31" t="s">
        <v>498</v>
      </c>
      <c r="D890" s="31" t="s">
        <v>512</v>
      </c>
      <c r="E890" s="31" t="s">
        <v>513</v>
      </c>
      <c r="F890" s="31">
        <v>0</v>
      </c>
      <c r="G890" s="32">
        <v>0.02</v>
      </c>
      <c r="H890" s="33">
        <v>0.05</v>
      </c>
      <c r="I890" s="34">
        <v>1182.6446280991699</v>
      </c>
      <c r="J890" s="34">
        <v>24.835537190082601</v>
      </c>
      <c r="K890" s="31" t="s">
        <v>2257</v>
      </c>
      <c r="L890" s="31">
        <v>5</v>
      </c>
      <c r="M890" s="31" t="s">
        <v>2262</v>
      </c>
      <c r="N890" s="34">
        <v>80</v>
      </c>
      <c r="O890" s="35">
        <v>0</v>
      </c>
      <c r="P890" s="35">
        <v>165</v>
      </c>
      <c r="Q890" s="35">
        <v>0</v>
      </c>
      <c r="R890" s="36">
        <v>5.05</v>
      </c>
      <c r="S890" s="37" t="str">
        <f>IFERROR(_xlfn.XLOOKUP(R890,'1_Presupuesto'!$E:$E,'1_Presupuesto'!$D:$D),"")</f>
        <v>Albañilería MO</v>
      </c>
    </row>
    <row r="891" spans="1:19" x14ac:dyDescent="0.35">
      <c r="A891" s="31" t="s">
        <v>2256</v>
      </c>
      <c r="B891" s="31" t="s">
        <v>478</v>
      </c>
      <c r="C891" s="31" t="s">
        <v>479</v>
      </c>
      <c r="D891" s="31" t="s">
        <v>484</v>
      </c>
      <c r="E891" s="31" t="s">
        <v>186</v>
      </c>
      <c r="F891" s="31" t="s">
        <v>481</v>
      </c>
      <c r="G891" s="32">
        <v>1</v>
      </c>
      <c r="H891" s="33">
        <v>0</v>
      </c>
      <c r="I891" s="34">
        <v>67240.498860267602</v>
      </c>
      <c r="J891" s="34">
        <v>67240.498860267602</v>
      </c>
      <c r="K891" s="31" t="s">
        <v>2263</v>
      </c>
      <c r="L891" s="31">
        <v>1</v>
      </c>
      <c r="M891" s="31" t="s">
        <v>2264</v>
      </c>
      <c r="N891" s="34">
        <v>80</v>
      </c>
      <c r="O891" s="35">
        <v>1.2500000000000001E-2</v>
      </c>
      <c r="P891" s="35">
        <v>165</v>
      </c>
      <c r="Q891" s="35">
        <v>2.0625</v>
      </c>
      <c r="R891" s="36">
        <v>5.05</v>
      </c>
      <c r="S891" s="37" t="str">
        <f>IFERROR(_xlfn.XLOOKUP(R891,'1_Presupuesto'!$E:$E,'1_Presupuesto'!$D:$D),"")</f>
        <v>Albañilería MO</v>
      </c>
    </row>
    <row r="892" spans="1:19" x14ac:dyDescent="0.35">
      <c r="A892" s="31" t="s">
        <v>2256</v>
      </c>
      <c r="B892" s="31" t="s">
        <v>478</v>
      </c>
      <c r="C892" s="31" t="s">
        <v>479</v>
      </c>
      <c r="D892" s="31" t="s">
        <v>480</v>
      </c>
      <c r="E892" s="31" t="s">
        <v>183</v>
      </c>
      <c r="F892" s="31" t="s">
        <v>481</v>
      </c>
      <c r="G892" s="32">
        <v>1</v>
      </c>
      <c r="H892" s="33">
        <v>0</v>
      </c>
      <c r="I892" s="34">
        <v>94177.137883538904</v>
      </c>
      <c r="J892" s="34">
        <v>94177.137883538904</v>
      </c>
      <c r="K892" s="31" t="s">
        <v>2263</v>
      </c>
      <c r="L892" s="31">
        <v>2</v>
      </c>
      <c r="M892" s="31" t="s">
        <v>2265</v>
      </c>
      <c r="N892" s="34">
        <v>80</v>
      </c>
      <c r="O892" s="35">
        <v>1.2500000000000001E-2</v>
      </c>
      <c r="P892" s="35">
        <v>165</v>
      </c>
      <c r="Q892" s="35">
        <v>2.0625</v>
      </c>
      <c r="R892" s="36">
        <v>5.05</v>
      </c>
      <c r="S892" s="37" t="str">
        <f>IFERROR(_xlfn.XLOOKUP(R892,'1_Presupuesto'!$E:$E,'1_Presupuesto'!$D:$D),"")</f>
        <v>Albañilería MO</v>
      </c>
    </row>
    <row r="893" spans="1:19" x14ac:dyDescent="0.35">
      <c r="A893" s="31" t="s">
        <v>2256</v>
      </c>
      <c r="B893" s="31" t="s">
        <v>203</v>
      </c>
      <c r="C893" s="31"/>
      <c r="D893" s="31" t="s">
        <v>515</v>
      </c>
      <c r="E893" s="31" t="s">
        <v>516</v>
      </c>
      <c r="F893" s="31"/>
      <c r="G893" s="32">
        <v>1</v>
      </c>
      <c r="H893" s="33">
        <v>0</v>
      </c>
      <c r="I893" s="34">
        <v>874.41130614484598</v>
      </c>
      <c r="J893" s="34">
        <v>874.41130614484598</v>
      </c>
      <c r="K893" s="31" t="s">
        <v>2266</v>
      </c>
      <c r="L893" s="31">
        <v>1</v>
      </c>
      <c r="M893" s="31" t="s">
        <v>2267</v>
      </c>
      <c r="N893" s="34">
        <v>80</v>
      </c>
      <c r="O893" s="35">
        <v>0</v>
      </c>
      <c r="P893" s="35">
        <v>165</v>
      </c>
      <c r="Q893" s="35">
        <v>0</v>
      </c>
      <c r="R893" s="36">
        <v>5.05</v>
      </c>
      <c r="S893" s="37" t="str">
        <f>IFERROR(_xlfn.XLOOKUP(R893,'1_Presupuesto'!$E:$E,'1_Presupuesto'!$D:$D),"")</f>
        <v>Albañilería MO</v>
      </c>
    </row>
    <row r="894" spans="1:19" x14ac:dyDescent="0.35">
      <c r="A894" s="31" t="s">
        <v>2268</v>
      </c>
      <c r="B894" s="31" t="s">
        <v>497</v>
      </c>
      <c r="C894" s="31" t="s">
        <v>498</v>
      </c>
      <c r="D894" s="31" t="s">
        <v>499</v>
      </c>
      <c r="E894" s="31" t="s">
        <v>500</v>
      </c>
      <c r="F894" s="31">
        <v>0</v>
      </c>
      <c r="G894" s="32">
        <v>2.7778000000000001E-2</v>
      </c>
      <c r="H894" s="33">
        <v>0.1</v>
      </c>
      <c r="I894" s="34">
        <v>35525.949999999997</v>
      </c>
      <c r="J894" s="34">
        <v>1085.5238230099999</v>
      </c>
      <c r="K894" s="31" t="s">
        <v>2269</v>
      </c>
      <c r="L894" s="31">
        <v>1</v>
      </c>
      <c r="M894" s="31" t="s">
        <v>2270</v>
      </c>
      <c r="N894" s="34">
        <v>1</v>
      </c>
      <c r="O894" s="35">
        <v>0</v>
      </c>
      <c r="P894" s="35">
        <v>274</v>
      </c>
      <c r="Q894" s="35">
        <v>0</v>
      </c>
      <c r="R894" s="36">
        <v>5.0599999999999996</v>
      </c>
      <c r="S894" s="37" t="str">
        <f>IFERROR(_xlfn.XLOOKUP(R894,'1_Presupuesto'!$E:$E,'1_Presupuesto'!$D:$D),"")</f>
        <v>Albañilería MO</v>
      </c>
    </row>
    <row r="895" spans="1:19" x14ac:dyDescent="0.35">
      <c r="A895" s="31" t="s">
        <v>2268</v>
      </c>
      <c r="B895" s="31" t="s">
        <v>497</v>
      </c>
      <c r="C895" s="31" t="s">
        <v>498</v>
      </c>
      <c r="D895" s="31" t="s">
        <v>525</v>
      </c>
      <c r="E895" s="31" t="s">
        <v>526</v>
      </c>
      <c r="F895" s="31" t="s">
        <v>261</v>
      </c>
      <c r="G895" s="32">
        <v>0.1</v>
      </c>
      <c r="H895" s="33">
        <v>0.1</v>
      </c>
      <c r="I895" s="34">
        <v>57227.91</v>
      </c>
      <c r="J895" s="34">
        <v>6295.0700999999999</v>
      </c>
      <c r="K895" s="31" t="s">
        <v>2269</v>
      </c>
      <c r="L895" s="31">
        <v>2</v>
      </c>
      <c r="M895" s="31" t="s">
        <v>2271</v>
      </c>
      <c r="N895" s="34">
        <v>1</v>
      </c>
      <c r="O895" s="35">
        <v>0</v>
      </c>
      <c r="P895" s="35">
        <v>274</v>
      </c>
      <c r="Q895" s="35">
        <v>0</v>
      </c>
      <c r="R895" s="36">
        <v>5.0599999999999996</v>
      </c>
      <c r="S895" s="37" t="str">
        <f>IFERROR(_xlfn.XLOOKUP(R895,'1_Presupuesto'!$E:$E,'1_Presupuesto'!$D:$D),"")</f>
        <v>Albañilería MO</v>
      </c>
    </row>
    <row r="896" spans="1:19" x14ac:dyDescent="0.35">
      <c r="A896" s="31" t="s">
        <v>2268</v>
      </c>
      <c r="B896" s="31" t="s">
        <v>497</v>
      </c>
      <c r="C896" s="31" t="s">
        <v>498</v>
      </c>
      <c r="D896" s="31" t="s">
        <v>503</v>
      </c>
      <c r="E896" s="31" t="s">
        <v>504</v>
      </c>
      <c r="F896" s="31" t="s">
        <v>261</v>
      </c>
      <c r="G896" s="32">
        <v>0.01</v>
      </c>
      <c r="H896" s="33">
        <v>0.05</v>
      </c>
      <c r="I896" s="34">
        <v>6442.15</v>
      </c>
      <c r="J896" s="34">
        <v>67.642574999999994</v>
      </c>
      <c r="K896" s="31" t="s">
        <v>2269</v>
      </c>
      <c r="L896" s="31">
        <v>3</v>
      </c>
      <c r="M896" s="31" t="s">
        <v>2272</v>
      </c>
      <c r="N896" s="34">
        <v>1</v>
      </c>
      <c r="O896" s="35">
        <v>0</v>
      </c>
      <c r="P896" s="35">
        <v>274</v>
      </c>
      <c r="Q896" s="35">
        <v>0</v>
      </c>
      <c r="R896" s="36">
        <v>5.0599999999999996</v>
      </c>
      <c r="S896" s="37" t="str">
        <f>IFERROR(_xlfn.XLOOKUP(R896,'1_Presupuesto'!$E:$E,'1_Presupuesto'!$D:$D),"")</f>
        <v>Albañilería MO</v>
      </c>
    </row>
    <row r="897" spans="1:19" x14ac:dyDescent="0.35">
      <c r="A897" s="31" t="s">
        <v>2268</v>
      </c>
      <c r="B897" s="31" t="s">
        <v>478</v>
      </c>
      <c r="C897" s="31" t="s">
        <v>498</v>
      </c>
      <c r="D897" s="31" t="s">
        <v>2216</v>
      </c>
      <c r="E897" s="31" t="s">
        <v>2217</v>
      </c>
      <c r="F897" s="31" t="s">
        <v>481</v>
      </c>
      <c r="G897" s="32">
        <v>1</v>
      </c>
      <c r="H897" s="33">
        <v>0</v>
      </c>
      <c r="I897" s="34">
        <v>12775.619318344399</v>
      </c>
      <c r="J897" s="34">
        <v>12775.619318344399</v>
      </c>
      <c r="K897" s="31" t="s">
        <v>2273</v>
      </c>
      <c r="L897" s="31">
        <v>1</v>
      </c>
      <c r="M897" s="31" t="s">
        <v>2274</v>
      </c>
      <c r="N897" s="34">
        <v>1</v>
      </c>
      <c r="O897" s="35">
        <v>0</v>
      </c>
      <c r="P897" s="35">
        <v>274</v>
      </c>
      <c r="Q897" s="35">
        <v>0</v>
      </c>
      <c r="R897" s="36">
        <v>5.0599999999999996</v>
      </c>
      <c r="S897" s="37" t="str">
        <f>IFERROR(_xlfn.XLOOKUP(R897,'1_Presupuesto'!$E:$E,'1_Presupuesto'!$D:$D),"")</f>
        <v>Albañilería MO</v>
      </c>
    </row>
    <row r="898" spans="1:19" x14ac:dyDescent="0.35">
      <c r="A898" s="31" t="s">
        <v>2268</v>
      </c>
      <c r="B898" s="31" t="s">
        <v>478</v>
      </c>
      <c r="C898" s="31" t="s">
        <v>498</v>
      </c>
      <c r="D898" s="31" t="s">
        <v>2220</v>
      </c>
      <c r="E898" s="31" t="s">
        <v>2221</v>
      </c>
      <c r="F898" s="31" t="s">
        <v>481</v>
      </c>
      <c r="G898" s="32">
        <v>2555.1238636688799</v>
      </c>
      <c r="H898" s="33">
        <v>0</v>
      </c>
      <c r="I898" s="34">
        <v>1</v>
      </c>
      <c r="J898" s="34">
        <v>2555.1238636688799</v>
      </c>
      <c r="K898" s="31" t="s">
        <v>2273</v>
      </c>
      <c r="L898" s="31">
        <v>2</v>
      </c>
      <c r="M898" s="31" t="s">
        <v>2275</v>
      </c>
      <c r="N898" s="34">
        <v>1</v>
      </c>
      <c r="O898" s="35">
        <v>0</v>
      </c>
      <c r="P898" s="35">
        <v>274</v>
      </c>
      <c r="Q898" s="35">
        <v>0</v>
      </c>
      <c r="R898" s="36">
        <v>5.0599999999999996</v>
      </c>
      <c r="S898" s="37" t="str">
        <f>IFERROR(_xlfn.XLOOKUP(R898,'1_Presupuesto'!$E:$E,'1_Presupuesto'!$D:$D),"")</f>
        <v>Albañilería MO</v>
      </c>
    </row>
    <row r="899" spans="1:19" x14ac:dyDescent="0.35">
      <c r="A899" s="31" t="s">
        <v>2268</v>
      </c>
      <c r="B899" s="31" t="s">
        <v>497</v>
      </c>
      <c r="C899" s="31" t="s">
        <v>498</v>
      </c>
      <c r="D899" s="31" t="s">
        <v>506</v>
      </c>
      <c r="E899" s="31" t="s">
        <v>507</v>
      </c>
      <c r="F899" s="31" t="s">
        <v>261</v>
      </c>
      <c r="G899" s="32">
        <v>0.02</v>
      </c>
      <c r="H899" s="33">
        <v>0.05</v>
      </c>
      <c r="I899" s="34">
        <v>4418.1818181818198</v>
      </c>
      <c r="J899" s="34">
        <v>92.781818181818196</v>
      </c>
      <c r="K899" s="31" t="s">
        <v>2269</v>
      </c>
      <c r="L899" s="31">
        <v>4</v>
      </c>
      <c r="M899" s="31" t="s">
        <v>2276</v>
      </c>
      <c r="N899" s="34">
        <v>1</v>
      </c>
      <c r="O899" s="35">
        <v>0</v>
      </c>
      <c r="P899" s="35">
        <v>274</v>
      </c>
      <c r="Q899" s="35">
        <v>0</v>
      </c>
      <c r="R899" s="36">
        <v>5.0599999999999996</v>
      </c>
      <c r="S899" s="37" t="str">
        <f>IFERROR(_xlfn.XLOOKUP(R899,'1_Presupuesto'!$E:$E,'1_Presupuesto'!$D:$D),"")</f>
        <v>Albañilería MO</v>
      </c>
    </row>
    <row r="900" spans="1:19" x14ac:dyDescent="0.35">
      <c r="A900" s="31" t="s">
        <v>2268</v>
      </c>
      <c r="B900" s="31" t="s">
        <v>497</v>
      </c>
      <c r="C900" s="31" t="s">
        <v>498</v>
      </c>
      <c r="D900" s="31" t="s">
        <v>509</v>
      </c>
      <c r="E900" s="31" t="s">
        <v>510</v>
      </c>
      <c r="F900" s="31">
        <v>0</v>
      </c>
      <c r="G900" s="32">
        <v>0.01</v>
      </c>
      <c r="H900" s="33">
        <v>0.05</v>
      </c>
      <c r="I900" s="34">
        <v>58016.528925619801</v>
      </c>
      <c r="J900" s="34">
        <v>609.17355371900805</v>
      </c>
      <c r="K900" s="31" t="s">
        <v>2269</v>
      </c>
      <c r="L900" s="31">
        <v>5</v>
      </c>
      <c r="M900" s="31" t="s">
        <v>2277</v>
      </c>
      <c r="N900" s="34">
        <v>1</v>
      </c>
      <c r="O900" s="35">
        <v>0</v>
      </c>
      <c r="P900" s="35">
        <v>274</v>
      </c>
      <c r="Q900" s="35">
        <v>0</v>
      </c>
      <c r="R900" s="36">
        <v>5.0599999999999996</v>
      </c>
      <c r="S900" s="37" t="str">
        <f>IFERROR(_xlfn.XLOOKUP(R900,'1_Presupuesto'!$E:$E,'1_Presupuesto'!$D:$D),"")</f>
        <v>Albañilería MO</v>
      </c>
    </row>
    <row r="901" spans="1:19" x14ac:dyDescent="0.35">
      <c r="A901" s="31" t="s">
        <v>2268</v>
      </c>
      <c r="B901" s="31" t="s">
        <v>203</v>
      </c>
      <c r="C901" s="31"/>
      <c r="D901" s="31" t="s">
        <v>515</v>
      </c>
      <c r="E901" s="31" t="s">
        <v>516</v>
      </c>
      <c r="F901" s="31"/>
      <c r="G901" s="32">
        <v>1</v>
      </c>
      <c r="H901" s="33">
        <v>0</v>
      </c>
      <c r="I901" s="34">
        <v>874.41130614484598</v>
      </c>
      <c r="J901" s="34">
        <v>874.41130614484598</v>
      </c>
      <c r="K901" s="31" t="s">
        <v>2278</v>
      </c>
      <c r="L901" s="31">
        <v>1</v>
      </c>
      <c r="M901" s="31" t="s">
        <v>2279</v>
      </c>
      <c r="N901" s="34">
        <v>1</v>
      </c>
      <c r="O901" s="35">
        <v>0</v>
      </c>
      <c r="P901" s="35">
        <v>274</v>
      </c>
      <c r="Q901" s="35">
        <v>0</v>
      </c>
      <c r="R901" s="36">
        <v>5.0599999999999996</v>
      </c>
      <c r="S901" s="37" t="str">
        <f>IFERROR(_xlfn.XLOOKUP(R901,'1_Presupuesto'!$E:$E,'1_Presupuesto'!$D:$D),"")</f>
        <v>Albañilería MO</v>
      </c>
    </row>
    <row r="902" spans="1:19" x14ac:dyDescent="0.35">
      <c r="A902" s="31" t="s">
        <v>2280</v>
      </c>
      <c r="B902" s="31" t="s">
        <v>497</v>
      </c>
      <c r="C902" s="31" t="s">
        <v>498</v>
      </c>
      <c r="D902" s="31" t="s">
        <v>2281</v>
      </c>
      <c r="E902" s="31" t="s">
        <v>2282</v>
      </c>
      <c r="F902" s="31" t="s">
        <v>261</v>
      </c>
      <c r="G902" s="32">
        <v>0.45454499999999998</v>
      </c>
      <c r="H902" s="33">
        <v>0</v>
      </c>
      <c r="I902" s="34">
        <v>21485.39</v>
      </c>
      <c r="J902" s="34">
        <v>9766.0765975499999</v>
      </c>
      <c r="K902" s="31" t="s">
        <v>2283</v>
      </c>
      <c r="L902" s="31">
        <v>1</v>
      </c>
      <c r="M902" s="31" t="s">
        <v>2284</v>
      </c>
      <c r="N902" s="34">
        <v>1</v>
      </c>
      <c r="O902" s="35">
        <v>0</v>
      </c>
      <c r="P902" s="35">
        <v>44</v>
      </c>
      <c r="Q902" s="35">
        <v>0</v>
      </c>
      <c r="R902" s="36">
        <v>6.01</v>
      </c>
      <c r="S902" s="37" t="str">
        <f>IFERROR(_xlfn.XLOOKUP(R902,'1_Presupuesto'!$E:$E,'1_Presupuesto'!$D:$D),"")</f>
        <v>Albañilería MO</v>
      </c>
    </row>
    <row r="903" spans="1:19" x14ac:dyDescent="0.35">
      <c r="A903" s="31" t="s">
        <v>2280</v>
      </c>
      <c r="B903" s="31" t="s">
        <v>497</v>
      </c>
      <c r="C903" s="31" t="s">
        <v>498</v>
      </c>
      <c r="D903" s="31" t="s">
        <v>2285</v>
      </c>
      <c r="E903" s="31" t="s">
        <v>2286</v>
      </c>
      <c r="F903" s="31" t="s">
        <v>261</v>
      </c>
      <c r="G903" s="32">
        <v>0.204545</v>
      </c>
      <c r="H903" s="33">
        <v>0</v>
      </c>
      <c r="I903" s="34">
        <v>24676.900826446301</v>
      </c>
      <c r="J903" s="34">
        <v>5047.5366795454602</v>
      </c>
      <c r="K903" s="31" t="s">
        <v>2283</v>
      </c>
      <c r="L903" s="31">
        <v>2</v>
      </c>
      <c r="M903" s="31" t="s">
        <v>2287</v>
      </c>
      <c r="N903" s="34">
        <v>1</v>
      </c>
      <c r="O903" s="35">
        <v>0</v>
      </c>
      <c r="P903" s="35">
        <v>44</v>
      </c>
      <c r="Q903" s="35">
        <v>0</v>
      </c>
      <c r="R903" s="36">
        <v>6.01</v>
      </c>
      <c r="S903" s="37" t="str">
        <f>IFERROR(_xlfn.XLOOKUP(R903,'1_Presupuesto'!$E:$E,'1_Presupuesto'!$D:$D),"")</f>
        <v>Albañilería MO</v>
      </c>
    </row>
    <row r="904" spans="1:19" x14ac:dyDescent="0.35">
      <c r="A904" s="31" t="s">
        <v>2280</v>
      </c>
      <c r="B904" s="31" t="s">
        <v>497</v>
      </c>
      <c r="C904" s="31" t="s">
        <v>498</v>
      </c>
      <c r="D904" s="31" t="s">
        <v>597</v>
      </c>
      <c r="E904" s="31" t="s">
        <v>598</v>
      </c>
      <c r="F904" s="31" t="s">
        <v>218</v>
      </c>
      <c r="G904" s="32">
        <v>1481.3634259954899</v>
      </c>
      <c r="H904" s="33">
        <v>0</v>
      </c>
      <c r="I904" s="34">
        <v>1</v>
      </c>
      <c r="J904" s="34">
        <v>1481.3634259954899</v>
      </c>
      <c r="K904" s="31" t="s">
        <v>2283</v>
      </c>
      <c r="L904" s="31">
        <v>3</v>
      </c>
      <c r="M904" s="31" t="s">
        <v>2288</v>
      </c>
      <c r="N904" s="34">
        <v>1</v>
      </c>
      <c r="O904" s="35">
        <v>0</v>
      </c>
      <c r="P904" s="35">
        <v>44</v>
      </c>
      <c r="Q904" s="35">
        <v>0</v>
      </c>
      <c r="R904" s="36">
        <v>6.01</v>
      </c>
      <c r="S904" s="37" t="str">
        <f>IFERROR(_xlfn.XLOOKUP(R904,'1_Presupuesto'!$E:$E,'1_Presupuesto'!$D:$D),"")</f>
        <v>Albañilería MO</v>
      </c>
    </row>
    <row r="905" spans="1:19" x14ac:dyDescent="0.35">
      <c r="A905" s="31" t="s">
        <v>2280</v>
      </c>
      <c r="B905" s="31" t="s">
        <v>478</v>
      </c>
      <c r="C905" s="31" t="s">
        <v>479</v>
      </c>
      <c r="D905" s="31" t="s">
        <v>480</v>
      </c>
      <c r="E905" s="31" t="s">
        <v>183</v>
      </c>
      <c r="F905" s="31" t="s">
        <v>481</v>
      </c>
      <c r="G905" s="32">
        <v>4.5455000000000002E-2</v>
      </c>
      <c r="H905" s="33">
        <v>0</v>
      </c>
      <c r="I905" s="34">
        <v>94177.137883538904</v>
      </c>
      <c r="J905" s="34">
        <v>4280.8218024962598</v>
      </c>
      <c r="K905" s="31" t="s">
        <v>2289</v>
      </c>
      <c r="L905" s="31">
        <v>1</v>
      </c>
      <c r="M905" s="31" t="s">
        <v>2290</v>
      </c>
      <c r="N905" s="34">
        <v>1</v>
      </c>
      <c r="O905" s="35">
        <v>4.5455000000000002E-2</v>
      </c>
      <c r="P905" s="35">
        <v>44</v>
      </c>
      <c r="Q905" s="35">
        <v>2.0000200000000001</v>
      </c>
      <c r="R905" s="36">
        <v>6.01</v>
      </c>
      <c r="S905" s="37" t="str">
        <f>IFERROR(_xlfn.XLOOKUP(R905,'1_Presupuesto'!$E:$E,'1_Presupuesto'!$D:$D),"")</f>
        <v>Albañilería MO</v>
      </c>
    </row>
    <row r="906" spans="1:19" x14ac:dyDescent="0.35">
      <c r="A906" s="31" t="s">
        <v>2280</v>
      </c>
      <c r="B906" s="31" t="s">
        <v>478</v>
      </c>
      <c r="C906" s="31" t="s">
        <v>479</v>
      </c>
      <c r="D906" s="31" t="s">
        <v>1673</v>
      </c>
      <c r="E906" s="31" t="s">
        <v>184</v>
      </c>
      <c r="F906" s="31" t="s">
        <v>481</v>
      </c>
      <c r="G906" s="32">
        <v>4.5455000000000002E-2</v>
      </c>
      <c r="H906" s="33">
        <v>0</v>
      </c>
      <c r="I906" s="34">
        <v>84612.512709566407</v>
      </c>
      <c r="J906" s="34">
        <v>3846.0617652133401</v>
      </c>
      <c r="K906" s="31" t="s">
        <v>2289</v>
      </c>
      <c r="L906" s="31">
        <v>2</v>
      </c>
      <c r="M906" s="31" t="s">
        <v>2291</v>
      </c>
      <c r="N906" s="34">
        <v>1</v>
      </c>
      <c r="O906" s="35">
        <v>4.5455000000000002E-2</v>
      </c>
      <c r="P906" s="35">
        <v>44</v>
      </c>
      <c r="Q906" s="35">
        <v>2.0000200000000001</v>
      </c>
      <c r="R906" s="36">
        <v>6.01</v>
      </c>
      <c r="S906" s="37" t="str">
        <f>IFERROR(_xlfn.XLOOKUP(R906,'1_Presupuesto'!$E:$E,'1_Presupuesto'!$D:$D),"")</f>
        <v>Albañilería MO</v>
      </c>
    </row>
    <row r="907" spans="1:19" x14ac:dyDescent="0.35">
      <c r="A907" s="31" t="s">
        <v>2280</v>
      </c>
      <c r="B907" s="31" t="s">
        <v>203</v>
      </c>
      <c r="C907" s="31"/>
      <c r="D907" s="31" t="s">
        <v>2292</v>
      </c>
      <c r="E907" s="31" t="s">
        <v>2293</v>
      </c>
      <c r="F907" s="31"/>
      <c r="G907" s="32">
        <v>1</v>
      </c>
      <c r="H907" s="33">
        <v>0</v>
      </c>
      <c r="I907" s="34">
        <v>366.32699978455503</v>
      </c>
      <c r="J907" s="34">
        <v>366.32699978455503</v>
      </c>
      <c r="K907" s="31" t="s">
        <v>2294</v>
      </c>
      <c r="L907" s="31">
        <v>1</v>
      </c>
      <c r="M907" s="31" t="s">
        <v>2295</v>
      </c>
      <c r="N907" s="34">
        <v>1</v>
      </c>
      <c r="O907" s="35">
        <v>0</v>
      </c>
      <c r="P907" s="35">
        <v>44</v>
      </c>
      <c r="Q907" s="35">
        <v>0</v>
      </c>
      <c r="R907" s="36">
        <v>6.01</v>
      </c>
      <c r="S907" s="37" t="str">
        <f>IFERROR(_xlfn.XLOOKUP(R907,'1_Presupuesto'!$E:$E,'1_Presupuesto'!$D:$D),"")</f>
        <v>Albañilería MO</v>
      </c>
    </row>
    <row r="908" spans="1:19" x14ac:dyDescent="0.35">
      <c r="A908" s="31" t="s">
        <v>2296</v>
      </c>
      <c r="B908" s="31" t="s">
        <v>497</v>
      </c>
      <c r="C908" s="31" t="s">
        <v>498</v>
      </c>
      <c r="D908" s="31" t="s">
        <v>534</v>
      </c>
      <c r="E908" s="31" t="s">
        <v>535</v>
      </c>
      <c r="F908" s="31">
        <v>0</v>
      </c>
      <c r="G908" s="32">
        <v>2.5999999999999999E-2</v>
      </c>
      <c r="H908" s="33">
        <v>0.1</v>
      </c>
      <c r="I908" s="34">
        <v>32620.38</v>
      </c>
      <c r="J908" s="34">
        <v>932.94286799999998</v>
      </c>
      <c r="K908" s="31" t="s">
        <v>2297</v>
      </c>
      <c r="L908" s="31">
        <v>1</v>
      </c>
      <c r="M908" s="31" t="s">
        <v>2298</v>
      </c>
      <c r="N908" s="34">
        <v>11.5</v>
      </c>
      <c r="O908" s="35">
        <v>0</v>
      </c>
      <c r="P908" s="35">
        <v>663</v>
      </c>
      <c r="Q908" s="35">
        <v>0</v>
      </c>
      <c r="R908" s="36">
        <v>7.01</v>
      </c>
      <c r="S908" s="37" t="str">
        <f>IFERROR(_xlfn.XLOOKUP(R908,'1_Presupuesto'!$E:$E,'1_Presupuesto'!$D:$D),"")</f>
        <v>Albañilería MO</v>
      </c>
    </row>
    <row r="909" spans="1:19" x14ac:dyDescent="0.35">
      <c r="A909" s="31" t="s">
        <v>2296</v>
      </c>
      <c r="B909" s="31" t="s">
        <v>497</v>
      </c>
      <c r="C909" s="31" t="s">
        <v>498</v>
      </c>
      <c r="D909" s="31" t="s">
        <v>909</v>
      </c>
      <c r="E909" s="31" t="s">
        <v>910</v>
      </c>
      <c r="F909" s="31">
        <v>0</v>
      </c>
      <c r="G909" s="32">
        <v>0.1</v>
      </c>
      <c r="H909" s="33">
        <v>0.05</v>
      </c>
      <c r="I909" s="34">
        <v>1363.95</v>
      </c>
      <c r="J909" s="34">
        <v>143.21475000000001</v>
      </c>
      <c r="K909" s="31" t="s">
        <v>2297</v>
      </c>
      <c r="L909" s="31">
        <v>2</v>
      </c>
      <c r="M909" s="31" t="s">
        <v>2299</v>
      </c>
      <c r="N909" s="34">
        <v>11.5</v>
      </c>
      <c r="O909" s="35">
        <v>0</v>
      </c>
      <c r="P909" s="35">
        <v>663</v>
      </c>
      <c r="Q909" s="35">
        <v>0</v>
      </c>
      <c r="R909" s="36">
        <v>7.01</v>
      </c>
      <c r="S909" s="37" t="str">
        <f>IFERROR(_xlfn.XLOOKUP(R909,'1_Presupuesto'!$E:$E,'1_Presupuesto'!$D:$D),"")</f>
        <v>Albañilería MO</v>
      </c>
    </row>
    <row r="910" spans="1:19" x14ac:dyDescent="0.35">
      <c r="A910" s="31" t="s">
        <v>2296</v>
      </c>
      <c r="B910" s="31" t="s">
        <v>497</v>
      </c>
      <c r="C910" s="31" t="s">
        <v>498</v>
      </c>
      <c r="D910" s="31" t="s">
        <v>541</v>
      </c>
      <c r="E910" s="31" t="s">
        <v>542</v>
      </c>
      <c r="F910" s="31">
        <v>0</v>
      </c>
      <c r="G910" s="32">
        <v>0.314</v>
      </c>
      <c r="H910" s="33">
        <v>0.1</v>
      </c>
      <c r="I910" s="34">
        <v>7891.74</v>
      </c>
      <c r="J910" s="34">
        <v>2725.8069959999998</v>
      </c>
      <c r="K910" s="31" t="s">
        <v>2297</v>
      </c>
      <c r="L910" s="31">
        <v>3</v>
      </c>
      <c r="M910" s="31" t="s">
        <v>2300</v>
      </c>
      <c r="N910" s="34">
        <v>11.5</v>
      </c>
      <c r="O910" s="35">
        <v>0</v>
      </c>
      <c r="P910" s="35">
        <v>663</v>
      </c>
      <c r="Q910" s="35">
        <v>0</v>
      </c>
      <c r="R910" s="36">
        <v>7.01</v>
      </c>
      <c r="S910" s="37" t="str">
        <f>IFERROR(_xlfn.XLOOKUP(R910,'1_Presupuesto'!$E:$E,'1_Presupuesto'!$D:$D),"")</f>
        <v>Albañilería MO</v>
      </c>
    </row>
    <row r="911" spans="1:19" x14ac:dyDescent="0.35">
      <c r="A911" s="31" t="s">
        <v>2296</v>
      </c>
      <c r="B911" s="31" t="s">
        <v>497</v>
      </c>
      <c r="C911" s="31" t="s">
        <v>498</v>
      </c>
      <c r="D911" s="31" t="s">
        <v>538</v>
      </c>
      <c r="E911" s="31" t="s">
        <v>539</v>
      </c>
      <c r="F911" s="31">
        <v>0</v>
      </c>
      <c r="G911" s="32">
        <v>0.06</v>
      </c>
      <c r="H911" s="33">
        <v>0.1</v>
      </c>
      <c r="I911" s="34">
        <v>3927.28</v>
      </c>
      <c r="J911" s="34">
        <v>259.20048000000003</v>
      </c>
      <c r="K911" s="31" t="s">
        <v>2297</v>
      </c>
      <c r="L911" s="31">
        <v>4</v>
      </c>
      <c r="M911" s="31" t="s">
        <v>2301</v>
      </c>
      <c r="N911" s="34">
        <v>11.5</v>
      </c>
      <c r="O911" s="35">
        <v>0</v>
      </c>
      <c r="P911" s="35">
        <v>663</v>
      </c>
      <c r="Q911" s="35">
        <v>0</v>
      </c>
      <c r="R911" s="36">
        <v>7.01</v>
      </c>
      <c r="S911" s="37" t="str">
        <f>IFERROR(_xlfn.XLOOKUP(R911,'1_Presupuesto'!$E:$E,'1_Presupuesto'!$D:$D),"")</f>
        <v>Albañilería MO</v>
      </c>
    </row>
    <row r="912" spans="1:19" x14ac:dyDescent="0.35">
      <c r="A912" s="31" t="s">
        <v>2296</v>
      </c>
      <c r="B912" s="31" t="s">
        <v>478</v>
      </c>
      <c r="C912" s="31" t="s">
        <v>479</v>
      </c>
      <c r="D912" s="31" t="s">
        <v>480</v>
      </c>
      <c r="E912" s="31" t="s">
        <v>183</v>
      </c>
      <c r="F912" s="31" t="s">
        <v>481</v>
      </c>
      <c r="G912" s="32">
        <v>1</v>
      </c>
      <c r="H912" s="33">
        <v>0</v>
      </c>
      <c r="I912" s="34">
        <v>94177.137883538904</v>
      </c>
      <c r="J912" s="34">
        <v>94177.137883538904</v>
      </c>
      <c r="K912" s="31" t="s">
        <v>2302</v>
      </c>
      <c r="L912" s="31">
        <v>1</v>
      </c>
      <c r="M912" s="31" t="s">
        <v>2303</v>
      </c>
      <c r="N912" s="34">
        <v>11.5</v>
      </c>
      <c r="O912" s="35">
        <v>8.6956521739130405E-2</v>
      </c>
      <c r="P912" s="35">
        <v>663</v>
      </c>
      <c r="Q912" s="35">
        <v>57.652173913043498</v>
      </c>
      <c r="R912" s="36">
        <v>7.01</v>
      </c>
      <c r="S912" s="37" t="str">
        <f>IFERROR(_xlfn.XLOOKUP(R912,'1_Presupuesto'!$E:$E,'1_Presupuesto'!$D:$D),"")</f>
        <v>Albañilería MO</v>
      </c>
    </row>
    <row r="913" spans="1:19" x14ac:dyDescent="0.35">
      <c r="A913" s="31" t="s">
        <v>2296</v>
      </c>
      <c r="B913" s="31" t="s">
        <v>478</v>
      </c>
      <c r="C913" s="31" t="s">
        <v>479</v>
      </c>
      <c r="D913" s="31" t="s">
        <v>484</v>
      </c>
      <c r="E913" s="31" t="s">
        <v>186</v>
      </c>
      <c r="F913" s="31" t="s">
        <v>481</v>
      </c>
      <c r="G913" s="32">
        <v>0.6</v>
      </c>
      <c r="H913" s="33">
        <v>0</v>
      </c>
      <c r="I913" s="34">
        <v>67240.498860267602</v>
      </c>
      <c r="J913" s="34">
        <v>40344.299316160599</v>
      </c>
      <c r="K913" s="31" t="s">
        <v>2302</v>
      </c>
      <c r="L913" s="31">
        <v>2</v>
      </c>
      <c r="M913" s="31" t="s">
        <v>2304</v>
      </c>
      <c r="N913" s="34">
        <v>11.5</v>
      </c>
      <c r="O913" s="35">
        <v>5.21739130434783E-2</v>
      </c>
      <c r="P913" s="35">
        <v>663</v>
      </c>
      <c r="Q913" s="35">
        <v>34.591304347826103</v>
      </c>
      <c r="R913" s="36">
        <v>7.01</v>
      </c>
      <c r="S913" s="37" t="str">
        <f>IFERROR(_xlfn.XLOOKUP(R913,'1_Presupuesto'!$E:$E,'1_Presupuesto'!$D:$D),"")</f>
        <v>Albañilería MO</v>
      </c>
    </row>
    <row r="914" spans="1:19" x14ac:dyDescent="0.35">
      <c r="A914" s="31" t="s">
        <v>2296</v>
      </c>
      <c r="B914" s="31" t="s">
        <v>203</v>
      </c>
      <c r="C914" s="31"/>
      <c r="D914" s="31" t="s">
        <v>613</v>
      </c>
      <c r="E914" s="31" t="s">
        <v>614</v>
      </c>
      <c r="F914" s="31"/>
      <c r="G914" s="32">
        <v>0.5</v>
      </c>
      <c r="H914" s="33">
        <v>0</v>
      </c>
      <c r="I914" s="34">
        <v>620.81078197718296</v>
      </c>
      <c r="J914" s="34">
        <v>310.40539098859199</v>
      </c>
      <c r="K914" s="31" t="s">
        <v>2305</v>
      </c>
      <c r="L914" s="31">
        <v>1</v>
      </c>
      <c r="M914" s="31" t="s">
        <v>2306</v>
      </c>
      <c r="N914" s="34">
        <v>11.5</v>
      </c>
      <c r="O914" s="35">
        <v>0</v>
      </c>
      <c r="P914" s="35">
        <v>663</v>
      </c>
      <c r="Q914" s="35">
        <v>0</v>
      </c>
      <c r="R914" s="36">
        <v>7.01</v>
      </c>
      <c r="S914" s="37" t="str">
        <f>IFERROR(_xlfn.XLOOKUP(R914,'1_Presupuesto'!$E:$E,'1_Presupuesto'!$D:$D),"")</f>
        <v>Albañilería MO</v>
      </c>
    </row>
    <row r="915" spans="1:19" x14ac:dyDescent="0.35">
      <c r="A915" s="31" t="s">
        <v>2296</v>
      </c>
      <c r="B915" s="31" t="s">
        <v>203</v>
      </c>
      <c r="C915" s="31"/>
      <c r="D915" s="31" t="s">
        <v>609</v>
      </c>
      <c r="E915" s="31" t="s">
        <v>610</v>
      </c>
      <c r="F915" s="31"/>
      <c r="G915" s="32">
        <v>1</v>
      </c>
      <c r="H915" s="33">
        <v>0</v>
      </c>
      <c r="I915" s="34">
        <v>2485.8709964594</v>
      </c>
      <c r="J915" s="34">
        <v>2485.8709964594</v>
      </c>
      <c r="K915" s="31" t="s">
        <v>2305</v>
      </c>
      <c r="L915" s="31">
        <v>2</v>
      </c>
      <c r="M915" s="31" t="s">
        <v>2307</v>
      </c>
      <c r="N915" s="34">
        <v>11.5</v>
      </c>
      <c r="O915" s="35">
        <v>0</v>
      </c>
      <c r="P915" s="35">
        <v>663</v>
      </c>
      <c r="Q915" s="35">
        <v>0</v>
      </c>
      <c r="R915" s="36">
        <v>7.01</v>
      </c>
      <c r="S915" s="37" t="str">
        <f>IFERROR(_xlfn.XLOOKUP(R915,'1_Presupuesto'!$E:$E,'1_Presupuesto'!$D:$D),"")</f>
        <v>Albañilería MO</v>
      </c>
    </row>
    <row r="916" spans="1:19" x14ac:dyDescent="0.35">
      <c r="A916" s="31" t="s">
        <v>2296</v>
      </c>
      <c r="B916" s="31" t="s">
        <v>203</v>
      </c>
      <c r="C916" s="31"/>
      <c r="D916" s="31" t="s">
        <v>616</v>
      </c>
      <c r="E916" s="31" t="s">
        <v>617</v>
      </c>
      <c r="F916" s="31"/>
      <c r="G916" s="32">
        <v>1</v>
      </c>
      <c r="H916" s="33">
        <v>0</v>
      </c>
      <c r="I916" s="34">
        <v>1040.43144867052</v>
      </c>
      <c r="J916" s="34">
        <v>1040.43144867052</v>
      </c>
      <c r="K916" s="31" t="s">
        <v>2305</v>
      </c>
      <c r="L916" s="31">
        <v>3</v>
      </c>
      <c r="M916" s="31" t="s">
        <v>2308</v>
      </c>
      <c r="N916" s="34">
        <v>11.5</v>
      </c>
      <c r="O916" s="35">
        <v>0</v>
      </c>
      <c r="P916" s="35">
        <v>663</v>
      </c>
      <c r="Q916" s="35">
        <v>0</v>
      </c>
      <c r="R916" s="36">
        <v>7.01</v>
      </c>
      <c r="S916" s="37" t="str">
        <f>IFERROR(_xlfn.XLOOKUP(R916,'1_Presupuesto'!$E:$E,'1_Presupuesto'!$D:$D),"")</f>
        <v>Albañilería MO</v>
      </c>
    </row>
    <row r="917" spans="1:19" x14ac:dyDescent="0.35">
      <c r="A917" s="31" t="s">
        <v>2309</v>
      </c>
      <c r="B917" s="31" t="s">
        <v>497</v>
      </c>
      <c r="C917" s="31" t="s">
        <v>498</v>
      </c>
      <c r="D917" s="31" t="s">
        <v>534</v>
      </c>
      <c r="E917" s="31" t="s">
        <v>535</v>
      </c>
      <c r="F917" s="31">
        <v>0</v>
      </c>
      <c r="G917" s="32">
        <v>2.5999999999999999E-2</v>
      </c>
      <c r="H917" s="33">
        <v>0.1</v>
      </c>
      <c r="I917" s="34">
        <v>32620.38</v>
      </c>
      <c r="J917" s="34">
        <v>932.94286799999998</v>
      </c>
      <c r="K917" s="31" t="s">
        <v>2310</v>
      </c>
      <c r="L917" s="31">
        <v>1</v>
      </c>
      <c r="M917" s="31" t="s">
        <v>2311</v>
      </c>
      <c r="N917" s="34">
        <v>8</v>
      </c>
      <c r="O917" s="35">
        <v>0</v>
      </c>
      <c r="P917" s="35">
        <v>1164</v>
      </c>
      <c r="Q917" s="35">
        <v>0</v>
      </c>
      <c r="R917" s="36">
        <v>7.02</v>
      </c>
      <c r="S917" s="37" t="str">
        <f>IFERROR(_xlfn.XLOOKUP(R917,'1_Presupuesto'!$E:$E,'1_Presupuesto'!$D:$D),"")</f>
        <v>Albañilería MO</v>
      </c>
    </row>
    <row r="918" spans="1:19" x14ac:dyDescent="0.35">
      <c r="A918" s="31" t="s">
        <v>2309</v>
      </c>
      <c r="B918" s="31" t="s">
        <v>497</v>
      </c>
      <c r="C918" s="31" t="s">
        <v>498</v>
      </c>
      <c r="D918" s="31" t="s">
        <v>909</v>
      </c>
      <c r="E918" s="31" t="s">
        <v>910</v>
      </c>
      <c r="F918" s="31">
        <v>0</v>
      </c>
      <c r="G918" s="32">
        <v>0.1</v>
      </c>
      <c r="H918" s="33">
        <v>0.05</v>
      </c>
      <c r="I918" s="34">
        <v>1363.95</v>
      </c>
      <c r="J918" s="34">
        <v>143.21475000000001</v>
      </c>
      <c r="K918" s="31" t="s">
        <v>2310</v>
      </c>
      <c r="L918" s="31">
        <v>2</v>
      </c>
      <c r="M918" s="31" t="s">
        <v>2312</v>
      </c>
      <c r="N918" s="34">
        <v>8</v>
      </c>
      <c r="O918" s="35">
        <v>0</v>
      </c>
      <c r="P918" s="35">
        <v>1164</v>
      </c>
      <c r="Q918" s="35">
        <v>0</v>
      </c>
      <c r="R918" s="36">
        <v>7.02</v>
      </c>
      <c r="S918" s="37" t="str">
        <f>IFERROR(_xlfn.XLOOKUP(R918,'1_Presupuesto'!$E:$E,'1_Presupuesto'!$D:$D),"")</f>
        <v>Albañilería MO</v>
      </c>
    </row>
    <row r="919" spans="1:19" x14ac:dyDescent="0.35">
      <c r="A919" s="31" t="s">
        <v>2309</v>
      </c>
      <c r="B919" s="31" t="s">
        <v>497</v>
      </c>
      <c r="C919" s="31" t="s">
        <v>498</v>
      </c>
      <c r="D919" s="31" t="s">
        <v>541</v>
      </c>
      <c r="E919" s="31" t="s">
        <v>542</v>
      </c>
      <c r="F919" s="31">
        <v>0</v>
      </c>
      <c r="G919" s="32">
        <v>0.314</v>
      </c>
      <c r="H919" s="33">
        <v>0.1</v>
      </c>
      <c r="I919" s="34">
        <v>7891.74</v>
      </c>
      <c r="J919" s="34">
        <v>2725.8069959999998</v>
      </c>
      <c r="K919" s="31" t="s">
        <v>2310</v>
      </c>
      <c r="L919" s="31">
        <v>3</v>
      </c>
      <c r="M919" s="31" t="s">
        <v>2313</v>
      </c>
      <c r="N919" s="34">
        <v>8</v>
      </c>
      <c r="O919" s="35">
        <v>0</v>
      </c>
      <c r="P919" s="35">
        <v>1164</v>
      </c>
      <c r="Q919" s="35">
        <v>0</v>
      </c>
      <c r="R919" s="36">
        <v>7.02</v>
      </c>
      <c r="S919" s="37" t="str">
        <f>IFERROR(_xlfn.XLOOKUP(R919,'1_Presupuesto'!$E:$E,'1_Presupuesto'!$D:$D),"")</f>
        <v>Albañilería MO</v>
      </c>
    </row>
    <row r="920" spans="1:19" x14ac:dyDescent="0.35">
      <c r="A920" s="31" t="s">
        <v>2309</v>
      </c>
      <c r="B920" s="31" t="s">
        <v>497</v>
      </c>
      <c r="C920" s="31" t="s">
        <v>498</v>
      </c>
      <c r="D920" s="31" t="s">
        <v>538</v>
      </c>
      <c r="E920" s="31" t="s">
        <v>539</v>
      </c>
      <c r="F920" s="31">
        <v>0</v>
      </c>
      <c r="G920" s="32">
        <v>0.06</v>
      </c>
      <c r="H920" s="33">
        <v>0.1</v>
      </c>
      <c r="I920" s="34">
        <v>3927.28</v>
      </c>
      <c r="J920" s="34">
        <v>259.20048000000003</v>
      </c>
      <c r="K920" s="31" t="s">
        <v>2310</v>
      </c>
      <c r="L920" s="31">
        <v>4</v>
      </c>
      <c r="M920" s="31" t="s">
        <v>2314</v>
      </c>
      <c r="N920" s="34">
        <v>8</v>
      </c>
      <c r="O920" s="35">
        <v>0</v>
      </c>
      <c r="P920" s="35">
        <v>1164</v>
      </c>
      <c r="Q920" s="35">
        <v>0</v>
      </c>
      <c r="R920" s="36">
        <v>7.02</v>
      </c>
      <c r="S920" s="37" t="str">
        <f>IFERROR(_xlfn.XLOOKUP(R920,'1_Presupuesto'!$E:$E,'1_Presupuesto'!$D:$D),"")</f>
        <v>Albañilería MO</v>
      </c>
    </row>
    <row r="921" spans="1:19" x14ac:dyDescent="0.35">
      <c r="A921" s="31" t="s">
        <v>2309</v>
      </c>
      <c r="B921" s="31" t="s">
        <v>478</v>
      </c>
      <c r="C921" s="31" t="s">
        <v>479</v>
      </c>
      <c r="D921" s="31" t="s">
        <v>480</v>
      </c>
      <c r="E921" s="31" t="s">
        <v>183</v>
      </c>
      <c r="F921" s="31" t="s">
        <v>481</v>
      </c>
      <c r="G921" s="32">
        <v>1</v>
      </c>
      <c r="H921" s="33">
        <v>0</v>
      </c>
      <c r="I921" s="34">
        <v>94177.137883538904</v>
      </c>
      <c r="J921" s="34">
        <v>94177.137883538904</v>
      </c>
      <c r="K921" s="31" t="s">
        <v>2315</v>
      </c>
      <c r="L921" s="31">
        <v>1</v>
      </c>
      <c r="M921" s="31" t="s">
        <v>2316</v>
      </c>
      <c r="N921" s="34">
        <v>8</v>
      </c>
      <c r="O921" s="35">
        <v>0.125</v>
      </c>
      <c r="P921" s="35">
        <v>1164</v>
      </c>
      <c r="Q921" s="35">
        <v>145.5</v>
      </c>
      <c r="R921" s="36">
        <v>7.02</v>
      </c>
      <c r="S921" s="37" t="str">
        <f>IFERROR(_xlfn.XLOOKUP(R921,'1_Presupuesto'!$E:$E,'1_Presupuesto'!$D:$D),"")</f>
        <v>Albañilería MO</v>
      </c>
    </row>
    <row r="922" spans="1:19" x14ac:dyDescent="0.35">
      <c r="A922" s="31" t="s">
        <v>2309</v>
      </c>
      <c r="B922" s="31" t="s">
        <v>478</v>
      </c>
      <c r="C922" s="31" t="s">
        <v>479</v>
      </c>
      <c r="D922" s="31" t="s">
        <v>484</v>
      </c>
      <c r="E922" s="31" t="s">
        <v>186</v>
      </c>
      <c r="F922" s="31" t="s">
        <v>481</v>
      </c>
      <c r="G922" s="32">
        <v>0.6</v>
      </c>
      <c r="H922" s="33">
        <v>0</v>
      </c>
      <c r="I922" s="34">
        <v>67240.498860267602</v>
      </c>
      <c r="J922" s="34">
        <v>40344.299316160599</v>
      </c>
      <c r="K922" s="31" t="s">
        <v>2315</v>
      </c>
      <c r="L922" s="31">
        <v>2</v>
      </c>
      <c r="M922" s="31" t="s">
        <v>2317</v>
      </c>
      <c r="N922" s="34">
        <v>8</v>
      </c>
      <c r="O922" s="35">
        <v>7.4999999999999997E-2</v>
      </c>
      <c r="P922" s="35">
        <v>1164</v>
      </c>
      <c r="Q922" s="35">
        <v>87.3</v>
      </c>
      <c r="R922" s="36">
        <v>7.02</v>
      </c>
      <c r="S922" s="37" t="str">
        <f>IFERROR(_xlfn.XLOOKUP(R922,'1_Presupuesto'!$E:$E,'1_Presupuesto'!$D:$D),"")</f>
        <v>Albañilería MO</v>
      </c>
    </row>
    <row r="923" spans="1:19" x14ac:dyDescent="0.35">
      <c r="A923" s="31" t="s">
        <v>2309</v>
      </c>
      <c r="B923" s="31" t="s">
        <v>203</v>
      </c>
      <c r="C923" s="31"/>
      <c r="D923" s="31" t="s">
        <v>1015</v>
      </c>
      <c r="E923" s="31" t="s">
        <v>1016</v>
      </c>
      <c r="F923" s="31"/>
      <c r="G923" s="32">
        <v>1</v>
      </c>
      <c r="H923" s="33">
        <v>0</v>
      </c>
      <c r="I923" s="34">
        <v>3380.6</v>
      </c>
      <c r="J923" s="34">
        <v>3380.6</v>
      </c>
      <c r="K923" s="31" t="s">
        <v>2318</v>
      </c>
      <c r="L923" s="31">
        <v>1</v>
      </c>
      <c r="M923" s="31" t="s">
        <v>2319</v>
      </c>
      <c r="N923" s="34">
        <v>8</v>
      </c>
      <c r="O923" s="35">
        <v>0</v>
      </c>
      <c r="P923" s="35">
        <v>1164</v>
      </c>
      <c r="Q923" s="35">
        <v>0</v>
      </c>
      <c r="R923" s="36">
        <v>7.02</v>
      </c>
      <c r="S923" s="37" t="str">
        <f>IFERROR(_xlfn.XLOOKUP(R923,'1_Presupuesto'!$E:$E,'1_Presupuesto'!$D:$D),"")</f>
        <v>Albañilería MO</v>
      </c>
    </row>
    <row r="924" spans="1:19" x14ac:dyDescent="0.35">
      <c r="A924" s="31" t="s">
        <v>2309</v>
      </c>
      <c r="B924" s="31" t="s">
        <v>203</v>
      </c>
      <c r="C924" s="31"/>
      <c r="D924" s="31" t="s">
        <v>613</v>
      </c>
      <c r="E924" s="31" t="s">
        <v>614</v>
      </c>
      <c r="F924" s="31"/>
      <c r="G924" s="32">
        <v>0</v>
      </c>
      <c r="H924" s="33">
        <v>0</v>
      </c>
      <c r="I924" s="34">
        <v>620.81078197718296</v>
      </c>
      <c r="J924" s="34">
        <v>0</v>
      </c>
      <c r="K924" s="31" t="s">
        <v>2318</v>
      </c>
      <c r="L924" s="31">
        <v>2</v>
      </c>
      <c r="M924" s="31" t="s">
        <v>2320</v>
      </c>
      <c r="N924" s="34">
        <v>8</v>
      </c>
      <c r="O924" s="35">
        <v>0</v>
      </c>
      <c r="P924" s="35">
        <v>1164</v>
      </c>
      <c r="Q924" s="35">
        <v>0</v>
      </c>
      <c r="R924" s="36">
        <v>7.02</v>
      </c>
      <c r="S924" s="37" t="str">
        <f>IFERROR(_xlfn.XLOOKUP(R924,'1_Presupuesto'!$E:$E,'1_Presupuesto'!$D:$D),"")</f>
        <v>Albañilería MO</v>
      </c>
    </row>
    <row r="925" spans="1:19" x14ac:dyDescent="0.35">
      <c r="A925" s="31" t="s">
        <v>2309</v>
      </c>
      <c r="B925" s="31" t="s">
        <v>203</v>
      </c>
      <c r="C925" s="31"/>
      <c r="D925" s="31" t="s">
        <v>609</v>
      </c>
      <c r="E925" s="31" t="s">
        <v>610</v>
      </c>
      <c r="F925" s="31"/>
      <c r="G925" s="32">
        <v>1</v>
      </c>
      <c r="H925" s="33">
        <v>0</v>
      </c>
      <c r="I925" s="34">
        <v>2485.8709964594</v>
      </c>
      <c r="J925" s="34">
        <v>2485.8709964594</v>
      </c>
      <c r="K925" s="31" t="s">
        <v>2318</v>
      </c>
      <c r="L925" s="31">
        <v>3</v>
      </c>
      <c r="M925" s="31" t="s">
        <v>2321</v>
      </c>
      <c r="N925" s="34">
        <v>8</v>
      </c>
      <c r="O925" s="35">
        <v>0</v>
      </c>
      <c r="P925" s="35">
        <v>1164</v>
      </c>
      <c r="Q925" s="35">
        <v>0</v>
      </c>
      <c r="R925" s="36">
        <v>7.02</v>
      </c>
      <c r="S925" s="37" t="str">
        <f>IFERROR(_xlfn.XLOOKUP(R925,'1_Presupuesto'!$E:$E,'1_Presupuesto'!$D:$D),"")</f>
        <v>Albañilería MO</v>
      </c>
    </row>
    <row r="926" spans="1:19" x14ac:dyDescent="0.35">
      <c r="A926" s="31" t="s">
        <v>2309</v>
      </c>
      <c r="B926" s="31" t="s">
        <v>203</v>
      </c>
      <c r="C926" s="31"/>
      <c r="D926" s="31" t="s">
        <v>616</v>
      </c>
      <c r="E926" s="31" t="s">
        <v>617</v>
      </c>
      <c r="F926" s="31"/>
      <c r="G926" s="32">
        <v>1</v>
      </c>
      <c r="H926" s="33">
        <v>0</v>
      </c>
      <c r="I926" s="34">
        <v>1040.43144867052</v>
      </c>
      <c r="J926" s="34">
        <v>1040.43144867052</v>
      </c>
      <c r="K926" s="31" t="s">
        <v>2318</v>
      </c>
      <c r="L926" s="31">
        <v>4</v>
      </c>
      <c r="M926" s="31" t="s">
        <v>2322</v>
      </c>
      <c r="N926" s="34">
        <v>8</v>
      </c>
      <c r="O926" s="35">
        <v>0</v>
      </c>
      <c r="P926" s="35">
        <v>1164</v>
      </c>
      <c r="Q926" s="35">
        <v>0</v>
      </c>
      <c r="R926" s="36">
        <v>7.02</v>
      </c>
      <c r="S926" s="37" t="str">
        <f>IFERROR(_xlfn.XLOOKUP(R926,'1_Presupuesto'!$E:$E,'1_Presupuesto'!$D:$D),"")</f>
        <v>Albañilería MO</v>
      </c>
    </row>
    <row r="927" spans="1:19" x14ac:dyDescent="0.35">
      <c r="A927" s="31" t="s">
        <v>2323</v>
      </c>
      <c r="B927" s="31" t="s">
        <v>478</v>
      </c>
      <c r="C927" s="31" t="s">
        <v>498</v>
      </c>
      <c r="D927" s="31" t="s">
        <v>2324</v>
      </c>
      <c r="E927" s="31" t="s">
        <v>2325</v>
      </c>
      <c r="F927" s="31" t="s">
        <v>481</v>
      </c>
      <c r="G927" s="32">
        <v>1</v>
      </c>
      <c r="H927" s="33">
        <v>0</v>
      </c>
      <c r="I927" s="34">
        <v>11122.3391600798</v>
      </c>
      <c r="J927" s="34">
        <v>11122.3391600798</v>
      </c>
      <c r="K927" s="31" t="s">
        <v>2326</v>
      </c>
      <c r="L927" s="31">
        <v>1</v>
      </c>
      <c r="M927" s="31" t="s">
        <v>2327</v>
      </c>
      <c r="N927" s="34">
        <v>1</v>
      </c>
      <c r="O927" s="35">
        <v>0</v>
      </c>
      <c r="P927" s="35">
        <v>500</v>
      </c>
      <c r="Q927" s="35">
        <v>0</v>
      </c>
      <c r="R927" s="36">
        <v>7.03</v>
      </c>
      <c r="S927" s="37">
        <f>IFERROR(_xlfn.XLOOKUP(R927,'1_Presupuesto'!$E:$E,'1_Presupuesto'!$D:$D),"")</f>
        <v>0</v>
      </c>
    </row>
    <row r="928" spans="1:19" x14ac:dyDescent="0.35">
      <c r="A928" s="31" t="s">
        <v>2328</v>
      </c>
      <c r="B928" s="31" t="s">
        <v>497</v>
      </c>
      <c r="C928" s="31" t="s">
        <v>498</v>
      </c>
      <c r="D928" s="31" t="s">
        <v>534</v>
      </c>
      <c r="E928" s="31" t="s">
        <v>535</v>
      </c>
      <c r="F928" s="31">
        <v>0</v>
      </c>
      <c r="G928" s="32">
        <v>2.7E-2</v>
      </c>
      <c r="H928" s="33">
        <v>0.1</v>
      </c>
      <c r="I928" s="34">
        <v>32620.38</v>
      </c>
      <c r="J928" s="34">
        <v>968.82528600000001</v>
      </c>
      <c r="K928" s="31" t="s">
        <v>2329</v>
      </c>
      <c r="L928" s="31">
        <v>1</v>
      </c>
      <c r="M928" s="31" t="s">
        <v>2330</v>
      </c>
      <c r="N928" s="34">
        <v>6</v>
      </c>
      <c r="O928" s="35">
        <v>0</v>
      </c>
      <c r="P928" s="35">
        <v>521</v>
      </c>
      <c r="Q928" s="35">
        <v>0</v>
      </c>
      <c r="R928" s="36">
        <v>7.04</v>
      </c>
      <c r="S928" s="37" t="str">
        <f>IFERROR(_xlfn.XLOOKUP(R928,'1_Presupuesto'!$E:$E,'1_Presupuesto'!$D:$D),"")</f>
        <v>Albañilería MO</v>
      </c>
    </row>
    <row r="929" spans="1:19" x14ac:dyDescent="0.35">
      <c r="A929" s="31" t="s">
        <v>2328</v>
      </c>
      <c r="B929" s="31" t="s">
        <v>497</v>
      </c>
      <c r="C929" s="31" t="s">
        <v>498</v>
      </c>
      <c r="D929" s="31" t="s">
        <v>538</v>
      </c>
      <c r="E929" s="31" t="s">
        <v>539</v>
      </c>
      <c r="F929" s="31">
        <v>0</v>
      </c>
      <c r="G929" s="32">
        <v>0.14399999999999999</v>
      </c>
      <c r="H929" s="33">
        <v>0.1</v>
      </c>
      <c r="I929" s="34">
        <v>3927.28</v>
      </c>
      <c r="J929" s="34">
        <v>622.08115199999997</v>
      </c>
      <c r="K929" s="31" t="s">
        <v>2329</v>
      </c>
      <c r="L929" s="31">
        <v>2</v>
      </c>
      <c r="M929" s="31" t="s">
        <v>2331</v>
      </c>
      <c r="N929" s="34">
        <v>6</v>
      </c>
      <c r="O929" s="35">
        <v>0</v>
      </c>
      <c r="P929" s="35">
        <v>521</v>
      </c>
      <c r="Q929" s="35">
        <v>0</v>
      </c>
      <c r="R929" s="36">
        <v>7.04</v>
      </c>
      <c r="S929" s="37" t="str">
        <f>IFERROR(_xlfn.XLOOKUP(R929,'1_Presupuesto'!$E:$E,'1_Presupuesto'!$D:$D),"")</f>
        <v>Albañilería MO</v>
      </c>
    </row>
    <row r="930" spans="1:19" x14ac:dyDescent="0.35">
      <c r="A930" s="31" t="s">
        <v>2328</v>
      </c>
      <c r="B930" s="31" t="s">
        <v>497</v>
      </c>
      <c r="C930" s="31" t="s">
        <v>498</v>
      </c>
      <c r="D930" s="31" t="s">
        <v>541</v>
      </c>
      <c r="E930" s="31" t="s">
        <v>542</v>
      </c>
      <c r="F930" s="31">
        <v>0</v>
      </c>
      <c r="G930" s="32">
        <v>4.5999999999999999E-2</v>
      </c>
      <c r="H930" s="33">
        <v>0.1</v>
      </c>
      <c r="I930" s="34">
        <v>7891.74</v>
      </c>
      <c r="J930" s="34">
        <v>399.32204400000001</v>
      </c>
      <c r="K930" s="31" t="s">
        <v>2329</v>
      </c>
      <c r="L930" s="31">
        <v>3</v>
      </c>
      <c r="M930" s="31" t="s">
        <v>2332</v>
      </c>
      <c r="N930" s="34">
        <v>6</v>
      </c>
      <c r="O930" s="35">
        <v>0</v>
      </c>
      <c r="P930" s="35">
        <v>521</v>
      </c>
      <c r="Q930" s="35">
        <v>0</v>
      </c>
      <c r="R930" s="36">
        <v>7.04</v>
      </c>
      <c r="S930" s="37" t="str">
        <f>IFERROR(_xlfn.XLOOKUP(R930,'1_Presupuesto'!$E:$E,'1_Presupuesto'!$D:$D),"")</f>
        <v>Albañilería MO</v>
      </c>
    </row>
    <row r="931" spans="1:19" x14ac:dyDescent="0.35">
      <c r="A931" s="31" t="s">
        <v>2328</v>
      </c>
      <c r="B931" s="31" t="s">
        <v>478</v>
      </c>
      <c r="C931" s="31" t="s">
        <v>479</v>
      </c>
      <c r="D931" s="31" t="s">
        <v>484</v>
      </c>
      <c r="E931" s="31" t="s">
        <v>186</v>
      </c>
      <c r="F931" s="31" t="s">
        <v>481</v>
      </c>
      <c r="G931" s="32">
        <v>0.65</v>
      </c>
      <c r="H931" s="33">
        <v>0</v>
      </c>
      <c r="I931" s="34">
        <v>67240.498860267602</v>
      </c>
      <c r="J931" s="34">
        <v>43706.324259173904</v>
      </c>
      <c r="K931" s="31" t="s">
        <v>2333</v>
      </c>
      <c r="L931" s="31">
        <v>1</v>
      </c>
      <c r="M931" s="31" t="s">
        <v>2334</v>
      </c>
      <c r="N931" s="34">
        <v>6</v>
      </c>
      <c r="O931" s="35">
        <v>0.108333333333333</v>
      </c>
      <c r="P931" s="35">
        <v>521</v>
      </c>
      <c r="Q931" s="35">
        <v>56.441666666666698</v>
      </c>
      <c r="R931" s="36">
        <v>7.04</v>
      </c>
      <c r="S931" s="37" t="str">
        <f>IFERROR(_xlfn.XLOOKUP(R931,'1_Presupuesto'!$E:$E,'1_Presupuesto'!$D:$D),"")</f>
        <v>Albañilería MO</v>
      </c>
    </row>
    <row r="932" spans="1:19" x14ac:dyDescent="0.35">
      <c r="A932" s="31" t="s">
        <v>2328</v>
      </c>
      <c r="B932" s="31" t="s">
        <v>478</v>
      </c>
      <c r="C932" s="31" t="s">
        <v>479</v>
      </c>
      <c r="D932" s="31" t="s">
        <v>480</v>
      </c>
      <c r="E932" s="31" t="s">
        <v>183</v>
      </c>
      <c r="F932" s="31" t="s">
        <v>481</v>
      </c>
      <c r="G932" s="32">
        <v>1</v>
      </c>
      <c r="H932" s="33">
        <v>0</v>
      </c>
      <c r="I932" s="34">
        <v>94177.137883538904</v>
      </c>
      <c r="J932" s="34">
        <v>94177.137883538904</v>
      </c>
      <c r="K932" s="31" t="s">
        <v>2333</v>
      </c>
      <c r="L932" s="31">
        <v>2</v>
      </c>
      <c r="M932" s="31" t="s">
        <v>2335</v>
      </c>
      <c r="N932" s="34">
        <v>6</v>
      </c>
      <c r="O932" s="35">
        <v>0.16666666666666699</v>
      </c>
      <c r="P932" s="35">
        <v>521</v>
      </c>
      <c r="Q932" s="35">
        <v>86.8333333333333</v>
      </c>
      <c r="R932" s="36">
        <v>7.04</v>
      </c>
      <c r="S932" s="37" t="str">
        <f>IFERROR(_xlfn.XLOOKUP(R932,'1_Presupuesto'!$E:$E,'1_Presupuesto'!$D:$D),"")</f>
        <v>Albañilería MO</v>
      </c>
    </row>
    <row r="933" spans="1:19" x14ac:dyDescent="0.35">
      <c r="A933" s="31" t="s">
        <v>2328</v>
      </c>
      <c r="B933" s="31" t="s">
        <v>203</v>
      </c>
      <c r="C933" s="31"/>
      <c r="D933" s="31" t="s">
        <v>613</v>
      </c>
      <c r="E933" s="31" t="s">
        <v>614</v>
      </c>
      <c r="F933" s="31"/>
      <c r="G933" s="32">
        <v>0.5</v>
      </c>
      <c r="H933" s="33">
        <v>0</v>
      </c>
      <c r="I933" s="34">
        <v>620.81078197718296</v>
      </c>
      <c r="J933" s="34">
        <v>310.40539098859199</v>
      </c>
      <c r="K933" s="31" t="s">
        <v>2336</v>
      </c>
      <c r="L933" s="31">
        <v>1</v>
      </c>
      <c r="M933" s="31" t="s">
        <v>2337</v>
      </c>
      <c r="N933" s="34">
        <v>6</v>
      </c>
      <c r="O933" s="35">
        <v>0</v>
      </c>
      <c r="P933" s="35">
        <v>521</v>
      </c>
      <c r="Q933" s="35">
        <v>0</v>
      </c>
      <c r="R933" s="36">
        <v>7.04</v>
      </c>
      <c r="S933" s="37" t="str">
        <f>IFERROR(_xlfn.XLOOKUP(R933,'1_Presupuesto'!$E:$E,'1_Presupuesto'!$D:$D),"")</f>
        <v>Albañilería MO</v>
      </c>
    </row>
    <row r="934" spans="1:19" x14ac:dyDescent="0.35">
      <c r="A934" s="31" t="s">
        <v>2328</v>
      </c>
      <c r="B934" s="31" t="s">
        <v>203</v>
      </c>
      <c r="C934" s="31"/>
      <c r="D934" s="31" t="s">
        <v>609</v>
      </c>
      <c r="E934" s="31" t="s">
        <v>610</v>
      </c>
      <c r="F934" s="31"/>
      <c r="G934" s="32">
        <v>1</v>
      </c>
      <c r="H934" s="33">
        <v>0</v>
      </c>
      <c r="I934" s="34">
        <v>2485.8709964594</v>
      </c>
      <c r="J934" s="34">
        <v>2485.8709964594</v>
      </c>
      <c r="K934" s="31" t="s">
        <v>2336</v>
      </c>
      <c r="L934" s="31">
        <v>2</v>
      </c>
      <c r="M934" s="31" t="s">
        <v>2338</v>
      </c>
      <c r="N934" s="34">
        <v>6</v>
      </c>
      <c r="O934" s="35">
        <v>0</v>
      </c>
      <c r="P934" s="35">
        <v>521</v>
      </c>
      <c r="Q934" s="35">
        <v>0</v>
      </c>
      <c r="R934" s="36">
        <v>7.04</v>
      </c>
      <c r="S934" s="37" t="str">
        <f>IFERROR(_xlfn.XLOOKUP(R934,'1_Presupuesto'!$E:$E,'1_Presupuesto'!$D:$D),"")</f>
        <v>Albañilería MO</v>
      </c>
    </row>
    <row r="935" spans="1:19" x14ac:dyDescent="0.35">
      <c r="A935" s="31" t="s">
        <v>2328</v>
      </c>
      <c r="B935" s="31" t="s">
        <v>203</v>
      </c>
      <c r="C935" s="31"/>
      <c r="D935" s="31" t="s">
        <v>616</v>
      </c>
      <c r="E935" s="31" t="s">
        <v>617</v>
      </c>
      <c r="F935" s="31"/>
      <c r="G935" s="32">
        <v>1</v>
      </c>
      <c r="H935" s="33">
        <v>0</v>
      </c>
      <c r="I935" s="34">
        <v>1040.43144867052</v>
      </c>
      <c r="J935" s="34">
        <v>1040.43144867052</v>
      </c>
      <c r="K935" s="31" t="s">
        <v>2336</v>
      </c>
      <c r="L935" s="31">
        <v>3</v>
      </c>
      <c r="M935" s="31" t="s">
        <v>2339</v>
      </c>
      <c r="N935" s="34">
        <v>6</v>
      </c>
      <c r="O935" s="35">
        <v>0</v>
      </c>
      <c r="P935" s="35">
        <v>521</v>
      </c>
      <c r="Q935" s="35">
        <v>0</v>
      </c>
      <c r="R935" s="36">
        <v>7.04</v>
      </c>
      <c r="S935" s="37" t="str">
        <f>IFERROR(_xlfn.XLOOKUP(R935,'1_Presupuesto'!$E:$E,'1_Presupuesto'!$D:$D),"")</f>
        <v>Albañilería MO</v>
      </c>
    </row>
    <row r="936" spans="1:19" x14ac:dyDescent="0.35">
      <c r="A936" s="31" t="s">
        <v>2340</v>
      </c>
      <c r="B936" s="31" t="s">
        <v>497</v>
      </c>
      <c r="C936" s="31" t="s">
        <v>1706</v>
      </c>
      <c r="D936" s="31" t="s">
        <v>2341</v>
      </c>
      <c r="E936" s="31" t="s">
        <v>2342</v>
      </c>
      <c r="F936" s="31" t="s">
        <v>261</v>
      </c>
      <c r="G936" s="32">
        <v>0.71421999999999997</v>
      </c>
      <c r="H936" s="33">
        <v>0</v>
      </c>
      <c r="I936" s="34">
        <v>7524.72</v>
      </c>
      <c r="J936" s="34">
        <v>5374.3055184000004</v>
      </c>
      <c r="K936" s="31" t="s">
        <v>2343</v>
      </c>
      <c r="L936" s="31">
        <v>1</v>
      </c>
      <c r="M936" s="31" t="s">
        <v>2344</v>
      </c>
      <c r="N936" s="34">
        <v>1</v>
      </c>
      <c r="O936" s="35">
        <v>0</v>
      </c>
      <c r="P936" s="35">
        <v>2180</v>
      </c>
      <c r="Q936" s="35">
        <v>0</v>
      </c>
      <c r="R936" s="36">
        <v>7.05</v>
      </c>
      <c r="S936" s="37">
        <f>IFERROR(_xlfn.XLOOKUP(R936,'1_Presupuesto'!$E:$E,'1_Presupuesto'!$D:$D),"")</f>
        <v>0</v>
      </c>
    </row>
    <row r="937" spans="1:19" x14ac:dyDescent="0.35">
      <c r="A937" s="31" t="s">
        <v>2340</v>
      </c>
      <c r="B937" s="31" t="s">
        <v>497</v>
      </c>
      <c r="C937" s="31" t="s">
        <v>1706</v>
      </c>
      <c r="D937" s="31" t="s">
        <v>2345</v>
      </c>
      <c r="E937" s="31" t="s">
        <v>2346</v>
      </c>
      <c r="F937" s="31" t="s">
        <v>261</v>
      </c>
      <c r="G937" s="32">
        <v>1.3760000000000001E-3</v>
      </c>
      <c r="H937" s="33">
        <v>0</v>
      </c>
      <c r="I937" s="34">
        <v>152600</v>
      </c>
      <c r="J937" s="34">
        <v>209.9776</v>
      </c>
      <c r="K937" s="31" t="s">
        <v>2343</v>
      </c>
      <c r="L937" s="31">
        <v>2</v>
      </c>
      <c r="M937" s="31" t="s">
        <v>2347</v>
      </c>
      <c r="N937" s="34">
        <v>1</v>
      </c>
      <c r="O937" s="35">
        <v>0</v>
      </c>
      <c r="P937" s="35">
        <v>2180</v>
      </c>
      <c r="Q937" s="35">
        <v>0</v>
      </c>
      <c r="R937" s="36">
        <v>7.05</v>
      </c>
      <c r="S937" s="37">
        <f>IFERROR(_xlfn.XLOOKUP(R937,'1_Presupuesto'!$E:$E,'1_Presupuesto'!$D:$D),"")</f>
        <v>0</v>
      </c>
    </row>
    <row r="938" spans="1:19" x14ac:dyDescent="0.35">
      <c r="A938" s="31" t="s">
        <v>2340</v>
      </c>
      <c r="B938" s="31" t="s">
        <v>497</v>
      </c>
      <c r="C938" s="31" t="s">
        <v>1706</v>
      </c>
      <c r="D938" s="31" t="s">
        <v>2348</v>
      </c>
      <c r="E938" s="31" t="s">
        <v>2349</v>
      </c>
      <c r="F938" s="31" t="s">
        <v>261</v>
      </c>
      <c r="G938" s="32">
        <v>4.5869999999999999E-3</v>
      </c>
      <c r="H938" s="33">
        <v>0</v>
      </c>
      <c r="I938" s="34">
        <v>42850.080000000002</v>
      </c>
      <c r="J938" s="34">
        <v>196.55331695999999</v>
      </c>
      <c r="K938" s="31" t="s">
        <v>2343</v>
      </c>
      <c r="L938" s="31">
        <v>3</v>
      </c>
      <c r="M938" s="31" t="s">
        <v>2350</v>
      </c>
      <c r="N938" s="34">
        <v>1</v>
      </c>
      <c r="O938" s="35">
        <v>0</v>
      </c>
      <c r="P938" s="35">
        <v>2180</v>
      </c>
      <c r="Q938" s="35">
        <v>0</v>
      </c>
      <c r="R938" s="36">
        <v>7.05</v>
      </c>
      <c r="S938" s="37">
        <f>IFERROR(_xlfn.XLOOKUP(R938,'1_Presupuesto'!$E:$E,'1_Presupuesto'!$D:$D),"")</f>
        <v>0</v>
      </c>
    </row>
    <row r="939" spans="1:19" x14ac:dyDescent="0.35">
      <c r="A939" s="31" t="s">
        <v>2340</v>
      </c>
      <c r="B939" s="31" t="s">
        <v>478</v>
      </c>
      <c r="C939" s="31" t="s">
        <v>498</v>
      </c>
      <c r="D939" s="31" t="s">
        <v>2351</v>
      </c>
      <c r="E939" s="31" t="s">
        <v>2352</v>
      </c>
      <c r="F939" s="31" t="s">
        <v>481</v>
      </c>
      <c r="G939" s="32">
        <v>1</v>
      </c>
      <c r="H939" s="33">
        <v>0</v>
      </c>
      <c r="I939" s="34">
        <v>12252.5485737202</v>
      </c>
      <c r="J939" s="34">
        <v>12252.5485737202</v>
      </c>
      <c r="K939" s="31" t="s">
        <v>2353</v>
      </c>
      <c r="L939" s="31">
        <v>1</v>
      </c>
      <c r="M939" s="31" t="s">
        <v>2354</v>
      </c>
      <c r="N939" s="34">
        <v>1</v>
      </c>
      <c r="O939" s="35">
        <v>0</v>
      </c>
      <c r="P939" s="35">
        <v>2180</v>
      </c>
      <c r="Q939" s="35">
        <v>0</v>
      </c>
      <c r="R939" s="36">
        <v>7.05</v>
      </c>
      <c r="S939" s="37">
        <f>IFERROR(_xlfn.XLOOKUP(R939,'1_Presupuesto'!$E:$E,'1_Presupuesto'!$D:$D),"")</f>
        <v>0</v>
      </c>
    </row>
    <row r="940" spans="1:19" x14ac:dyDescent="0.35">
      <c r="A940" s="31" t="s">
        <v>2340</v>
      </c>
      <c r="B940" s="31" t="s">
        <v>203</v>
      </c>
      <c r="C940" s="31"/>
      <c r="D940" s="31" t="s">
        <v>2355</v>
      </c>
      <c r="E940" s="31" t="s">
        <v>2356</v>
      </c>
      <c r="F940" s="31"/>
      <c r="G940" s="32">
        <v>1</v>
      </c>
      <c r="H940" s="33">
        <v>0</v>
      </c>
      <c r="I940" s="34">
        <v>270.50123209204202</v>
      </c>
      <c r="J940" s="34">
        <v>270.50123209204202</v>
      </c>
      <c r="K940" s="31" t="s">
        <v>2357</v>
      </c>
      <c r="L940" s="31">
        <v>1</v>
      </c>
      <c r="M940" s="31" t="s">
        <v>2358</v>
      </c>
      <c r="N940" s="34">
        <v>1</v>
      </c>
      <c r="O940" s="35">
        <v>0</v>
      </c>
      <c r="P940" s="35">
        <v>2180</v>
      </c>
      <c r="Q940" s="35">
        <v>0</v>
      </c>
      <c r="R940" s="36">
        <v>7.05</v>
      </c>
      <c r="S940" s="37">
        <f>IFERROR(_xlfn.XLOOKUP(R940,'1_Presupuesto'!$E:$E,'1_Presupuesto'!$D:$D),"")</f>
        <v>0</v>
      </c>
    </row>
    <row r="941" spans="1:19" x14ac:dyDescent="0.35">
      <c r="A941" s="31" t="s">
        <v>2359</v>
      </c>
      <c r="B941" s="31" t="s">
        <v>478</v>
      </c>
      <c r="C941" s="31" t="s">
        <v>498</v>
      </c>
      <c r="D941" s="31" t="s">
        <v>2360</v>
      </c>
      <c r="E941" s="31" t="s">
        <v>2361</v>
      </c>
      <c r="F941" s="31" t="s">
        <v>481</v>
      </c>
      <c r="G941" s="32">
        <v>1</v>
      </c>
      <c r="H941" s="33">
        <v>0</v>
      </c>
      <c r="I941" s="34">
        <v>13144.582643730701</v>
      </c>
      <c r="J941" s="34">
        <v>13144.582643730701</v>
      </c>
      <c r="K941" s="31" t="s">
        <v>2362</v>
      </c>
      <c r="L941" s="31">
        <v>1</v>
      </c>
      <c r="M941" s="31" t="s">
        <v>2363</v>
      </c>
      <c r="N941" s="34">
        <v>1</v>
      </c>
      <c r="O941" s="35">
        <v>0</v>
      </c>
      <c r="P941" s="35">
        <v>255</v>
      </c>
      <c r="Q941" s="35">
        <v>0</v>
      </c>
      <c r="R941" s="36">
        <v>7.06</v>
      </c>
      <c r="S941" s="37">
        <f>IFERROR(_xlfn.XLOOKUP(R941,'1_Presupuesto'!$E:$E,'1_Presupuesto'!$D:$D),"")</f>
        <v>0</v>
      </c>
    </row>
    <row r="942" spans="1:19" x14ac:dyDescent="0.35">
      <c r="A942" s="31" t="s">
        <v>2359</v>
      </c>
      <c r="B942" s="31" t="s">
        <v>203</v>
      </c>
      <c r="C942" s="31"/>
      <c r="D942" s="31" t="s">
        <v>2364</v>
      </c>
      <c r="E942" s="31" t="s">
        <v>2365</v>
      </c>
      <c r="F942" s="31"/>
      <c r="G942" s="32">
        <v>1</v>
      </c>
      <c r="H942" s="33">
        <v>0</v>
      </c>
      <c r="I942" s="34">
        <v>197.16873965596</v>
      </c>
      <c r="J942" s="34">
        <v>197.16873965596</v>
      </c>
      <c r="K942" s="31" t="s">
        <v>2366</v>
      </c>
      <c r="L942" s="31">
        <v>1</v>
      </c>
      <c r="M942" s="31" t="s">
        <v>2367</v>
      </c>
      <c r="N942" s="34">
        <v>1</v>
      </c>
      <c r="O942" s="35">
        <v>0</v>
      </c>
      <c r="P942" s="35">
        <v>255</v>
      </c>
      <c r="Q942" s="35">
        <v>0</v>
      </c>
      <c r="R942" s="36">
        <v>7.06</v>
      </c>
      <c r="S942" s="37">
        <f>IFERROR(_xlfn.XLOOKUP(R942,'1_Presupuesto'!$E:$E,'1_Presupuesto'!$D:$D),"")</f>
        <v>0</v>
      </c>
    </row>
    <row r="943" spans="1:19" x14ac:dyDescent="0.35">
      <c r="A943" s="31" t="s">
        <v>2368</v>
      </c>
      <c r="B943" s="31" t="s">
        <v>497</v>
      </c>
      <c r="C943" s="31" t="s">
        <v>1706</v>
      </c>
      <c r="D943" s="31" t="s">
        <v>2369</v>
      </c>
      <c r="E943" s="31" t="s">
        <v>2370</v>
      </c>
      <c r="F943" s="31" t="s">
        <v>261</v>
      </c>
      <c r="G943" s="32">
        <v>1.058824</v>
      </c>
      <c r="H943" s="33">
        <v>0</v>
      </c>
      <c r="I943" s="34">
        <v>1566</v>
      </c>
      <c r="J943" s="34">
        <v>1658.1183840000001</v>
      </c>
      <c r="K943" s="31" t="s">
        <v>2371</v>
      </c>
      <c r="L943" s="31">
        <v>1</v>
      </c>
      <c r="M943" s="31" t="s">
        <v>2372</v>
      </c>
      <c r="N943" s="34">
        <v>1</v>
      </c>
      <c r="O943" s="35">
        <v>0</v>
      </c>
      <c r="P943" s="35">
        <v>102</v>
      </c>
      <c r="Q943" s="35">
        <v>0</v>
      </c>
      <c r="R943" s="36">
        <v>7.07</v>
      </c>
      <c r="S943" s="37">
        <f>IFERROR(_xlfn.XLOOKUP(R943,'1_Presupuesto'!$E:$E,'1_Presupuesto'!$D:$D),"")</f>
        <v>0</v>
      </c>
    </row>
    <row r="944" spans="1:19" x14ac:dyDescent="0.35">
      <c r="A944" s="31" t="s">
        <v>2368</v>
      </c>
      <c r="B944" s="31" t="s">
        <v>478</v>
      </c>
      <c r="C944" s="31" t="s">
        <v>498</v>
      </c>
      <c r="D944" s="31" t="s">
        <v>2373</v>
      </c>
      <c r="E944" s="31" t="s">
        <v>2370</v>
      </c>
      <c r="F944" s="31" t="s">
        <v>481</v>
      </c>
      <c r="G944" s="32">
        <v>1.058824</v>
      </c>
      <c r="H944" s="33">
        <v>0</v>
      </c>
      <c r="I944" s="34">
        <v>13144.582643730701</v>
      </c>
      <c r="J944" s="34">
        <v>13917.799573165499</v>
      </c>
      <c r="K944" s="31" t="s">
        <v>2374</v>
      </c>
      <c r="L944" s="31">
        <v>1</v>
      </c>
      <c r="M944" s="31" t="s">
        <v>2375</v>
      </c>
      <c r="N944" s="34">
        <v>1</v>
      </c>
      <c r="O944" s="35">
        <v>0</v>
      </c>
      <c r="P944" s="35">
        <v>102</v>
      </c>
      <c r="Q944" s="35">
        <v>0</v>
      </c>
      <c r="R944" s="36">
        <v>7.07</v>
      </c>
      <c r="S944" s="37">
        <f>IFERROR(_xlfn.XLOOKUP(R944,'1_Presupuesto'!$E:$E,'1_Presupuesto'!$D:$D),"")</f>
        <v>0</v>
      </c>
    </row>
    <row r="945" spans="1:19" x14ac:dyDescent="0.35">
      <c r="A945" s="31" t="s">
        <v>2368</v>
      </c>
      <c r="B945" s="31" t="s">
        <v>203</v>
      </c>
      <c r="C945" s="31"/>
      <c r="D945" s="31" t="s">
        <v>2376</v>
      </c>
      <c r="E945" s="31" t="s">
        <v>2377</v>
      </c>
      <c r="F945" s="31"/>
      <c r="G945" s="32">
        <v>1</v>
      </c>
      <c r="H945" s="33">
        <v>0</v>
      </c>
      <c r="I945" s="34">
        <v>233.63866551807499</v>
      </c>
      <c r="J945" s="34">
        <v>233.63866551807499</v>
      </c>
      <c r="K945" s="31" t="s">
        <v>2378</v>
      </c>
      <c r="L945" s="31">
        <v>1</v>
      </c>
      <c r="M945" s="31" t="s">
        <v>2379</v>
      </c>
      <c r="N945" s="34">
        <v>1</v>
      </c>
      <c r="O945" s="35">
        <v>0</v>
      </c>
      <c r="P945" s="35">
        <v>102</v>
      </c>
      <c r="Q945" s="35">
        <v>0</v>
      </c>
      <c r="R945" s="36">
        <v>7.07</v>
      </c>
      <c r="S945" s="37">
        <f>IFERROR(_xlfn.XLOOKUP(R945,'1_Presupuesto'!$E:$E,'1_Presupuesto'!$D:$D),"")</f>
        <v>0</v>
      </c>
    </row>
    <row r="946" spans="1:19" x14ac:dyDescent="0.35">
      <c r="A946" s="31" t="s">
        <v>2380</v>
      </c>
      <c r="B946" s="31" t="s">
        <v>497</v>
      </c>
      <c r="C946" s="31" t="s">
        <v>498</v>
      </c>
      <c r="D946" s="31" t="s">
        <v>534</v>
      </c>
      <c r="E946" s="31" t="s">
        <v>535</v>
      </c>
      <c r="F946" s="31">
        <v>0</v>
      </c>
      <c r="G946" s="32">
        <v>2.5999999999999999E-2</v>
      </c>
      <c r="H946" s="33">
        <v>0.1</v>
      </c>
      <c r="I946" s="34">
        <v>32620.38</v>
      </c>
      <c r="J946" s="34">
        <v>932.94286799999998</v>
      </c>
      <c r="K946" s="31" t="s">
        <v>2381</v>
      </c>
      <c r="L946" s="31">
        <v>1</v>
      </c>
      <c r="M946" s="31" t="s">
        <v>2382</v>
      </c>
      <c r="N946" s="34">
        <v>11.5</v>
      </c>
      <c r="O946" s="35">
        <v>0</v>
      </c>
      <c r="P946" s="35">
        <v>715</v>
      </c>
      <c r="Q946" s="35">
        <v>0</v>
      </c>
      <c r="R946" s="36">
        <v>7.08</v>
      </c>
      <c r="S946" s="37" t="str">
        <f>IFERROR(_xlfn.XLOOKUP(R946,'1_Presupuesto'!$E:$E,'1_Presupuesto'!$D:$D),"")</f>
        <v>Albañilería MO</v>
      </c>
    </row>
    <row r="947" spans="1:19" x14ac:dyDescent="0.35">
      <c r="A947" s="31" t="s">
        <v>2380</v>
      </c>
      <c r="B947" s="31" t="s">
        <v>497</v>
      </c>
      <c r="C947" s="31" t="s">
        <v>498</v>
      </c>
      <c r="D947" s="31" t="s">
        <v>909</v>
      </c>
      <c r="E947" s="31" t="s">
        <v>910</v>
      </c>
      <c r="F947" s="31">
        <v>0</v>
      </c>
      <c r="G947" s="32">
        <v>0.1</v>
      </c>
      <c r="H947" s="33">
        <v>0.05</v>
      </c>
      <c r="I947" s="34">
        <v>1363.95</v>
      </c>
      <c r="J947" s="34">
        <v>143.21475000000001</v>
      </c>
      <c r="K947" s="31" t="s">
        <v>2381</v>
      </c>
      <c r="L947" s="31">
        <v>2</v>
      </c>
      <c r="M947" s="31" t="s">
        <v>2383</v>
      </c>
      <c r="N947" s="34">
        <v>11.5</v>
      </c>
      <c r="O947" s="35">
        <v>0</v>
      </c>
      <c r="P947" s="35">
        <v>715</v>
      </c>
      <c r="Q947" s="35">
        <v>0</v>
      </c>
      <c r="R947" s="36">
        <v>7.08</v>
      </c>
      <c r="S947" s="37" t="str">
        <f>IFERROR(_xlfn.XLOOKUP(R947,'1_Presupuesto'!$E:$E,'1_Presupuesto'!$D:$D),"")</f>
        <v>Albañilería MO</v>
      </c>
    </row>
    <row r="948" spans="1:19" x14ac:dyDescent="0.35">
      <c r="A948" s="31" t="s">
        <v>2380</v>
      </c>
      <c r="B948" s="31" t="s">
        <v>497</v>
      </c>
      <c r="C948" s="31" t="s">
        <v>498</v>
      </c>
      <c r="D948" s="31" t="s">
        <v>541</v>
      </c>
      <c r="E948" s="31" t="s">
        <v>542</v>
      </c>
      <c r="F948" s="31">
        <v>0</v>
      </c>
      <c r="G948" s="32">
        <v>0.314</v>
      </c>
      <c r="H948" s="33">
        <v>0.1</v>
      </c>
      <c r="I948" s="34">
        <v>7891.74</v>
      </c>
      <c r="J948" s="34">
        <v>2725.8069959999998</v>
      </c>
      <c r="K948" s="31" t="s">
        <v>2381</v>
      </c>
      <c r="L948" s="31">
        <v>3</v>
      </c>
      <c r="M948" s="31" t="s">
        <v>2384</v>
      </c>
      <c r="N948" s="34">
        <v>11.5</v>
      </c>
      <c r="O948" s="35">
        <v>0</v>
      </c>
      <c r="P948" s="35">
        <v>715</v>
      </c>
      <c r="Q948" s="35">
        <v>0</v>
      </c>
      <c r="R948" s="36">
        <v>7.08</v>
      </c>
      <c r="S948" s="37" t="str">
        <f>IFERROR(_xlfn.XLOOKUP(R948,'1_Presupuesto'!$E:$E,'1_Presupuesto'!$D:$D),"")</f>
        <v>Albañilería MO</v>
      </c>
    </row>
    <row r="949" spans="1:19" x14ac:dyDescent="0.35">
      <c r="A949" s="31" t="s">
        <v>2380</v>
      </c>
      <c r="B949" s="31" t="s">
        <v>497</v>
      </c>
      <c r="C949" s="31" t="s">
        <v>498</v>
      </c>
      <c r="D949" s="31" t="s">
        <v>538</v>
      </c>
      <c r="E949" s="31" t="s">
        <v>539</v>
      </c>
      <c r="F949" s="31">
        <v>0</v>
      </c>
      <c r="G949" s="32">
        <v>0.06</v>
      </c>
      <c r="H949" s="33">
        <v>0.1</v>
      </c>
      <c r="I949" s="34">
        <v>3927.28</v>
      </c>
      <c r="J949" s="34">
        <v>259.20048000000003</v>
      </c>
      <c r="K949" s="31" t="s">
        <v>2381</v>
      </c>
      <c r="L949" s="31">
        <v>4</v>
      </c>
      <c r="M949" s="31" t="s">
        <v>2385</v>
      </c>
      <c r="N949" s="34">
        <v>11.5</v>
      </c>
      <c r="O949" s="35">
        <v>0</v>
      </c>
      <c r="P949" s="35">
        <v>715</v>
      </c>
      <c r="Q949" s="35">
        <v>0</v>
      </c>
      <c r="R949" s="36">
        <v>7.08</v>
      </c>
      <c r="S949" s="37" t="str">
        <f>IFERROR(_xlfn.XLOOKUP(R949,'1_Presupuesto'!$E:$E,'1_Presupuesto'!$D:$D),"")</f>
        <v>Albañilería MO</v>
      </c>
    </row>
    <row r="950" spans="1:19" x14ac:dyDescent="0.35">
      <c r="A950" s="31" t="s">
        <v>2380</v>
      </c>
      <c r="B950" s="31" t="s">
        <v>478</v>
      </c>
      <c r="C950" s="31" t="s">
        <v>479</v>
      </c>
      <c r="D950" s="31" t="s">
        <v>480</v>
      </c>
      <c r="E950" s="31" t="s">
        <v>183</v>
      </c>
      <c r="F950" s="31" t="s">
        <v>481</v>
      </c>
      <c r="G950" s="32">
        <v>1</v>
      </c>
      <c r="H950" s="33">
        <v>0</v>
      </c>
      <c r="I950" s="34">
        <v>94177.137883538904</v>
      </c>
      <c r="J950" s="34">
        <v>94177.137883538904</v>
      </c>
      <c r="K950" s="31" t="s">
        <v>2386</v>
      </c>
      <c r="L950" s="31">
        <v>1</v>
      </c>
      <c r="M950" s="31" t="s">
        <v>2387</v>
      </c>
      <c r="N950" s="34">
        <v>11.5</v>
      </c>
      <c r="O950" s="35">
        <v>8.6956521739130405E-2</v>
      </c>
      <c r="P950" s="35">
        <v>715</v>
      </c>
      <c r="Q950" s="35">
        <v>62.173913043478301</v>
      </c>
      <c r="R950" s="36">
        <v>7.08</v>
      </c>
      <c r="S950" s="37" t="str">
        <f>IFERROR(_xlfn.XLOOKUP(R950,'1_Presupuesto'!$E:$E,'1_Presupuesto'!$D:$D),"")</f>
        <v>Albañilería MO</v>
      </c>
    </row>
    <row r="951" spans="1:19" x14ac:dyDescent="0.35">
      <c r="A951" s="31" t="s">
        <v>2380</v>
      </c>
      <c r="B951" s="31" t="s">
        <v>478</v>
      </c>
      <c r="C951" s="31" t="s">
        <v>479</v>
      </c>
      <c r="D951" s="31" t="s">
        <v>484</v>
      </c>
      <c r="E951" s="31" t="s">
        <v>186</v>
      </c>
      <c r="F951" s="31" t="s">
        <v>481</v>
      </c>
      <c r="G951" s="32">
        <v>0.6</v>
      </c>
      <c r="H951" s="33">
        <v>0</v>
      </c>
      <c r="I951" s="34">
        <v>67240.498860267602</v>
      </c>
      <c r="J951" s="34">
        <v>40344.299316160599</v>
      </c>
      <c r="K951" s="31" t="s">
        <v>2386</v>
      </c>
      <c r="L951" s="31">
        <v>2</v>
      </c>
      <c r="M951" s="31" t="s">
        <v>2388</v>
      </c>
      <c r="N951" s="34">
        <v>11.5</v>
      </c>
      <c r="O951" s="35">
        <v>5.21739130434783E-2</v>
      </c>
      <c r="P951" s="35">
        <v>715</v>
      </c>
      <c r="Q951" s="35">
        <v>37.304347826087003</v>
      </c>
      <c r="R951" s="36">
        <v>7.08</v>
      </c>
      <c r="S951" s="37" t="str">
        <f>IFERROR(_xlfn.XLOOKUP(R951,'1_Presupuesto'!$E:$E,'1_Presupuesto'!$D:$D),"")</f>
        <v>Albañilería MO</v>
      </c>
    </row>
    <row r="952" spans="1:19" x14ac:dyDescent="0.35">
      <c r="A952" s="31" t="s">
        <v>2380</v>
      </c>
      <c r="B952" s="31" t="s">
        <v>203</v>
      </c>
      <c r="C952" s="31"/>
      <c r="D952" s="31" t="s">
        <v>613</v>
      </c>
      <c r="E952" s="31" t="s">
        <v>614</v>
      </c>
      <c r="F952" s="31"/>
      <c r="G952" s="32">
        <v>0.5</v>
      </c>
      <c r="H952" s="33">
        <v>0</v>
      </c>
      <c r="I952" s="34">
        <v>620.81078197718296</v>
      </c>
      <c r="J952" s="34">
        <v>310.40539098859199</v>
      </c>
      <c r="K952" s="31" t="s">
        <v>2389</v>
      </c>
      <c r="L952" s="31">
        <v>1</v>
      </c>
      <c r="M952" s="31" t="s">
        <v>2390</v>
      </c>
      <c r="N952" s="34">
        <v>11.5</v>
      </c>
      <c r="O952" s="35">
        <v>0</v>
      </c>
      <c r="P952" s="35">
        <v>715</v>
      </c>
      <c r="Q952" s="35">
        <v>0</v>
      </c>
      <c r="R952" s="36">
        <v>7.08</v>
      </c>
      <c r="S952" s="37" t="str">
        <f>IFERROR(_xlfn.XLOOKUP(R952,'1_Presupuesto'!$E:$E,'1_Presupuesto'!$D:$D),"")</f>
        <v>Albañilería MO</v>
      </c>
    </row>
    <row r="953" spans="1:19" x14ac:dyDescent="0.35">
      <c r="A953" s="31" t="s">
        <v>2380</v>
      </c>
      <c r="B953" s="31" t="s">
        <v>203</v>
      </c>
      <c r="C953" s="31"/>
      <c r="D953" s="31" t="s">
        <v>609</v>
      </c>
      <c r="E953" s="31" t="s">
        <v>610</v>
      </c>
      <c r="F953" s="31"/>
      <c r="G953" s="32">
        <v>1</v>
      </c>
      <c r="H953" s="33">
        <v>0</v>
      </c>
      <c r="I953" s="34">
        <v>2485.8709964594</v>
      </c>
      <c r="J953" s="34">
        <v>2485.8709964594</v>
      </c>
      <c r="K953" s="31" t="s">
        <v>2389</v>
      </c>
      <c r="L953" s="31">
        <v>2</v>
      </c>
      <c r="M953" s="31" t="s">
        <v>2391</v>
      </c>
      <c r="N953" s="34">
        <v>11.5</v>
      </c>
      <c r="O953" s="35">
        <v>0</v>
      </c>
      <c r="P953" s="35">
        <v>715</v>
      </c>
      <c r="Q953" s="35">
        <v>0</v>
      </c>
      <c r="R953" s="36">
        <v>7.08</v>
      </c>
      <c r="S953" s="37" t="str">
        <f>IFERROR(_xlfn.XLOOKUP(R953,'1_Presupuesto'!$E:$E,'1_Presupuesto'!$D:$D),"")</f>
        <v>Albañilería MO</v>
      </c>
    </row>
    <row r="954" spans="1:19" x14ac:dyDescent="0.35">
      <c r="A954" s="31" t="s">
        <v>2380</v>
      </c>
      <c r="B954" s="31" t="s">
        <v>203</v>
      </c>
      <c r="C954" s="31"/>
      <c r="D954" s="31" t="s">
        <v>616</v>
      </c>
      <c r="E954" s="31" t="s">
        <v>617</v>
      </c>
      <c r="F954" s="31"/>
      <c r="G954" s="32">
        <v>1</v>
      </c>
      <c r="H954" s="33">
        <v>0</v>
      </c>
      <c r="I954" s="34">
        <v>1040.43144867052</v>
      </c>
      <c r="J954" s="34">
        <v>1040.43144867052</v>
      </c>
      <c r="K954" s="31" t="s">
        <v>2389</v>
      </c>
      <c r="L954" s="31">
        <v>3</v>
      </c>
      <c r="M954" s="31" t="s">
        <v>2392</v>
      </c>
      <c r="N954" s="34">
        <v>11.5</v>
      </c>
      <c r="O954" s="35">
        <v>0</v>
      </c>
      <c r="P954" s="35">
        <v>715</v>
      </c>
      <c r="Q954" s="35">
        <v>0</v>
      </c>
      <c r="R954" s="36">
        <v>7.08</v>
      </c>
      <c r="S954" s="37" t="str">
        <f>IFERROR(_xlfn.XLOOKUP(R954,'1_Presupuesto'!$E:$E,'1_Presupuesto'!$D:$D),"")</f>
        <v>Albañilería MO</v>
      </c>
    </row>
    <row r="955" spans="1:19" x14ac:dyDescent="0.35">
      <c r="A955" s="31" t="s">
        <v>2393</v>
      </c>
      <c r="B955" s="31" t="s">
        <v>497</v>
      </c>
      <c r="C955" s="31" t="s">
        <v>498</v>
      </c>
      <c r="D955" s="31" t="s">
        <v>541</v>
      </c>
      <c r="E955" s="31" t="s">
        <v>542</v>
      </c>
      <c r="F955" s="31">
        <v>0</v>
      </c>
      <c r="G955" s="32">
        <v>0.14960000000000001</v>
      </c>
      <c r="H955" s="33">
        <v>0.1</v>
      </c>
      <c r="I955" s="34">
        <v>7891.74</v>
      </c>
      <c r="J955" s="34">
        <v>1298.6647344</v>
      </c>
      <c r="K955" s="31" t="s">
        <v>2394</v>
      </c>
      <c r="L955" s="31">
        <v>1</v>
      </c>
      <c r="M955" s="31" t="s">
        <v>2395</v>
      </c>
      <c r="N955" s="34">
        <v>1.4</v>
      </c>
      <c r="O955" s="35">
        <v>0</v>
      </c>
      <c r="P955" s="35">
        <v>21</v>
      </c>
      <c r="Q955" s="35">
        <v>0</v>
      </c>
      <c r="R955" s="36">
        <v>8.01</v>
      </c>
      <c r="S955" s="37" t="str">
        <f>IFERROR(_xlfn.XLOOKUP(R955,'1_Presupuesto'!$E:$E,'1_Presupuesto'!$D:$D),"")</f>
        <v>Albañilería MO</v>
      </c>
    </row>
    <row r="956" spans="1:19" x14ac:dyDescent="0.35">
      <c r="A956" s="31" t="s">
        <v>2393</v>
      </c>
      <c r="B956" s="31" t="s">
        <v>497</v>
      </c>
      <c r="C956" s="31" t="s">
        <v>498</v>
      </c>
      <c r="D956" s="31" t="s">
        <v>538</v>
      </c>
      <c r="E956" s="31" t="s">
        <v>539</v>
      </c>
      <c r="F956" s="31">
        <v>0</v>
      </c>
      <c r="G956" s="32">
        <v>0.64800000000000002</v>
      </c>
      <c r="H956" s="33">
        <v>0.1</v>
      </c>
      <c r="I956" s="34">
        <v>3927.28</v>
      </c>
      <c r="J956" s="34">
        <v>2799.3651840000002</v>
      </c>
      <c r="K956" s="31" t="s">
        <v>2394</v>
      </c>
      <c r="L956" s="31">
        <v>2</v>
      </c>
      <c r="M956" s="31" t="s">
        <v>2396</v>
      </c>
      <c r="N956" s="34">
        <v>1.4</v>
      </c>
      <c r="O956" s="35">
        <v>0</v>
      </c>
      <c r="P956" s="35">
        <v>21</v>
      </c>
      <c r="Q956" s="35">
        <v>0</v>
      </c>
      <c r="R956" s="36">
        <v>8.01</v>
      </c>
      <c r="S956" s="37" t="str">
        <f>IFERROR(_xlfn.XLOOKUP(R956,'1_Presupuesto'!$E:$E,'1_Presupuesto'!$D:$D),"")</f>
        <v>Albañilería MO</v>
      </c>
    </row>
    <row r="957" spans="1:19" x14ac:dyDescent="0.35">
      <c r="A957" s="31" t="s">
        <v>2393</v>
      </c>
      <c r="B957" s="31" t="s">
        <v>497</v>
      </c>
      <c r="C957" s="31" t="s">
        <v>498</v>
      </c>
      <c r="D957" s="31" t="s">
        <v>1029</v>
      </c>
      <c r="E957" s="31" t="s">
        <v>1030</v>
      </c>
      <c r="F957" s="31" t="s">
        <v>236</v>
      </c>
      <c r="G957" s="32">
        <v>0.154</v>
      </c>
      <c r="H957" s="33">
        <v>0.1</v>
      </c>
      <c r="I957" s="34">
        <v>34246.800000000003</v>
      </c>
      <c r="J957" s="34">
        <v>5801.4079199999996</v>
      </c>
      <c r="K957" s="31" t="s">
        <v>2394</v>
      </c>
      <c r="L957" s="31">
        <v>3</v>
      </c>
      <c r="M957" s="31" t="s">
        <v>2397</v>
      </c>
      <c r="N957" s="34">
        <v>1.4</v>
      </c>
      <c r="O957" s="35">
        <v>0</v>
      </c>
      <c r="P957" s="35">
        <v>21</v>
      </c>
      <c r="Q957" s="35">
        <v>0</v>
      </c>
      <c r="R957" s="36">
        <v>8.01</v>
      </c>
      <c r="S957" s="37" t="str">
        <f>IFERROR(_xlfn.XLOOKUP(R957,'1_Presupuesto'!$E:$E,'1_Presupuesto'!$D:$D),"")</f>
        <v>Albañilería MO</v>
      </c>
    </row>
    <row r="958" spans="1:19" x14ac:dyDescent="0.35">
      <c r="A958" s="31" t="s">
        <v>2393</v>
      </c>
      <c r="B958" s="31" t="s">
        <v>497</v>
      </c>
      <c r="C958" s="31" t="s">
        <v>498</v>
      </c>
      <c r="D958" s="31" t="s">
        <v>534</v>
      </c>
      <c r="E958" s="31" t="s">
        <v>535</v>
      </c>
      <c r="F958" s="31">
        <v>0</v>
      </c>
      <c r="G958" s="32">
        <v>0.10299999999999999</v>
      </c>
      <c r="H958" s="33">
        <v>0.1</v>
      </c>
      <c r="I958" s="34">
        <v>32620.38</v>
      </c>
      <c r="J958" s="34">
        <v>3695.8890540000002</v>
      </c>
      <c r="K958" s="31" t="s">
        <v>2394</v>
      </c>
      <c r="L958" s="31">
        <v>4</v>
      </c>
      <c r="M958" s="31" t="s">
        <v>2398</v>
      </c>
      <c r="N958" s="34">
        <v>1.4</v>
      </c>
      <c r="O958" s="35">
        <v>0</v>
      </c>
      <c r="P958" s="35">
        <v>21</v>
      </c>
      <c r="Q958" s="35">
        <v>0</v>
      </c>
      <c r="R958" s="36">
        <v>8.01</v>
      </c>
      <c r="S958" s="37" t="str">
        <f>IFERROR(_xlfn.XLOOKUP(R958,'1_Presupuesto'!$E:$E,'1_Presupuesto'!$D:$D),"")</f>
        <v>Albañilería MO</v>
      </c>
    </row>
    <row r="959" spans="1:19" x14ac:dyDescent="0.35">
      <c r="A959" s="31" t="s">
        <v>2393</v>
      </c>
      <c r="B959" s="31" t="s">
        <v>478</v>
      </c>
      <c r="C959" s="31" t="s">
        <v>479</v>
      </c>
      <c r="D959" s="31" t="s">
        <v>484</v>
      </c>
      <c r="E959" s="31" t="s">
        <v>186</v>
      </c>
      <c r="F959" s="31" t="s">
        <v>481</v>
      </c>
      <c r="G959" s="32">
        <v>0.2</v>
      </c>
      <c r="H959" s="33">
        <v>0</v>
      </c>
      <c r="I959" s="34">
        <v>67240.498860267602</v>
      </c>
      <c r="J959" s="34">
        <v>13448.0997720535</v>
      </c>
      <c r="K959" s="31" t="s">
        <v>2399</v>
      </c>
      <c r="L959" s="31">
        <v>1</v>
      </c>
      <c r="M959" s="31" t="s">
        <v>2400</v>
      </c>
      <c r="N959" s="34">
        <v>1.4</v>
      </c>
      <c r="O959" s="35">
        <v>0.14285714285714299</v>
      </c>
      <c r="P959" s="35">
        <v>21</v>
      </c>
      <c r="Q959" s="35">
        <v>3</v>
      </c>
      <c r="R959" s="36">
        <v>8.01</v>
      </c>
      <c r="S959" s="37" t="str">
        <f>IFERROR(_xlfn.XLOOKUP(R959,'1_Presupuesto'!$E:$E,'1_Presupuesto'!$D:$D),"")</f>
        <v>Albañilería MO</v>
      </c>
    </row>
    <row r="960" spans="1:19" x14ac:dyDescent="0.35">
      <c r="A960" s="31" t="s">
        <v>2393</v>
      </c>
      <c r="B960" s="31" t="s">
        <v>478</v>
      </c>
      <c r="C960" s="31" t="s">
        <v>479</v>
      </c>
      <c r="D960" s="31" t="s">
        <v>480</v>
      </c>
      <c r="E960" s="31" t="s">
        <v>183</v>
      </c>
      <c r="F960" s="31" t="s">
        <v>481</v>
      </c>
      <c r="G960" s="32">
        <v>0.15</v>
      </c>
      <c r="H960" s="33">
        <v>0</v>
      </c>
      <c r="I960" s="34">
        <v>94177.137883538904</v>
      </c>
      <c r="J960" s="34">
        <v>14126.570682530801</v>
      </c>
      <c r="K960" s="31" t="s">
        <v>2399</v>
      </c>
      <c r="L960" s="31">
        <v>2</v>
      </c>
      <c r="M960" s="31" t="s">
        <v>2401</v>
      </c>
      <c r="N960" s="34">
        <v>1.4</v>
      </c>
      <c r="O960" s="35">
        <v>0.107142857142857</v>
      </c>
      <c r="P960" s="35">
        <v>21</v>
      </c>
      <c r="Q960" s="35">
        <v>2.25</v>
      </c>
      <c r="R960" s="36">
        <v>8.01</v>
      </c>
      <c r="S960" s="37" t="str">
        <f>IFERROR(_xlfn.XLOOKUP(R960,'1_Presupuesto'!$E:$E,'1_Presupuesto'!$D:$D),"")</f>
        <v>Albañilería MO</v>
      </c>
    </row>
    <row r="961" spans="1:19" x14ac:dyDescent="0.35">
      <c r="A961" s="31" t="s">
        <v>2393</v>
      </c>
      <c r="B961" s="31" t="s">
        <v>203</v>
      </c>
      <c r="C961" s="31"/>
      <c r="D961" s="31" t="s">
        <v>616</v>
      </c>
      <c r="E961" s="31" t="s">
        <v>617</v>
      </c>
      <c r="F961" s="31"/>
      <c r="G961" s="32">
        <v>0.2</v>
      </c>
      <c r="H961" s="33">
        <v>0</v>
      </c>
      <c r="I961" s="34">
        <v>1040.43144867052</v>
      </c>
      <c r="J961" s="34">
        <v>208.08628973410501</v>
      </c>
      <c r="K961" s="31" t="s">
        <v>2402</v>
      </c>
      <c r="L961" s="31">
        <v>1</v>
      </c>
      <c r="M961" s="31" t="s">
        <v>2403</v>
      </c>
      <c r="N961" s="34">
        <v>1.4</v>
      </c>
      <c r="O961" s="35">
        <v>0</v>
      </c>
      <c r="P961" s="35">
        <v>21</v>
      </c>
      <c r="Q961" s="35">
        <v>0</v>
      </c>
      <c r="R961" s="36">
        <v>8.01</v>
      </c>
      <c r="S961" s="37" t="str">
        <f>IFERROR(_xlfn.XLOOKUP(R961,'1_Presupuesto'!$E:$E,'1_Presupuesto'!$D:$D),"")</f>
        <v>Albañilería MO</v>
      </c>
    </row>
    <row r="962" spans="1:19" x14ac:dyDescent="0.35">
      <c r="A962" s="31" t="s">
        <v>2393</v>
      </c>
      <c r="B962" s="31" t="s">
        <v>203</v>
      </c>
      <c r="C962" s="31"/>
      <c r="D962" s="31" t="s">
        <v>609</v>
      </c>
      <c r="E962" s="31" t="s">
        <v>610</v>
      </c>
      <c r="F962" s="31"/>
      <c r="G962" s="32">
        <v>0.2</v>
      </c>
      <c r="H962" s="33">
        <v>0</v>
      </c>
      <c r="I962" s="34">
        <v>2485.8709964594</v>
      </c>
      <c r="J962" s="34">
        <v>497.17419929187997</v>
      </c>
      <c r="K962" s="31" t="s">
        <v>2402</v>
      </c>
      <c r="L962" s="31">
        <v>2</v>
      </c>
      <c r="M962" s="31" t="s">
        <v>2404</v>
      </c>
      <c r="N962" s="34">
        <v>1.4</v>
      </c>
      <c r="O962" s="35">
        <v>0</v>
      </c>
      <c r="P962" s="35">
        <v>21</v>
      </c>
      <c r="Q962" s="35">
        <v>0</v>
      </c>
      <c r="R962" s="36">
        <v>8.01</v>
      </c>
      <c r="S962" s="37" t="str">
        <f>IFERROR(_xlfn.XLOOKUP(R962,'1_Presupuesto'!$E:$E,'1_Presupuesto'!$D:$D),"")</f>
        <v>Albañilería MO</v>
      </c>
    </row>
    <row r="963" spans="1:19" x14ac:dyDescent="0.35">
      <c r="A963" s="31" t="s">
        <v>2405</v>
      </c>
      <c r="B963" s="31" t="s">
        <v>497</v>
      </c>
      <c r="C963" s="31" t="s">
        <v>498</v>
      </c>
      <c r="D963" s="31" t="s">
        <v>2406</v>
      </c>
      <c r="E963" s="31" t="s">
        <v>2407</v>
      </c>
      <c r="F963" s="31" t="s">
        <v>261</v>
      </c>
      <c r="G963" s="32">
        <v>0.21393000000000001</v>
      </c>
      <c r="H963" s="33">
        <v>0</v>
      </c>
      <c r="I963" s="34">
        <v>115100</v>
      </c>
      <c r="J963" s="34">
        <v>24623.343000000001</v>
      </c>
      <c r="K963" s="31" t="s">
        <v>2408</v>
      </c>
      <c r="L963" s="31">
        <v>1</v>
      </c>
      <c r="M963" s="31" t="s">
        <v>2409</v>
      </c>
      <c r="N963" s="34">
        <v>1</v>
      </c>
      <c r="O963" s="35">
        <v>0</v>
      </c>
      <c r="P963" s="35">
        <v>201</v>
      </c>
      <c r="Q963" s="35">
        <v>0</v>
      </c>
      <c r="R963" s="36">
        <v>8.02</v>
      </c>
      <c r="S963" s="37" t="str">
        <f>IFERROR(_xlfn.XLOOKUP(R963,'1_Presupuesto'!$E:$E,'1_Presupuesto'!$D:$D),"")</f>
        <v>Albañilería MO</v>
      </c>
    </row>
    <row r="964" spans="1:19" x14ac:dyDescent="0.35">
      <c r="A964" s="31" t="s">
        <v>2405</v>
      </c>
      <c r="B964" s="31" t="s">
        <v>497</v>
      </c>
      <c r="C964" s="31" t="s">
        <v>498</v>
      </c>
      <c r="D964" s="31" t="s">
        <v>2410</v>
      </c>
      <c r="E964" s="31" t="s">
        <v>2411</v>
      </c>
      <c r="F964" s="31" t="s">
        <v>261</v>
      </c>
      <c r="G964" s="32">
        <v>4.9750000000000003E-3</v>
      </c>
      <c r="H964" s="33">
        <v>0</v>
      </c>
      <c r="I964" s="34">
        <v>533000</v>
      </c>
      <c r="J964" s="34">
        <v>2651.6750000000002</v>
      </c>
      <c r="K964" s="31" t="s">
        <v>2408</v>
      </c>
      <c r="L964" s="31">
        <v>2</v>
      </c>
      <c r="M964" s="31" t="s">
        <v>2412</v>
      </c>
      <c r="N964" s="34">
        <v>1</v>
      </c>
      <c r="O964" s="35">
        <v>0</v>
      </c>
      <c r="P964" s="35">
        <v>201</v>
      </c>
      <c r="Q964" s="35">
        <v>0</v>
      </c>
      <c r="R964" s="36">
        <v>8.02</v>
      </c>
      <c r="S964" s="37" t="str">
        <f>IFERROR(_xlfn.XLOOKUP(R964,'1_Presupuesto'!$E:$E,'1_Presupuesto'!$D:$D),"")</f>
        <v>Albañilería MO</v>
      </c>
    </row>
    <row r="965" spans="1:19" x14ac:dyDescent="0.35">
      <c r="A965" s="31" t="s">
        <v>2405</v>
      </c>
      <c r="B965" s="31" t="s">
        <v>497</v>
      </c>
      <c r="C965" s="31" t="s">
        <v>498</v>
      </c>
      <c r="D965" s="31" t="s">
        <v>1858</v>
      </c>
      <c r="E965" s="31" t="s">
        <v>1859</v>
      </c>
      <c r="F965" s="31" t="s">
        <v>261</v>
      </c>
      <c r="G965" s="32">
        <v>0.21393000000000001</v>
      </c>
      <c r="H965" s="33">
        <v>0</v>
      </c>
      <c r="I965" s="34">
        <v>5330</v>
      </c>
      <c r="J965" s="34">
        <v>1140.2469000000001</v>
      </c>
      <c r="K965" s="31" t="s">
        <v>2408</v>
      </c>
      <c r="L965" s="31">
        <v>3</v>
      </c>
      <c r="M965" s="31" t="s">
        <v>2413</v>
      </c>
      <c r="N965" s="34">
        <v>1</v>
      </c>
      <c r="O965" s="35">
        <v>0</v>
      </c>
      <c r="P965" s="35">
        <v>201</v>
      </c>
      <c r="Q965" s="35">
        <v>0</v>
      </c>
      <c r="R965" s="36">
        <v>8.02</v>
      </c>
      <c r="S965" s="37" t="str">
        <f>IFERROR(_xlfn.XLOOKUP(R965,'1_Presupuesto'!$E:$E,'1_Presupuesto'!$D:$D),"")</f>
        <v>Albañilería MO</v>
      </c>
    </row>
    <row r="966" spans="1:19" x14ac:dyDescent="0.35">
      <c r="A966" s="31" t="s">
        <v>2405</v>
      </c>
      <c r="B966" s="31" t="s">
        <v>497</v>
      </c>
      <c r="C966" s="31" t="s">
        <v>1706</v>
      </c>
      <c r="D966" s="31" t="s">
        <v>2414</v>
      </c>
      <c r="E966" s="31" t="s">
        <v>2415</v>
      </c>
      <c r="F966" s="31" t="s">
        <v>261</v>
      </c>
      <c r="G966" s="32">
        <v>0.18407999999999999</v>
      </c>
      <c r="H966" s="33">
        <v>0</v>
      </c>
      <c r="I966" s="34">
        <v>10716.59</v>
      </c>
      <c r="J966" s="34">
        <v>1972.7098871999999</v>
      </c>
      <c r="K966" s="31" t="s">
        <v>2408</v>
      </c>
      <c r="L966" s="31">
        <v>4</v>
      </c>
      <c r="M966" s="31" t="s">
        <v>2416</v>
      </c>
      <c r="N966" s="34">
        <v>1</v>
      </c>
      <c r="O966" s="35">
        <v>0</v>
      </c>
      <c r="P966" s="35">
        <v>201</v>
      </c>
      <c r="Q966" s="35">
        <v>0</v>
      </c>
      <c r="R966" s="36">
        <v>8.02</v>
      </c>
      <c r="S966" s="37" t="str">
        <f>IFERROR(_xlfn.XLOOKUP(R966,'1_Presupuesto'!$E:$E,'1_Presupuesto'!$D:$D),"")</f>
        <v>Albañilería MO</v>
      </c>
    </row>
    <row r="967" spans="1:19" x14ac:dyDescent="0.35">
      <c r="A967" s="31" t="s">
        <v>2405</v>
      </c>
      <c r="B967" s="31" t="s">
        <v>497</v>
      </c>
      <c r="C967" s="31" t="s">
        <v>1706</v>
      </c>
      <c r="D967" s="31" t="s">
        <v>2417</v>
      </c>
      <c r="E967" s="31" t="s">
        <v>2418</v>
      </c>
      <c r="F967" s="31" t="s">
        <v>261</v>
      </c>
      <c r="G967" s="32">
        <v>1.2437999999999999E-2</v>
      </c>
      <c r="H967" s="33">
        <v>0</v>
      </c>
      <c r="I967" s="34">
        <v>27000</v>
      </c>
      <c r="J967" s="34">
        <v>335.82600000000002</v>
      </c>
      <c r="K967" s="31" t="s">
        <v>2408</v>
      </c>
      <c r="L967" s="31">
        <v>5</v>
      </c>
      <c r="M967" s="31" t="s">
        <v>2419</v>
      </c>
      <c r="N967" s="34">
        <v>1</v>
      </c>
      <c r="O967" s="35">
        <v>0</v>
      </c>
      <c r="P967" s="35">
        <v>201</v>
      </c>
      <c r="Q967" s="35">
        <v>0</v>
      </c>
      <c r="R967" s="36">
        <v>8.02</v>
      </c>
      <c r="S967" s="37" t="str">
        <f>IFERROR(_xlfn.XLOOKUP(R967,'1_Presupuesto'!$E:$E,'1_Presupuesto'!$D:$D),"")</f>
        <v>Albañilería MO</v>
      </c>
    </row>
    <row r="968" spans="1:19" x14ac:dyDescent="0.35">
      <c r="A968" s="31" t="s">
        <v>2405</v>
      </c>
      <c r="B968" s="31" t="s">
        <v>497</v>
      </c>
      <c r="C968" s="31" t="s">
        <v>498</v>
      </c>
      <c r="D968" s="31" t="s">
        <v>597</v>
      </c>
      <c r="E968" s="31" t="s">
        <v>598</v>
      </c>
      <c r="F968" s="31" t="s">
        <v>218</v>
      </c>
      <c r="G968" s="32">
        <v>230.85265200000001</v>
      </c>
      <c r="H968" s="33">
        <v>0</v>
      </c>
      <c r="I968" s="34">
        <v>1</v>
      </c>
      <c r="J968" s="34">
        <v>230.85265200000001</v>
      </c>
      <c r="K968" s="31" t="s">
        <v>2408</v>
      </c>
      <c r="L968" s="31">
        <v>6</v>
      </c>
      <c r="M968" s="31" t="s">
        <v>2420</v>
      </c>
      <c r="N968" s="34">
        <v>1</v>
      </c>
      <c r="O968" s="35">
        <v>0</v>
      </c>
      <c r="P968" s="35">
        <v>201</v>
      </c>
      <c r="Q968" s="35">
        <v>0</v>
      </c>
      <c r="R968" s="36">
        <v>8.02</v>
      </c>
      <c r="S968" s="37" t="str">
        <f>IFERROR(_xlfn.XLOOKUP(R968,'1_Presupuesto'!$E:$E,'1_Presupuesto'!$D:$D),"")</f>
        <v>Albañilería MO</v>
      </c>
    </row>
    <row r="969" spans="1:19" x14ac:dyDescent="0.35">
      <c r="A969" s="31" t="s">
        <v>2405</v>
      </c>
      <c r="B969" s="31" t="s">
        <v>478</v>
      </c>
      <c r="C969" s="31" t="s">
        <v>479</v>
      </c>
      <c r="D969" s="31" t="s">
        <v>480</v>
      </c>
      <c r="E969" s="31" t="s">
        <v>183</v>
      </c>
      <c r="F969" s="31" t="s">
        <v>481</v>
      </c>
      <c r="G969" s="32">
        <v>2.9850999999999999E-2</v>
      </c>
      <c r="H969" s="33">
        <v>0</v>
      </c>
      <c r="I969" s="34">
        <v>94177.137883538904</v>
      </c>
      <c r="J969" s="34">
        <v>2811.2817429615202</v>
      </c>
      <c r="K969" s="31" t="s">
        <v>2421</v>
      </c>
      <c r="L969" s="31">
        <v>1</v>
      </c>
      <c r="M969" s="31" t="s">
        <v>2422</v>
      </c>
      <c r="N969" s="34">
        <v>1</v>
      </c>
      <c r="O969" s="35">
        <v>2.9850999999999999E-2</v>
      </c>
      <c r="P969" s="35">
        <v>201</v>
      </c>
      <c r="Q969" s="35">
        <v>6.000051</v>
      </c>
      <c r="R969" s="36">
        <v>8.02</v>
      </c>
      <c r="S969" s="37" t="str">
        <f>IFERROR(_xlfn.XLOOKUP(R969,'1_Presupuesto'!$E:$E,'1_Presupuesto'!$D:$D),"")</f>
        <v>Albañilería MO</v>
      </c>
    </row>
    <row r="970" spans="1:19" x14ac:dyDescent="0.35">
      <c r="A970" s="31" t="s">
        <v>2405</v>
      </c>
      <c r="B970" s="31" t="s">
        <v>478</v>
      </c>
      <c r="C970" s="31" t="s">
        <v>479</v>
      </c>
      <c r="D970" s="31" t="s">
        <v>1673</v>
      </c>
      <c r="E970" s="31" t="s">
        <v>184</v>
      </c>
      <c r="F970" s="31" t="s">
        <v>481</v>
      </c>
      <c r="G970" s="32">
        <v>3.4826000000000003E-2</v>
      </c>
      <c r="H970" s="33">
        <v>0</v>
      </c>
      <c r="I970" s="34">
        <v>84612.512709566407</v>
      </c>
      <c r="J970" s="34">
        <v>2946.7153676233602</v>
      </c>
      <c r="K970" s="31" t="s">
        <v>2421</v>
      </c>
      <c r="L970" s="31">
        <v>2</v>
      </c>
      <c r="M970" s="31" t="s">
        <v>2423</v>
      </c>
      <c r="N970" s="34">
        <v>1</v>
      </c>
      <c r="O970" s="35">
        <v>3.4826000000000003E-2</v>
      </c>
      <c r="P970" s="35">
        <v>201</v>
      </c>
      <c r="Q970" s="35">
        <v>7.0000260000000001</v>
      </c>
      <c r="R970" s="36">
        <v>8.02</v>
      </c>
      <c r="S970" s="37" t="str">
        <f>IFERROR(_xlfn.XLOOKUP(R970,'1_Presupuesto'!$E:$E,'1_Presupuesto'!$D:$D),"")</f>
        <v>Albañilería MO</v>
      </c>
    </row>
    <row r="971" spans="1:19" x14ac:dyDescent="0.35">
      <c r="A971" s="31" t="s">
        <v>2405</v>
      </c>
      <c r="B971" s="31" t="s">
        <v>478</v>
      </c>
      <c r="C971" s="31" t="s">
        <v>479</v>
      </c>
      <c r="D971" s="31" t="s">
        <v>484</v>
      </c>
      <c r="E971" s="31" t="s">
        <v>186</v>
      </c>
      <c r="F971" s="31" t="s">
        <v>481</v>
      </c>
      <c r="G971" s="32">
        <v>4.4776000000000003E-2</v>
      </c>
      <c r="H971" s="33">
        <v>0</v>
      </c>
      <c r="I971" s="34">
        <v>67240.498860267602</v>
      </c>
      <c r="J971" s="34">
        <v>3010.7605769673401</v>
      </c>
      <c r="K971" s="31" t="s">
        <v>2421</v>
      </c>
      <c r="L971" s="31">
        <v>3</v>
      </c>
      <c r="M971" s="31" t="s">
        <v>2424</v>
      </c>
      <c r="N971" s="34">
        <v>1</v>
      </c>
      <c r="O971" s="35">
        <v>4.4776000000000003E-2</v>
      </c>
      <c r="P971" s="35">
        <v>201</v>
      </c>
      <c r="Q971" s="35">
        <v>8.9999760000000002</v>
      </c>
      <c r="R971" s="36">
        <v>8.02</v>
      </c>
      <c r="S971" s="37" t="str">
        <f>IFERROR(_xlfn.XLOOKUP(R971,'1_Presupuesto'!$E:$E,'1_Presupuesto'!$D:$D),"")</f>
        <v>Albañilería MO</v>
      </c>
    </row>
    <row r="972" spans="1:19" x14ac:dyDescent="0.35">
      <c r="A972" s="31" t="s">
        <v>2405</v>
      </c>
      <c r="B972" s="31" t="s">
        <v>203</v>
      </c>
      <c r="C972" s="31"/>
      <c r="D972" s="31" t="s">
        <v>2425</v>
      </c>
      <c r="E972" s="31" t="s">
        <v>2426</v>
      </c>
      <c r="F972" s="31"/>
      <c r="G972" s="32">
        <v>1</v>
      </c>
      <c r="H972" s="33">
        <v>0</v>
      </c>
      <c r="I972" s="34">
        <v>595.85224768735895</v>
      </c>
      <c r="J972" s="34">
        <v>595.85224768735895</v>
      </c>
      <c r="K972" s="31" t="s">
        <v>2427</v>
      </c>
      <c r="L972" s="31">
        <v>1</v>
      </c>
      <c r="M972" s="31" t="s">
        <v>2428</v>
      </c>
      <c r="N972" s="34">
        <v>1</v>
      </c>
      <c r="O972" s="35">
        <v>0</v>
      </c>
      <c r="P972" s="35">
        <v>201</v>
      </c>
      <c r="Q972" s="35">
        <v>0</v>
      </c>
      <c r="R972" s="36">
        <v>8.02</v>
      </c>
      <c r="S972" s="37" t="str">
        <f>IFERROR(_xlfn.XLOOKUP(R972,'1_Presupuesto'!$E:$E,'1_Presupuesto'!$D:$D),"")</f>
        <v>Albañilería MO</v>
      </c>
    </row>
    <row r="973" spans="1:19" x14ac:dyDescent="0.35">
      <c r="A973" s="31" t="s">
        <v>2429</v>
      </c>
      <c r="B973" s="31" t="s">
        <v>497</v>
      </c>
      <c r="C973" s="31" t="s">
        <v>498</v>
      </c>
      <c r="D973" s="31" t="s">
        <v>541</v>
      </c>
      <c r="E973" s="31" t="s">
        <v>542</v>
      </c>
      <c r="F973" s="31">
        <v>0</v>
      </c>
      <c r="G973" s="32">
        <v>0.14960000000000001</v>
      </c>
      <c r="H973" s="33">
        <v>0.1</v>
      </c>
      <c r="I973" s="34">
        <v>7891.74</v>
      </c>
      <c r="J973" s="34">
        <v>1298.6647344</v>
      </c>
      <c r="K973" s="31" t="s">
        <v>2430</v>
      </c>
      <c r="L973" s="31">
        <v>1</v>
      </c>
      <c r="M973" s="31" t="s">
        <v>2431</v>
      </c>
      <c r="N973" s="34">
        <v>1.4</v>
      </c>
      <c r="O973" s="35">
        <v>0</v>
      </c>
      <c r="P973" s="35">
        <v>107</v>
      </c>
      <c r="Q973" s="35">
        <v>0</v>
      </c>
      <c r="R973" s="36">
        <v>8.0299999999999994</v>
      </c>
      <c r="S973" s="37" t="str">
        <f>IFERROR(_xlfn.XLOOKUP(R973,'1_Presupuesto'!$E:$E,'1_Presupuesto'!$D:$D),"")</f>
        <v>Albañilería MO</v>
      </c>
    </row>
    <row r="974" spans="1:19" x14ac:dyDescent="0.35">
      <c r="A974" s="31" t="s">
        <v>2429</v>
      </c>
      <c r="B974" s="31" t="s">
        <v>497</v>
      </c>
      <c r="C974" s="31" t="s">
        <v>498</v>
      </c>
      <c r="D974" s="31" t="s">
        <v>538</v>
      </c>
      <c r="E974" s="31" t="s">
        <v>539</v>
      </c>
      <c r="F974" s="31">
        <v>0</v>
      </c>
      <c r="G974" s="32">
        <v>0.64800000000000002</v>
      </c>
      <c r="H974" s="33">
        <v>0.1</v>
      </c>
      <c r="I974" s="34">
        <v>3927.28</v>
      </c>
      <c r="J974" s="34">
        <v>2799.3651840000002</v>
      </c>
      <c r="K974" s="31" t="s">
        <v>2430</v>
      </c>
      <c r="L974" s="31">
        <v>2</v>
      </c>
      <c r="M974" s="31" t="s">
        <v>2432</v>
      </c>
      <c r="N974" s="34">
        <v>1.4</v>
      </c>
      <c r="O974" s="35">
        <v>0</v>
      </c>
      <c r="P974" s="35">
        <v>107</v>
      </c>
      <c r="Q974" s="35">
        <v>0</v>
      </c>
      <c r="R974" s="36">
        <v>8.0299999999999994</v>
      </c>
      <c r="S974" s="37" t="str">
        <f>IFERROR(_xlfn.XLOOKUP(R974,'1_Presupuesto'!$E:$E,'1_Presupuesto'!$D:$D),"")</f>
        <v>Albañilería MO</v>
      </c>
    </row>
    <row r="975" spans="1:19" x14ac:dyDescent="0.35">
      <c r="A975" s="31" t="s">
        <v>2429</v>
      </c>
      <c r="B975" s="31" t="s">
        <v>497</v>
      </c>
      <c r="C975" s="31" t="s">
        <v>498</v>
      </c>
      <c r="D975" s="31" t="s">
        <v>1029</v>
      </c>
      <c r="E975" s="31" t="s">
        <v>1030</v>
      </c>
      <c r="F975" s="31" t="s">
        <v>236</v>
      </c>
      <c r="G975" s="32">
        <v>0.154</v>
      </c>
      <c r="H975" s="33">
        <v>0.1</v>
      </c>
      <c r="I975" s="34">
        <v>34246.800000000003</v>
      </c>
      <c r="J975" s="34">
        <v>5801.4079199999996</v>
      </c>
      <c r="K975" s="31" t="s">
        <v>2430</v>
      </c>
      <c r="L975" s="31">
        <v>3</v>
      </c>
      <c r="M975" s="31" t="s">
        <v>2433</v>
      </c>
      <c r="N975" s="34">
        <v>1.4</v>
      </c>
      <c r="O975" s="35">
        <v>0</v>
      </c>
      <c r="P975" s="35">
        <v>107</v>
      </c>
      <c r="Q975" s="35">
        <v>0</v>
      </c>
      <c r="R975" s="36">
        <v>8.0299999999999994</v>
      </c>
      <c r="S975" s="37" t="str">
        <f>IFERROR(_xlfn.XLOOKUP(R975,'1_Presupuesto'!$E:$E,'1_Presupuesto'!$D:$D),"")</f>
        <v>Albañilería MO</v>
      </c>
    </row>
    <row r="976" spans="1:19" x14ac:dyDescent="0.35">
      <c r="A976" s="31" t="s">
        <v>2429</v>
      </c>
      <c r="B976" s="31" t="s">
        <v>497</v>
      </c>
      <c r="C976" s="31" t="s">
        <v>498</v>
      </c>
      <c r="D976" s="31" t="s">
        <v>534</v>
      </c>
      <c r="E976" s="31" t="s">
        <v>535</v>
      </c>
      <c r="F976" s="31">
        <v>0</v>
      </c>
      <c r="G976" s="32">
        <v>0.10299999999999999</v>
      </c>
      <c r="H976" s="33">
        <v>0.1</v>
      </c>
      <c r="I976" s="34">
        <v>32620.38</v>
      </c>
      <c r="J976" s="34">
        <v>3695.8890540000002</v>
      </c>
      <c r="K976" s="31" t="s">
        <v>2430</v>
      </c>
      <c r="L976" s="31">
        <v>4</v>
      </c>
      <c r="M976" s="31" t="s">
        <v>2434</v>
      </c>
      <c r="N976" s="34">
        <v>1.4</v>
      </c>
      <c r="O976" s="35">
        <v>0</v>
      </c>
      <c r="P976" s="35">
        <v>107</v>
      </c>
      <c r="Q976" s="35">
        <v>0</v>
      </c>
      <c r="R976" s="36">
        <v>8.0299999999999994</v>
      </c>
      <c r="S976" s="37" t="str">
        <f>IFERROR(_xlfn.XLOOKUP(R976,'1_Presupuesto'!$E:$E,'1_Presupuesto'!$D:$D),"")</f>
        <v>Albañilería MO</v>
      </c>
    </row>
    <row r="977" spans="1:19" x14ac:dyDescent="0.35">
      <c r="A977" s="31" t="s">
        <v>2429</v>
      </c>
      <c r="B977" s="31" t="s">
        <v>478</v>
      </c>
      <c r="C977" s="31" t="s">
        <v>479</v>
      </c>
      <c r="D977" s="31" t="s">
        <v>484</v>
      </c>
      <c r="E977" s="31" t="s">
        <v>186</v>
      </c>
      <c r="F977" s="31" t="s">
        <v>481</v>
      </c>
      <c r="G977" s="32">
        <v>0.2</v>
      </c>
      <c r="H977" s="33">
        <v>0</v>
      </c>
      <c r="I977" s="34">
        <v>67240.498860267602</v>
      </c>
      <c r="J977" s="34">
        <v>13448.0997720535</v>
      </c>
      <c r="K977" s="31" t="s">
        <v>2435</v>
      </c>
      <c r="L977" s="31">
        <v>1</v>
      </c>
      <c r="M977" s="31" t="s">
        <v>2436</v>
      </c>
      <c r="N977" s="34">
        <v>1.4</v>
      </c>
      <c r="O977" s="35">
        <v>0.14285714285714299</v>
      </c>
      <c r="P977" s="35">
        <v>107</v>
      </c>
      <c r="Q977" s="35">
        <v>15.285714285714301</v>
      </c>
      <c r="R977" s="36">
        <v>8.0299999999999994</v>
      </c>
      <c r="S977" s="37" t="str">
        <f>IFERROR(_xlfn.XLOOKUP(R977,'1_Presupuesto'!$E:$E,'1_Presupuesto'!$D:$D),"")</f>
        <v>Albañilería MO</v>
      </c>
    </row>
    <row r="978" spans="1:19" x14ac:dyDescent="0.35">
      <c r="A978" s="31" t="s">
        <v>2429</v>
      </c>
      <c r="B978" s="31" t="s">
        <v>478</v>
      </c>
      <c r="C978" s="31" t="s">
        <v>479</v>
      </c>
      <c r="D978" s="31" t="s">
        <v>480</v>
      </c>
      <c r="E978" s="31" t="s">
        <v>183</v>
      </c>
      <c r="F978" s="31" t="s">
        <v>481</v>
      </c>
      <c r="G978" s="32">
        <v>0.15</v>
      </c>
      <c r="H978" s="33">
        <v>0</v>
      </c>
      <c r="I978" s="34">
        <v>94177.137883538904</v>
      </c>
      <c r="J978" s="34">
        <v>14126.570682530801</v>
      </c>
      <c r="K978" s="31" t="s">
        <v>2435</v>
      </c>
      <c r="L978" s="31">
        <v>2</v>
      </c>
      <c r="M978" s="31" t="s">
        <v>2437</v>
      </c>
      <c r="N978" s="34">
        <v>1.4</v>
      </c>
      <c r="O978" s="35">
        <v>0.107142857142857</v>
      </c>
      <c r="P978" s="35">
        <v>107</v>
      </c>
      <c r="Q978" s="35">
        <v>11.464285714285699</v>
      </c>
      <c r="R978" s="36">
        <v>8.0299999999999994</v>
      </c>
      <c r="S978" s="37" t="str">
        <f>IFERROR(_xlfn.XLOOKUP(R978,'1_Presupuesto'!$E:$E,'1_Presupuesto'!$D:$D),"")</f>
        <v>Albañilería MO</v>
      </c>
    </row>
    <row r="979" spans="1:19" x14ac:dyDescent="0.35">
      <c r="A979" s="31" t="s">
        <v>2429</v>
      </c>
      <c r="B979" s="31" t="s">
        <v>203</v>
      </c>
      <c r="C979" s="31"/>
      <c r="D979" s="31" t="s">
        <v>616</v>
      </c>
      <c r="E979" s="31" t="s">
        <v>617</v>
      </c>
      <c r="F979" s="31"/>
      <c r="G979" s="32">
        <v>0.2</v>
      </c>
      <c r="H979" s="33">
        <v>0</v>
      </c>
      <c r="I979" s="34">
        <v>1040.43144867052</v>
      </c>
      <c r="J979" s="34">
        <v>208.08628973410501</v>
      </c>
      <c r="K979" s="31" t="s">
        <v>2438</v>
      </c>
      <c r="L979" s="31">
        <v>1</v>
      </c>
      <c r="M979" s="31" t="s">
        <v>2439</v>
      </c>
      <c r="N979" s="34">
        <v>1.4</v>
      </c>
      <c r="O979" s="35">
        <v>0</v>
      </c>
      <c r="P979" s="35">
        <v>107</v>
      </c>
      <c r="Q979" s="35">
        <v>0</v>
      </c>
      <c r="R979" s="36">
        <v>8.0299999999999994</v>
      </c>
      <c r="S979" s="37" t="str">
        <f>IFERROR(_xlfn.XLOOKUP(R979,'1_Presupuesto'!$E:$E,'1_Presupuesto'!$D:$D),"")</f>
        <v>Albañilería MO</v>
      </c>
    </row>
    <row r="980" spans="1:19" x14ac:dyDescent="0.35">
      <c r="A980" s="31" t="s">
        <v>2429</v>
      </c>
      <c r="B980" s="31" t="s">
        <v>203</v>
      </c>
      <c r="C980" s="31"/>
      <c r="D980" s="31" t="s">
        <v>609</v>
      </c>
      <c r="E980" s="31" t="s">
        <v>610</v>
      </c>
      <c r="F980" s="31"/>
      <c r="G980" s="32">
        <v>0.2</v>
      </c>
      <c r="H980" s="33">
        <v>0</v>
      </c>
      <c r="I980" s="34">
        <v>2485.8709964594</v>
      </c>
      <c r="J980" s="34">
        <v>497.17419929187997</v>
      </c>
      <c r="K980" s="31" t="s">
        <v>2438</v>
      </c>
      <c r="L980" s="31">
        <v>2</v>
      </c>
      <c r="M980" s="31" t="s">
        <v>2440</v>
      </c>
      <c r="N980" s="34">
        <v>1.4</v>
      </c>
      <c r="O980" s="35">
        <v>0</v>
      </c>
      <c r="P980" s="35">
        <v>107</v>
      </c>
      <c r="Q980" s="35">
        <v>0</v>
      </c>
      <c r="R980" s="36">
        <v>8.0299999999999994</v>
      </c>
      <c r="S980" s="37" t="str">
        <f>IFERROR(_xlfn.XLOOKUP(R980,'1_Presupuesto'!$E:$E,'1_Presupuesto'!$D:$D),"")</f>
        <v>Albañilería MO</v>
      </c>
    </row>
    <row r="981" spans="1:19" x14ac:dyDescent="0.35">
      <c r="A981" s="31" t="s">
        <v>2441</v>
      </c>
      <c r="B981" s="31" t="s">
        <v>497</v>
      </c>
      <c r="C981" s="31" t="s">
        <v>498</v>
      </c>
      <c r="D981" s="31" t="s">
        <v>534</v>
      </c>
      <c r="E981" s="31" t="s">
        <v>535</v>
      </c>
      <c r="F981" s="31">
        <v>0</v>
      </c>
      <c r="G981" s="32">
        <v>5.9499999999999997E-2</v>
      </c>
      <c r="H981" s="33">
        <v>0.1</v>
      </c>
      <c r="I981" s="34">
        <v>32620.38</v>
      </c>
      <c r="J981" s="34">
        <v>2135.0038709999999</v>
      </c>
      <c r="K981" s="31" t="s">
        <v>2442</v>
      </c>
      <c r="L981" s="31">
        <v>1</v>
      </c>
      <c r="M981" s="31" t="s">
        <v>2443</v>
      </c>
      <c r="N981" s="34">
        <v>35</v>
      </c>
      <c r="O981" s="35">
        <v>0</v>
      </c>
      <c r="P981" s="35">
        <v>850</v>
      </c>
      <c r="Q981" s="35">
        <v>0</v>
      </c>
      <c r="R981" s="36">
        <v>8.0399999999999991</v>
      </c>
      <c r="S981" s="37" t="str">
        <f>IFERROR(_xlfn.XLOOKUP(R981,'1_Presupuesto'!$E:$E,'1_Presupuesto'!$D:$D),"")</f>
        <v>Albañilería MO</v>
      </c>
    </row>
    <row r="982" spans="1:19" x14ac:dyDescent="0.35">
      <c r="A982" s="31" t="s">
        <v>2441</v>
      </c>
      <c r="B982" s="31" t="s">
        <v>497</v>
      </c>
      <c r="C982" s="31" t="s">
        <v>498</v>
      </c>
      <c r="D982" s="31" t="s">
        <v>541</v>
      </c>
      <c r="E982" s="31" t="s">
        <v>542</v>
      </c>
      <c r="F982" s="31">
        <v>0</v>
      </c>
      <c r="G982" s="32">
        <v>0.42</v>
      </c>
      <c r="H982" s="33">
        <v>0.1</v>
      </c>
      <c r="I982" s="34">
        <v>7891.74</v>
      </c>
      <c r="J982" s="34">
        <v>3645.9838800000002</v>
      </c>
      <c r="K982" s="31" t="s">
        <v>2442</v>
      </c>
      <c r="L982" s="31">
        <v>2</v>
      </c>
      <c r="M982" s="31" t="s">
        <v>2444</v>
      </c>
      <c r="N982" s="34">
        <v>35</v>
      </c>
      <c r="O982" s="35">
        <v>0</v>
      </c>
      <c r="P982" s="35">
        <v>850</v>
      </c>
      <c r="Q982" s="35">
        <v>0</v>
      </c>
      <c r="R982" s="36">
        <v>8.0399999999999991</v>
      </c>
      <c r="S982" s="37" t="str">
        <f>IFERROR(_xlfn.XLOOKUP(R982,'1_Presupuesto'!$E:$E,'1_Presupuesto'!$D:$D),"")</f>
        <v>Albañilería MO</v>
      </c>
    </row>
    <row r="983" spans="1:19" x14ac:dyDescent="0.35">
      <c r="A983" s="31" t="s">
        <v>2441</v>
      </c>
      <c r="B983" s="31" t="s">
        <v>497</v>
      </c>
      <c r="C983" s="31" t="s">
        <v>498</v>
      </c>
      <c r="D983" s="31" t="s">
        <v>538</v>
      </c>
      <c r="E983" s="31" t="s">
        <v>539</v>
      </c>
      <c r="F983" s="31">
        <v>0</v>
      </c>
      <c r="G983" s="32">
        <v>0.14000000000000001</v>
      </c>
      <c r="H983" s="33">
        <v>0.1</v>
      </c>
      <c r="I983" s="34">
        <v>3927.28</v>
      </c>
      <c r="J983" s="34">
        <v>604.80111999999997</v>
      </c>
      <c r="K983" s="31" t="s">
        <v>2442</v>
      </c>
      <c r="L983" s="31">
        <v>3</v>
      </c>
      <c r="M983" s="31" t="s">
        <v>2445</v>
      </c>
      <c r="N983" s="34">
        <v>35</v>
      </c>
      <c r="O983" s="35">
        <v>0</v>
      </c>
      <c r="P983" s="35">
        <v>850</v>
      </c>
      <c r="Q983" s="35">
        <v>0</v>
      </c>
      <c r="R983" s="36">
        <v>8.0399999999999991</v>
      </c>
      <c r="S983" s="37" t="str">
        <f>IFERROR(_xlfn.XLOOKUP(R983,'1_Presupuesto'!$E:$E,'1_Presupuesto'!$D:$D),"")</f>
        <v>Albañilería MO</v>
      </c>
    </row>
    <row r="984" spans="1:19" x14ac:dyDescent="0.35">
      <c r="A984" s="31" t="s">
        <v>2441</v>
      </c>
      <c r="B984" s="31" t="s">
        <v>497</v>
      </c>
      <c r="C984" s="31" t="s">
        <v>498</v>
      </c>
      <c r="D984" s="31" t="s">
        <v>1054</v>
      </c>
      <c r="E984" s="31" t="s">
        <v>1055</v>
      </c>
      <c r="F984" s="31" t="s">
        <v>1056</v>
      </c>
      <c r="G984" s="32">
        <v>2.4499999999999999E-3</v>
      </c>
      <c r="H984" s="33">
        <v>0.05</v>
      </c>
      <c r="I984" s="34">
        <v>129090.91</v>
      </c>
      <c r="J984" s="34">
        <v>332.08636597499998</v>
      </c>
      <c r="K984" s="31" t="s">
        <v>2442</v>
      </c>
      <c r="L984" s="31">
        <v>4</v>
      </c>
      <c r="M984" s="31" t="s">
        <v>2446</v>
      </c>
      <c r="N984" s="34">
        <v>35</v>
      </c>
      <c r="O984" s="35">
        <v>0</v>
      </c>
      <c r="P984" s="35">
        <v>850</v>
      </c>
      <c r="Q984" s="35">
        <v>0</v>
      </c>
      <c r="R984" s="36">
        <v>8.0399999999999991</v>
      </c>
      <c r="S984" s="37" t="str">
        <f>IFERROR(_xlfn.XLOOKUP(R984,'1_Presupuesto'!$E:$E,'1_Presupuesto'!$D:$D),"")</f>
        <v>Albañilería MO</v>
      </c>
    </row>
    <row r="985" spans="1:19" x14ac:dyDescent="0.35">
      <c r="A985" s="31" t="s">
        <v>2441</v>
      </c>
      <c r="B985" s="31" t="s">
        <v>478</v>
      </c>
      <c r="C985" s="31" t="s">
        <v>479</v>
      </c>
      <c r="D985" s="31" t="s">
        <v>484</v>
      </c>
      <c r="E985" s="31" t="s">
        <v>186</v>
      </c>
      <c r="F985" s="31" t="s">
        <v>481</v>
      </c>
      <c r="G985" s="32">
        <v>3</v>
      </c>
      <c r="H985" s="33">
        <v>0</v>
      </c>
      <c r="I985" s="34">
        <v>67240.498860267602</v>
      </c>
      <c r="J985" s="34">
        <v>201721.49658080301</v>
      </c>
      <c r="K985" s="31" t="s">
        <v>2447</v>
      </c>
      <c r="L985" s="31">
        <v>1</v>
      </c>
      <c r="M985" s="31" t="s">
        <v>2448</v>
      </c>
      <c r="N985" s="34">
        <v>35</v>
      </c>
      <c r="O985" s="35">
        <v>8.5714285714285701E-2</v>
      </c>
      <c r="P985" s="35">
        <v>850</v>
      </c>
      <c r="Q985" s="35">
        <v>72.857142857142904</v>
      </c>
      <c r="R985" s="36">
        <v>8.0399999999999991</v>
      </c>
      <c r="S985" s="37" t="str">
        <f>IFERROR(_xlfn.XLOOKUP(R985,'1_Presupuesto'!$E:$E,'1_Presupuesto'!$D:$D),"")</f>
        <v>Albañilería MO</v>
      </c>
    </row>
    <row r="986" spans="1:19" x14ac:dyDescent="0.35">
      <c r="A986" s="31" t="s">
        <v>2441</v>
      </c>
      <c r="B986" s="31" t="s">
        <v>478</v>
      </c>
      <c r="C986" s="31" t="s">
        <v>479</v>
      </c>
      <c r="D986" s="31" t="s">
        <v>480</v>
      </c>
      <c r="E986" s="31" t="s">
        <v>183</v>
      </c>
      <c r="F986" s="31" t="s">
        <v>481</v>
      </c>
      <c r="G986" s="32">
        <v>2</v>
      </c>
      <c r="H986" s="33">
        <v>0</v>
      </c>
      <c r="I986" s="34">
        <v>94177.137883538904</v>
      </c>
      <c r="J986" s="34">
        <v>188354.27576707801</v>
      </c>
      <c r="K986" s="31" t="s">
        <v>2447</v>
      </c>
      <c r="L986" s="31">
        <v>2</v>
      </c>
      <c r="M986" s="31" t="s">
        <v>2449</v>
      </c>
      <c r="N986" s="34">
        <v>35</v>
      </c>
      <c r="O986" s="35">
        <v>5.7142857142857099E-2</v>
      </c>
      <c r="P986" s="35">
        <v>850</v>
      </c>
      <c r="Q986" s="35">
        <v>48.571428571428598</v>
      </c>
      <c r="R986" s="36">
        <v>8.0399999999999991</v>
      </c>
      <c r="S986" s="37" t="str">
        <f>IFERROR(_xlfn.XLOOKUP(R986,'1_Presupuesto'!$E:$E,'1_Presupuesto'!$D:$D),"")</f>
        <v>Albañilería MO</v>
      </c>
    </row>
    <row r="987" spans="1:19" x14ac:dyDescent="0.35">
      <c r="A987" s="31" t="s">
        <v>2441</v>
      </c>
      <c r="B987" s="31" t="s">
        <v>203</v>
      </c>
      <c r="C987" s="31"/>
      <c r="D987" s="31" t="s">
        <v>616</v>
      </c>
      <c r="E987" s="31" t="s">
        <v>617</v>
      </c>
      <c r="F987" s="31"/>
      <c r="G987" s="32">
        <v>2</v>
      </c>
      <c r="H987" s="33">
        <v>0</v>
      </c>
      <c r="I987" s="34">
        <v>1040.43144867052</v>
      </c>
      <c r="J987" s="34">
        <v>2080.86289734105</v>
      </c>
      <c r="K987" s="31" t="s">
        <v>2450</v>
      </c>
      <c r="L987" s="31">
        <v>1</v>
      </c>
      <c r="M987" s="31" t="s">
        <v>2451</v>
      </c>
      <c r="N987" s="34">
        <v>35</v>
      </c>
      <c r="O987" s="35">
        <v>0</v>
      </c>
      <c r="P987" s="35">
        <v>850</v>
      </c>
      <c r="Q987" s="35">
        <v>0</v>
      </c>
      <c r="R987" s="36">
        <v>8.0399999999999991</v>
      </c>
      <c r="S987" s="37" t="str">
        <f>IFERROR(_xlfn.XLOOKUP(R987,'1_Presupuesto'!$E:$E,'1_Presupuesto'!$D:$D),"")</f>
        <v>Albañilería MO</v>
      </c>
    </row>
    <row r="988" spans="1:19" x14ac:dyDescent="0.35">
      <c r="A988" s="31" t="s">
        <v>2441</v>
      </c>
      <c r="B988" s="31" t="s">
        <v>203</v>
      </c>
      <c r="C988" s="31"/>
      <c r="D988" s="31" t="s">
        <v>609</v>
      </c>
      <c r="E988" s="31" t="s">
        <v>610</v>
      </c>
      <c r="F988" s="31"/>
      <c r="G988" s="32">
        <v>1</v>
      </c>
      <c r="H988" s="33">
        <v>0</v>
      </c>
      <c r="I988" s="34">
        <v>2485.8709964594</v>
      </c>
      <c r="J988" s="34">
        <v>2485.8709964594</v>
      </c>
      <c r="K988" s="31" t="s">
        <v>2450</v>
      </c>
      <c r="L988" s="31">
        <v>2</v>
      </c>
      <c r="M988" s="31" t="s">
        <v>2452</v>
      </c>
      <c r="N988" s="34">
        <v>35</v>
      </c>
      <c r="O988" s="35">
        <v>0</v>
      </c>
      <c r="P988" s="35">
        <v>850</v>
      </c>
      <c r="Q988" s="35">
        <v>0</v>
      </c>
      <c r="R988" s="36">
        <v>8.0399999999999991</v>
      </c>
      <c r="S988" s="37" t="str">
        <f>IFERROR(_xlfn.XLOOKUP(R988,'1_Presupuesto'!$E:$E,'1_Presupuesto'!$D:$D),"")</f>
        <v>Albañilería MO</v>
      </c>
    </row>
    <row r="989" spans="1:19" x14ac:dyDescent="0.35">
      <c r="A989" s="31" t="s">
        <v>2453</v>
      </c>
      <c r="B989" s="31" t="s">
        <v>497</v>
      </c>
      <c r="C989" s="31" t="s">
        <v>498</v>
      </c>
      <c r="D989" s="31" t="s">
        <v>541</v>
      </c>
      <c r="E989" s="31" t="s">
        <v>542</v>
      </c>
      <c r="F989" s="31">
        <v>0</v>
      </c>
      <c r="G989" s="32">
        <v>0.27</v>
      </c>
      <c r="H989" s="33">
        <v>0.1</v>
      </c>
      <c r="I989" s="34">
        <v>7891.74</v>
      </c>
      <c r="J989" s="34">
        <v>2343.8467799999999</v>
      </c>
      <c r="K989" s="31" t="s">
        <v>2454</v>
      </c>
      <c r="L989" s="31">
        <v>1</v>
      </c>
      <c r="M989" s="31" t="s">
        <v>2455</v>
      </c>
      <c r="N989" s="34">
        <v>15</v>
      </c>
      <c r="O989" s="35">
        <v>0</v>
      </c>
      <c r="P989" s="35">
        <v>365</v>
      </c>
      <c r="Q989" s="35">
        <v>0</v>
      </c>
      <c r="R989" s="36">
        <v>8.0500000000000007</v>
      </c>
      <c r="S989" s="37" t="str">
        <f>IFERROR(_xlfn.XLOOKUP(R989,'1_Presupuesto'!$E:$E,'1_Presupuesto'!$D:$D),"")</f>
        <v>Albañilería MO</v>
      </c>
    </row>
    <row r="990" spans="1:19" x14ac:dyDescent="0.35">
      <c r="A990" s="31" t="s">
        <v>2453</v>
      </c>
      <c r="B990" s="31" t="s">
        <v>497</v>
      </c>
      <c r="C990" s="31" t="s">
        <v>498</v>
      </c>
      <c r="D990" s="31" t="s">
        <v>534</v>
      </c>
      <c r="E990" s="31" t="s">
        <v>535</v>
      </c>
      <c r="F990" s="31">
        <v>0</v>
      </c>
      <c r="G990" s="32">
        <v>0.03</v>
      </c>
      <c r="H990" s="33">
        <v>0.1</v>
      </c>
      <c r="I990" s="34">
        <v>32620.38</v>
      </c>
      <c r="J990" s="34">
        <v>1076.47254</v>
      </c>
      <c r="K990" s="31" t="s">
        <v>2454</v>
      </c>
      <c r="L990" s="31">
        <v>2</v>
      </c>
      <c r="M990" s="31" t="s">
        <v>2456</v>
      </c>
      <c r="N990" s="34">
        <v>15</v>
      </c>
      <c r="O990" s="35">
        <v>0</v>
      </c>
      <c r="P990" s="35">
        <v>365</v>
      </c>
      <c r="Q990" s="35">
        <v>0</v>
      </c>
      <c r="R990" s="36">
        <v>8.0500000000000007</v>
      </c>
      <c r="S990" s="37" t="str">
        <f>IFERROR(_xlfn.XLOOKUP(R990,'1_Presupuesto'!$E:$E,'1_Presupuesto'!$D:$D),"")</f>
        <v>Albañilería MO</v>
      </c>
    </row>
    <row r="991" spans="1:19" x14ac:dyDescent="0.35">
      <c r="A991" s="31" t="s">
        <v>2453</v>
      </c>
      <c r="B991" s="31" t="s">
        <v>478</v>
      </c>
      <c r="C991" s="31" t="s">
        <v>479</v>
      </c>
      <c r="D991" s="31" t="s">
        <v>484</v>
      </c>
      <c r="E991" s="31" t="s">
        <v>186</v>
      </c>
      <c r="F991" s="31" t="s">
        <v>481</v>
      </c>
      <c r="G991" s="32">
        <v>0.45</v>
      </c>
      <c r="H991" s="33">
        <v>0</v>
      </c>
      <c r="I991" s="34">
        <v>67240.498860267602</v>
      </c>
      <c r="J991" s="34">
        <v>30258.224487120398</v>
      </c>
      <c r="K991" s="31" t="s">
        <v>2457</v>
      </c>
      <c r="L991" s="31">
        <v>1</v>
      </c>
      <c r="M991" s="31" t="s">
        <v>2458</v>
      </c>
      <c r="N991" s="34">
        <v>15</v>
      </c>
      <c r="O991" s="35">
        <v>0.03</v>
      </c>
      <c r="P991" s="35">
        <v>365</v>
      </c>
      <c r="Q991" s="35">
        <v>10.95</v>
      </c>
      <c r="R991" s="36">
        <v>8.0500000000000007</v>
      </c>
      <c r="S991" s="37" t="str">
        <f>IFERROR(_xlfn.XLOOKUP(R991,'1_Presupuesto'!$E:$E,'1_Presupuesto'!$D:$D),"")</f>
        <v>Albañilería MO</v>
      </c>
    </row>
    <row r="992" spans="1:19" x14ac:dyDescent="0.35">
      <c r="A992" s="31" t="s">
        <v>2453</v>
      </c>
      <c r="B992" s="31" t="s">
        <v>478</v>
      </c>
      <c r="C992" s="31" t="s">
        <v>479</v>
      </c>
      <c r="D992" s="31" t="s">
        <v>480</v>
      </c>
      <c r="E992" s="31" t="s">
        <v>183</v>
      </c>
      <c r="F992" s="31" t="s">
        <v>481</v>
      </c>
      <c r="G992" s="32">
        <v>1</v>
      </c>
      <c r="H992" s="33">
        <v>0</v>
      </c>
      <c r="I992" s="34">
        <v>94177.137883538904</v>
      </c>
      <c r="J992" s="34">
        <v>94177.137883538904</v>
      </c>
      <c r="K992" s="31" t="s">
        <v>2457</v>
      </c>
      <c r="L992" s="31">
        <v>2</v>
      </c>
      <c r="M992" s="31" t="s">
        <v>2459</v>
      </c>
      <c r="N992" s="34">
        <v>15</v>
      </c>
      <c r="O992" s="35">
        <v>6.6666666666666693E-2</v>
      </c>
      <c r="P992" s="35">
        <v>365</v>
      </c>
      <c r="Q992" s="35">
        <v>24.3333333333333</v>
      </c>
      <c r="R992" s="36">
        <v>8.0500000000000007</v>
      </c>
      <c r="S992" s="37" t="str">
        <f>IFERROR(_xlfn.XLOOKUP(R992,'1_Presupuesto'!$E:$E,'1_Presupuesto'!$D:$D),"")</f>
        <v>Albañilería MO</v>
      </c>
    </row>
    <row r="993" spans="1:19" x14ac:dyDescent="0.35">
      <c r="A993" s="31" t="s">
        <v>2453</v>
      </c>
      <c r="B993" s="31" t="s">
        <v>203</v>
      </c>
      <c r="C993" s="31"/>
      <c r="D993" s="31" t="s">
        <v>616</v>
      </c>
      <c r="E993" s="31" t="s">
        <v>617</v>
      </c>
      <c r="F993" s="31"/>
      <c r="G993" s="32">
        <v>1</v>
      </c>
      <c r="H993" s="33">
        <v>0</v>
      </c>
      <c r="I993" s="34">
        <v>1040.43144867052</v>
      </c>
      <c r="J993" s="34">
        <v>1040.43144867052</v>
      </c>
      <c r="K993" s="31" t="s">
        <v>2460</v>
      </c>
      <c r="L993" s="31">
        <v>1</v>
      </c>
      <c r="M993" s="31" t="s">
        <v>2461</v>
      </c>
      <c r="N993" s="34">
        <v>15</v>
      </c>
      <c r="O993" s="35">
        <v>0</v>
      </c>
      <c r="P993" s="35">
        <v>365</v>
      </c>
      <c r="Q993" s="35">
        <v>0</v>
      </c>
      <c r="R993" s="36">
        <v>8.0500000000000007</v>
      </c>
      <c r="S993" s="37" t="str">
        <f>IFERROR(_xlfn.XLOOKUP(R993,'1_Presupuesto'!$E:$E,'1_Presupuesto'!$D:$D),"")</f>
        <v>Albañilería MO</v>
      </c>
    </row>
    <row r="994" spans="1:19" x14ac:dyDescent="0.35">
      <c r="A994" s="31" t="s">
        <v>2453</v>
      </c>
      <c r="B994" s="31" t="s">
        <v>203</v>
      </c>
      <c r="C994" s="31"/>
      <c r="D994" s="31" t="s">
        <v>609</v>
      </c>
      <c r="E994" s="31" t="s">
        <v>610</v>
      </c>
      <c r="F994" s="31"/>
      <c r="G994" s="32">
        <v>1</v>
      </c>
      <c r="H994" s="33">
        <v>0</v>
      </c>
      <c r="I994" s="34">
        <v>2485.8709964594</v>
      </c>
      <c r="J994" s="34">
        <v>2485.8709964594</v>
      </c>
      <c r="K994" s="31" t="s">
        <v>2460</v>
      </c>
      <c r="L994" s="31">
        <v>2</v>
      </c>
      <c r="M994" s="31" t="s">
        <v>2462</v>
      </c>
      <c r="N994" s="34">
        <v>15</v>
      </c>
      <c r="O994" s="35">
        <v>0</v>
      </c>
      <c r="P994" s="35">
        <v>365</v>
      </c>
      <c r="Q994" s="35">
        <v>0</v>
      </c>
      <c r="R994" s="36">
        <v>8.0500000000000007</v>
      </c>
      <c r="S994" s="37" t="str">
        <f>IFERROR(_xlfn.XLOOKUP(R994,'1_Presupuesto'!$E:$E,'1_Presupuesto'!$D:$D),"")</f>
        <v>Albañilería MO</v>
      </c>
    </row>
    <row r="995" spans="1:19" x14ac:dyDescent="0.35">
      <c r="A995" s="31" t="s">
        <v>2463</v>
      </c>
      <c r="B995" s="31" t="s">
        <v>497</v>
      </c>
      <c r="C995" s="31" t="s">
        <v>498</v>
      </c>
      <c r="D995" s="31" t="s">
        <v>541</v>
      </c>
      <c r="E995" s="31" t="s">
        <v>542</v>
      </c>
      <c r="F995" s="31">
        <v>0</v>
      </c>
      <c r="G995" s="32">
        <v>0.27</v>
      </c>
      <c r="H995" s="33">
        <v>0.1</v>
      </c>
      <c r="I995" s="34">
        <v>7891.74</v>
      </c>
      <c r="J995" s="34">
        <v>2343.8467799999999</v>
      </c>
      <c r="K995" s="31" t="s">
        <v>2464</v>
      </c>
      <c r="L995" s="31">
        <v>1</v>
      </c>
      <c r="M995" s="31" t="s">
        <v>2465</v>
      </c>
      <c r="N995" s="34">
        <v>15</v>
      </c>
      <c r="O995" s="35">
        <v>0</v>
      </c>
      <c r="P995" s="35">
        <v>357</v>
      </c>
      <c r="Q995" s="35">
        <v>0</v>
      </c>
      <c r="R995" s="36">
        <v>8.06</v>
      </c>
      <c r="S995" s="37" t="str">
        <f>IFERROR(_xlfn.XLOOKUP(R995,'1_Presupuesto'!$E:$E,'1_Presupuesto'!$D:$D),"")</f>
        <v>Albañilería MO</v>
      </c>
    </row>
    <row r="996" spans="1:19" x14ac:dyDescent="0.35">
      <c r="A996" s="31" t="s">
        <v>2463</v>
      </c>
      <c r="B996" s="31" t="s">
        <v>497</v>
      </c>
      <c r="C996" s="31" t="s">
        <v>498</v>
      </c>
      <c r="D996" s="31" t="s">
        <v>534</v>
      </c>
      <c r="E996" s="31" t="s">
        <v>535</v>
      </c>
      <c r="F996" s="31">
        <v>0</v>
      </c>
      <c r="G996" s="32">
        <v>0.03</v>
      </c>
      <c r="H996" s="33">
        <v>0.1</v>
      </c>
      <c r="I996" s="34">
        <v>32620.38</v>
      </c>
      <c r="J996" s="34">
        <v>1076.47254</v>
      </c>
      <c r="K996" s="31" t="s">
        <v>2464</v>
      </c>
      <c r="L996" s="31">
        <v>2</v>
      </c>
      <c r="M996" s="31" t="s">
        <v>2466</v>
      </c>
      <c r="N996" s="34">
        <v>15</v>
      </c>
      <c r="O996" s="35">
        <v>0</v>
      </c>
      <c r="P996" s="35">
        <v>357</v>
      </c>
      <c r="Q996" s="35">
        <v>0</v>
      </c>
      <c r="R996" s="36">
        <v>8.06</v>
      </c>
      <c r="S996" s="37" t="str">
        <f>IFERROR(_xlfn.XLOOKUP(R996,'1_Presupuesto'!$E:$E,'1_Presupuesto'!$D:$D),"")</f>
        <v>Albañilería MO</v>
      </c>
    </row>
    <row r="997" spans="1:19" x14ac:dyDescent="0.35">
      <c r="A997" s="31" t="s">
        <v>2463</v>
      </c>
      <c r="B997" s="31" t="s">
        <v>478</v>
      </c>
      <c r="C997" s="31" t="s">
        <v>479</v>
      </c>
      <c r="D997" s="31" t="s">
        <v>484</v>
      </c>
      <c r="E997" s="31" t="s">
        <v>186</v>
      </c>
      <c r="F997" s="31" t="s">
        <v>481</v>
      </c>
      <c r="G997" s="32">
        <v>0.45</v>
      </c>
      <c r="H997" s="33">
        <v>0</v>
      </c>
      <c r="I997" s="34">
        <v>67240.498860267602</v>
      </c>
      <c r="J997" s="34">
        <v>30258.224487120398</v>
      </c>
      <c r="K997" s="31" t="s">
        <v>2467</v>
      </c>
      <c r="L997" s="31">
        <v>1</v>
      </c>
      <c r="M997" s="31" t="s">
        <v>2468</v>
      </c>
      <c r="N997" s="34">
        <v>15</v>
      </c>
      <c r="O997" s="35">
        <v>0.03</v>
      </c>
      <c r="P997" s="35">
        <v>357</v>
      </c>
      <c r="Q997" s="35">
        <v>10.71</v>
      </c>
      <c r="R997" s="36">
        <v>8.06</v>
      </c>
      <c r="S997" s="37" t="str">
        <f>IFERROR(_xlfn.XLOOKUP(R997,'1_Presupuesto'!$E:$E,'1_Presupuesto'!$D:$D),"")</f>
        <v>Albañilería MO</v>
      </c>
    </row>
    <row r="998" spans="1:19" x14ac:dyDescent="0.35">
      <c r="A998" s="31" t="s">
        <v>2463</v>
      </c>
      <c r="B998" s="31" t="s">
        <v>478</v>
      </c>
      <c r="C998" s="31" t="s">
        <v>479</v>
      </c>
      <c r="D998" s="31" t="s">
        <v>480</v>
      </c>
      <c r="E998" s="31" t="s">
        <v>183</v>
      </c>
      <c r="F998" s="31" t="s">
        <v>481</v>
      </c>
      <c r="G998" s="32">
        <v>1</v>
      </c>
      <c r="H998" s="33">
        <v>0</v>
      </c>
      <c r="I998" s="34">
        <v>94177.137883538904</v>
      </c>
      <c r="J998" s="34">
        <v>94177.137883538904</v>
      </c>
      <c r="K998" s="31" t="s">
        <v>2467</v>
      </c>
      <c r="L998" s="31">
        <v>2</v>
      </c>
      <c r="M998" s="31" t="s">
        <v>2469</v>
      </c>
      <c r="N998" s="34">
        <v>15</v>
      </c>
      <c r="O998" s="35">
        <v>6.6666666666666693E-2</v>
      </c>
      <c r="P998" s="35">
        <v>357</v>
      </c>
      <c r="Q998" s="35">
        <v>23.8</v>
      </c>
      <c r="R998" s="36">
        <v>8.06</v>
      </c>
      <c r="S998" s="37" t="str">
        <f>IFERROR(_xlfn.XLOOKUP(R998,'1_Presupuesto'!$E:$E,'1_Presupuesto'!$D:$D),"")</f>
        <v>Albañilería MO</v>
      </c>
    </row>
    <row r="999" spans="1:19" x14ac:dyDescent="0.35">
      <c r="A999" s="31" t="s">
        <v>2463</v>
      </c>
      <c r="B999" s="31" t="s">
        <v>203</v>
      </c>
      <c r="C999" s="31"/>
      <c r="D999" s="31" t="s">
        <v>616</v>
      </c>
      <c r="E999" s="31" t="s">
        <v>617</v>
      </c>
      <c r="F999" s="31"/>
      <c r="G999" s="32">
        <v>1</v>
      </c>
      <c r="H999" s="33">
        <v>0</v>
      </c>
      <c r="I999" s="34">
        <v>1040.43144867052</v>
      </c>
      <c r="J999" s="34">
        <v>1040.43144867052</v>
      </c>
      <c r="K999" s="31" t="s">
        <v>2470</v>
      </c>
      <c r="L999" s="31">
        <v>1</v>
      </c>
      <c r="M999" s="31" t="s">
        <v>2471</v>
      </c>
      <c r="N999" s="34">
        <v>15</v>
      </c>
      <c r="O999" s="35">
        <v>0</v>
      </c>
      <c r="P999" s="35">
        <v>357</v>
      </c>
      <c r="Q999" s="35">
        <v>0</v>
      </c>
      <c r="R999" s="36">
        <v>8.06</v>
      </c>
      <c r="S999" s="37" t="str">
        <f>IFERROR(_xlfn.XLOOKUP(R999,'1_Presupuesto'!$E:$E,'1_Presupuesto'!$D:$D),"")</f>
        <v>Albañilería MO</v>
      </c>
    </row>
    <row r="1000" spans="1:19" x14ac:dyDescent="0.35">
      <c r="A1000" s="31" t="s">
        <v>2463</v>
      </c>
      <c r="B1000" s="31" t="s">
        <v>203</v>
      </c>
      <c r="C1000" s="31"/>
      <c r="D1000" s="31" t="s">
        <v>609</v>
      </c>
      <c r="E1000" s="31" t="s">
        <v>610</v>
      </c>
      <c r="F1000" s="31"/>
      <c r="G1000" s="32">
        <v>1</v>
      </c>
      <c r="H1000" s="33">
        <v>0</v>
      </c>
      <c r="I1000" s="34">
        <v>2485.8709964594</v>
      </c>
      <c r="J1000" s="34">
        <v>2485.8709964594</v>
      </c>
      <c r="K1000" s="31" t="s">
        <v>2470</v>
      </c>
      <c r="L1000" s="31">
        <v>2</v>
      </c>
      <c r="M1000" s="31" t="s">
        <v>2472</v>
      </c>
      <c r="N1000" s="34">
        <v>15</v>
      </c>
      <c r="O1000" s="35">
        <v>0</v>
      </c>
      <c r="P1000" s="35">
        <v>357</v>
      </c>
      <c r="Q1000" s="35">
        <v>0</v>
      </c>
      <c r="R1000" s="36">
        <v>8.06</v>
      </c>
      <c r="S1000" s="37" t="str">
        <f>IFERROR(_xlfn.XLOOKUP(R1000,'1_Presupuesto'!$E:$E,'1_Presupuesto'!$D:$D),"")</f>
        <v>Albañilería MO</v>
      </c>
    </row>
    <row r="1001" spans="1:19" x14ac:dyDescent="0.35">
      <c r="A1001" s="31" t="s">
        <v>2473</v>
      </c>
      <c r="B1001" s="31" t="s">
        <v>497</v>
      </c>
      <c r="C1001" s="31" t="s">
        <v>1706</v>
      </c>
      <c r="D1001" s="31" t="s">
        <v>541</v>
      </c>
      <c r="E1001" s="31" t="s">
        <v>542</v>
      </c>
      <c r="F1001" s="31">
        <v>0</v>
      </c>
      <c r="G1001" s="32">
        <v>2.3679999999999999</v>
      </c>
      <c r="H1001" s="33">
        <v>0.1</v>
      </c>
      <c r="I1001" s="34">
        <v>7891.74</v>
      </c>
      <c r="J1001" s="34">
        <v>20556.404352000001</v>
      </c>
      <c r="K1001" s="31" t="s">
        <v>2474</v>
      </c>
      <c r="L1001" s="31">
        <v>1</v>
      </c>
      <c r="M1001" s="31" t="s">
        <v>2475</v>
      </c>
      <c r="N1001" s="34">
        <v>1</v>
      </c>
      <c r="O1001" s="35">
        <v>0</v>
      </c>
      <c r="P1001" s="35">
        <v>1</v>
      </c>
      <c r="Q1001" s="35">
        <v>0</v>
      </c>
      <c r="R1001" s="36">
        <v>8.08</v>
      </c>
      <c r="S1001" s="37" t="str">
        <f>IFERROR(_xlfn.XLOOKUP(R1001,'1_Presupuesto'!$E:$E,'1_Presupuesto'!$D:$D),"")</f>
        <v>Albañilería MO</v>
      </c>
    </row>
    <row r="1002" spans="1:19" x14ac:dyDescent="0.35">
      <c r="A1002" s="31" t="s">
        <v>2473</v>
      </c>
      <c r="B1002" s="31" t="s">
        <v>497</v>
      </c>
      <c r="C1002" s="31" t="s">
        <v>498</v>
      </c>
      <c r="D1002" s="31" t="s">
        <v>534</v>
      </c>
      <c r="E1002" s="31" t="s">
        <v>535</v>
      </c>
      <c r="F1002" s="31">
        <v>0</v>
      </c>
      <c r="G1002" s="32">
        <v>0.69499999999999995</v>
      </c>
      <c r="H1002" s="33">
        <v>0.1</v>
      </c>
      <c r="I1002" s="34">
        <v>32620.38</v>
      </c>
      <c r="J1002" s="34">
        <v>24938.280510000001</v>
      </c>
      <c r="K1002" s="31" t="s">
        <v>2474</v>
      </c>
      <c r="L1002" s="31">
        <v>2</v>
      </c>
      <c r="M1002" s="31" t="s">
        <v>2476</v>
      </c>
      <c r="N1002" s="34">
        <v>1</v>
      </c>
      <c r="O1002" s="35">
        <v>0</v>
      </c>
      <c r="P1002" s="35">
        <v>1</v>
      </c>
      <c r="Q1002" s="35">
        <v>0</v>
      </c>
      <c r="R1002" s="36">
        <v>8.08</v>
      </c>
      <c r="S1002" s="37" t="str">
        <f>IFERROR(_xlfn.XLOOKUP(R1002,'1_Presupuesto'!$E:$E,'1_Presupuesto'!$D:$D),"")</f>
        <v>Albañilería MO</v>
      </c>
    </row>
    <row r="1003" spans="1:19" x14ac:dyDescent="0.35">
      <c r="A1003" s="31" t="s">
        <v>2473</v>
      </c>
      <c r="B1003" s="31" t="s">
        <v>478</v>
      </c>
      <c r="C1003" s="31" t="s">
        <v>479</v>
      </c>
      <c r="D1003" s="31" t="s">
        <v>1673</v>
      </c>
      <c r="E1003" s="31" t="s">
        <v>184</v>
      </c>
      <c r="F1003" s="31" t="s">
        <v>481</v>
      </c>
      <c r="G1003" s="32">
        <v>2</v>
      </c>
      <c r="H1003" s="33">
        <v>0</v>
      </c>
      <c r="I1003" s="34">
        <v>84612.512709566407</v>
      </c>
      <c r="J1003" s="34">
        <v>169225.02541913299</v>
      </c>
      <c r="K1003" s="31" t="s">
        <v>2477</v>
      </c>
      <c r="L1003" s="31">
        <v>1</v>
      </c>
      <c r="M1003" s="31" t="s">
        <v>2478</v>
      </c>
      <c r="N1003" s="34">
        <v>1</v>
      </c>
      <c r="O1003" s="35">
        <v>2</v>
      </c>
      <c r="P1003" s="35">
        <v>1</v>
      </c>
      <c r="Q1003" s="35">
        <v>2</v>
      </c>
      <c r="R1003" s="36">
        <v>8.08</v>
      </c>
      <c r="S1003" s="37" t="str">
        <f>IFERROR(_xlfn.XLOOKUP(R1003,'1_Presupuesto'!$E:$E,'1_Presupuesto'!$D:$D),"")</f>
        <v>Albañilería MO</v>
      </c>
    </row>
    <row r="1004" spans="1:19" x14ac:dyDescent="0.35">
      <c r="A1004" s="31" t="s">
        <v>2473</v>
      </c>
      <c r="B1004" s="31" t="s">
        <v>478</v>
      </c>
      <c r="C1004" s="31" t="s">
        <v>479</v>
      </c>
      <c r="D1004" s="31" t="s">
        <v>484</v>
      </c>
      <c r="E1004" s="31" t="s">
        <v>186</v>
      </c>
      <c r="F1004" s="31" t="s">
        <v>481</v>
      </c>
      <c r="G1004" s="32">
        <v>2</v>
      </c>
      <c r="H1004" s="33">
        <v>0</v>
      </c>
      <c r="I1004" s="34">
        <v>67240.498860267602</v>
      </c>
      <c r="J1004" s="34">
        <v>134480.997720535</v>
      </c>
      <c r="K1004" s="31" t="s">
        <v>2477</v>
      </c>
      <c r="L1004" s="31">
        <v>2</v>
      </c>
      <c r="M1004" s="31" t="s">
        <v>2479</v>
      </c>
      <c r="N1004" s="34">
        <v>1</v>
      </c>
      <c r="O1004" s="35">
        <v>2</v>
      </c>
      <c r="P1004" s="35">
        <v>1</v>
      </c>
      <c r="Q1004" s="35">
        <v>2</v>
      </c>
      <c r="R1004" s="36">
        <v>8.08</v>
      </c>
      <c r="S1004" s="37" t="str">
        <f>IFERROR(_xlfn.XLOOKUP(R1004,'1_Presupuesto'!$E:$E,'1_Presupuesto'!$D:$D),"")</f>
        <v>Albañilería MO</v>
      </c>
    </row>
    <row r="1005" spans="1:19" x14ac:dyDescent="0.35">
      <c r="A1005" s="31" t="s">
        <v>2473</v>
      </c>
      <c r="B1005" s="31" t="s">
        <v>203</v>
      </c>
      <c r="C1005" s="31"/>
      <c r="D1005" s="31" t="s">
        <v>2480</v>
      </c>
      <c r="E1005" s="31" t="s">
        <v>2481</v>
      </c>
      <c r="F1005" s="31"/>
      <c r="G1005" s="32">
        <v>1</v>
      </c>
      <c r="H1005" s="33">
        <v>0</v>
      </c>
      <c r="I1005" s="34">
        <v>5957.8657009641702</v>
      </c>
      <c r="J1005" s="34">
        <v>5957.8657009641702</v>
      </c>
      <c r="K1005" s="31" t="s">
        <v>2482</v>
      </c>
      <c r="L1005" s="31">
        <v>1</v>
      </c>
      <c r="M1005" s="31" t="s">
        <v>2483</v>
      </c>
      <c r="N1005" s="34">
        <v>1</v>
      </c>
      <c r="O1005" s="35">
        <v>0</v>
      </c>
      <c r="P1005" s="35">
        <v>1</v>
      </c>
      <c r="Q1005" s="35">
        <v>0</v>
      </c>
      <c r="R1005" s="36">
        <v>8.08</v>
      </c>
      <c r="S1005" s="37" t="str">
        <f>IFERROR(_xlfn.XLOOKUP(R1005,'1_Presupuesto'!$E:$E,'1_Presupuesto'!$D:$D),"")</f>
        <v>Albañilería MO</v>
      </c>
    </row>
    <row r="1006" spans="1:19" x14ac:dyDescent="0.35">
      <c r="A1006" s="31" t="s">
        <v>2484</v>
      </c>
      <c r="B1006" s="31" t="s">
        <v>497</v>
      </c>
      <c r="C1006" s="31" t="s">
        <v>498</v>
      </c>
      <c r="D1006" s="31" t="s">
        <v>541</v>
      </c>
      <c r="E1006" s="31" t="s">
        <v>542</v>
      </c>
      <c r="F1006" s="31">
        <v>0</v>
      </c>
      <c r="G1006" s="32">
        <v>29.346299999999999</v>
      </c>
      <c r="H1006" s="33">
        <v>0.1</v>
      </c>
      <c r="I1006" s="34">
        <v>7891.74</v>
      </c>
      <c r="J1006" s="34">
        <v>254752.70651819999</v>
      </c>
      <c r="K1006" s="31" t="s">
        <v>2485</v>
      </c>
      <c r="L1006" s="31">
        <v>1</v>
      </c>
      <c r="M1006" s="31" t="s">
        <v>2486</v>
      </c>
      <c r="N1006" s="34">
        <v>1</v>
      </c>
      <c r="O1006" s="35">
        <v>0</v>
      </c>
      <c r="P1006" s="35">
        <v>1</v>
      </c>
      <c r="Q1006" s="35">
        <v>0</v>
      </c>
      <c r="R1006" s="36">
        <v>9.01</v>
      </c>
      <c r="S1006" s="37" t="str">
        <f>IFERROR(_xlfn.XLOOKUP(R1006,'1_Presupuesto'!$E:$E,'1_Presupuesto'!$D:$D),"")</f>
        <v>Albañilería MO</v>
      </c>
    </row>
    <row r="1007" spans="1:19" x14ac:dyDescent="0.35">
      <c r="A1007" s="31" t="s">
        <v>2484</v>
      </c>
      <c r="B1007" s="31" t="s">
        <v>497</v>
      </c>
      <c r="C1007" s="31" t="s">
        <v>498</v>
      </c>
      <c r="D1007" s="31" t="s">
        <v>534</v>
      </c>
      <c r="E1007" s="31" t="s">
        <v>535</v>
      </c>
      <c r="F1007" s="31">
        <v>0</v>
      </c>
      <c r="G1007" s="32">
        <v>3.2606999999999999</v>
      </c>
      <c r="H1007" s="33">
        <v>0.1</v>
      </c>
      <c r="I1007" s="34">
        <v>32620.38</v>
      </c>
      <c r="J1007" s="34">
        <v>117001.8003726</v>
      </c>
      <c r="K1007" s="31" t="s">
        <v>2485</v>
      </c>
      <c r="L1007" s="31">
        <v>2</v>
      </c>
      <c r="M1007" s="31" t="s">
        <v>2487</v>
      </c>
      <c r="N1007" s="34">
        <v>1</v>
      </c>
      <c r="O1007" s="35">
        <v>0</v>
      </c>
      <c r="P1007" s="35">
        <v>1</v>
      </c>
      <c r="Q1007" s="35">
        <v>0</v>
      </c>
      <c r="R1007" s="36">
        <v>9.01</v>
      </c>
      <c r="S1007" s="37" t="str">
        <f>IFERROR(_xlfn.XLOOKUP(R1007,'1_Presupuesto'!$E:$E,'1_Presupuesto'!$D:$D),"")</f>
        <v>Albañilería MO</v>
      </c>
    </row>
    <row r="1008" spans="1:19" x14ac:dyDescent="0.35">
      <c r="A1008" s="31" t="s">
        <v>2484</v>
      </c>
      <c r="B1008" s="31" t="s">
        <v>497</v>
      </c>
      <c r="C1008" s="31" t="s">
        <v>498</v>
      </c>
      <c r="D1008" s="31" t="s">
        <v>597</v>
      </c>
      <c r="E1008" s="31" t="s">
        <v>598</v>
      </c>
      <c r="F1008" s="31" t="s">
        <v>218</v>
      </c>
      <c r="G1008" s="32">
        <v>55761.944718664803</v>
      </c>
      <c r="H1008" s="33">
        <v>0</v>
      </c>
      <c r="I1008" s="34">
        <v>1</v>
      </c>
      <c r="J1008" s="34">
        <v>55761.944718664803</v>
      </c>
      <c r="K1008" s="31" t="s">
        <v>2485</v>
      </c>
      <c r="L1008" s="31">
        <v>3</v>
      </c>
      <c r="M1008" s="31" t="s">
        <v>2488</v>
      </c>
      <c r="N1008" s="34">
        <v>1</v>
      </c>
      <c r="O1008" s="35">
        <v>0</v>
      </c>
      <c r="P1008" s="35">
        <v>1</v>
      </c>
      <c r="Q1008" s="35">
        <v>0</v>
      </c>
      <c r="R1008" s="36">
        <v>9.01</v>
      </c>
      <c r="S1008" s="37" t="str">
        <f>IFERROR(_xlfn.XLOOKUP(R1008,'1_Presupuesto'!$E:$E,'1_Presupuesto'!$D:$D),"")</f>
        <v>Albañilería MO</v>
      </c>
    </row>
    <row r="1009" spans="1:19" x14ac:dyDescent="0.35">
      <c r="A1009" s="31" t="s">
        <v>2484</v>
      </c>
      <c r="B1009" s="31" t="s">
        <v>478</v>
      </c>
      <c r="C1009" s="31" t="s">
        <v>479</v>
      </c>
      <c r="D1009" s="31" t="s">
        <v>480</v>
      </c>
      <c r="E1009" s="31" t="s">
        <v>183</v>
      </c>
      <c r="F1009" s="31" t="s">
        <v>481</v>
      </c>
      <c r="G1009" s="32">
        <v>16</v>
      </c>
      <c r="H1009" s="33">
        <v>0</v>
      </c>
      <c r="I1009" s="34">
        <v>94177.137883538904</v>
      </c>
      <c r="J1009" s="34">
        <v>1506834.2061366199</v>
      </c>
      <c r="K1009" s="31" t="s">
        <v>2489</v>
      </c>
      <c r="L1009" s="31">
        <v>1</v>
      </c>
      <c r="M1009" s="31" t="s">
        <v>2490</v>
      </c>
      <c r="N1009" s="34">
        <v>1</v>
      </c>
      <c r="O1009" s="35">
        <v>16</v>
      </c>
      <c r="P1009" s="35">
        <v>1</v>
      </c>
      <c r="Q1009" s="35">
        <v>16</v>
      </c>
      <c r="R1009" s="36">
        <v>9.01</v>
      </c>
      <c r="S1009" s="37" t="str">
        <f>IFERROR(_xlfn.XLOOKUP(R1009,'1_Presupuesto'!$E:$E,'1_Presupuesto'!$D:$D),"")</f>
        <v>Albañilería MO</v>
      </c>
    </row>
    <row r="1010" spans="1:19" x14ac:dyDescent="0.35">
      <c r="A1010" s="31" t="s">
        <v>2484</v>
      </c>
      <c r="B1010" s="31" t="s">
        <v>478</v>
      </c>
      <c r="C1010" s="31" t="s">
        <v>479</v>
      </c>
      <c r="D1010" s="31" t="s">
        <v>484</v>
      </c>
      <c r="E1010" s="31" t="s">
        <v>186</v>
      </c>
      <c r="F1010" s="31" t="s">
        <v>481</v>
      </c>
      <c r="G1010" s="32">
        <v>8</v>
      </c>
      <c r="H1010" s="33">
        <v>0</v>
      </c>
      <c r="I1010" s="34">
        <v>67240.498860267602</v>
      </c>
      <c r="J1010" s="34">
        <v>537923.99088214105</v>
      </c>
      <c r="K1010" s="31" t="s">
        <v>2489</v>
      </c>
      <c r="L1010" s="31">
        <v>2</v>
      </c>
      <c r="M1010" s="31" t="s">
        <v>2491</v>
      </c>
      <c r="N1010" s="34">
        <v>1</v>
      </c>
      <c r="O1010" s="35">
        <v>8</v>
      </c>
      <c r="P1010" s="35">
        <v>1</v>
      </c>
      <c r="Q1010" s="35">
        <v>8</v>
      </c>
      <c r="R1010" s="36">
        <v>9.01</v>
      </c>
      <c r="S1010" s="37" t="str">
        <f>IFERROR(_xlfn.XLOOKUP(R1010,'1_Presupuesto'!$E:$E,'1_Presupuesto'!$D:$D),"")</f>
        <v>Albañilería MO</v>
      </c>
    </row>
    <row r="1011" spans="1:19" x14ac:dyDescent="0.35">
      <c r="A1011" s="31" t="s">
        <v>2484</v>
      </c>
      <c r="B1011" s="31" t="s">
        <v>203</v>
      </c>
      <c r="C1011" s="31"/>
      <c r="D1011" s="31" t="s">
        <v>2492</v>
      </c>
      <c r="E1011" s="31" t="s">
        <v>2493</v>
      </c>
      <c r="F1011" s="31"/>
      <c r="G1011" s="32">
        <v>1</v>
      </c>
      <c r="H1011" s="33">
        <v>0</v>
      </c>
      <c r="I1011" s="34">
        <v>37083.9965979279</v>
      </c>
      <c r="J1011" s="34">
        <v>37083.9965979279</v>
      </c>
      <c r="K1011" s="31" t="s">
        <v>2494</v>
      </c>
      <c r="L1011" s="31">
        <v>1</v>
      </c>
      <c r="M1011" s="31" t="s">
        <v>2495</v>
      </c>
      <c r="N1011" s="34">
        <v>1</v>
      </c>
      <c r="O1011" s="35">
        <v>0</v>
      </c>
      <c r="P1011" s="35">
        <v>1</v>
      </c>
      <c r="Q1011" s="35">
        <v>0</v>
      </c>
      <c r="R1011" s="36">
        <v>9.01</v>
      </c>
      <c r="S1011" s="37" t="str">
        <f>IFERROR(_xlfn.XLOOKUP(R1011,'1_Presupuesto'!$E:$E,'1_Presupuesto'!$D:$D),"")</f>
        <v>Albañilería MO</v>
      </c>
    </row>
    <row r="1012" spans="1:19" x14ac:dyDescent="0.35">
      <c r="A1012" s="31" t="s">
        <v>2496</v>
      </c>
      <c r="B1012" s="31" t="s">
        <v>497</v>
      </c>
      <c r="C1012" s="31" t="s">
        <v>498</v>
      </c>
      <c r="D1012" s="31" t="s">
        <v>2497</v>
      </c>
      <c r="E1012" s="31" t="s">
        <v>2498</v>
      </c>
      <c r="F1012" s="31" t="s">
        <v>261</v>
      </c>
      <c r="G1012" s="32">
        <v>30</v>
      </c>
      <c r="H1012" s="33">
        <v>0</v>
      </c>
      <c r="I1012" s="34">
        <v>10308.9504132231</v>
      </c>
      <c r="J1012" s="34">
        <v>309268.512396693</v>
      </c>
      <c r="K1012" s="31" t="s">
        <v>2499</v>
      </c>
      <c r="L1012" s="31">
        <v>1</v>
      </c>
      <c r="M1012" s="31" t="s">
        <v>2500</v>
      </c>
      <c r="N1012" s="34">
        <v>1</v>
      </c>
      <c r="O1012" s="35">
        <v>0</v>
      </c>
      <c r="P1012" s="35">
        <v>1</v>
      </c>
      <c r="Q1012" s="35">
        <v>0</v>
      </c>
      <c r="R1012" s="36">
        <v>9.02</v>
      </c>
      <c r="S1012" s="37" t="str">
        <f>IFERROR(_xlfn.XLOOKUP(R1012,'1_Presupuesto'!$E:$E,'1_Presupuesto'!$D:$D),"")</f>
        <v>Albañilería MO</v>
      </c>
    </row>
    <row r="1013" spans="1:19" x14ac:dyDescent="0.35">
      <c r="A1013" s="31" t="s">
        <v>2496</v>
      </c>
      <c r="B1013" s="31" t="s">
        <v>497</v>
      </c>
      <c r="C1013" s="31" t="s">
        <v>498</v>
      </c>
      <c r="D1013" s="31" t="s">
        <v>597</v>
      </c>
      <c r="E1013" s="31" t="s">
        <v>598</v>
      </c>
      <c r="F1013" s="31" t="s">
        <v>218</v>
      </c>
      <c r="G1013" s="32">
        <v>154634.25619834699</v>
      </c>
      <c r="H1013" s="33">
        <v>0</v>
      </c>
      <c r="I1013" s="34">
        <v>1</v>
      </c>
      <c r="J1013" s="34">
        <v>154634.25619834699</v>
      </c>
      <c r="K1013" s="31" t="s">
        <v>2499</v>
      </c>
      <c r="L1013" s="31">
        <v>2</v>
      </c>
      <c r="M1013" s="31" t="s">
        <v>2501</v>
      </c>
      <c r="N1013" s="34">
        <v>1</v>
      </c>
      <c r="O1013" s="35">
        <v>0</v>
      </c>
      <c r="P1013" s="35">
        <v>1</v>
      </c>
      <c r="Q1013" s="35">
        <v>0</v>
      </c>
      <c r="R1013" s="36">
        <v>9.02</v>
      </c>
      <c r="S1013" s="37" t="str">
        <f>IFERROR(_xlfn.XLOOKUP(R1013,'1_Presupuesto'!$E:$E,'1_Presupuesto'!$D:$D),"")</f>
        <v>Albañilería MO</v>
      </c>
    </row>
    <row r="1014" spans="1:19" x14ac:dyDescent="0.35">
      <c r="A1014" s="31" t="s">
        <v>2496</v>
      </c>
      <c r="B1014" s="31" t="s">
        <v>478</v>
      </c>
      <c r="C1014" s="31" t="s">
        <v>479</v>
      </c>
      <c r="D1014" s="31" t="s">
        <v>480</v>
      </c>
      <c r="E1014" s="31" t="s">
        <v>183</v>
      </c>
      <c r="F1014" s="31" t="s">
        <v>481</v>
      </c>
      <c r="G1014" s="32">
        <v>16</v>
      </c>
      <c r="H1014" s="33">
        <v>0</v>
      </c>
      <c r="I1014" s="34">
        <v>94177.137883538904</v>
      </c>
      <c r="J1014" s="34">
        <v>1506834.2061366199</v>
      </c>
      <c r="K1014" s="31" t="s">
        <v>2502</v>
      </c>
      <c r="L1014" s="31">
        <v>1</v>
      </c>
      <c r="M1014" s="31" t="s">
        <v>2503</v>
      </c>
      <c r="N1014" s="34">
        <v>1</v>
      </c>
      <c r="O1014" s="35">
        <v>16</v>
      </c>
      <c r="P1014" s="35">
        <v>1</v>
      </c>
      <c r="Q1014" s="35">
        <v>16</v>
      </c>
      <c r="R1014" s="36">
        <v>9.02</v>
      </c>
      <c r="S1014" s="37" t="str">
        <f>IFERROR(_xlfn.XLOOKUP(R1014,'1_Presupuesto'!$E:$E,'1_Presupuesto'!$D:$D),"")</f>
        <v>Albañilería MO</v>
      </c>
    </row>
    <row r="1015" spans="1:19" x14ac:dyDescent="0.35">
      <c r="A1015" s="31" t="s">
        <v>2496</v>
      </c>
      <c r="B1015" s="31" t="s">
        <v>478</v>
      </c>
      <c r="C1015" s="31" t="s">
        <v>479</v>
      </c>
      <c r="D1015" s="31" t="s">
        <v>484</v>
      </c>
      <c r="E1015" s="31" t="s">
        <v>186</v>
      </c>
      <c r="F1015" s="31" t="s">
        <v>481</v>
      </c>
      <c r="G1015" s="32">
        <v>4</v>
      </c>
      <c r="H1015" s="33">
        <v>0</v>
      </c>
      <c r="I1015" s="34">
        <v>67240.498860267602</v>
      </c>
      <c r="J1015" s="34">
        <v>268961.99544107</v>
      </c>
      <c r="K1015" s="31" t="s">
        <v>2502</v>
      </c>
      <c r="L1015" s="31">
        <v>2</v>
      </c>
      <c r="M1015" s="31" t="s">
        <v>2504</v>
      </c>
      <c r="N1015" s="34">
        <v>1</v>
      </c>
      <c r="O1015" s="35">
        <v>4</v>
      </c>
      <c r="P1015" s="35">
        <v>1</v>
      </c>
      <c r="Q1015" s="35">
        <v>4</v>
      </c>
      <c r="R1015" s="36">
        <v>9.02</v>
      </c>
      <c r="S1015" s="37" t="str">
        <f>IFERROR(_xlfn.XLOOKUP(R1015,'1_Presupuesto'!$E:$E,'1_Presupuesto'!$D:$D),"")</f>
        <v>Albañilería MO</v>
      </c>
    </row>
    <row r="1016" spans="1:19" x14ac:dyDescent="0.35">
      <c r="A1016" s="31" t="s">
        <v>2496</v>
      </c>
      <c r="B1016" s="31" t="s">
        <v>203</v>
      </c>
      <c r="C1016" s="31"/>
      <c r="D1016" s="31" t="s">
        <v>2505</v>
      </c>
      <c r="E1016" s="31" t="s">
        <v>2506</v>
      </c>
      <c r="F1016" s="31"/>
      <c r="G1016" s="32">
        <v>1</v>
      </c>
      <c r="H1016" s="33">
        <v>0</v>
      </c>
      <c r="I1016" s="34">
        <v>33595.484552590999</v>
      </c>
      <c r="J1016" s="34">
        <v>33595.484552590999</v>
      </c>
      <c r="K1016" s="31" t="s">
        <v>2507</v>
      </c>
      <c r="L1016" s="31">
        <v>1</v>
      </c>
      <c r="M1016" s="31" t="s">
        <v>2508</v>
      </c>
      <c r="N1016" s="34">
        <v>1</v>
      </c>
      <c r="O1016" s="35">
        <v>0</v>
      </c>
      <c r="P1016" s="35">
        <v>1</v>
      </c>
      <c r="Q1016" s="35">
        <v>0</v>
      </c>
      <c r="R1016" s="36">
        <v>9.02</v>
      </c>
      <c r="S1016" s="37" t="str">
        <f>IFERROR(_xlfn.XLOOKUP(R1016,'1_Presupuesto'!$E:$E,'1_Presupuesto'!$D:$D),"")</f>
        <v>Albañilería MO</v>
      </c>
    </row>
    <row r="1017" spans="1:19" x14ac:dyDescent="0.35">
      <c r="A1017" s="31" t="s">
        <v>2509</v>
      </c>
      <c r="B1017" s="31" t="s">
        <v>497</v>
      </c>
      <c r="C1017" s="31" t="s">
        <v>498</v>
      </c>
      <c r="D1017" s="31" t="s">
        <v>534</v>
      </c>
      <c r="E1017" s="31" t="s">
        <v>535</v>
      </c>
      <c r="F1017" s="31">
        <v>0</v>
      </c>
      <c r="G1017" s="32">
        <v>6.0000000000000001E-3</v>
      </c>
      <c r="H1017" s="33">
        <v>0.1</v>
      </c>
      <c r="I1017" s="34">
        <v>32620.38</v>
      </c>
      <c r="J1017" s="34">
        <v>215.29450800000001</v>
      </c>
      <c r="K1017" s="31" t="s">
        <v>2510</v>
      </c>
      <c r="L1017" s="31">
        <v>1</v>
      </c>
      <c r="M1017" s="31" t="s">
        <v>2511</v>
      </c>
      <c r="N1017" s="34">
        <v>28</v>
      </c>
      <c r="O1017" s="35">
        <v>0</v>
      </c>
      <c r="P1017" s="35">
        <v>114</v>
      </c>
      <c r="Q1017" s="35">
        <v>0</v>
      </c>
      <c r="R1017" s="36">
        <v>9.0299999999999994</v>
      </c>
      <c r="S1017" s="37" t="str">
        <f>IFERROR(_xlfn.XLOOKUP(R1017,'1_Presupuesto'!$E:$E,'1_Presupuesto'!$D:$D),"")</f>
        <v>Albañilería MO</v>
      </c>
    </row>
    <row r="1018" spans="1:19" x14ac:dyDescent="0.35">
      <c r="A1018" s="31" t="s">
        <v>2509</v>
      </c>
      <c r="B1018" s="31" t="s">
        <v>497</v>
      </c>
      <c r="C1018" s="31" t="s">
        <v>498</v>
      </c>
      <c r="D1018" s="31" t="s">
        <v>909</v>
      </c>
      <c r="E1018" s="31" t="s">
        <v>910</v>
      </c>
      <c r="F1018" s="31">
        <v>0</v>
      </c>
      <c r="G1018" s="32">
        <v>0.1</v>
      </c>
      <c r="H1018" s="33">
        <v>0.05</v>
      </c>
      <c r="I1018" s="34">
        <v>1363.95</v>
      </c>
      <c r="J1018" s="34">
        <v>143.21475000000001</v>
      </c>
      <c r="K1018" s="31" t="s">
        <v>2510</v>
      </c>
      <c r="L1018" s="31">
        <v>2</v>
      </c>
      <c r="M1018" s="31" t="s">
        <v>2512</v>
      </c>
      <c r="N1018" s="34">
        <v>28</v>
      </c>
      <c r="O1018" s="35">
        <v>0</v>
      </c>
      <c r="P1018" s="35">
        <v>114</v>
      </c>
      <c r="Q1018" s="35">
        <v>0</v>
      </c>
      <c r="R1018" s="36">
        <v>9.0299999999999994</v>
      </c>
      <c r="S1018" s="37" t="str">
        <f>IFERROR(_xlfn.XLOOKUP(R1018,'1_Presupuesto'!$E:$E,'1_Presupuesto'!$D:$D),"")</f>
        <v>Albañilería MO</v>
      </c>
    </row>
    <row r="1019" spans="1:19" x14ac:dyDescent="0.35">
      <c r="A1019" s="31" t="s">
        <v>2509</v>
      </c>
      <c r="B1019" s="31" t="s">
        <v>497</v>
      </c>
      <c r="C1019" s="31" t="s">
        <v>498</v>
      </c>
      <c r="D1019" s="31" t="s">
        <v>541</v>
      </c>
      <c r="E1019" s="31" t="s">
        <v>542</v>
      </c>
      <c r="F1019" s="31">
        <v>0</v>
      </c>
      <c r="G1019" s="32">
        <v>5.3999999999999999E-2</v>
      </c>
      <c r="H1019" s="33">
        <v>0.1</v>
      </c>
      <c r="I1019" s="34">
        <v>7891.74</v>
      </c>
      <c r="J1019" s="34">
        <v>468.76935600000002</v>
      </c>
      <c r="K1019" s="31" t="s">
        <v>2510</v>
      </c>
      <c r="L1019" s="31">
        <v>3</v>
      </c>
      <c r="M1019" s="31" t="s">
        <v>2513</v>
      </c>
      <c r="N1019" s="34">
        <v>28</v>
      </c>
      <c r="O1019" s="35">
        <v>0</v>
      </c>
      <c r="P1019" s="35">
        <v>114</v>
      </c>
      <c r="Q1019" s="35">
        <v>0</v>
      </c>
      <c r="R1019" s="36">
        <v>9.0299999999999994</v>
      </c>
      <c r="S1019" s="37" t="str">
        <f>IFERROR(_xlfn.XLOOKUP(R1019,'1_Presupuesto'!$E:$E,'1_Presupuesto'!$D:$D),"")</f>
        <v>Albañilería MO</v>
      </c>
    </row>
    <row r="1020" spans="1:19" x14ac:dyDescent="0.35">
      <c r="A1020" s="31" t="s">
        <v>2509</v>
      </c>
      <c r="B1020" s="31" t="s">
        <v>478</v>
      </c>
      <c r="C1020" s="31" t="s">
        <v>479</v>
      </c>
      <c r="D1020" s="31" t="s">
        <v>484</v>
      </c>
      <c r="E1020" s="31" t="s">
        <v>186</v>
      </c>
      <c r="F1020" s="31" t="s">
        <v>481</v>
      </c>
      <c r="G1020" s="32">
        <v>0.4</v>
      </c>
      <c r="H1020" s="33">
        <v>0</v>
      </c>
      <c r="I1020" s="34">
        <v>67240.498860267602</v>
      </c>
      <c r="J1020" s="34">
        <v>26896.199544106999</v>
      </c>
      <c r="K1020" s="31" t="s">
        <v>2514</v>
      </c>
      <c r="L1020" s="31">
        <v>1</v>
      </c>
      <c r="M1020" s="31" t="s">
        <v>2515</v>
      </c>
      <c r="N1020" s="34">
        <v>28</v>
      </c>
      <c r="O1020" s="35">
        <v>1.4285714285714299E-2</v>
      </c>
      <c r="P1020" s="35">
        <v>114</v>
      </c>
      <c r="Q1020" s="35">
        <v>1.6285714285714299</v>
      </c>
      <c r="R1020" s="36">
        <v>9.0299999999999994</v>
      </c>
      <c r="S1020" s="37" t="str">
        <f>IFERROR(_xlfn.XLOOKUP(R1020,'1_Presupuesto'!$E:$E,'1_Presupuesto'!$D:$D),"")</f>
        <v>Albañilería MO</v>
      </c>
    </row>
    <row r="1021" spans="1:19" x14ac:dyDescent="0.35">
      <c r="A1021" s="31" t="s">
        <v>2509</v>
      </c>
      <c r="B1021" s="31" t="s">
        <v>478</v>
      </c>
      <c r="C1021" s="31" t="s">
        <v>479</v>
      </c>
      <c r="D1021" s="31" t="s">
        <v>480</v>
      </c>
      <c r="E1021" s="31" t="s">
        <v>183</v>
      </c>
      <c r="F1021" s="31" t="s">
        <v>481</v>
      </c>
      <c r="G1021" s="32">
        <v>1</v>
      </c>
      <c r="H1021" s="33">
        <v>0</v>
      </c>
      <c r="I1021" s="34">
        <v>94177.137883538904</v>
      </c>
      <c r="J1021" s="34">
        <v>94177.137883538904</v>
      </c>
      <c r="K1021" s="31" t="s">
        <v>2514</v>
      </c>
      <c r="L1021" s="31">
        <v>2</v>
      </c>
      <c r="M1021" s="31" t="s">
        <v>2516</v>
      </c>
      <c r="N1021" s="34">
        <v>28</v>
      </c>
      <c r="O1021" s="35">
        <v>3.5714285714285698E-2</v>
      </c>
      <c r="P1021" s="35">
        <v>114</v>
      </c>
      <c r="Q1021" s="35">
        <v>4.0714285714285703</v>
      </c>
      <c r="R1021" s="36">
        <v>9.0299999999999994</v>
      </c>
      <c r="S1021" s="37" t="str">
        <f>IFERROR(_xlfn.XLOOKUP(R1021,'1_Presupuesto'!$E:$E,'1_Presupuesto'!$D:$D),"")</f>
        <v>Albañilería MO</v>
      </c>
    </row>
    <row r="1022" spans="1:19" x14ac:dyDescent="0.35">
      <c r="A1022" s="31" t="s">
        <v>2509</v>
      </c>
      <c r="B1022" s="31" t="s">
        <v>478</v>
      </c>
      <c r="C1022" s="31" t="s">
        <v>498</v>
      </c>
      <c r="D1022" s="31" t="s">
        <v>2517</v>
      </c>
      <c r="E1022" s="31" t="s">
        <v>2518</v>
      </c>
      <c r="F1022" s="31" t="s">
        <v>481</v>
      </c>
      <c r="G1022" s="32">
        <v>1</v>
      </c>
      <c r="H1022" s="33">
        <v>0</v>
      </c>
      <c r="I1022" s="34">
        <v>121073.33742764599</v>
      </c>
      <c r="J1022" s="34">
        <v>121073.33742764599</v>
      </c>
      <c r="K1022" s="31" t="s">
        <v>2514</v>
      </c>
      <c r="L1022" s="31">
        <v>3</v>
      </c>
      <c r="M1022" s="31" t="s">
        <v>2519</v>
      </c>
      <c r="N1022" s="34">
        <v>28</v>
      </c>
      <c r="O1022" s="35">
        <v>0</v>
      </c>
      <c r="P1022" s="35">
        <v>114</v>
      </c>
      <c r="Q1022" s="35">
        <v>0</v>
      </c>
      <c r="R1022" s="36">
        <v>9.0299999999999994</v>
      </c>
      <c r="S1022" s="37" t="str">
        <f>IFERROR(_xlfn.XLOOKUP(R1022,'1_Presupuesto'!$E:$E,'1_Presupuesto'!$D:$D),"")</f>
        <v>Albañilería MO</v>
      </c>
    </row>
    <row r="1023" spans="1:19" x14ac:dyDescent="0.35">
      <c r="A1023" s="31" t="s">
        <v>2509</v>
      </c>
      <c r="B1023" s="31" t="s">
        <v>203</v>
      </c>
      <c r="C1023" s="31"/>
      <c r="D1023" s="31" t="s">
        <v>613</v>
      </c>
      <c r="E1023" s="31" t="s">
        <v>614</v>
      </c>
      <c r="F1023" s="31"/>
      <c r="G1023" s="32">
        <v>0.5</v>
      </c>
      <c r="H1023" s="33">
        <v>0</v>
      </c>
      <c r="I1023" s="34">
        <v>620.81078197718296</v>
      </c>
      <c r="J1023" s="34">
        <v>310.40539098859199</v>
      </c>
      <c r="K1023" s="31" t="s">
        <v>2520</v>
      </c>
      <c r="L1023" s="31">
        <v>1</v>
      </c>
      <c r="M1023" s="31" t="s">
        <v>2521</v>
      </c>
      <c r="N1023" s="34">
        <v>28</v>
      </c>
      <c r="O1023" s="35">
        <v>0</v>
      </c>
      <c r="P1023" s="35">
        <v>114</v>
      </c>
      <c r="Q1023" s="35">
        <v>0</v>
      </c>
      <c r="R1023" s="36">
        <v>9.0299999999999994</v>
      </c>
      <c r="S1023" s="37" t="str">
        <f>IFERROR(_xlfn.XLOOKUP(R1023,'1_Presupuesto'!$E:$E,'1_Presupuesto'!$D:$D),"")</f>
        <v>Albañilería MO</v>
      </c>
    </row>
    <row r="1024" spans="1:19" x14ac:dyDescent="0.35">
      <c r="A1024" s="31" t="s">
        <v>2509</v>
      </c>
      <c r="B1024" s="31" t="s">
        <v>203</v>
      </c>
      <c r="C1024" s="31"/>
      <c r="D1024" s="31" t="s">
        <v>609</v>
      </c>
      <c r="E1024" s="31" t="s">
        <v>610</v>
      </c>
      <c r="F1024" s="31"/>
      <c r="G1024" s="32">
        <v>1</v>
      </c>
      <c r="H1024" s="33">
        <v>0</v>
      </c>
      <c r="I1024" s="34">
        <v>2485.8709964594</v>
      </c>
      <c r="J1024" s="34">
        <v>2485.8709964594</v>
      </c>
      <c r="K1024" s="31" t="s">
        <v>2520</v>
      </c>
      <c r="L1024" s="31">
        <v>2</v>
      </c>
      <c r="M1024" s="31" t="s">
        <v>2522</v>
      </c>
      <c r="N1024" s="34">
        <v>28</v>
      </c>
      <c r="O1024" s="35">
        <v>0</v>
      </c>
      <c r="P1024" s="35">
        <v>114</v>
      </c>
      <c r="Q1024" s="35">
        <v>0</v>
      </c>
      <c r="R1024" s="36">
        <v>9.0299999999999994</v>
      </c>
      <c r="S1024" s="37" t="str">
        <f>IFERROR(_xlfn.XLOOKUP(R1024,'1_Presupuesto'!$E:$E,'1_Presupuesto'!$D:$D),"")</f>
        <v>Albañilería MO</v>
      </c>
    </row>
    <row r="1025" spans="1:19" x14ac:dyDescent="0.35">
      <c r="A1025" s="31" t="s">
        <v>2509</v>
      </c>
      <c r="B1025" s="31" t="s">
        <v>203</v>
      </c>
      <c r="C1025" s="31"/>
      <c r="D1025" s="31" t="s">
        <v>616</v>
      </c>
      <c r="E1025" s="31" t="s">
        <v>617</v>
      </c>
      <c r="F1025" s="31"/>
      <c r="G1025" s="32">
        <v>1</v>
      </c>
      <c r="H1025" s="33">
        <v>0</v>
      </c>
      <c r="I1025" s="34">
        <v>1040.43144867052</v>
      </c>
      <c r="J1025" s="34">
        <v>1040.43144867052</v>
      </c>
      <c r="K1025" s="31" t="s">
        <v>2520</v>
      </c>
      <c r="L1025" s="31">
        <v>3</v>
      </c>
      <c r="M1025" s="31" t="s">
        <v>2523</v>
      </c>
      <c r="N1025" s="34">
        <v>28</v>
      </c>
      <c r="O1025" s="35">
        <v>0</v>
      </c>
      <c r="P1025" s="35">
        <v>114</v>
      </c>
      <c r="Q1025" s="35">
        <v>0</v>
      </c>
      <c r="R1025" s="36">
        <v>9.0299999999999994</v>
      </c>
      <c r="S1025" s="37" t="str">
        <f>IFERROR(_xlfn.XLOOKUP(R1025,'1_Presupuesto'!$E:$E,'1_Presupuesto'!$D:$D),"")</f>
        <v>Albañilería MO</v>
      </c>
    </row>
    <row r="1026" spans="1:19" x14ac:dyDescent="0.35">
      <c r="A1026" s="31" t="s">
        <v>2524</v>
      </c>
      <c r="B1026" s="31" t="s">
        <v>497</v>
      </c>
      <c r="C1026" s="31" t="s">
        <v>498</v>
      </c>
      <c r="D1026" s="31" t="s">
        <v>597</v>
      </c>
      <c r="E1026" s="31" t="s">
        <v>598</v>
      </c>
      <c r="F1026" s="31" t="s">
        <v>218</v>
      </c>
      <c r="G1026" s="32">
        <v>250000</v>
      </c>
      <c r="H1026" s="33">
        <v>0</v>
      </c>
      <c r="I1026" s="34">
        <v>1</v>
      </c>
      <c r="J1026" s="34">
        <v>250000</v>
      </c>
      <c r="K1026" s="31" t="s">
        <v>2525</v>
      </c>
      <c r="L1026" s="31">
        <v>1</v>
      </c>
      <c r="M1026" s="31" t="s">
        <v>2526</v>
      </c>
      <c r="N1026" s="34">
        <v>1</v>
      </c>
      <c r="O1026" s="35">
        <v>0</v>
      </c>
      <c r="P1026" s="35">
        <v>1</v>
      </c>
      <c r="Q1026" s="35">
        <v>0</v>
      </c>
      <c r="R1026" s="36">
        <v>10.01</v>
      </c>
      <c r="S1026" s="37" t="str">
        <f>IFERROR(_xlfn.XLOOKUP(R1026,'1_Presupuesto'!$E:$E,'1_Presupuesto'!$D:$D),"")</f>
        <v>Albañilería MO</v>
      </c>
    </row>
    <row r="1027" spans="1:19" x14ac:dyDescent="0.35">
      <c r="A1027" s="31" t="s">
        <v>2524</v>
      </c>
      <c r="B1027" s="31" t="s">
        <v>478</v>
      </c>
      <c r="C1027" s="31" t="s">
        <v>479</v>
      </c>
      <c r="D1027" s="31" t="s">
        <v>480</v>
      </c>
      <c r="E1027" s="31" t="s">
        <v>183</v>
      </c>
      <c r="F1027" s="31" t="s">
        <v>481</v>
      </c>
      <c r="G1027" s="32">
        <v>10</v>
      </c>
      <c r="H1027" s="33">
        <v>0</v>
      </c>
      <c r="I1027" s="34">
        <v>94177.137883538904</v>
      </c>
      <c r="J1027" s="34">
        <v>941771.37883538904</v>
      </c>
      <c r="K1027" s="31" t="s">
        <v>2527</v>
      </c>
      <c r="L1027" s="31">
        <v>1</v>
      </c>
      <c r="M1027" s="31" t="s">
        <v>2528</v>
      </c>
      <c r="N1027" s="34">
        <v>1</v>
      </c>
      <c r="O1027" s="35">
        <v>10</v>
      </c>
      <c r="P1027" s="35">
        <v>1</v>
      </c>
      <c r="Q1027" s="35">
        <v>10</v>
      </c>
      <c r="R1027" s="36">
        <v>10.01</v>
      </c>
      <c r="S1027" s="37" t="str">
        <f>IFERROR(_xlfn.XLOOKUP(R1027,'1_Presupuesto'!$E:$E,'1_Presupuesto'!$D:$D),"")</f>
        <v>Albañilería MO</v>
      </c>
    </row>
    <row r="1028" spans="1:19" x14ac:dyDescent="0.35">
      <c r="A1028" s="31" t="s">
        <v>2524</v>
      </c>
      <c r="B1028" s="31" t="s">
        <v>478</v>
      </c>
      <c r="C1028" s="31" t="s">
        <v>479</v>
      </c>
      <c r="D1028" s="31" t="s">
        <v>494</v>
      </c>
      <c r="E1028" s="31" t="s">
        <v>185</v>
      </c>
      <c r="F1028" s="31" t="s">
        <v>481</v>
      </c>
      <c r="G1028" s="32">
        <v>10</v>
      </c>
      <c r="H1028" s="33">
        <v>0</v>
      </c>
      <c r="I1028" s="34">
        <v>72132.138365590101</v>
      </c>
      <c r="J1028" s="34">
        <v>721321.38365590095</v>
      </c>
      <c r="K1028" s="31" t="s">
        <v>2527</v>
      </c>
      <c r="L1028" s="31">
        <v>2</v>
      </c>
      <c r="M1028" s="31" t="s">
        <v>2529</v>
      </c>
      <c r="N1028" s="34">
        <v>1</v>
      </c>
      <c r="O1028" s="35">
        <v>10</v>
      </c>
      <c r="P1028" s="35">
        <v>1</v>
      </c>
      <c r="Q1028" s="35">
        <v>10</v>
      </c>
      <c r="R1028" s="36">
        <v>10.01</v>
      </c>
      <c r="S1028" s="37" t="str">
        <f>IFERROR(_xlfn.XLOOKUP(R1028,'1_Presupuesto'!$E:$E,'1_Presupuesto'!$D:$D),"")</f>
        <v>Albañilería MO</v>
      </c>
    </row>
    <row r="1029" spans="1:19" x14ac:dyDescent="0.35">
      <c r="A1029" s="31" t="s">
        <v>2524</v>
      </c>
      <c r="B1029" s="31" t="s">
        <v>203</v>
      </c>
      <c r="C1029" s="31"/>
      <c r="D1029" s="31" t="s">
        <v>2530</v>
      </c>
      <c r="E1029" s="31" t="s">
        <v>2531</v>
      </c>
      <c r="F1029" s="31"/>
      <c r="G1029" s="32">
        <v>1</v>
      </c>
      <c r="H1029" s="33">
        <v>0</v>
      </c>
      <c r="I1029" s="34">
        <v>28696.391437369301</v>
      </c>
      <c r="J1029" s="34">
        <v>28696.391437369301</v>
      </c>
      <c r="K1029" s="31" t="s">
        <v>2532</v>
      </c>
      <c r="L1029" s="31">
        <v>1</v>
      </c>
      <c r="M1029" s="31" t="s">
        <v>2533</v>
      </c>
      <c r="N1029" s="34">
        <v>1</v>
      </c>
      <c r="O1029" s="35">
        <v>0</v>
      </c>
      <c r="P1029" s="35">
        <v>1</v>
      </c>
      <c r="Q1029" s="35">
        <v>0</v>
      </c>
      <c r="R1029" s="36">
        <v>10.01</v>
      </c>
      <c r="S1029" s="37" t="str">
        <f>IFERROR(_xlfn.XLOOKUP(R1029,'1_Presupuesto'!$E:$E,'1_Presupuesto'!$D:$D),"")</f>
        <v>Albañilería MO</v>
      </c>
    </row>
    <row r="1030" spans="1:19" x14ac:dyDescent="0.35">
      <c r="A1030" s="31" t="s">
        <v>2534</v>
      </c>
      <c r="B1030" s="31" t="s">
        <v>497</v>
      </c>
      <c r="C1030" s="31" t="s">
        <v>498</v>
      </c>
      <c r="D1030" s="31" t="s">
        <v>597</v>
      </c>
      <c r="E1030" s="31" t="s">
        <v>598</v>
      </c>
      <c r="F1030" s="31" t="s">
        <v>218</v>
      </c>
      <c r="G1030" s="32">
        <v>250000</v>
      </c>
      <c r="H1030" s="33">
        <v>0</v>
      </c>
      <c r="I1030" s="34">
        <v>1</v>
      </c>
      <c r="J1030" s="34">
        <v>250000</v>
      </c>
      <c r="K1030" s="31" t="s">
        <v>2535</v>
      </c>
      <c r="L1030" s="31">
        <v>1</v>
      </c>
      <c r="M1030" s="31" t="s">
        <v>2536</v>
      </c>
      <c r="N1030" s="34">
        <v>1</v>
      </c>
      <c r="O1030" s="35">
        <v>0</v>
      </c>
      <c r="P1030" s="35">
        <v>1</v>
      </c>
      <c r="Q1030" s="35">
        <v>0</v>
      </c>
      <c r="R1030" s="36">
        <v>10.02</v>
      </c>
      <c r="S1030" s="37" t="str">
        <f>IFERROR(_xlfn.XLOOKUP(R1030,'1_Presupuesto'!$E:$E,'1_Presupuesto'!$D:$D),"")</f>
        <v>Albañilería MO</v>
      </c>
    </row>
    <row r="1031" spans="1:19" x14ac:dyDescent="0.35">
      <c r="A1031" s="31" t="s">
        <v>2534</v>
      </c>
      <c r="B1031" s="31" t="s">
        <v>478</v>
      </c>
      <c r="C1031" s="31" t="s">
        <v>479</v>
      </c>
      <c r="D1031" s="31" t="s">
        <v>480</v>
      </c>
      <c r="E1031" s="31" t="s">
        <v>183</v>
      </c>
      <c r="F1031" s="31" t="s">
        <v>481</v>
      </c>
      <c r="G1031" s="32">
        <v>10</v>
      </c>
      <c r="H1031" s="33">
        <v>0</v>
      </c>
      <c r="I1031" s="34">
        <v>94177.137883538904</v>
      </c>
      <c r="J1031" s="34">
        <v>941771.37883538904</v>
      </c>
      <c r="K1031" s="31" t="s">
        <v>2537</v>
      </c>
      <c r="L1031" s="31">
        <v>1</v>
      </c>
      <c r="M1031" s="31" t="s">
        <v>2538</v>
      </c>
      <c r="N1031" s="34">
        <v>1</v>
      </c>
      <c r="O1031" s="35">
        <v>10</v>
      </c>
      <c r="P1031" s="35">
        <v>1</v>
      </c>
      <c r="Q1031" s="35">
        <v>10</v>
      </c>
      <c r="R1031" s="36">
        <v>10.02</v>
      </c>
      <c r="S1031" s="37" t="str">
        <f>IFERROR(_xlfn.XLOOKUP(R1031,'1_Presupuesto'!$E:$E,'1_Presupuesto'!$D:$D),"")</f>
        <v>Albañilería MO</v>
      </c>
    </row>
    <row r="1032" spans="1:19" x14ac:dyDescent="0.35">
      <c r="A1032" s="31" t="s">
        <v>2534</v>
      </c>
      <c r="B1032" s="31" t="s">
        <v>478</v>
      </c>
      <c r="C1032" s="31" t="s">
        <v>479</v>
      </c>
      <c r="D1032" s="31" t="s">
        <v>494</v>
      </c>
      <c r="E1032" s="31" t="s">
        <v>185</v>
      </c>
      <c r="F1032" s="31" t="s">
        <v>481</v>
      </c>
      <c r="G1032" s="32">
        <v>10</v>
      </c>
      <c r="H1032" s="33">
        <v>0</v>
      </c>
      <c r="I1032" s="34">
        <v>72132.138365590101</v>
      </c>
      <c r="J1032" s="34">
        <v>721321.38365590095</v>
      </c>
      <c r="K1032" s="31" t="s">
        <v>2537</v>
      </c>
      <c r="L1032" s="31">
        <v>2</v>
      </c>
      <c r="M1032" s="31" t="s">
        <v>2539</v>
      </c>
      <c r="N1032" s="34">
        <v>1</v>
      </c>
      <c r="O1032" s="35">
        <v>10</v>
      </c>
      <c r="P1032" s="35">
        <v>1</v>
      </c>
      <c r="Q1032" s="35">
        <v>10</v>
      </c>
      <c r="R1032" s="36">
        <v>10.02</v>
      </c>
      <c r="S1032" s="37" t="str">
        <f>IFERROR(_xlfn.XLOOKUP(R1032,'1_Presupuesto'!$E:$E,'1_Presupuesto'!$D:$D),"")</f>
        <v>Albañilería MO</v>
      </c>
    </row>
    <row r="1033" spans="1:19" x14ac:dyDescent="0.35">
      <c r="A1033" s="31" t="s">
        <v>2534</v>
      </c>
      <c r="B1033" s="31" t="s">
        <v>203</v>
      </c>
      <c r="C1033" s="31"/>
      <c r="D1033" s="31" t="s">
        <v>2540</v>
      </c>
      <c r="E1033" s="31" t="s">
        <v>2541</v>
      </c>
      <c r="F1033" s="31"/>
      <c r="G1033" s="32">
        <v>1</v>
      </c>
      <c r="H1033" s="33">
        <v>0</v>
      </c>
      <c r="I1033" s="34">
        <v>28696.391437369301</v>
      </c>
      <c r="J1033" s="34">
        <v>28696.391437369301</v>
      </c>
      <c r="K1033" s="31" t="s">
        <v>2542</v>
      </c>
      <c r="L1033" s="31">
        <v>1</v>
      </c>
      <c r="M1033" s="31" t="s">
        <v>2543</v>
      </c>
      <c r="N1033" s="34">
        <v>1</v>
      </c>
      <c r="O1033" s="35">
        <v>0</v>
      </c>
      <c r="P1033" s="35">
        <v>1</v>
      </c>
      <c r="Q1033" s="35">
        <v>0</v>
      </c>
      <c r="R1033" s="36">
        <v>10.02</v>
      </c>
      <c r="S1033" s="37" t="str">
        <f>IFERROR(_xlfn.XLOOKUP(R1033,'1_Presupuesto'!$E:$E,'1_Presupuesto'!$D:$D),"")</f>
        <v>Albañilería MO</v>
      </c>
    </row>
    <row r="1034" spans="1:19" x14ac:dyDescent="0.35">
      <c r="A1034" s="31" t="s">
        <v>2544</v>
      </c>
      <c r="B1034" s="31" t="s">
        <v>478</v>
      </c>
      <c r="C1034" s="31" t="s">
        <v>479</v>
      </c>
      <c r="D1034" s="31" t="s">
        <v>480</v>
      </c>
      <c r="E1034" s="31" t="s">
        <v>183</v>
      </c>
      <c r="F1034" s="31" t="s">
        <v>481</v>
      </c>
      <c r="G1034" s="32">
        <v>0.57142899999999996</v>
      </c>
      <c r="H1034" s="33">
        <v>0</v>
      </c>
      <c r="I1034" s="34">
        <v>94177.137883538904</v>
      </c>
      <c r="J1034" s="34">
        <v>53815.547723652802</v>
      </c>
      <c r="K1034" s="31" t="s">
        <v>2545</v>
      </c>
      <c r="L1034" s="31">
        <v>1</v>
      </c>
      <c r="M1034" s="31" t="s">
        <v>2546</v>
      </c>
      <c r="N1034" s="34">
        <v>1</v>
      </c>
      <c r="O1034" s="35">
        <v>0.57142899999999996</v>
      </c>
      <c r="P1034" s="35">
        <v>7</v>
      </c>
      <c r="Q1034" s="35">
        <v>4.0000030000000004</v>
      </c>
      <c r="R1034" s="36">
        <v>10.029999999999999</v>
      </c>
      <c r="S1034" s="37" t="str">
        <f>IFERROR(_xlfn.XLOOKUP(R1034,'1_Presupuesto'!$E:$E,'1_Presupuesto'!$D:$D),"")</f>
        <v>Albañilería MO</v>
      </c>
    </row>
    <row r="1035" spans="1:19" x14ac:dyDescent="0.35">
      <c r="A1035" s="31" t="s">
        <v>2544</v>
      </c>
      <c r="B1035" s="31" t="s">
        <v>478</v>
      </c>
      <c r="C1035" s="31" t="s">
        <v>479</v>
      </c>
      <c r="D1035" s="31" t="s">
        <v>494</v>
      </c>
      <c r="E1035" s="31" t="s">
        <v>185</v>
      </c>
      <c r="F1035" s="31" t="s">
        <v>481</v>
      </c>
      <c r="G1035" s="32">
        <v>0.57142899999999996</v>
      </c>
      <c r="H1035" s="33">
        <v>0</v>
      </c>
      <c r="I1035" s="34">
        <v>72132.138365590101</v>
      </c>
      <c r="J1035" s="34">
        <v>41218.395694110797</v>
      </c>
      <c r="K1035" s="31" t="s">
        <v>2545</v>
      </c>
      <c r="L1035" s="31">
        <v>2</v>
      </c>
      <c r="M1035" s="31" t="s">
        <v>2547</v>
      </c>
      <c r="N1035" s="34">
        <v>1</v>
      </c>
      <c r="O1035" s="35">
        <v>0.57142899999999996</v>
      </c>
      <c r="P1035" s="35">
        <v>7</v>
      </c>
      <c r="Q1035" s="35">
        <v>4.0000030000000004</v>
      </c>
      <c r="R1035" s="36">
        <v>10.029999999999999</v>
      </c>
      <c r="S1035" s="37" t="str">
        <f>IFERROR(_xlfn.XLOOKUP(R1035,'1_Presupuesto'!$E:$E,'1_Presupuesto'!$D:$D),"")</f>
        <v>Albañilería MO</v>
      </c>
    </row>
    <row r="1036" spans="1:19" x14ac:dyDescent="0.35">
      <c r="A1036" s="31" t="s">
        <v>2544</v>
      </c>
      <c r="B1036" s="31" t="s">
        <v>497</v>
      </c>
      <c r="C1036" s="31" t="s">
        <v>498</v>
      </c>
      <c r="D1036" s="31" t="s">
        <v>2285</v>
      </c>
      <c r="E1036" s="31" t="s">
        <v>2286</v>
      </c>
      <c r="F1036" s="31" t="s">
        <v>261</v>
      </c>
      <c r="G1036" s="32">
        <v>1</v>
      </c>
      <c r="H1036" s="33">
        <v>0</v>
      </c>
      <c r="I1036" s="34">
        <v>24676.900826446301</v>
      </c>
      <c r="J1036" s="34">
        <v>24676.900826446301</v>
      </c>
      <c r="K1036" s="31" t="s">
        <v>2548</v>
      </c>
      <c r="L1036" s="31">
        <v>1</v>
      </c>
      <c r="M1036" s="31" t="s">
        <v>2549</v>
      </c>
      <c r="N1036" s="34">
        <v>1</v>
      </c>
      <c r="O1036" s="35">
        <v>0</v>
      </c>
      <c r="P1036" s="35">
        <v>7</v>
      </c>
      <c r="Q1036" s="35">
        <v>0</v>
      </c>
      <c r="R1036" s="36">
        <v>10.029999999999999</v>
      </c>
      <c r="S1036" s="37" t="str">
        <f>IFERROR(_xlfn.XLOOKUP(R1036,'1_Presupuesto'!$E:$E,'1_Presupuesto'!$D:$D),"")</f>
        <v>Albañilería MO</v>
      </c>
    </row>
    <row r="1037" spans="1:19" x14ac:dyDescent="0.35">
      <c r="A1037" s="31" t="s">
        <v>2544</v>
      </c>
      <c r="B1037" s="31" t="s">
        <v>497</v>
      </c>
      <c r="C1037" s="31" t="s">
        <v>498</v>
      </c>
      <c r="D1037" s="31" t="s">
        <v>2550</v>
      </c>
      <c r="E1037" s="31" t="s">
        <v>2551</v>
      </c>
      <c r="F1037" s="31" t="s">
        <v>261</v>
      </c>
      <c r="G1037" s="32">
        <v>12</v>
      </c>
      <c r="H1037" s="33">
        <v>0</v>
      </c>
      <c r="I1037" s="34">
        <v>150</v>
      </c>
      <c r="J1037" s="34">
        <v>1800</v>
      </c>
      <c r="K1037" s="31" t="s">
        <v>2548</v>
      </c>
      <c r="L1037" s="31">
        <v>2</v>
      </c>
      <c r="M1037" s="31" t="s">
        <v>2552</v>
      </c>
      <c r="N1037" s="34">
        <v>1</v>
      </c>
      <c r="O1037" s="35">
        <v>0</v>
      </c>
      <c r="P1037" s="35">
        <v>7</v>
      </c>
      <c r="Q1037" s="35">
        <v>0</v>
      </c>
      <c r="R1037" s="36">
        <v>10.029999999999999</v>
      </c>
      <c r="S1037" s="37" t="str">
        <f>IFERROR(_xlfn.XLOOKUP(R1037,'1_Presupuesto'!$E:$E,'1_Presupuesto'!$D:$D),"")</f>
        <v>Albañilería MO</v>
      </c>
    </row>
    <row r="1038" spans="1:19" x14ac:dyDescent="0.35">
      <c r="A1038" s="31" t="s">
        <v>2544</v>
      </c>
      <c r="B1038" s="31" t="s">
        <v>497</v>
      </c>
      <c r="C1038" s="31" t="s">
        <v>498</v>
      </c>
      <c r="D1038" s="31" t="s">
        <v>2553</v>
      </c>
      <c r="E1038" s="31" t="s">
        <v>2554</v>
      </c>
      <c r="F1038" s="31" t="s">
        <v>261</v>
      </c>
      <c r="G1038" s="32">
        <v>2.8570999999999999E-2</v>
      </c>
      <c r="H1038" s="33">
        <v>0</v>
      </c>
      <c r="I1038" s="34">
        <v>185338.30578512399</v>
      </c>
      <c r="J1038" s="34">
        <v>5295.30073458678</v>
      </c>
      <c r="K1038" s="31" t="s">
        <v>2548</v>
      </c>
      <c r="L1038" s="31">
        <v>3</v>
      </c>
      <c r="M1038" s="31" t="s">
        <v>2555</v>
      </c>
      <c r="N1038" s="34">
        <v>1</v>
      </c>
      <c r="O1038" s="35">
        <v>0</v>
      </c>
      <c r="P1038" s="35">
        <v>7</v>
      </c>
      <c r="Q1038" s="35">
        <v>0</v>
      </c>
      <c r="R1038" s="36">
        <v>10.029999999999999</v>
      </c>
      <c r="S1038" s="37" t="str">
        <f>IFERROR(_xlfn.XLOOKUP(R1038,'1_Presupuesto'!$E:$E,'1_Presupuesto'!$D:$D),"")</f>
        <v>Albañilería MO</v>
      </c>
    </row>
    <row r="1039" spans="1:19" x14ac:dyDescent="0.35">
      <c r="A1039" s="31" t="s">
        <v>2544</v>
      </c>
      <c r="B1039" s="31" t="s">
        <v>203</v>
      </c>
      <c r="C1039" s="31"/>
      <c r="D1039" s="31" t="s">
        <v>2556</v>
      </c>
      <c r="E1039" s="31" t="s">
        <v>2557</v>
      </c>
      <c r="F1039" s="31"/>
      <c r="G1039" s="32">
        <v>1</v>
      </c>
      <c r="H1039" s="33">
        <v>0</v>
      </c>
      <c r="I1039" s="34">
        <v>1902.09229701142</v>
      </c>
      <c r="J1039" s="34">
        <v>1902.09229701142</v>
      </c>
      <c r="K1039" s="31" t="s">
        <v>2558</v>
      </c>
      <c r="L1039" s="31">
        <v>1</v>
      </c>
      <c r="M1039" s="31" t="s">
        <v>2559</v>
      </c>
      <c r="N1039" s="34">
        <v>1</v>
      </c>
      <c r="O1039" s="35">
        <v>0</v>
      </c>
      <c r="P1039" s="35">
        <v>7</v>
      </c>
      <c r="Q1039" s="35">
        <v>0</v>
      </c>
      <c r="R1039" s="36">
        <v>10.029999999999999</v>
      </c>
      <c r="S1039" s="37" t="str">
        <f>IFERROR(_xlfn.XLOOKUP(R1039,'1_Presupuesto'!$E:$E,'1_Presupuesto'!$D:$D),"")</f>
        <v>Albañilería MO</v>
      </c>
    </row>
    <row r="1040" spans="1:19" x14ac:dyDescent="0.35">
      <c r="A1040" s="31" t="s">
        <v>2560</v>
      </c>
      <c r="B1040" s="31" t="s">
        <v>497</v>
      </c>
      <c r="C1040" s="31" t="s">
        <v>498</v>
      </c>
      <c r="D1040" s="31" t="s">
        <v>1191</v>
      </c>
      <c r="E1040" s="31" t="s">
        <v>1192</v>
      </c>
      <c r="F1040" s="31" t="s">
        <v>739</v>
      </c>
      <c r="G1040" s="32">
        <v>0.2</v>
      </c>
      <c r="H1040" s="33">
        <v>0.2</v>
      </c>
      <c r="I1040" s="34">
        <v>17106.768</v>
      </c>
      <c r="J1040" s="34">
        <v>4105.6243199999999</v>
      </c>
      <c r="K1040" s="31" t="s">
        <v>2561</v>
      </c>
      <c r="L1040" s="31">
        <v>1</v>
      </c>
      <c r="M1040" s="31" t="s">
        <v>2562</v>
      </c>
      <c r="N1040" s="34">
        <v>13</v>
      </c>
      <c r="O1040" s="35">
        <v>0</v>
      </c>
      <c r="P1040" s="35">
        <v>101</v>
      </c>
      <c r="Q1040" s="35">
        <v>0</v>
      </c>
      <c r="R1040" s="36">
        <v>11.01</v>
      </c>
      <c r="S1040" s="37" t="str">
        <f>IFERROR(_xlfn.XLOOKUP(R1040,'1_Presupuesto'!$E:$E,'1_Presupuesto'!$D:$D),"")</f>
        <v>Revestimiento MO</v>
      </c>
    </row>
    <row r="1041" spans="1:19" x14ac:dyDescent="0.35">
      <c r="A1041" s="31" t="s">
        <v>2560</v>
      </c>
      <c r="B1041" s="31" t="s">
        <v>497</v>
      </c>
      <c r="C1041" s="31" t="s">
        <v>498</v>
      </c>
      <c r="D1041" s="31" t="s">
        <v>1195</v>
      </c>
      <c r="E1041" s="31" t="s">
        <v>1196</v>
      </c>
      <c r="F1041" s="31" t="s">
        <v>261</v>
      </c>
      <c r="G1041" s="32">
        <v>4.0000000000000001E-3</v>
      </c>
      <c r="H1041" s="33">
        <v>0.05</v>
      </c>
      <c r="I1041" s="34">
        <v>11376</v>
      </c>
      <c r="J1041" s="34">
        <v>47.779200000000003</v>
      </c>
      <c r="K1041" s="31" t="s">
        <v>2561</v>
      </c>
      <c r="L1041" s="31">
        <v>2</v>
      </c>
      <c r="M1041" s="31" t="s">
        <v>2563</v>
      </c>
      <c r="N1041" s="34">
        <v>13</v>
      </c>
      <c r="O1041" s="35">
        <v>0</v>
      </c>
      <c r="P1041" s="35">
        <v>101</v>
      </c>
      <c r="Q1041" s="35">
        <v>0</v>
      </c>
      <c r="R1041" s="36">
        <v>11.01</v>
      </c>
      <c r="S1041" s="37" t="str">
        <f>IFERROR(_xlfn.XLOOKUP(R1041,'1_Presupuesto'!$E:$E,'1_Presupuesto'!$D:$D),"")</f>
        <v>Revestimiento MO</v>
      </c>
    </row>
    <row r="1042" spans="1:19" x14ac:dyDescent="0.35">
      <c r="A1042" s="31" t="s">
        <v>2560</v>
      </c>
      <c r="B1042" s="31" t="s">
        <v>497</v>
      </c>
      <c r="C1042" s="31" t="s">
        <v>498</v>
      </c>
      <c r="D1042" s="31" t="s">
        <v>1198</v>
      </c>
      <c r="E1042" s="31" t="s">
        <v>1199</v>
      </c>
      <c r="F1042" s="31" t="s">
        <v>739</v>
      </c>
      <c r="G1042" s="32">
        <v>0.04</v>
      </c>
      <c r="H1042" s="33">
        <v>0.05</v>
      </c>
      <c r="I1042" s="34">
        <v>47272.727272727301</v>
      </c>
      <c r="J1042" s="34">
        <v>1985.45454545455</v>
      </c>
      <c r="K1042" s="31" t="s">
        <v>2561</v>
      </c>
      <c r="L1042" s="31">
        <v>3</v>
      </c>
      <c r="M1042" s="31" t="s">
        <v>2564</v>
      </c>
      <c r="N1042" s="34">
        <v>13</v>
      </c>
      <c r="O1042" s="35">
        <v>0</v>
      </c>
      <c r="P1042" s="35">
        <v>101</v>
      </c>
      <c r="Q1042" s="35">
        <v>0</v>
      </c>
      <c r="R1042" s="36">
        <v>11.01</v>
      </c>
      <c r="S1042" s="37" t="str">
        <f>IFERROR(_xlfn.XLOOKUP(R1042,'1_Presupuesto'!$E:$E,'1_Presupuesto'!$D:$D),"")</f>
        <v>Revestimiento MO</v>
      </c>
    </row>
    <row r="1043" spans="1:19" x14ac:dyDescent="0.35">
      <c r="A1043" s="31" t="s">
        <v>2560</v>
      </c>
      <c r="B1043" s="31" t="s">
        <v>497</v>
      </c>
      <c r="C1043" s="31" t="s">
        <v>498</v>
      </c>
      <c r="D1043" s="31" t="s">
        <v>512</v>
      </c>
      <c r="E1043" s="31" t="s">
        <v>513</v>
      </c>
      <c r="F1043" s="31">
        <v>0</v>
      </c>
      <c r="G1043" s="32">
        <v>0.01</v>
      </c>
      <c r="H1043" s="33">
        <v>0.03</v>
      </c>
      <c r="I1043" s="34">
        <v>1182.6446280991699</v>
      </c>
      <c r="J1043" s="34">
        <v>12.181239669421499</v>
      </c>
      <c r="K1043" s="31" t="s">
        <v>2561</v>
      </c>
      <c r="L1043" s="31">
        <v>4</v>
      </c>
      <c r="M1043" s="31" t="s">
        <v>2565</v>
      </c>
      <c r="N1043" s="34">
        <v>13</v>
      </c>
      <c r="O1043" s="35">
        <v>0</v>
      </c>
      <c r="P1043" s="35">
        <v>101</v>
      </c>
      <c r="Q1043" s="35">
        <v>0</v>
      </c>
      <c r="R1043" s="36">
        <v>11.01</v>
      </c>
      <c r="S1043" s="37" t="str">
        <f>IFERROR(_xlfn.XLOOKUP(R1043,'1_Presupuesto'!$E:$E,'1_Presupuesto'!$D:$D),"")</f>
        <v>Revestimiento MO</v>
      </c>
    </row>
    <row r="1044" spans="1:19" x14ac:dyDescent="0.35">
      <c r="A1044" s="31" t="s">
        <v>2560</v>
      </c>
      <c r="B1044" s="31" t="s">
        <v>478</v>
      </c>
      <c r="C1044" s="31" t="s">
        <v>479</v>
      </c>
      <c r="D1044" s="31" t="s">
        <v>494</v>
      </c>
      <c r="E1044" s="31" t="s">
        <v>185</v>
      </c>
      <c r="F1044" s="31" t="s">
        <v>481</v>
      </c>
      <c r="G1044" s="32">
        <v>1</v>
      </c>
      <c r="H1044" s="33">
        <v>0</v>
      </c>
      <c r="I1044" s="34">
        <v>72132.138365590101</v>
      </c>
      <c r="J1044" s="34">
        <v>72132.138365590101</v>
      </c>
      <c r="K1044" s="31" t="s">
        <v>2566</v>
      </c>
      <c r="L1044" s="31">
        <v>1</v>
      </c>
      <c r="M1044" s="31" t="s">
        <v>2567</v>
      </c>
      <c r="N1044" s="34">
        <v>13</v>
      </c>
      <c r="O1044" s="35">
        <v>7.69230769230769E-2</v>
      </c>
      <c r="P1044" s="35">
        <v>101</v>
      </c>
      <c r="Q1044" s="35">
        <v>7.7692307692307701</v>
      </c>
      <c r="R1044" s="36">
        <v>11.01</v>
      </c>
      <c r="S1044" s="37" t="str">
        <f>IFERROR(_xlfn.XLOOKUP(R1044,'1_Presupuesto'!$E:$E,'1_Presupuesto'!$D:$D),"")</f>
        <v>Revestimiento MO</v>
      </c>
    </row>
    <row r="1045" spans="1:19" x14ac:dyDescent="0.35">
      <c r="A1045" s="31" t="s">
        <v>2560</v>
      </c>
      <c r="B1045" s="31" t="s">
        <v>478</v>
      </c>
      <c r="C1045" s="31" t="s">
        <v>479</v>
      </c>
      <c r="D1045" s="31" t="s">
        <v>480</v>
      </c>
      <c r="E1045" s="31" t="s">
        <v>183</v>
      </c>
      <c r="F1045" s="31" t="s">
        <v>481</v>
      </c>
      <c r="G1045" s="32">
        <v>1</v>
      </c>
      <c r="H1045" s="33">
        <v>0</v>
      </c>
      <c r="I1045" s="34">
        <v>94177.137883538904</v>
      </c>
      <c r="J1045" s="34">
        <v>94177.137883538904</v>
      </c>
      <c r="K1045" s="31" t="s">
        <v>2566</v>
      </c>
      <c r="L1045" s="31">
        <v>2</v>
      </c>
      <c r="M1045" s="31" t="s">
        <v>2568</v>
      </c>
      <c r="N1045" s="34">
        <v>13</v>
      </c>
      <c r="O1045" s="35">
        <v>7.69230769230769E-2</v>
      </c>
      <c r="P1045" s="35">
        <v>101</v>
      </c>
      <c r="Q1045" s="35">
        <v>7.7692307692307701</v>
      </c>
      <c r="R1045" s="36">
        <v>11.01</v>
      </c>
      <c r="S1045" s="37" t="str">
        <f>IFERROR(_xlfn.XLOOKUP(R1045,'1_Presupuesto'!$E:$E,'1_Presupuesto'!$D:$D),"")</f>
        <v>Revestimiento MO</v>
      </c>
    </row>
    <row r="1046" spans="1:19" x14ac:dyDescent="0.35">
      <c r="A1046" s="31" t="s">
        <v>2560</v>
      </c>
      <c r="B1046" s="31" t="s">
        <v>203</v>
      </c>
      <c r="C1046" s="31"/>
      <c r="D1046" s="31" t="s">
        <v>1202</v>
      </c>
      <c r="E1046" s="31" t="s">
        <v>1203</v>
      </c>
      <c r="F1046" s="31"/>
      <c r="G1046" s="32">
        <v>1</v>
      </c>
      <c r="H1046" s="33">
        <v>0</v>
      </c>
      <c r="I1046" s="34">
        <v>2866.2900480746998</v>
      </c>
      <c r="J1046" s="34">
        <v>2866.2900480746998</v>
      </c>
      <c r="K1046" s="31" t="s">
        <v>2569</v>
      </c>
      <c r="L1046" s="31">
        <v>1</v>
      </c>
      <c r="M1046" s="31" t="s">
        <v>2570</v>
      </c>
      <c r="N1046" s="34">
        <v>13</v>
      </c>
      <c r="O1046" s="35">
        <v>0</v>
      </c>
      <c r="P1046" s="35">
        <v>101</v>
      </c>
      <c r="Q1046" s="35">
        <v>0</v>
      </c>
      <c r="R1046" s="36">
        <v>11.01</v>
      </c>
      <c r="S1046" s="37" t="str">
        <f>IFERROR(_xlfn.XLOOKUP(R1046,'1_Presupuesto'!$E:$E,'1_Presupuesto'!$D:$D),"")</f>
        <v>Revestimiento MO</v>
      </c>
    </row>
    <row r="1047" spans="1:19" x14ac:dyDescent="0.35">
      <c r="A1047" s="31" t="s">
        <v>2571</v>
      </c>
      <c r="B1047" s="31" t="s">
        <v>497</v>
      </c>
      <c r="C1047" s="31" t="s">
        <v>498</v>
      </c>
      <c r="D1047" s="31" t="s">
        <v>1191</v>
      </c>
      <c r="E1047" s="31" t="s">
        <v>1192</v>
      </c>
      <c r="F1047" s="31" t="s">
        <v>739</v>
      </c>
      <c r="G1047" s="32">
        <v>0.2</v>
      </c>
      <c r="H1047" s="33">
        <v>0.2</v>
      </c>
      <c r="I1047" s="34">
        <v>17106.768</v>
      </c>
      <c r="J1047" s="34">
        <v>4105.6243199999999</v>
      </c>
      <c r="K1047" s="31" t="s">
        <v>2572</v>
      </c>
      <c r="L1047" s="31">
        <v>1</v>
      </c>
      <c r="M1047" s="31" t="s">
        <v>2573</v>
      </c>
      <c r="N1047" s="34">
        <v>13</v>
      </c>
      <c r="O1047" s="35">
        <v>0</v>
      </c>
      <c r="P1047" s="35">
        <v>898</v>
      </c>
      <c r="Q1047" s="35">
        <v>0</v>
      </c>
      <c r="R1047" s="36">
        <v>11.02</v>
      </c>
      <c r="S1047" s="37" t="str">
        <f>IFERROR(_xlfn.XLOOKUP(R1047,'1_Presupuesto'!$E:$E,'1_Presupuesto'!$D:$D),"")</f>
        <v>Revestimiento MO</v>
      </c>
    </row>
    <row r="1048" spans="1:19" x14ac:dyDescent="0.35">
      <c r="A1048" s="31" t="s">
        <v>2571</v>
      </c>
      <c r="B1048" s="31" t="s">
        <v>497</v>
      </c>
      <c r="C1048" s="31" t="s">
        <v>498</v>
      </c>
      <c r="D1048" s="31" t="s">
        <v>1195</v>
      </c>
      <c r="E1048" s="31" t="s">
        <v>1196</v>
      </c>
      <c r="F1048" s="31" t="s">
        <v>261</v>
      </c>
      <c r="G1048" s="32">
        <v>4.0000000000000001E-3</v>
      </c>
      <c r="H1048" s="33">
        <v>0.05</v>
      </c>
      <c r="I1048" s="34">
        <v>11376</v>
      </c>
      <c r="J1048" s="34">
        <v>47.779200000000003</v>
      </c>
      <c r="K1048" s="31" t="s">
        <v>2572</v>
      </c>
      <c r="L1048" s="31">
        <v>2</v>
      </c>
      <c r="M1048" s="31" t="s">
        <v>2574</v>
      </c>
      <c r="N1048" s="34">
        <v>13</v>
      </c>
      <c r="O1048" s="35">
        <v>0</v>
      </c>
      <c r="P1048" s="35">
        <v>898</v>
      </c>
      <c r="Q1048" s="35">
        <v>0</v>
      </c>
      <c r="R1048" s="36">
        <v>11.02</v>
      </c>
      <c r="S1048" s="37" t="str">
        <f>IFERROR(_xlfn.XLOOKUP(R1048,'1_Presupuesto'!$E:$E,'1_Presupuesto'!$D:$D),"")</f>
        <v>Revestimiento MO</v>
      </c>
    </row>
    <row r="1049" spans="1:19" x14ac:dyDescent="0.35">
      <c r="A1049" s="31" t="s">
        <v>2571</v>
      </c>
      <c r="B1049" s="31" t="s">
        <v>497</v>
      </c>
      <c r="C1049" s="31" t="s">
        <v>498</v>
      </c>
      <c r="D1049" s="31" t="s">
        <v>1198</v>
      </c>
      <c r="E1049" s="31" t="s">
        <v>1199</v>
      </c>
      <c r="F1049" s="31" t="s">
        <v>739</v>
      </c>
      <c r="G1049" s="32">
        <v>0.04</v>
      </c>
      <c r="H1049" s="33">
        <v>0.05</v>
      </c>
      <c r="I1049" s="34">
        <v>47272.727272727301</v>
      </c>
      <c r="J1049" s="34">
        <v>1985.45454545455</v>
      </c>
      <c r="K1049" s="31" t="s">
        <v>2572</v>
      </c>
      <c r="L1049" s="31">
        <v>3</v>
      </c>
      <c r="M1049" s="31" t="s">
        <v>2575</v>
      </c>
      <c r="N1049" s="34">
        <v>13</v>
      </c>
      <c r="O1049" s="35">
        <v>0</v>
      </c>
      <c r="P1049" s="35">
        <v>898</v>
      </c>
      <c r="Q1049" s="35">
        <v>0</v>
      </c>
      <c r="R1049" s="36">
        <v>11.02</v>
      </c>
      <c r="S1049" s="37" t="str">
        <f>IFERROR(_xlfn.XLOOKUP(R1049,'1_Presupuesto'!$E:$E,'1_Presupuesto'!$D:$D),"")</f>
        <v>Revestimiento MO</v>
      </c>
    </row>
    <row r="1050" spans="1:19" x14ac:dyDescent="0.35">
      <c r="A1050" s="31" t="s">
        <v>2571</v>
      </c>
      <c r="B1050" s="31" t="s">
        <v>497</v>
      </c>
      <c r="C1050" s="31" t="s">
        <v>498</v>
      </c>
      <c r="D1050" s="31" t="s">
        <v>512</v>
      </c>
      <c r="E1050" s="31" t="s">
        <v>513</v>
      </c>
      <c r="F1050" s="31">
        <v>0</v>
      </c>
      <c r="G1050" s="32">
        <v>0.01</v>
      </c>
      <c r="H1050" s="33">
        <v>0.03</v>
      </c>
      <c r="I1050" s="34">
        <v>1182.6446280991699</v>
      </c>
      <c r="J1050" s="34">
        <v>12.181239669421499</v>
      </c>
      <c r="K1050" s="31" t="s">
        <v>2572</v>
      </c>
      <c r="L1050" s="31">
        <v>4</v>
      </c>
      <c r="M1050" s="31" t="s">
        <v>2576</v>
      </c>
      <c r="N1050" s="34">
        <v>13</v>
      </c>
      <c r="O1050" s="35">
        <v>0</v>
      </c>
      <c r="P1050" s="35">
        <v>898</v>
      </c>
      <c r="Q1050" s="35">
        <v>0</v>
      </c>
      <c r="R1050" s="36">
        <v>11.02</v>
      </c>
      <c r="S1050" s="37" t="str">
        <f>IFERROR(_xlfn.XLOOKUP(R1050,'1_Presupuesto'!$E:$E,'1_Presupuesto'!$D:$D),"")</f>
        <v>Revestimiento MO</v>
      </c>
    </row>
    <row r="1051" spans="1:19" x14ac:dyDescent="0.35">
      <c r="A1051" s="31" t="s">
        <v>2571</v>
      </c>
      <c r="B1051" s="31" t="s">
        <v>478</v>
      </c>
      <c r="C1051" s="31" t="s">
        <v>479</v>
      </c>
      <c r="D1051" s="31" t="s">
        <v>494</v>
      </c>
      <c r="E1051" s="31" t="s">
        <v>185</v>
      </c>
      <c r="F1051" s="31" t="s">
        <v>481</v>
      </c>
      <c r="G1051" s="32">
        <v>1</v>
      </c>
      <c r="H1051" s="33">
        <v>0</v>
      </c>
      <c r="I1051" s="34">
        <v>72132.138365590101</v>
      </c>
      <c r="J1051" s="34">
        <v>72132.138365590101</v>
      </c>
      <c r="K1051" s="31" t="s">
        <v>2577</v>
      </c>
      <c r="L1051" s="31">
        <v>1</v>
      </c>
      <c r="M1051" s="31" t="s">
        <v>2578</v>
      </c>
      <c r="N1051" s="34">
        <v>13</v>
      </c>
      <c r="O1051" s="35">
        <v>7.69230769230769E-2</v>
      </c>
      <c r="P1051" s="35">
        <v>898</v>
      </c>
      <c r="Q1051" s="35">
        <v>69.076923076923094</v>
      </c>
      <c r="R1051" s="36">
        <v>11.02</v>
      </c>
      <c r="S1051" s="37" t="str">
        <f>IFERROR(_xlfn.XLOOKUP(R1051,'1_Presupuesto'!$E:$E,'1_Presupuesto'!$D:$D),"")</f>
        <v>Revestimiento MO</v>
      </c>
    </row>
    <row r="1052" spans="1:19" x14ac:dyDescent="0.35">
      <c r="A1052" s="31" t="s">
        <v>2571</v>
      </c>
      <c r="B1052" s="31" t="s">
        <v>478</v>
      </c>
      <c r="C1052" s="31" t="s">
        <v>479</v>
      </c>
      <c r="D1052" s="31" t="s">
        <v>480</v>
      </c>
      <c r="E1052" s="31" t="s">
        <v>183</v>
      </c>
      <c r="F1052" s="31" t="s">
        <v>481</v>
      </c>
      <c r="G1052" s="32">
        <v>1</v>
      </c>
      <c r="H1052" s="33">
        <v>0</v>
      </c>
      <c r="I1052" s="34">
        <v>94177.137883538904</v>
      </c>
      <c r="J1052" s="34">
        <v>94177.137883538904</v>
      </c>
      <c r="K1052" s="31" t="s">
        <v>2577</v>
      </c>
      <c r="L1052" s="31">
        <v>2</v>
      </c>
      <c r="M1052" s="31" t="s">
        <v>2579</v>
      </c>
      <c r="N1052" s="34">
        <v>13</v>
      </c>
      <c r="O1052" s="35">
        <v>7.69230769230769E-2</v>
      </c>
      <c r="P1052" s="35">
        <v>898</v>
      </c>
      <c r="Q1052" s="35">
        <v>69.076923076923094</v>
      </c>
      <c r="R1052" s="36">
        <v>11.02</v>
      </c>
      <c r="S1052" s="37" t="str">
        <f>IFERROR(_xlfn.XLOOKUP(R1052,'1_Presupuesto'!$E:$E,'1_Presupuesto'!$D:$D),"")</f>
        <v>Revestimiento MO</v>
      </c>
    </row>
    <row r="1053" spans="1:19" x14ac:dyDescent="0.35">
      <c r="A1053" s="31" t="s">
        <v>2571</v>
      </c>
      <c r="B1053" s="31" t="s">
        <v>203</v>
      </c>
      <c r="C1053" s="31"/>
      <c r="D1053" s="31" t="s">
        <v>1202</v>
      </c>
      <c r="E1053" s="31" t="s">
        <v>1203</v>
      </c>
      <c r="F1053" s="31"/>
      <c r="G1053" s="32">
        <v>1</v>
      </c>
      <c r="H1053" s="33">
        <v>0</v>
      </c>
      <c r="I1053" s="34">
        <v>2866.2900480746998</v>
      </c>
      <c r="J1053" s="34">
        <v>2866.2900480746998</v>
      </c>
      <c r="K1053" s="31" t="s">
        <v>2580</v>
      </c>
      <c r="L1053" s="31">
        <v>1</v>
      </c>
      <c r="M1053" s="31" t="s">
        <v>2581</v>
      </c>
      <c r="N1053" s="34">
        <v>13</v>
      </c>
      <c r="O1053" s="35">
        <v>0</v>
      </c>
      <c r="P1053" s="35">
        <v>898</v>
      </c>
      <c r="Q1053" s="35">
        <v>0</v>
      </c>
      <c r="R1053" s="36">
        <v>11.02</v>
      </c>
      <c r="S1053" s="37" t="str">
        <f>IFERROR(_xlfn.XLOOKUP(R1053,'1_Presupuesto'!$E:$E,'1_Presupuesto'!$D:$D),"")</f>
        <v>Revestimiento MO</v>
      </c>
    </row>
    <row r="1054" spans="1:19" x14ac:dyDescent="0.35">
      <c r="A1054" s="31" t="s">
        <v>2582</v>
      </c>
      <c r="B1054" s="31" t="s">
        <v>497</v>
      </c>
      <c r="C1054" s="31" t="s">
        <v>498</v>
      </c>
      <c r="D1054" s="31" t="s">
        <v>1191</v>
      </c>
      <c r="E1054" s="31" t="s">
        <v>1192</v>
      </c>
      <c r="F1054" s="31" t="s">
        <v>739</v>
      </c>
      <c r="G1054" s="32">
        <v>0.2</v>
      </c>
      <c r="H1054" s="33">
        <v>0.2</v>
      </c>
      <c r="I1054" s="34">
        <v>17106.768</v>
      </c>
      <c r="J1054" s="34">
        <v>4105.6243199999999</v>
      </c>
      <c r="K1054" s="31" t="s">
        <v>2583</v>
      </c>
      <c r="L1054" s="31">
        <v>1</v>
      </c>
      <c r="M1054" s="31" t="s">
        <v>2584</v>
      </c>
      <c r="N1054" s="34">
        <v>10</v>
      </c>
      <c r="O1054" s="35">
        <v>0</v>
      </c>
      <c r="P1054" s="35">
        <v>88</v>
      </c>
      <c r="Q1054" s="35">
        <v>0</v>
      </c>
      <c r="R1054" s="36">
        <v>11.03</v>
      </c>
      <c r="S1054" s="37" t="str">
        <f>IFERROR(_xlfn.XLOOKUP(R1054,'1_Presupuesto'!$E:$E,'1_Presupuesto'!$D:$D),"")</f>
        <v>Revestimiento MO</v>
      </c>
    </row>
    <row r="1055" spans="1:19" x14ac:dyDescent="0.35">
      <c r="A1055" s="31" t="s">
        <v>2582</v>
      </c>
      <c r="B1055" s="31" t="s">
        <v>497</v>
      </c>
      <c r="C1055" s="31" t="s">
        <v>498</v>
      </c>
      <c r="D1055" s="31" t="s">
        <v>1195</v>
      </c>
      <c r="E1055" s="31" t="s">
        <v>1196</v>
      </c>
      <c r="F1055" s="31" t="s">
        <v>261</v>
      </c>
      <c r="G1055" s="32">
        <v>4.0000000000000001E-3</v>
      </c>
      <c r="H1055" s="33">
        <v>0.05</v>
      </c>
      <c r="I1055" s="34">
        <v>11376</v>
      </c>
      <c r="J1055" s="34">
        <v>47.779200000000003</v>
      </c>
      <c r="K1055" s="31" t="s">
        <v>2583</v>
      </c>
      <c r="L1055" s="31">
        <v>2</v>
      </c>
      <c r="M1055" s="31" t="s">
        <v>2585</v>
      </c>
      <c r="N1055" s="34">
        <v>10</v>
      </c>
      <c r="O1055" s="35">
        <v>0</v>
      </c>
      <c r="P1055" s="35">
        <v>88</v>
      </c>
      <c r="Q1055" s="35">
        <v>0</v>
      </c>
      <c r="R1055" s="36">
        <v>11.03</v>
      </c>
      <c r="S1055" s="37" t="str">
        <f>IFERROR(_xlfn.XLOOKUP(R1055,'1_Presupuesto'!$E:$E,'1_Presupuesto'!$D:$D),"")</f>
        <v>Revestimiento MO</v>
      </c>
    </row>
    <row r="1056" spans="1:19" x14ac:dyDescent="0.35">
      <c r="A1056" s="31" t="s">
        <v>2582</v>
      </c>
      <c r="B1056" s="31" t="s">
        <v>497</v>
      </c>
      <c r="C1056" s="31" t="s">
        <v>498</v>
      </c>
      <c r="D1056" s="31" t="s">
        <v>1198</v>
      </c>
      <c r="E1056" s="31" t="s">
        <v>1199</v>
      </c>
      <c r="F1056" s="31" t="s">
        <v>739</v>
      </c>
      <c r="G1056" s="32">
        <v>0.04</v>
      </c>
      <c r="H1056" s="33">
        <v>0.05</v>
      </c>
      <c r="I1056" s="34">
        <v>47272.727272727301</v>
      </c>
      <c r="J1056" s="34">
        <v>1985.45454545455</v>
      </c>
      <c r="K1056" s="31" t="s">
        <v>2583</v>
      </c>
      <c r="L1056" s="31">
        <v>3</v>
      </c>
      <c r="M1056" s="31" t="s">
        <v>2586</v>
      </c>
      <c r="N1056" s="34">
        <v>10</v>
      </c>
      <c r="O1056" s="35">
        <v>0</v>
      </c>
      <c r="P1056" s="35">
        <v>88</v>
      </c>
      <c r="Q1056" s="35">
        <v>0</v>
      </c>
      <c r="R1056" s="36">
        <v>11.03</v>
      </c>
      <c r="S1056" s="37" t="str">
        <f>IFERROR(_xlfn.XLOOKUP(R1056,'1_Presupuesto'!$E:$E,'1_Presupuesto'!$D:$D),"")</f>
        <v>Revestimiento MO</v>
      </c>
    </row>
    <row r="1057" spans="1:19" x14ac:dyDescent="0.35">
      <c r="A1057" s="31" t="s">
        <v>2582</v>
      </c>
      <c r="B1057" s="31" t="s">
        <v>497</v>
      </c>
      <c r="C1057" s="31" t="s">
        <v>498</v>
      </c>
      <c r="D1057" s="31" t="s">
        <v>512</v>
      </c>
      <c r="E1057" s="31" t="s">
        <v>513</v>
      </c>
      <c r="F1057" s="31">
        <v>0</v>
      </c>
      <c r="G1057" s="32">
        <v>0.01</v>
      </c>
      <c r="H1057" s="33">
        <v>0.03</v>
      </c>
      <c r="I1057" s="34">
        <v>1182.6446280991699</v>
      </c>
      <c r="J1057" s="34">
        <v>12.181239669421499</v>
      </c>
      <c r="K1057" s="31" t="s">
        <v>2583</v>
      </c>
      <c r="L1057" s="31">
        <v>4</v>
      </c>
      <c r="M1057" s="31" t="s">
        <v>2587</v>
      </c>
      <c r="N1057" s="34">
        <v>10</v>
      </c>
      <c r="O1057" s="35">
        <v>0</v>
      </c>
      <c r="P1057" s="35">
        <v>88</v>
      </c>
      <c r="Q1057" s="35">
        <v>0</v>
      </c>
      <c r="R1057" s="36">
        <v>11.03</v>
      </c>
      <c r="S1057" s="37" t="str">
        <f>IFERROR(_xlfn.XLOOKUP(R1057,'1_Presupuesto'!$E:$E,'1_Presupuesto'!$D:$D),"")</f>
        <v>Revestimiento MO</v>
      </c>
    </row>
    <row r="1058" spans="1:19" x14ac:dyDescent="0.35">
      <c r="A1058" s="31" t="s">
        <v>2582</v>
      </c>
      <c r="B1058" s="31" t="s">
        <v>478</v>
      </c>
      <c r="C1058" s="31" t="s">
        <v>479</v>
      </c>
      <c r="D1058" s="31" t="s">
        <v>494</v>
      </c>
      <c r="E1058" s="31" t="s">
        <v>185</v>
      </c>
      <c r="F1058" s="31" t="s">
        <v>481</v>
      </c>
      <c r="G1058" s="32">
        <v>1</v>
      </c>
      <c r="H1058" s="33">
        <v>0</v>
      </c>
      <c r="I1058" s="34">
        <v>72132.138365590101</v>
      </c>
      <c r="J1058" s="34">
        <v>72132.138365590101</v>
      </c>
      <c r="K1058" s="31" t="s">
        <v>2588</v>
      </c>
      <c r="L1058" s="31">
        <v>1</v>
      </c>
      <c r="M1058" s="31" t="s">
        <v>2589</v>
      </c>
      <c r="N1058" s="34">
        <v>10</v>
      </c>
      <c r="O1058" s="35">
        <v>0.1</v>
      </c>
      <c r="P1058" s="35">
        <v>88</v>
      </c>
      <c r="Q1058" s="35">
        <v>8.8000000000000007</v>
      </c>
      <c r="R1058" s="36">
        <v>11.03</v>
      </c>
      <c r="S1058" s="37" t="str">
        <f>IFERROR(_xlfn.XLOOKUP(R1058,'1_Presupuesto'!$E:$E,'1_Presupuesto'!$D:$D),"")</f>
        <v>Revestimiento MO</v>
      </c>
    </row>
    <row r="1059" spans="1:19" x14ac:dyDescent="0.35">
      <c r="A1059" s="31" t="s">
        <v>2582</v>
      </c>
      <c r="B1059" s="31" t="s">
        <v>478</v>
      </c>
      <c r="C1059" s="31" t="s">
        <v>479</v>
      </c>
      <c r="D1059" s="31" t="s">
        <v>480</v>
      </c>
      <c r="E1059" s="31" t="s">
        <v>183</v>
      </c>
      <c r="F1059" s="31" t="s">
        <v>481</v>
      </c>
      <c r="G1059" s="32">
        <v>1</v>
      </c>
      <c r="H1059" s="33">
        <v>0</v>
      </c>
      <c r="I1059" s="34">
        <v>94177.137883538904</v>
      </c>
      <c r="J1059" s="34">
        <v>94177.137883538904</v>
      </c>
      <c r="K1059" s="31" t="s">
        <v>2588</v>
      </c>
      <c r="L1059" s="31">
        <v>2</v>
      </c>
      <c r="M1059" s="31" t="s">
        <v>2590</v>
      </c>
      <c r="N1059" s="34">
        <v>10</v>
      </c>
      <c r="O1059" s="35">
        <v>0.1</v>
      </c>
      <c r="P1059" s="35">
        <v>88</v>
      </c>
      <c r="Q1059" s="35">
        <v>8.8000000000000007</v>
      </c>
      <c r="R1059" s="36">
        <v>11.03</v>
      </c>
      <c r="S1059" s="37" t="str">
        <f>IFERROR(_xlfn.XLOOKUP(R1059,'1_Presupuesto'!$E:$E,'1_Presupuesto'!$D:$D),"")</f>
        <v>Revestimiento MO</v>
      </c>
    </row>
    <row r="1060" spans="1:19" x14ac:dyDescent="0.35">
      <c r="A1060" s="31" t="s">
        <v>2582</v>
      </c>
      <c r="B1060" s="31" t="s">
        <v>203</v>
      </c>
      <c r="C1060" s="31"/>
      <c r="D1060" s="31" t="s">
        <v>1202</v>
      </c>
      <c r="E1060" s="31" t="s">
        <v>1203</v>
      </c>
      <c r="F1060" s="31"/>
      <c r="G1060" s="32">
        <v>1</v>
      </c>
      <c r="H1060" s="33">
        <v>0</v>
      </c>
      <c r="I1060" s="34">
        <v>2866.2900480746998</v>
      </c>
      <c r="J1060" s="34">
        <v>2866.2900480746998</v>
      </c>
      <c r="K1060" s="31" t="s">
        <v>2591</v>
      </c>
      <c r="L1060" s="31">
        <v>1</v>
      </c>
      <c r="M1060" s="31" t="s">
        <v>2592</v>
      </c>
      <c r="N1060" s="34">
        <v>10</v>
      </c>
      <c r="O1060" s="35">
        <v>0</v>
      </c>
      <c r="P1060" s="35">
        <v>88</v>
      </c>
      <c r="Q1060" s="35">
        <v>0</v>
      </c>
      <c r="R1060" s="36">
        <v>11.03</v>
      </c>
      <c r="S1060" s="37" t="str">
        <f>IFERROR(_xlfn.XLOOKUP(R1060,'1_Presupuesto'!$E:$E,'1_Presupuesto'!$D:$D),"")</f>
        <v>Revestimiento MO</v>
      </c>
    </row>
    <row r="1061" spans="1:19" x14ac:dyDescent="0.35">
      <c r="A1061" s="31" t="s">
        <v>2593</v>
      </c>
      <c r="B1061" s="31" t="s">
        <v>497</v>
      </c>
      <c r="C1061" s="31" t="s">
        <v>498</v>
      </c>
      <c r="D1061" s="31" t="s">
        <v>1191</v>
      </c>
      <c r="E1061" s="31" t="s">
        <v>1192</v>
      </c>
      <c r="F1061" s="31" t="s">
        <v>739</v>
      </c>
      <c r="G1061" s="32">
        <v>0.2</v>
      </c>
      <c r="H1061" s="33">
        <v>0.2</v>
      </c>
      <c r="I1061" s="34">
        <v>17106.768</v>
      </c>
      <c r="J1061" s="34">
        <v>4105.6243199999999</v>
      </c>
      <c r="K1061" s="31" t="s">
        <v>2594</v>
      </c>
      <c r="L1061" s="31">
        <v>1</v>
      </c>
      <c r="M1061" s="31" t="s">
        <v>2595</v>
      </c>
      <c r="N1061" s="34">
        <v>13</v>
      </c>
      <c r="O1061" s="35">
        <v>0</v>
      </c>
      <c r="P1061" s="35">
        <v>63</v>
      </c>
      <c r="Q1061" s="35">
        <v>0</v>
      </c>
      <c r="R1061" s="36">
        <v>11.04</v>
      </c>
      <c r="S1061" s="37" t="str">
        <f>IFERROR(_xlfn.XLOOKUP(R1061,'1_Presupuesto'!$E:$E,'1_Presupuesto'!$D:$D),"")</f>
        <v>Revestimiento MO</v>
      </c>
    </row>
    <row r="1062" spans="1:19" x14ac:dyDescent="0.35">
      <c r="A1062" s="31" t="s">
        <v>2593</v>
      </c>
      <c r="B1062" s="31" t="s">
        <v>497</v>
      </c>
      <c r="C1062" s="31" t="s">
        <v>498</v>
      </c>
      <c r="D1062" s="31" t="s">
        <v>1195</v>
      </c>
      <c r="E1062" s="31" t="s">
        <v>1196</v>
      </c>
      <c r="F1062" s="31" t="s">
        <v>261</v>
      </c>
      <c r="G1062" s="32">
        <v>4.0000000000000001E-3</v>
      </c>
      <c r="H1062" s="33">
        <v>0.05</v>
      </c>
      <c r="I1062" s="34">
        <v>11376</v>
      </c>
      <c r="J1062" s="34">
        <v>47.779200000000003</v>
      </c>
      <c r="K1062" s="31" t="s">
        <v>2594</v>
      </c>
      <c r="L1062" s="31">
        <v>2</v>
      </c>
      <c r="M1062" s="31" t="s">
        <v>2596</v>
      </c>
      <c r="N1062" s="34">
        <v>13</v>
      </c>
      <c r="O1062" s="35">
        <v>0</v>
      </c>
      <c r="P1062" s="35">
        <v>63</v>
      </c>
      <c r="Q1062" s="35">
        <v>0</v>
      </c>
      <c r="R1062" s="36">
        <v>11.04</v>
      </c>
      <c r="S1062" s="37" t="str">
        <f>IFERROR(_xlfn.XLOOKUP(R1062,'1_Presupuesto'!$E:$E,'1_Presupuesto'!$D:$D),"")</f>
        <v>Revestimiento MO</v>
      </c>
    </row>
    <row r="1063" spans="1:19" x14ac:dyDescent="0.35">
      <c r="A1063" s="31" t="s">
        <v>2593</v>
      </c>
      <c r="B1063" s="31" t="s">
        <v>497</v>
      </c>
      <c r="C1063" s="31" t="s">
        <v>498</v>
      </c>
      <c r="D1063" s="31" t="s">
        <v>1198</v>
      </c>
      <c r="E1063" s="31" t="s">
        <v>1199</v>
      </c>
      <c r="F1063" s="31" t="s">
        <v>739</v>
      </c>
      <c r="G1063" s="32">
        <v>0.04</v>
      </c>
      <c r="H1063" s="33">
        <v>0.05</v>
      </c>
      <c r="I1063" s="34">
        <v>47272.727272727301</v>
      </c>
      <c r="J1063" s="34">
        <v>1985.45454545455</v>
      </c>
      <c r="K1063" s="31" t="s">
        <v>2594</v>
      </c>
      <c r="L1063" s="31">
        <v>3</v>
      </c>
      <c r="M1063" s="31" t="s">
        <v>2597</v>
      </c>
      <c r="N1063" s="34">
        <v>13</v>
      </c>
      <c r="O1063" s="35">
        <v>0</v>
      </c>
      <c r="P1063" s="35">
        <v>63</v>
      </c>
      <c r="Q1063" s="35">
        <v>0</v>
      </c>
      <c r="R1063" s="36">
        <v>11.04</v>
      </c>
      <c r="S1063" s="37" t="str">
        <f>IFERROR(_xlfn.XLOOKUP(R1063,'1_Presupuesto'!$E:$E,'1_Presupuesto'!$D:$D),"")</f>
        <v>Revestimiento MO</v>
      </c>
    </row>
    <row r="1064" spans="1:19" x14ac:dyDescent="0.35">
      <c r="A1064" s="31" t="s">
        <v>2593</v>
      </c>
      <c r="B1064" s="31" t="s">
        <v>497</v>
      </c>
      <c r="C1064" s="31" t="s">
        <v>498</v>
      </c>
      <c r="D1064" s="31" t="s">
        <v>512</v>
      </c>
      <c r="E1064" s="31" t="s">
        <v>513</v>
      </c>
      <c r="F1064" s="31">
        <v>0</v>
      </c>
      <c r="G1064" s="32">
        <v>0.01</v>
      </c>
      <c r="H1064" s="33">
        <v>0.03</v>
      </c>
      <c r="I1064" s="34">
        <v>1182.6446280991699</v>
      </c>
      <c r="J1064" s="34">
        <v>12.181239669421499</v>
      </c>
      <c r="K1064" s="31" t="s">
        <v>2594</v>
      </c>
      <c r="L1064" s="31">
        <v>4</v>
      </c>
      <c r="M1064" s="31" t="s">
        <v>2598</v>
      </c>
      <c r="N1064" s="34">
        <v>13</v>
      </c>
      <c r="O1064" s="35">
        <v>0</v>
      </c>
      <c r="P1064" s="35">
        <v>63</v>
      </c>
      <c r="Q1064" s="35">
        <v>0</v>
      </c>
      <c r="R1064" s="36">
        <v>11.04</v>
      </c>
      <c r="S1064" s="37" t="str">
        <f>IFERROR(_xlfn.XLOOKUP(R1064,'1_Presupuesto'!$E:$E,'1_Presupuesto'!$D:$D),"")</f>
        <v>Revestimiento MO</v>
      </c>
    </row>
    <row r="1065" spans="1:19" x14ac:dyDescent="0.35">
      <c r="A1065" s="31" t="s">
        <v>2593</v>
      </c>
      <c r="B1065" s="31" t="s">
        <v>478</v>
      </c>
      <c r="C1065" s="31" t="s">
        <v>479</v>
      </c>
      <c r="D1065" s="31" t="s">
        <v>494</v>
      </c>
      <c r="E1065" s="31" t="s">
        <v>185</v>
      </c>
      <c r="F1065" s="31" t="s">
        <v>481</v>
      </c>
      <c r="G1065" s="32">
        <v>1</v>
      </c>
      <c r="H1065" s="33">
        <v>0</v>
      </c>
      <c r="I1065" s="34">
        <v>72132.138365590101</v>
      </c>
      <c r="J1065" s="34">
        <v>72132.138365590101</v>
      </c>
      <c r="K1065" s="31" t="s">
        <v>2599</v>
      </c>
      <c r="L1065" s="31">
        <v>1</v>
      </c>
      <c r="M1065" s="31" t="s">
        <v>2600</v>
      </c>
      <c r="N1065" s="34">
        <v>13</v>
      </c>
      <c r="O1065" s="35">
        <v>7.69230769230769E-2</v>
      </c>
      <c r="P1065" s="35">
        <v>63</v>
      </c>
      <c r="Q1065" s="35">
        <v>4.8461538461538503</v>
      </c>
      <c r="R1065" s="36">
        <v>11.04</v>
      </c>
      <c r="S1065" s="37" t="str">
        <f>IFERROR(_xlfn.XLOOKUP(R1065,'1_Presupuesto'!$E:$E,'1_Presupuesto'!$D:$D),"")</f>
        <v>Revestimiento MO</v>
      </c>
    </row>
    <row r="1066" spans="1:19" x14ac:dyDescent="0.35">
      <c r="A1066" s="31" t="s">
        <v>2593</v>
      </c>
      <c r="B1066" s="31" t="s">
        <v>478</v>
      </c>
      <c r="C1066" s="31" t="s">
        <v>479</v>
      </c>
      <c r="D1066" s="31" t="s">
        <v>480</v>
      </c>
      <c r="E1066" s="31" t="s">
        <v>183</v>
      </c>
      <c r="F1066" s="31" t="s">
        <v>481</v>
      </c>
      <c r="G1066" s="32">
        <v>1</v>
      </c>
      <c r="H1066" s="33">
        <v>0</v>
      </c>
      <c r="I1066" s="34">
        <v>94177.137883538904</v>
      </c>
      <c r="J1066" s="34">
        <v>94177.137883538904</v>
      </c>
      <c r="K1066" s="31" t="s">
        <v>2599</v>
      </c>
      <c r="L1066" s="31">
        <v>2</v>
      </c>
      <c r="M1066" s="31" t="s">
        <v>2601</v>
      </c>
      <c r="N1066" s="34">
        <v>13</v>
      </c>
      <c r="O1066" s="35">
        <v>7.69230769230769E-2</v>
      </c>
      <c r="P1066" s="35">
        <v>63</v>
      </c>
      <c r="Q1066" s="35">
        <v>4.8461538461538503</v>
      </c>
      <c r="R1066" s="36">
        <v>11.04</v>
      </c>
      <c r="S1066" s="37" t="str">
        <f>IFERROR(_xlfn.XLOOKUP(R1066,'1_Presupuesto'!$E:$E,'1_Presupuesto'!$D:$D),"")</f>
        <v>Revestimiento MO</v>
      </c>
    </row>
    <row r="1067" spans="1:19" x14ac:dyDescent="0.35">
      <c r="A1067" s="31" t="s">
        <v>2593</v>
      </c>
      <c r="B1067" s="31" t="s">
        <v>203</v>
      </c>
      <c r="C1067" s="31"/>
      <c r="D1067" s="31" t="s">
        <v>1202</v>
      </c>
      <c r="E1067" s="31" t="s">
        <v>1203</v>
      </c>
      <c r="F1067" s="31"/>
      <c r="G1067" s="32">
        <v>1</v>
      </c>
      <c r="H1067" s="33">
        <v>0</v>
      </c>
      <c r="I1067" s="34">
        <v>2866.2900480746998</v>
      </c>
      <c r="J1067" s="34">
        <v>2866.2900480746998</v>
      </c>
      <c r="K1067" s="31" t="s">
        <v>2602</v>
      </c>
      <c r="L1067" s="31">
        <v>1</v>
      </c>
      <c r="M1067" s="31" t="s">
        <v>2603</v>
      </c>
      <c r="N1067" s="34">
        <v>13</v>
      </c>
      <c r="O1067" s="35">
        <v>0</v>
      </c>
      <c r="P1067" s="35">
        <v>63</v>
      </c>
      <c r="Q1067" s="35">
        <v>0</v>
      </c>
      <c r="R1067" s="36">
        <v>11.04</v>
      </c>
      <c r="S1067" s="37" t="str">
        <f>IFERROR(_xlfn.XLOOKUP(R1067,'1_Presupuesto'!$E:$E,'1_Presupuesto'!$D:$D),"")</f>
        <v>Revestimiento MO</v>
      </c>
    </row>
    <row r="1068" spans="1:19" x14ac:dyDescent="0.35">
      <c r="A1068" s="31" t="s">
        <v>2604</v>
      </c>
      <c r="B1068" s="31" t="s">
        <v>497</v>
      </c>
      <c r="C1068" s="31" t="s">
        <v>498</v>
      </c>
      <c r="D1068" s="31" t="s">
        <v>541</v>
      </c>
      <c r="E1068" s="31" t="s">
        <v>542</v>
      </c>
      <c r="F1068" s="31">
        <v>0</v>
      </c>
      <c r="G1068" s="32">
        <v>0.32400000000000001</v>
      </c>
      <c r="H1068" s="33">
        <v>0.1</v>
      </c>
      <c r="I1068" s="34">
        <v>7891.74</v>
      </c>
      <c r="J1068" s="34">
        <v>2812.6161360000001</v>
      </c>
      <c r="K1068" s="31" t="s">
        <v>2605</v>
      </c>
      <c r="L1068" s="31">
        <v>1</v>
      </c>
      <c r="M1068" s="31" t="s">
        <v>2606</v>
      </c>
      <c r="N1068" s="34">
        <v>11.5</v>
      </c>
      <c r="O1068" s="35">
        <v>0</v>
      </c>
      <c r="P1068" s="35">
        <v>27</v>
      </c>
      <c r="Q1068" s="35">
        <v>0</v>
      </c>
      <c r="R1068" s="36">
        <v>11.06</v>
      </c>
      <c r="S1068" s="37" t="str">
        <f>IFERROR(_xlfn.XLOOKUP(R1068,'1_Presupuesto'!$E:$E,'1_Presupuesto'!$D:$D),"")</f>
        <v>Revestimiento MO</v>
      </c>
    </row>
    <row r="1069" spans="1:19" x14ac:dyDescent="0.35">
      <c r="A1069" s="31" t="s">
        <v>2604</v>
      </c>
      <c r="B1069" s="31" t="s">
        <v>497</v>
      </c>
      <c r="C1069" s="31" t="s">
        <v>498</v>
      </c>
      <c r="D1069" s="31" t="s">
        <v>534</v>
      </c>
      <c r="E1069" s="31" t="s">
        <v>535</v>
      </c>
      <c r="F1069" s="31">
        <v>0</v>
      </c>
      <c r="G1069" s="32">
        <v>3.5999999999999997E-2</v>
      </c>
      <c r="H1069" s="33">
        <v>0.1</v>
      </c>
      <c r="I1069" s="34">
        <v>32620.38</v>
      </c>
      <c r="J1069" s="34">
        <v>1291.7670479999999</v>
      </c>
      <c r="K1069" s="31" t="s">
        <v>2605</v>
      </c>
      <c r="L1069" s="31">
        <v>2</v>
      </c>
      <c r="M1069" s="31" t="s">
        <v>2607</v>
      </c>
      <c r="N1069" s="34">
        <v>11.5</v>
      </c>
      <c r="O1069" s="35">
        <v>0</v>
      </c>
      <c r="P1069" s="35">
        <v>27</v>
      </c>
      <c r="Q1069" s="35">
        <v>0</v>
      </c>
      <c r="R1069" s="36">
        <v>11.06</v>
      </c>
      <c r="S1069" s="37" t="str">
        <f>IFERROR(_xlfn.XLOOKUP(R1069,'1_Presupuesto'!$E:$E,'1_Presupuesto'!$D:$D),"")</f>
        <v>Revestimiento MO</v>
      </c>
    </row>
    <row r="1070" spans="1:19" x14ac:dyDescent="0.35">
      <c r="A1070" s="31" t="s">
        <v>2604</v>
      </c>
      <c r="B1070" s="31" t="s">
        <v>478</v>
      </c>
      <c r="C1070" s="31" t="s">
        <v>479</v>
      </c>
      <c r="D1070" s="31" t="s">
        <v>484</v>
      </c>
      <c r="E1070" s="31" t="s">
        <v>186</v>
      </c>
      <c r="F1070" s="31" t="s">
        <v>481</v>
      </c>
      <c r="G1070" s="32">
        <v>0.5</v>
      </c>
      <c r="H1070" s="33">
        <v>0</v>
      </c>
      <c r="I1070" s="34">
        <v>67240.498860267602</v>
      </c>
      <c r="J1070" s="34">
        <v>33620.249430133801</v>
      </c>
      <c r="K1070" s="31" t="s">
        <v>2608</v>
      </c>
      <c r="L1070" s="31">
        <v>1</v>
      </c>
      <c r="M1070" s="31" t="s">
        <v>2609</v>
      </c>
      <c r="N1070" s="34">
        <v>11.5</v>
      </c>
      <c r="O1070" s="35">
        <v>4.3478260869565202E-2</v>
      </c>
      <c r="P1070" s="35">
        <v>27</v>
      </c>
      <c r="Q1070" s="35">
        <v>1.1739130434782601</v>
      </c>
      <c r="R1070" s="36">
        <v>11.06</v>
      </c>
      <c r="S1070" s="37" t="str">
        <f>IFERROR(_xlfn.XLOOKUP(R1070,'1_Presupuesto'!$E:$E,'1_Presupuesto'!$D:$D),"")</f>
        <v>Revestimiento MO</v>
      </c>
    </row>
    <row r="1071" spans="1:19" x14ac:dyDescent="0.35">
      <c r="A1071" s="31" t="s">
        <v>2604</v>
      </c>
      <c r="B1071" s="31" t="s">
        <v>478</v>
      </c>
      <c r="C1071" s="31" t="s">
        <v>479</v>
      </c>
      <c r="D1071" s="31" t="s">
        <v>480</v>
      </c>
      <c r="E1071" s="31" t="s">
        <v>183</v>
      </c>
      <c r="F1071" s="31" t="s">
        <v>481</v>
      </c>
      <c r="G1071" s="32">
        <v>1</v>
      </c>
      <c r="H1071" s="33">
        <v>0</v>
      </c>
      <c r="I1071" s="34">
        <v>94177.137883538904</v>
      </c>
      <c r="J1071" s="34">
        <v>94177.137883538904</v>
      </c>
      <c r="K1071" s="31" t="s">
        <v>2608</v>
      </c>
      <c r="L1071" s="31">
        <v>2</v>
      </c>
      <c r="M1071" s="31" t="s">
        <v>2610</v>
      </c>
      <c r="N1071" s="34">
        <v>11.5</v>
      </c>
      <c r="O1071" s="35">
        <v>8.6956521739130405E-2</v>
      </c>
      <c r="P1071" s="35">
        <v>27</v>
      </c>
      <c r="Q1071" s="35">
        <v>2.3478260869565202</v>
      </c>
      <c r="R1071" s="36">
        <v>11.06</v>
      </c>
      <c r="S1071" s="37" t="str">
        <f>IFERROR(_xlfn.XLOOKUP(R1071,'1_Presupuesto'!$E:$E,'1_Presupuesto'!$D:$D),"")</f>
        <v>Revestimiento MO</v>
      </c>
    </row>
    <row r="1072" spans="1:19" x14ac:dyDescent="0.35">
      <c r="A1072" s="31" t="s">
        <v>2604</v>
      </c>
      <c r="B1072" s="31" t="s">
        <v>203</v>
      </c>
      <c r="C1072" s="31"/>
      <c r="D1072" s="31" t="s">
        <v>616</v>
      </c>
      <c r="E1072" s="31" t="s">
        <v>617</v>
      </c>
      <c r="F1072" s="31"/>
      <c r="G1072" s="32">
        <v>1</v>
      </c>
      <c r="H1072" s="33">
        <v>0</v>
      </c>
      <c r="I1072" s="34">
        <v>1040.43144867052</v>
      </c>
      <c r="J1072" s="34">
        <v>1040.43144867052</v>
      </c>
      <c r="K1072" s="31" t="s">
        <v>2611</v>
      </c>
      <c r="L1072" s="31">
        <v>1</v>
      </c>
      <c r="M1072" s="31" t="s">
        <v>2612</v>
      </c>
      <c r="N1072" s="34">
        <v>11.5</v>
      </c>
      <c r="O1072" s="35">
        <v>0</v>
      </c>
      <c r="P1072" s="35">
        <v>27</v>
      </c>
      <c r="Q1072" s="35">
        <v>0</v>
      </c>
      <c r="R1072" s="36">
        <v>11.06</v>
      </c>
      <c r="S1072" s="37" t="str">
        <f>IFERROR(_xlfn.XLOOKUP(R1072,'1_Presupuesto'!$E:$E,'1_Presupuesto'!$D:$D),"")</f>
        <v>Revestimiento MO</v>
      </c>
    </row>
    <row r="1073" spans="1:19" x14ac:dyDescent="0.35">
      <c r="A1073" s="31" t="s">
        <v>2604</v>
      </c>
      <c r="B1073" s="31" t="s">
        <v>203</v>
      </c>
      <c r="C1073" s="31"/>
      <c r="D1073" s="31" t="s">
        <v>609</v>
      </c>
      <c r="E1073" s="31" t="s">
        <v>610</v>
      </c>
      <c r="F1073" s="31"/>
      <c r="G1073" s="32">
        <v>1</v>
      </c>
      <c r="H1073" s="33">
        <v>0</v>
      </c>
      <c r="I1073" s="34">
        <v>2485.8709964594</v>
      </c>
      <c r="J1073" s="34">
        <v>2485.8709964594</v>
      </c>
      <c r="K1073" s="31" t="s">
        <v>2611</v>
      </c>
      <c r="L1073" s="31">
        <v>2</v>
      </c>
      <c r="M1073" s="31" t="s">
        <v>2613</v>
      </c>
      <c r="N1073" s="34">
        <v>11.5</v>
      </c>
      <c r="O1073" s="35">
        <v>0</v>
      </c>
      <c r="P1073" s="35">
        <v>27</v>
      </c>
      <c r="Q1073" s="35">
        <v>0</v>
      </c>
      <c r="R1073" s="36">
        <v>11.06</v>
      </c>
      <c r="S1073" s="37" t="str">
        <f>IFERROR(_xlfn.XLOOKUP(R1073,'1_Presupuesto'!$E:$E,'1_Presupuesto'!$D:$D),"")</f>
        <v>Revestimiento MO</v>
      </c>
    </row>
    <row r="1074" spans="1:19" x14ac:dyDescent="0.35">
      <c r="A1074" s="31" t="s">
        <v>2614</v>
      </c>
      <c r="B1074" s="31" t="s">
        <v>497</v>
      </c>
      <c r="C1074" s="31" t="s">
        <v>498</v>
      </c>
      <c r="D1074" s="31" t="s">
        <v>1191</v>
      </c>
      <c r="E1074" s="31" t="s">
        <v>1192</v>
      </c>
      <c r="F1074" s="31" t="s">
        <v>739</v>
      </c>
      <c r="G1074" s="32">
        <v>0.2</v>
      </c>
      <c r="H1074" s="33">
        <v>0.2</v>
      </c>
      <c r="I1074" s="34">
        <v>17106.768</v>
      </c>
      <c r="J1074" s="34">
        <v>4105.6243199999999</v>
      </c>
      <c r="K1074" s="31" t="s">
        <v>2615</v>
      </c>
      <c r="L1074" s="31">
        <v>1</v>
      </c>
      <c r="M1074" s="31" t="s">
        <v>2616</v>
      </c>
      <c r="N1074" s="34">
        <v>13</v>
      </c>
      <c r="O1074" s="35">
        <v>0</v>
      </c>
      <c r="P1074" s="35">
        <v>180</v>
      </c>
      <c r="Q1074" s="35">
        <v>0</v>
      </c>
      <c r="R1074" s="36">
        <v>11.07</v>
      </c>
      <c r="S1074" s="37" t="str">
        <f>IFERROR(_xlfn.XLOOKUP(R1074,'1_Presupuesto'!$E:$E,'1_Presupuesto'!$D:$D),"")</f>
        <v>Revestimiento MO</v>
      </c>
    </row>
    <row r="1075" spans="1:19" x14ac:dyDescent="0.35">
      <c r="A1075" s="31" t="s">
        <v>2614</v>
      </c>
      <c r="B1075" s="31" t="s">
        <v>497</v>
      </c>
      <c r="C1075" s="31" t="s">
        <v>498</v>
      </c>
      <c r="D1075" s="31" t="s">
        <v>1195</v>
      </c>
      <c r="E1075" s="31" t="s">
        <v>1196</v>
      </c>
      <c r="F1075" s="31" t="s">
        <v>261</v>
      </c>
      <c r="G1075" s="32">
        <v>4.0000000000000001E-3</v>
      </c>
      <c r="H1075" s="33">
        <v>0.05</v>
      </c>
      <c r="I1075" s="34">
        <v>11376</v>
      </c>
      <c r="J1075" s="34">
        <v>47.779200000000003</v>
      </c>
      <c r="K1075" s="31" t="s">
        <v>2615</v>
      </c>
      <c r="L1075" s="31">
        <v>2</v>
      </c>
      <c r="M1075" s="31" t="s">
        <v>2617</v>
      </c>
      <c r="N1075" s="34">
        <v>13</v>
      </c>
      <c r="O1075" s="35">
        <v>0</v>
      </c>
      <c r="P1075" s="35">
        <v>180</v>
      </c>
      <c r="Q1075" s="35">
        <v>0</v>
      </c>
      <c r="R1075" s="36">
        <v>11.07</v>
      </c>
      <c r="S1075" s="37" t="str">
        <f>IFERROR(_xlfn.XLOOKUP(R1075,'1_Presupuesto'!$E:$E,'1_Presupuesto'!$D:$D),"")</f>
        <v>Revestimiento MO</v>
      </c>
    </row>
    <row r="1076" spans="1:19" x14ac:dyDescent="0.35">
      <c r="A1076" s="31" t="s">
        <v>2614</v>
      </c>
      <c r="B1076" s="31" t="s">
        <v>497</v>
      </c>
      <c r="C1076" s="31" t="s">
        <v>498</v>
      </c>
      <c r="D1076" s="31" t="s">
        <v>1198</v>
      </c>
      <c r="E1076" s="31" t="s">
        <v>1199</v>
      </c>
      <c r="F1076" s="31" t="s">
        <v>739</v>
      </c>
      <c r="G1076" s="32">
        <v>0.04</v>
      </c>
      <c r="H1076" s="33">
        <v>0.05</v>
      </c>
      <c r="I1076" s="34">
        <v>47272.727272727301</v>
      </c>
      <c r="J1076" s="34">
        <v>1985.45454545455</v>
      </c>
      <c r="K1076" s="31" t="s">
        <v>2615</v>
      </c>
      <c r="L1076" s="31">
        <v>3</v>
      </c>
      <c r="M1076" s="31" t="s">
        <v>2618</v>
      </c>
      <c r="N1076" s="34">
        <v>13</v>
      </c>
      <c r="O1076" s="35">
        <v>0</v>
      </c>
      <c r="P1076" s="35">
        <v>180</v>
      </c>
      <c r="Q1076" s="35">
        <v>0</v>
      </c>
      <c r="R1076" s="36">
        <v>11.07</v>
      </c>
      <c r="S1076" s="37" t="str">
        <f>IFERROR(_xlfn.XLOOKUP(R1076,'1_Presupuesto'!$E:$E,'1_Presupuesto'!$D:$D),"")</f>
        <v>Revestimiento MO</v>
      </c>
    </row>
    <row r="1077" spans="1:19" x14ac:dyDescent="0.35">
      <c r="A1077" s="31" t="s">
        <v>2614</v>
      </c>
      <c r="B1077" s="31" t="s">
        <v>497</v>
      </c>
      <c r="C1077" s="31" t="s">
        <v>498</v>
      </c>
      <c r="D1077" s="31" t="s">
        <v>512</v>
      </c>
      <c r="E1077" s="31" t="s">
        <v>513</v>
      </c>
      <c r="F1077" s="31">
        <v>0</v>
      </c>
      <c r="G1077" s="32">
        <v>0.01</v>
      </c>
      <c r="H1077" s="33">
        <v>0.03</v>
      </c>
      <c r="I1077" s="34">
        <v>1182.6446280991699</v>
      </c>
      <c r="J1077" s="34">
        <v>12.181239669421499</v>
      </c>
      <c r="K1077" s="31" t="s">
        <v>2615</v>
      </c>
      <c r="L1077" s="31">
        <v>4</v>
      </c>
      <c r="M1077" s="31" t="s">
        <v>2619</v>
      </c>
      <c r="N1077" s="34">
        <v>13</v>
      </c>
      <c r="O1077" s="35">
        <v>0</v>
      </c>
      <c r="P1077" s="35">
        <v>180</v>
      </c>
      <c r="Q1077" s="35">
        <v>0</v>
      </c>
      <c r="R1077" s="36">
        <v>11.07</v>
      </c>
      <c r="S1077" s="37" t="str">
        <f>IFERROR(_xlfn.XLOOKUP(R1077,'1_Presupuesto'!$E:$E,'1_Presupuesto'!$D:$D),"")</f>
        <v>Revestimiento MO</v>
      </c>
    </row>
    <row r="1078" spans="1:19" x14ac:dyDescent="0.35">
      <c r="A1078" s="31" t="s">
        <v>2614</v>
      </c>
      <c r="B1078" s="31" t="s">
        <v>478</v>
      </c>
      <c r="C1078" s="31" t="s">
        <v>479</v>
      </c>
      <c r="D1078" s="31" t="s">
        <v>494</v>
      </c>
      <c r="E1078" s="31" t="s">
        <v>185</v>
      </c>
      <c r="F1078" s="31" t="s">
        <v>481</v>
      </c>
      <c r="G1078" s="32">
        <v>1</v>
      </c>
      <c r="H1078" s="33">
        <v>0</v>
      </c>
      <c r="I1078" s="34">
        <v>72132.138365590101</v>
      </c>
      <c r="J1078" s="34">
        <v>72132.138365590101</v>
      </c>
      <c r="K1078" s="31" t="s">
        <v>2620</v>
      </c>
      <c r="L1078" s="31">
        <v>1</v>
      </c>
      <c r="M1078" s="31" t="s">
        <v>2621</v>
      </c>
      <c r="N1078" s="34">
        <v>13</v>
      </c>
      <c r="O1078" s="35">
        <v>7.69230769230769E-2</v>
      </c>
      <c r="P1078" s="35">
        <v>180</v>
      </c>
      <c r="Q1078" s="35">
        <v>13.8461538461539</v>
      </c>
      <c r="R1078" s="36">
        <v>11.07</v>
      </c>
      <c r="S1078" s="37" t="str">
        <f>IFERROR(_xlfn.XLOOKUP(R1078,'1_Presupuesto'!$E:$E,'1_Presupuesto'!$D:$D),"")</f>
        <v>Revestimiento MO</v>
      </c>
    </row>
    <row r="1079" spans="1:19" x14ac:dyDescent="0.35">
      <c r="A1079" s="31" t="s">
        <v>2614</v>
      </c>
      <c r="B1079" s="31" t="s">
        <v>478</v>
      </c>
      <c r="C1079" s="31" t="s">
        <v>479</v>
      </c>
      <c r="D1079" s="31" t="s">
        <v>480</v>
      </c>
      <c r="E1079" s="31" t="s">
        <v>183</v>
      </c>
      <c r="F1079" s="31" t="s">
        <v>481</v>
      </c>
      <c r="G1079" s="32">
        <v>1</v>
      </c>
      <c r="H1079" s="33">
        <v>0</v>
      </c>
      <c r="I1079" s="34">
        <v>94177.137883538904</v>
      </c>
      <c r="J1079" s="34">
        <v>94177.137883538904</v>
      </c>
      <c r="K1079" s="31" t="s">
        <v>2620</v>
      </c>
      <c r="L1079" s="31">
        <v>2</v>
      </c>
      <c r="M1079" s="31" t="s">
        <v>2622</v>
      </c>
      <c r="N1079" s="34">
        <v>13</v>
      </c>
      <c r="O1079" s="35">
        <v>7.69230769230769E-2</v>
      </c>
      <c r="P1079" s="35">
        <v>180</v>
      </c>
      <c r="Q1079" s="35">
        <v>13.8461538461539</v>
      </c>
      <c r="R1079" s="36">
        <v>11.07</v>
      </c>
      <c r="S1079" s="37" t="str">
        <f>IFERROR(_xlfn.XLOOKUP(R1079,'1_Presupuesto'!$E:$E,'1_Presupuesto'!$D:$D),"")</f>
        <v>Revestimiento MO</v>
      </c>
    </row>
    <row r="1080" spans="1:19" x14ac:dyDescent="0.35">
      <c r="A1080" s="31" t="s">
        <v>2614</v>
      </c>
      <c r="B1080" s="31" t="s">
        <v>203</v>
      </c>
      <c r="C1080" s="31"/>
      <c r="D1080" s="31" t="s">
        <v>1202</v>
      </c>
      <c r="E1080" s="31" t="s">
        <v>1203</v>
      </c>
      <c r="F1080" s="31"/>
      <c r="G1080" s="32">
        <v>1</v>
      </c>
      <c r="H1080" s="33">
        <v>0</v>
      </c>
      <c r="I1080" s="34">
        <v>2866.2900480746998</v>
      </c>
      <c r="J1080" s="34">
        <v>2866.2900480746998</v>
      </c>
      <c r="K1080" s="31" t="s">
        <v>2623</v>
      </c>
      <c r="L1080" s="31">
        <v>1</v>
      </c>
      <c r="M1080" s="31" t="s">
        <v>2624</v>
      </c>
      <c r="N1080" s="34">
        <v>13</v>
      </c>
      <c r="O1080" s="35">
        <v>0</v>
      </c>
      <c r="P1080" s="35">
        <v>180</v>
      </c>
      <c r="Q1080" s="35">
        <v>0</v>
      </c>
      <c r="R1080" s="36">
        <v>11.07</v>
      </c>
      <c r="S1080" s="37" t="str">
        <f>IFERROR(_xlfn.XLOOKUP(R1080,'1_Presupuesto'!$E:$E,'1_Presupuesto'!$D:$D),"")</f>
        <v>Revestimiento MO</v>
      </c>
    </row>
    <row r="1081" spans="1:19" x14ac:dyDescent="0.35">
      <c r="A1081" s="31" t="s">
        <v>2625</v>
      </c>
      <c r="B1081" s="31" t="s">
        <v>497</v>
      </c>
      <c r="C1081" s="31" t="s">
        <v>498</v>
      </c>
      <c r="D1081" s="31" t="s">
        <v>2626</v>
      </c>
      <c r="E1081" s="31" t="s">
        <v>2627</v>
      </c>
      <c r="F1081" s="31" t="s">
        <v>261</v>
      </c>
      <c r="G1081" s="32">
        <v>0.40025300000000003</v>
      </c>
      <c r="H1081" s="33">
        <v>0</v>
      </c>
      <c r="I1081" s="34">
        <v>4640.4958677686</v>
      </c>
      <c r="J1081" s="34">
        <v>1857.37239256199</v>
      </c>
      <c r="K1081" s="31" t="s">
        <v>2628</v>
      </c>
      <c r="L1081" s="31">
        <v>1</v>
      </c>
      <c r="M1081" s="31" t="s">
        <v>2629</v>
      </c>
      <c r="N1081" s="34">
        <v>1</v>
      </c>
      <c r="O1081" s="35">
        <v>0</v>
      </c>
      <c r="P1081" s="35">
        <v>792</v>
      </c>
      <c r="Q1081" s="35">
        <v>0</v>
      </c>
      <c r="R1081" s="36">
        <v>12.01</v>
      </c>
      <c r="S1081" s="37" t="str">
        <f>IFERROR(_xlfn.XLOOKUP(R1081,'1_Presupuesto'!$E:$E,'1_Presupuesto'!$D:$D),"")</f>
        <v>Revestimiento MO</v>
      </c>
    </row>
    <row r="1082" spans="1:19" x14ac:dyDescent="0.35">
      <c r="A1082" s="31" t="s">
        <v>2625</v>
      </c>
      <c r="B1082" s="31" t="s">
        <v>497</v>
      </c>
      <c r="C1082" s="31" t="s">
        <v>498</v>
      </c>
      <c r="D1082" s="31" t="s">
        <v>2285</v>
      </c>
      <c r="E1082" s="31" t="s">
        <v>2286</v>
      </c>
      <c r="F1082" s="31" t="s">
        <v>261</v>
      </c>
      <c r="G1082" s="32">
        <v>0.10101</v>
      </c>
      <c r="H1082" s="33">
        <v>0</v>
      </c>
      <c r="I1082" s="34">
        <v>24676.900826446301</v>
      </c>
      <c r="J1082" s="34">
        <v>2492.6137524793398</v>
      </c>
      <c r="K1082" s="31" t="s">
        <v>2628</v>
      </c>
      <c r="L1082" s="31">
        <v>2</v>
      </c>
      <c r="M1082" s="31" t="s">
        <v>2630</v>
      </c>
      <c r="N1082" s="34">
        <v>1</v>
      </c>
      <c r="O1082" s="35">
        <v>0</v>
      </c>
      <c r="P1082" s="35">
        <v>792</v>
      </c>
      <c r="Q1082" s="35">
        <v>0</v>
      </c>
      <c r="R1082" s="36">
        <v>12.01</v>
      </c>
      <c r="S1082" s="37" t="str">
        <f>IFERROR(_xlfn.XLOOKUP(R1082,'1_Presupuesto'!$E:$E,'1_Presupuesto'!$D:$D),"")</f>
        <v>Revestimiento MO</v>
      </c>
    </row>
    <row r="1083" spans="1:19" x14ac:dyDescent="0.35">
      <c r="A1083" s="31" t="s">
        <v>2625</v>
      </c>
      <c r="B1083" s="31" t="s">
        <v>478</v>
      </c>
      <c r="C1083" s="31" t="s">
        <v>479</v>
      </c>
      <c r="D1083" s="31" t="s">
        <v>1673</v>
      </c>
      <c r="E1083" s="31" t="s">
        <v>184</v>
      </c>
      <c r="F1083" s="31" t="s">
        <v>481</v>
      </c>
      <c r="G1083" s="32">
        <v>5.0505000000000001E-2</v>
      </c>
      <c r="H1083" s="33">
        <v>0</v>
      </c>
      <c r="I1083" s="34">
        <v>84612.512709566407</v>
      </c>
      <c r="J1083" s="34">
        <v>4273.3549543966501</v>
      </c>
      <c r="K1083" s="31" t="s">
        <v>2631</v>
      </c>
      <c r="L1083" s="31">
        <v>1</v>
      </c>
      <c r="M1083" s="31" t="s">
        <v>2632</v>
      </c>
      <c r="N1083" s="34">
        <v>1</v>
      </c>
      <c r="O1083" s="35">
        <v>5.0505000000000001E-2</v>
      </c>
      <c r="P1083" s="35">
        <v>792</v>
      </c>
      <c r="Q1083" s="35">
        <v>39.999960000000002</v>
      </c>
      <c r="R1083" s="36">
        <v>12.01</v>
      </c>
      <c r="S1083" s="37" t="str">
        <f>IFERROR(_xlfn.XLOOKUP(R1083,'1_Presupuesto'!$E:$E,'1_Presupuesto'!$D:$D),"")</f>
        <v>Revestimiento MO</v>
      </c>
    </row>
    <row r="1084" spans="1:19" x14ac:dyDescent="0.35">
      <c r="A1084" s="31" t="s">
        <v>2625</v>
      </c>
      <c r="B1084" s="31" t="s">
        <v>478</v>
      </c>
      <c r="C1084" s="31" t="s">
        <v>479</v>
      </c>
      <c r="D1084" s="31" t="s">
        <v>484</v>
      </c>
      <c r="E1084" s="31" t="s">
        <v>186</v>
      </c>
      <c r="F1084" s="31" t="s">
        <v>481</v>
      </c>
      <c r="G1084" s="32">
        <v>1.2626E-2</v>
      </c>
      <c r="H1084" s="33">
        <v>0</v>
      </c>
      <c r="I1084" s="34">
        <v>67240.498860267602</v>
      </c>
      <c r="J1084" s="34">
        <v>848.97853860973896</v>
      </c>
      <c r="K1084" s="31" t="s">
        <v>2631</v>
      </c>
      <c r="L1084" s="31">
        <v>2</v>
      </c>
      <c r="M1084" s="31" t="s">
        <v>2633</v>
      </c>
      <c r="N1084" s="34">
        <v>1</v>
      </c>
      <c r="O1084" s="35">
        <v>1.2626E-2</v>
      </c>
      <c r="P1084" s="35">
        <v>792</v>
      </c>
      <c r="Q1084" s="35">
        <v>9.9997919999999993</v>
      </c>
      <c r="R1084" s="36">
        <v>12.01</v>
      </c>
      <c r="S1084" s="37" t="str">
        <f>IFERROR(_xlfn.XLOOKUP(R1084,'1_Presupuesto'!$E:$E,'1_Presupuesto'!$D:$D),"")</f>
        <v>Revestimiento MO</v>
      </c>
    </row>
    <row r="1085" spans="1:19" x14ac:dyDescent="0.35">
      <c r="A1085" s="31" t="s">
        <v>2625</v>
      </c>
      <c r="B1085" s="31" t="s">
        <v>203</v>
      </c>
      <c r="C1085" s="31"/>
      <c r="D1085" s="31" t="s">
        <v>2634</v>
      </c>
      <c r="E1085" s="31" t="s">
        <v>2635</v>
      </c>
      <c r="F1085" s="31"/>
      <c r="G1085" s="32">
        <v>1</v>
      </c>
      <c r="H1085" s="33">
        <v>0</v>
      </c>
      <c r="I1085" s="34">
        <v>142.08512790120599</v>
      </c>
      <c r="J1085" s="34">
        <v>142.08512790120599</v>
      </c>
      <c r="K1085" s="31" t="s">
        <v>2636</v>
      </c>
      <c r="L1085" s="31">
        <v>1</v>
      </c>
      <c r="M1085" s="31" t="s">
        <v>2637</v>
      </c>
      <c r="N1085" s="34">
        <v>1</v>
      </c>
      <c r="O1085" s="35">
        <v>0</v>
      </c>
      <c r="P1085" s="35">
        <v>792</v>
      </c>
      <c r="Q1085" s="35">
        <v>0</v>
      </c>
      <c r="R1085" s="36">
        <v>12.01</v>
      </c>
      <c r="S1085" s="37" t="str">
        <f>IFERROR(_xlfn.XLOOKUP(R1085,'1_Presupuesto'!$E:$E,'1_Presupuesto'!$D:$D),"")</f>
        <v>Revestimiento MO</v>
      </c>
    </row>
    <row r="1086" spans="1:19" x14ac:dyDescent="0.35">
      <c r="A1086" s="31" t="s">
        <v>2638</v>
      </c>
      <c r="B1086" s="31" t="s">
        <v>497</v>
      </c>
      <c r="C1086" s="31" t="s">
        <v>498</v>
      </c>
      <c r="D1086" s="31" t="s">
        <v>1191</v>
      </c>
      <c r="E1086" s="31" t="s">
        <v>1192</v>
      </c>
      <c r="F1086" s="31" t="s">
        <v>739</v>
      </c>
      <c r="G1086" s="32">
        <v>0.04</v>
      </c>
      <c r="H1086" s="33">
        <v>0.2</v>
      </c>
      <c r="I1086" s="34">
        <v>17106.768</v>
      </c>
      <c r="J1086" s="34">
        <v>821.124864</v>
      </c>
      <c r="K1086" s="31" t="s">
        <v>2639</v>
      </c>
      <c r="L1086" s="31">
        <v>1</v>
      </c>
      <c r="M1086" s="31" t="s">
        <v>2640</v>
      </c>
      <c r="N1086" s="34">
        <v>30</v>
      </c>
      <c r="O1086" s="35">
        <v>0</v>
      </c>
      <c r="P1086" s="35">
        <v>282</v>
      </c>
      <c r="Q1086" s="35">
        <v>0</v>
      </c>
      <c r="R1086" s="36">
        <v>12.02</v>
      </c>
      <c r="S1086" s="37" t="str">
        <f>IFERROR(_xlfn.XLOOKUP(R1086,'1_Presupuesto'!$E:$E,'1_Presupuesto'!$D:$D),"")</f>
        <v>Revestimiento MO</v>
      </c>
    </row>
    <row r="1087" spans="1:19" x14ac:dyDescent="0.35">
      <c r="A1087" s="31" t="s">
        <v>2638</v>
      </c>
      <c r="B1087" s="31" t="s">
        <v>497</v>
      </c>
      <c r="C1087" s="31" t="s">
        <v>498</v>
      </c>
      <c r="D1087" s="31" t="s">
        <v>1195</v>
      </c>
      <c r="E1087" s="31" t="s">
        <v>1196</v>
      </c>
      <c r="F1087" s="31" t="s">
        <v>261</v>
      </c>
      <c r="G1087" s="32">
        <v>1E-3</v>
      </c>
      <c r="H1087" s="33">
        <v>0.05</v>
      </c>
      <c r="I1087" s="34">
        <v>11376</v>
      </c>
      <c r="J1087" s="34">
        <v>11.944800000000001</v>
      </c>
      <c r="K1087" s="31" t="s">
        <v>2639</v>
      </c>
      <c r="L1087" s="31">
        <v>2</v>
      </c>
      <c r="M1087" s="31" t="s">
        <v>2641</v>
      </c>
      <c r="N1087" s="34">
        <v>30</v>
      </c>
      <c r="O1087" s="35">
        <v>0</v>
      </c>
      <c r="P1087" s="35">
        <v>282</v>
      </c>
      <c r="Q1087" s="35">
        <v>0</v>
      </c>
      <c r="R1087" s="36">
        <v>12.02</v>
      </c>
      <c r="S1087" s="37" t="str">
        <f>IFERROR(_xlfn.XLOOKUP(R1087,'1_Presupuesto'!$E:$E,'1_Presupuesto'!$D:$D),"")</f>
        <v>Revestimiento MO</v>
      </c>
    </row>
    <row r="1088" spans="1:19" x14ac:dyDescent="0.35">
      <c r="A1088" s="31" t="s">
        <v>2638</v>
      </c>
      <c r="B1088" s="31" t="s">
        <v>497</v>
      </c>
      <c r="C1088" s="31" t="s">
        <v>498</v>
      </c>
      <c r="D1088" s="31" t="s">
        <v>1224</v>
      </c>
      <c r="E1088" s="31" t="s">
        <v>1225</v>
      </c>
      <c r="F1088" s="31" t="s">
        <v>739</v>
      </c>
      <c r="G1088" s="32">
        <v>0.04</v>
      </c>
      <c r="H1088" s="33">
        <v>0.05</v>
      </c>
      <c r="I1088" s="34">
        <v>3720.15</v>
      </c>
      <c r="J1088" s="34">
        <v>156.24629999999999</v>
      </c>
      <c r="K1088" s="31" t="s">
        <v>2639</v>
      </c>
      <c r="L1088" s="31">
        <v>3</v>
      </c>
      <c r="M1088" s="31" t="s">
        <v>2642</v>
      </c>
      <c r="N1088" s="34">
        <v>30</v>
      </c>
      <c r="O1088" s="35">
        <v>0</v>
      </c>
      <c r="P1088" s="35">
        <v>282</v>
      </c>
      <c r="Q1088" s="35">
        <v>0</v>
      </c>
      <c r="R1088" s="36">
        <v>12.02</v>
      </c>
      <c r="S1088" s="37" t="str">
        <f>IFERROR(_xlfn.XLOOKUP(R1088,'1_Presupuesto'!$E:$E,'1_Presupuesto'!$D:$D),"")</f>
        <v>Revestimiento MO</v>
      </c>
    </row>
    <row r="1089" spans="1:19" x14ac:dyDescent="0.35">
      <c r="A1089" s="31" t="s">
        <v>2638</v>
      </c>
      <c r="B1089" s="31" t="s">
        <v>497</v>
      </c>
      <c r="C1089" s="31" t="s">
        <v>498</v>
      </c>
      <c r="D1089" s="31" t="s">
        <v>512</v>
      </c>
      <c r="E1089" s="31" t="s">
        <v>513</v>
      </c>
      <c r="F1089" s="31">
        <v>0</v>
      </c>
      <c r="G1089" s="32">
        <v>0.01</v>
      </c>
      <c r="H1089" s="33">
        <v>0.03</v>
      </c>
      <c r="I1089" s="34">
        <v>1182.6446280991699</v>
      </c>
      <c r="J1089" s="34">
        <v>12.181239669421499</v>
      </c>
      <c r="K1089" s="31" t="s">
        <v>2639</v>
      </c>
      <c r="L1089" s="31">
        <v>4</v>
      </c>
      <c r="M1089" s="31" t="s">
        <v>2643</v>
      </c>
      <c r="N1089" s="34">
        <v>30</v>
      </c>
      <c r="O1089" s="35">
        <v>0</v>
      </c>
      <c r="P1089" s="35">
        <v>282</v>
      </c>
      <c r="Q1089" s="35">
        <v>0</v>
      </c>
      <c r="R1089" s="36">
        <v>12.02</v>
      </c>
      <c r="S1089" s="37" t="str">
        <f>IFERROR(_xlfn.XLOOKUP(R1089,'1_Presupuesto'!$E:$E,'1_Presupuesto'!$D:$D),"")</f>
        <v>Revestimiento MO</v>
      </c>
    </row>
    <row r="1090" spans="1:19" x14ac:dyDescent="0.35">
      <c r="A1090" s="31" t="s">
        <v>2638</v>
      </c>
      <c r="B1090" s="31" t="s">
        <v>478</v>
      </c>
      <c r="C1090" s="31" t="s">
        <v>479</v>
      </c>
      <c r="D1090" s="31" t="s">
        <v>494</v>
      </c>
      <c r="E1090" s="31" t="s">
        <v>185</v>
      </c>
      <c r="F1090" s="31" t="s">
        <v>481</v>
      </c>
      <c r="G1090" s="32">
        <v>1</v>
      </c>
      <c r="H1090" s="33">
        <v>0</v>
      </c>
      <c r="I1090" s="34">
        <v>72132.138365590101</v>
      </c>
      <c r="J1090" s="34">
        <v>72132.138365590101</v>
      </c>
      <c r="K1090" s="31" t="s">
        <v>2644</v>
      </c>
      <c r="L1090" s="31">
        <v>1</v>
      </c>
      <c r="M1090" s="31" t="s">
        <v>2645</v>
      </c>
      <c r="N1090" s="34">
        <v>30</v>
      </c>
      <c r="O1090" s="35">
        <v>3.3333333333333298E-2</v>
      </c>
      <c r="P1090" s="35">
        <v>282</v>
      </c>
      <c r="Q1090" s="35">
        <v>9.4</v>
      </c>
      <c r="R1090" s="36">
        <v>12.02</v>
      </c>
      <c r="S1090" s="37" t="str">
        <f>IFERROR(_xlfn.XLOOKUP(R1090,'1_Presupuesto'!$E:$E,'1_Presupuesto'!$D:$D),"")</f>
        <v>Revestimiento MO</v>
      </c>
    </row>
    <row r="1091" spans="1:19" x14ac:dyDescent="0.35">
      <c r="A1091" s="31" t="s">
        <v>2638</v>
      </c>
      <c r="B1091" s="31" t="s">
        <v>478</v>
      </c>
      <c r="C1091" s="31" t="s">
        <v>479</v>
      </c>
      <c r="D1091" s="31" t="s">
        <v>480</v>
      </c>
      <c r="E1091" s="31" t="s">
        <v>183</v>
      </c>
      <c r="F1091" s="31" t="s">
        <v>481</v>
      </c>
      <c r="G1091" s="32">
        <v>1</v>
      </c>
      <c r="H1091" s="33">
        <v>0</v>
      </c>
      <c r="I1091" s="34">
        <v>94177.137883538904</v>
      </c>
      <c r="J1091" s="34">
        <v>94177.137883538904</v>
      </c>
      <c r="K1091" s="31" t="s">
        <v>2644</v>
      </c>
      <c r="L1091" s="31">
        <v>2</v>
      </c>
      <c r="M1091" s="31" t="s">
        <v>2646</v>
      </c>
      <c r="N1091" s="34">
        <v>30</v>
      </c>
      <c r="O1091" s="35">
        <v>3.3333333333333298E-2</v>
      </c>
      <c r="P1091" s="35">
        <v>282</v>
      </c>
      <c r="Q1091" s="35">
        <v>9.4</v>
      </c>
      <c r="R1091" s="36">
        <v>12.02</v>
      </c>
      <c r="S1091" s="37" t="str">
        <f>IFERROR(_xlfn.XLOOKUP(R1091,'1_Presupuesto'!$E:$E,'1_Presupuesto'!$D:$D),"")</f>
        <v>Revestimiento MO</v>
      </c>
    </row>
    <row r="1092" spans="1:19" x14ac:dyDescent="0.35">
      <c r="A1092" s="31" t="s">
        <v>2638</v>
      </c>
      <c r="B1092" s="31" t="s">
        <v>203</v>
      </c>
      <c r="C1092" s="31"/>
      <c r="D1092" s="31" t="s">
        <v>1202</v>
      </c>
      <c r="E1092" s="31" t="s">
        <v>1203</v>
      </c>
      <c r="F1092" s="31"/>
      <c r="G1092" s="32">
        <v>1</v>
      </c>
      <c r="H1092" s="33">
        <v>0</v>
      </c>
      <c r="I1092" s="34">
        <v>2866.2900480746998</v>
      </c>
      <c r="J1092" s="34">
        <v>2866.2900480746998</v>
      </c>
      <c r="K1092" s="31" t="s">
        <v>2647</v>
      </c>
      <c r="L1092" s="31">
        <v>1</v>
      </c>
      <c r="M1092" s="31" t="s">
        <v>2648</v>
      </c>
      <c r="N1092" s="34">
        <v>30</v>
      </c>
      <c r="O1092" s="35">
        <v>0</v>
      </c>
      <c r="P1092" s="35">
        <v>282</v>
      </c>
      <c r="Q1092" s="35">
        <v>0</v>
      </c>
      <c r="R1092" s="36">
        <v>12.02</v>
      </c>
      <c r="S1092" s="37" t="str">
        <f>IFERROR(_xlfn.XLOOKUP(R1092,'1_Presupuesto'!$E:$E,'1_Presupuesto'!$D:$D),"")</f>
        <v>Revestimiento MO</v>
      </c>
    </row>
    <row r="1093" spans="1:19" x14ac:dyDescent="0.35">
      <c r="A1093" s="31" t="s">
        <v>2649</v>
      </c>
      <c r="B1093" s="31" t="s">
        <v>497</v>
      </c>
      <c r="C1093" s="31" t="s">
        <v>498</v>
      </c>
      <c r="D1093" s="31" t="s">
        <v>1191</v>
      </c>
      <c r="E1093" s="31" t="s">
        <v>1192</v>
      </c>
      <c r="F1093" s="31" t="s">
        <v>739</v>
      </c>
      <c r="G1093" s="32">
        <v>0.04</v>
      </c>
      <c r="H1093" s="33">
        <v>0.2</v>
      </c>
      <c r="I1093" s="34">
        <v>17106.768</v>
      </c>
      <c r="J1093" s="34">
        <v>821.124864</v>
      </c>
      <c r="K1093" s="31" t="s">
        <v>2650</v>
      </c>
      <c r="L1093" s="31">
        <v>1</v>
      </c>
      <c r="M1093" s="31" t="s">
        <v>2651</v>
      </c>
      <c r="N1093" s="34">
        <v>30</v>
      </c>
      <c r="O1093" s="35">
        <v>0</v>
      </c>
      <c r="P1093" s="35">
        <v>263</v>
      </c>
      <c r="Q1093" s="35">
        <v>0</v>
      </c>
      <c r="R1093" s="36">
        <v>12.03</v>
      </c>
      <c r="S1093" s="37" t="str">
        <f>IFERROR(_xlfn.XLOOKUP(R1093,'1_Presupuesto'!$E:$E,'1_Presupuesto'!$D:$D),"")</f>
        <v>Revestimiento MO</v>
      </c>
    </row>
    <row r="1094" spans="1:19" x14ac:dyDescent="0.35">
      <c r="A1094" s="31" t="s">
        <v>2649</v>
      </c>
      <c r="B1094" s="31" t="s">
        <v>497</v>
      </c>
      <c r="C1094" s="31" t="s">
        <v>498</v>
      </c>
      <c r="D1094" s="31" t="s">
        <v>1195</v>
      </c>
      <c r="E1094" s="31" t="s">
        <v>1196</v>
      </c>
      <c r="F1094" s="31" t="s">
        <v>261</v>
      </c>
      <c r="G1094" s="32">
        <v>1E-3</v>
      </c>
      <c r="H1094" s="33">
        <v>0.05</v>
      </c>
      <c r="I1094" s="34">
        <v>11376</v>
      </c>
      <c r="J1094" s="34">
        <v>11.944800000000001</v>
      </c>
      <c r="K1094" s="31" t="s">
        <v>2650</v>
      </c>
      <c r="L1094" s="31">
        <v>2</v>
      </c>
      <c r="M1094" s="31" t="s">
        <v>2652</v>
      </c>
      <c r="N1094" s="34">
        <v>30</v>
      </c>
      <c r="O1094" s="35">
        <v>0</v>
      </c>
      <c r="P1094" s="35">
        <v>263</v>
      </c>
      <c r="Q1094" s="35">
        <v>0</v>
      </c>
      <c r="R1094" s="36">
        <v>12.03</v>
      </c>
      <c r="S1094" s="37" t="str">
        <f>IFERROR(_xlfn.XLOOKUP(R1094,'1_Presupuesto'!$E:$E,'1_Presupuesto'!$D:$D),"")</f>
        <v>Revestimiento MO</v>
      </c>
    </row>
    <row r="1095" spans="1:19" x14ac:dyDescent="0.35">
      <c r="A1095" s="31" t="s">
        <v>2649</v>
      </c>
      <c r="B1095" s="31" t="s">
        <v>497</v>
      </c>
      <c r="C1095" s="31" t="s">
        <v>498</v>
      </c>
      <c r="D1095" s="31" t="s">
        <v>1224</v>
      </c>
      <c r="E1095" s="31" t="s">
        <v>1225</v>
      </c>
      <c r="F1095" s="31" t="s">
        <v>739</v>
      </c>
      <c r="G1095" s="32">
        <v>0.04</v>
      </c>
      <c r="H1095" s="33">
        <v>0.05</v>
      </c>
      <c r="I1095" s="34">
        <v>3720.15</v>
      </c>
      <c r="J1095" s="34">
        <v>156.24629999999999</v>
      </c>
      <c r="K1095" s="31" t="s">
        <v>2650</v>
      </c>
      <c r="L1095" s="31">
        <v>3</v>
      </c>
      <c r="M1095" s="31" t="s">
        <v>2653</v>
      </c>
      <c r="N1095" s="34">
        <v>30</v>
      </c>
      <c r="O1095" s="35">
        <v>0</v>
      </c>
      <c r="P1095" s="35">
        <v>263</v>
      </c>
      <c r="Q1095" s="35">
        <v>0</v>
      </c>
      <c r="R1095" s="36">
        <v>12.03</v>
      </c>
      <c r="S1095" s="37" t="str">
        <f>IFERROR(_xlfn.XLOOKUP(R1095,'1_Presupuesto'!$E:$E,'1_Presupuesto'!$D:$D),"")</f>
        <v>Revestimiento MO</v>
      </c>
    </row>
    <row r="1096" spans="1:19" x14ac:dyDescent="0.35">
      <c r="A1096" s="31" t="s">
        <v>2649</v>
      </c>
      <c r="B1096" s="31" t="s">
        <v>497</v>
      </c>
      <c r="C1096" s="31" t="s">
        <v>498</v>
      </c>
      <c r="D1096" s="31" t="s">
        <v>512</v>
      </c>
      <c r="E1096" s="31" t="s">
        <v>513</v>
      </c>
      <c r="F1096" s="31">
        <v>0</v>
      </c>
      <c r="G1096" s="32">
        <v>0.01</v>
      </c>
      <c r="H1096" s="33">
        <v>0.03</v>
      </c>
      <c r="I1096" s="34">
        <v>1182.6446280991699</v>
      </c>
      <c r="J1096" s="34">
        <v>12.181239669421499</v>
      </c>
      <c r="K1096" s="31" t="s">
        <v>2650</v>
      </c>
      <c r="L1096" s="31">
        <v>4</v>
      </c>
      <c r="M1096" s="31" t="s">
        <v>2654</v>
      </c>
      <c r="N1096" s="34">
        <v>30</v>
      </c>
      <c r="O1096" s="35">
        <v>0</v>
      </c>
      <c r="P1096" s="35">
        <v>263</v>
      </c>
      <c r="Q1096" s="35">
        <v>0</v>
      </c>
      <c r="R1096" s="36">
        <v>12.03</v>
      </c>
      <c r="S1096" s="37" t="str">
        <f>IFERROR(_xlfn.XLOOKUP(R1096,'1_Presupuesto'!$E:$E,'1_Presupuesto'!$D:$D),"")</f>
        <v>Revestimiento MO</v>
      </c>
    </row>
    <row r="1097" spans="1:19" x14ac:dyDescent="0.35">
      <c r="A1097" s="31" t="s">
        <v>2649</v>
      </c>
      <c r="B1097" s="31" t="s">
        <v>478</v>
      </c>
      <c r="C1097" s="31" t="s">
        <v>479</v>
      </c>
      <c r="D1097" s="31" t="s">
        <v>494</v>
      </c>
      <c r="E1097" s="31" t="s">
        <v>185</v>
      </c>
      <c r="F1097" s="31" t="s">
        <v>481</v>
      </c>
      <c r="G1097" s="32">
        <v>1</v>
      </c>
      <c r="H1097" s="33">
        <v>0</v>
      </c>
      <c r="I1097" s="34">
        <v>72132.138365590101</v>
      </c>
      <c r="J1097" s="34">
        <v>72132.138365590101</v>
      </c>
      <c r="K1097" s="31" t="s">
        <v>2655</v>
      </c>
      <c r="L1097" s="31">
        <v>1</v>
      </c>
      <c r="M1097" s="31" t="s">
        <v>2656</v>
      </c>
      <c r="N1097" s="34">
        <v>30</v>
      </c>
      <c r="O1097" s="35">
        <v>3.3333333333333298E-2</v>
      </c>
      <c r="P1097" s="35">
        <v>263</v>
      </c>
      <c r="Q1097" s="35">
        <v>8.7666666666666693</v>
      </c>
      <c r="R1097" s="36">
        <v>12.03</v>
      </c>
      <c r="S1097" s="37" t="str">
        <f>IFERROR(_xlfn.XLOOKUP(R1097,'1_Presupuesto'!$E:$E,'1_Presupuesto'!$D:$D),"")</f>
        <v>Revestimiento MO</v>
      </c>
    </row>
    <row r="1098" spans="1:19" x14ac:dyDescent="0.35">
      <c r="A1098" s="31" t="s">
        <v>2649</v>
      </c>
      <c r="B1098" s="31" t="s">
        <v>478</v>
      </c>
      <c r="C1098" s="31" t="s">
        <v>479</v>
      </c>
      <c r="D1098" s="31" t="s">
        <v>480</v>
      </c>
      <c r="E1098" s="31" t="s">
        <v>183</v>
      </c>
      <c r="F1098" s="31" t="s">
        <v>481</v>
      </c>
      <c r="G1098" s="32">
        <v>1</v>
      </c>
      <c r="H1098" s="33">
        <v>0</v>
      </c>
      <c r="I1098" s="34">
        <v>94177.137883538904</v>
      </c>
      <c r="J1098" s="34">
        <v>94177.137883538904</v>
      </c>
      <c r="K1098" s="31" t="s">
        <v>2655</v>
      </c>
      <c r="L1098" s="31">
        <v>2</v>
      </c>
      <c r="M1098" s="31" t="s">
        <v>2657</v>
      </c>
      <c r="N1098" s="34">
        <v>30</v>
      </c>
      <c r="O1098" s="35">
        <v>3.3333333333333298E-2</v>
      </c>
      <c r="P1098" s="35">
        <v>263</v>
      </c>
      <c r="Q1098" s="35">
        <v>8.7666666666666693</v>
      </c>
      <c r="R1098" s="36">
        <v>12.03</v>
      </c>
      <c r="S1098" s="37" t="str">
        <f>IFERROR(_xlfn.XLOOKUP(R1098,'1_Presupuesto'!$E:$E,'1_Presupuesto'!$D:$D),"")</f>
        <v>Revestimiento MO</v>
      </c>
    </row>
    <row r="1099" spans="1:19" x14ac:dyDescent="0.35">
      <c r="A1099" s="31" t="s">
        <v>2649</v>
      </c>
      <c r="B1099" s="31" t="s">
        <v>203</v>
      </c>
      <c r="C1099" s="31"/>
      <c r="D1099" s="31" t="s">
        <v>1202</v>
      </c>
      <c r="E1099" s="31" t="s">
        <v>1203</v>
      </c>
      <c r="F1099" s="31"/>
      <c r="G1099" s="32">
        <v>1</v>
      </c>
      <c r="H1099" s="33">
        <v>0</v>
      </c>
      <c r="I1099" s="34">
        <v>2866.2900480746998</v>
      </c>
      <c r="J1099" s="34">
        <v>2866.2900480746998</v>
      </c>
      <c r="K1099" s="31" t="s">
        <v>2658</v>
      </c>
      <c r="L1099" s="31">
        <v>1</v>
      </c>
      <c r="M1099" s="31" t="s">
        <v>2659</v>
      </c>
      <c r="N1099" s="34">
        <v>30</v>
      </c>
      <c r="O1099" s="35">
        <v>0</v>
      </c>
      <c r="P1099" s="35">
        <v>263</v>
      </c>
      <c r="Q1099" s="35">
        <v>0</v>
      </c>
      <c r="R1099" s="36">
        <v>12.03</v>
      </c>
      <c r="S1099" s="37" t="str">
        <f>IFERROR(_xlfn.XLOOKUP(R1099,'1_Presupuesto'!$E:$E,'1_Presupuesto'!$D:$D),"")</f>
        <v>Revestimiento MO</v>
      </c>
    </row>
    <row r="1100" spans="1:19" x14ac:dyDescent="0.35">
      <c r="A1100" s="31" t="s">
        <v>2660</v>
      </c>
      <c r="B1100" s="31" t="s">
        <v>497</v>
      </c>
      <c r="C1100" s="31" t="s">
        <v>498</v>
      </c>
      <c r="D1100" s="31" t="s">
        <v>1191</v>
      </c>
      <c r="E1100" s="31" t="s">
        <v>1192</v>
      </c>
      <c r="F1100" s="31" t="s">
        <v>739</v>
      </c>
      <c r="G1100" s="32">
        <v>0.04</v>
      </c>
      <c r="H1100" s="33">
        <v>0.2</v>
      </c>
      <c r="I1100" s="34">
        <v>17106.768</v>
      </c>
      <c r="J1100" s="34">
        <v>821.124864</v>
      </c>
      <c r="K1100" s="31" t="s">
        <v>2661</v>
      </c>
      <c r="L1100" s="31">
        <v>1</v>
      </c>
      <c r="M1100" s="31" t="s">
        <v>2662</v>
      </c>
      <c r="N1100" s="34">
        <v>30</v>
      </c>
      <c r="O1100" s="35">
        <v>0</v>
      </c>
      <c r="P1100" s="35">
        <v>25</v>
      </c>
      <c r="Q1100" s="35">
        <v>0</v>
      </c>
      <c r="R1100" s="36">
        <v>12.04</v>
      </c>
      <c r="S1100" s="37" t="str">
        <f>IFERROR(_xlfn.XLOOKUP(R1100,'1_Presupuesto'!$E:$E,'1_Presupuesto'!$D:$D),"")</f>
        <v>Revestimiento MO</v>
      </c>
    </row>
    <row r="1101" spans="1:19" x14ac:dyDescent="0.35">
      <c r="A1101" s="31" t="s">
        <v>2660</v>
      </c>
      <c r="B1101" s="31" t="s">
        <v>497</v>
      </c>
      <c r="C1101" s="31" t="s">
        <v>498</v>
      </c>
      <c r="D1101" s="31" t="s">
        <v>1195</v>
      </c>
      <c r="E1101" s="31" t="s">
        <v>1196</v>
      </c>
      <c r="F1101" s="31" t="s">
        <v>261</v>
      </c>
      <c r="G1101" s="32">
        <v>1E-3</v>
      </c>
      <c r="H1101" s="33">
        <v>0.05</v>
      </c>
      <c r="I1101" s="34">
        <v>11376</v>
      </c>
      <c r="J1101" s="34">
        <v>11.944800000000001</v>
      </c>
      <c r="K1101" s="31" t="s">
        <v>2661</v>
      </c>
      <c r="L1101" s="31">
        <v>2</v>
      </c>
      <c r="M1101" s="31" t="s">
        <v>2663</v>
      </c>
      <c r="N1101" s="34">
        <v>30</v>
      </c>
      <c r="O1101" s="35">
        <v>0</v>
      </c>
      <c r="P1101" s="35">
        <v>25</v>
      </c>
      <c r="Q1101" s="35">
        <v>0</v>
      </c>
      <c r="R1101" s="36">
        <v>12.04</v>
      </c>
      <c r="S1101" s="37" t="str">
        <f>IFERROR(_xlfn.XLOOKUP(R1101,'1_Presupuesto'!$E:$E,'1_Presupuesto'!$D:$D),"")</f>
        <v>Revestimiento MO</v>
      </c>
    </row>
    <row r="1102" spans="1:19" x14ac:dyDescent="0.35">
      <c r="A1102" s="31" t="s">
        <v>2660</v>
      </c>
      <c r="B1102" s="31" t="s">
        <v>497</v>
      </c>
      <c r="C1102" s="31" t="s">
        <v>498</v>
      </c>
      <c r="D1102" s="31" t="s">
        <v>1224</v>
      </c>
      <c r="E1102" s="31" t="s">
        <v>1225</v>
      </c>
      <c r="F1102" s="31" t="s">
        <v>739</v>
      </c>
      <c r="G1102" s="32">
        <v>0.04</v>
      </c>
      <c r="H1102" s="33">
        <v>0.05</v>
      </c>
      <c r="I1102" s="34">
        <v>3720.15</v>
      </c>
      <c r="J1102" s="34">
        <v>156.24629999999999</v>
      </c>
      <c r="K1102" s="31" t="s">
        <v>2661</v>
      </c>
      <c r="L1102" s="31">
        <v>3</v>
      </c>
      <c r="M1102" s="31" t="s">
        <v>2664</v>
      </c>
      <c r="N1102" s="34">
        <v>30</v>
      </c>
      <c r="O1102" s="35">
        <v>0</v>
      </c>
      <c r="P1102" s="35">
        <v>25</v>
      </c>
      <c r="Q1102" s="35">
        <v>0</v>
      </c>
      <c r="R1102" s="36">
        <v>12.04</v>
      </c>
      <c r="S1102" s="37" t="str">
        <f>IFERROR(_xlfn.XLOOKUP(R1102,'1_Presupuesto'!$E:$E,'1_Presupuesto'!$D:$D),"")</f>
        <v>Revestimiento MO</v>
      </c>
    </row>
    <row r="1103" spans="1:19" x14ac:dyDescent="0.35">
      <c r="A1103" s="31" t="s">
        <v>2660</v>
      </c>
      <c r="B1103" s="31" t="s">
        <v>497</v>
      </c>
      <c r="C1103" s="31" t="s">
        <v>498</v>
      </c>
      <c r="D1103" s="31" t="s">
        <v>512</v>
      </c>
      <c r="E1103" s="31" t="s">
        <v>513</v>
      </c>
      <c r="F1103" s="31">
        <v>0</v>
      </c>
      <c r="G1103" s="32">
        <v>0.01</v>
      </c>
      <c r="H1103" s="33">
        <v>0.03</v>
      </c>
      <c r="I1103" s="34">
        <v>1182.6446280991699</v>
      </c>
      <c r="J1103" s="34">
        <v>12.181239669421499</v>
      </c>
      <c r="K1103" s="31" t="s">
        <v>2661</v>
      </c>
      <c r="L1103" s="31">
        <v>4</v>
      </c>
      <c r="M1103" s="31" t="s">
        <v>2665</v>
      </c>
      <c r="N1103" s="34">
        <v>30</v>
      </c>
      <c r="O1103" s="35">
        <v>0</v>
      </c>
      <c r="P1103" s="35">
        <v>25</v>
      </c>
      <c r="Q1103" s="35">
        <v>0</v>
      </c>
      <c r="R1103" s="36">
        <v>12.04</v>
      </c>
      <c r="S1103" s="37" t="str">
        <f>IFERROR(_xlfn.XLOOKUP(R1103,'1_Presupuesto'!$E:$E,'1_Presupuesto'!$D:$D),"")</f>
        <v>Revestimiento MO</v>
      </c>
    </row>
    <row r="1104" spans="1:19" x14ac:dyDescent="0.35">
      <c r="A1104" s="31" t="s">
        <v>2660</v>
      </c>
      <c r="B1104" s="31" t="s">
        <v>478</v>
      </c>
      <c r="C1104" s="31" t="s">
        <v>479</v>
      </c>
      <c r="D1104" s="31" t="s">
        <v>494</v>
      </c>
      <c r="E1104" s="31" t="s">
        <v>185</v>
      </c>
      <c r="F1104" s="31" t="s">
        <v>481</v>
      </c>
      <c r="G1104" s="32">
        <v>1</v>
      </c>
      <c r="H1104" s="33">
        <v>0</v>
      </c>
      <c r="I1104" s="34">
        <v>72132.138365590101</v>
      </c>
      <c r="J1104" s="34">
        <v>72132.138365590101</v>
      </c>
      <c r="K1104" s="31" t="s">
        <v>2666</v>
      </c>
      <c r="L1104" s="31">
        <v>1</v>
      </c>
      <c r="M1104" s="31" t="s">
        <v>2667</v>
      </c>
      <c r="N1104" s="34">
        <v>30</v>
      </c>
      <c r="O1104" s="35">
        <v>3.3333333333333298E-2</v>
      </c>
      <c r="P1104" s="35">
        <v>25</v>
      </c>
      <c r="Q1104" s="35">
        <v>0.83333333333333304</v>
      </c>
      <c r="R1104" s="36">
        <v>12.04</v>
      </c>
      <c r="S1104" s="37" t="str">
        <f>IFERROR(_xlfn.XLOOKUP(R1104,'1_Presupuesto'!$E:$E,'1_Presupuesto'!$D:$D),"")</f>
        <v>Revestimiento MO</v>
      </c>
    </row>
    <row r="1105" spans="1:19" x14ac:dyDescent="0.35">
      <c r="A1105" s="31" t="s">
        <v>2660</v>
      </c>
      <c r="B1105" s="31" t="s">
        <v>478</v>
      </c>
      <c r="C1105" s="31" t="s">
        <v>479</v>
      </c>
      <c r="D1105" s="31" t="s">
        <v>480</v>
      </c>
      <c r="E1105" s="31" t="s">
        <v>183</v>
      </c>
      <c r="F1105" s="31" t="s">
        <v>481</v>
      </c>
      <c r="G1105" s="32">
        <v>1</v>
      </c>
      <c r="H1105" s="33">
        <v>0</v>
      </c>
      <c r="I1105" s="34">
        <v>94177.137883538904</v>
      </c>
      <c r="J1105" s="34">
        <v>94177.137883538904</v>
      </c>
      <c r="K1105" s="31" t="s">
        <v>2666</v>
      </c>
      <c r="L1105" s="31">
        <v>2</v>
      </c>
      <c r="M1105" s="31" t="s">
        <v>2668</v>
      </c>
      <c r="N1105" s="34">
        <v>30</v>
      </c>
      <c r="O1105" s="35">
        <v>3.3333333333333298E-2</v>
      </c>
      <c r="P1105" s="35">
        <v>25</v>
      </c>
      <c r="Q1105" s="35">
        <v>0.83333333333333304</v>
      </c>
      <c r="R1105" s="36">
        <v>12.04</v>
      </c>
      <c r="S1105" s="37" t="str">
        <f>IFERROR(_xlfn.XLOOKUP(R1105,'1_Presupuesto'!$E:$E,'1_Presupuesto'!$D:$D),"")</f>
        <v>Revestimiento MO</v>
      </c>
    </row>
    <row r="1106" spans="1:19" x14ac:dyDescent="0.35">
      <c r="A1106" s="31" t="s">
        <v>2660</v>
      </c>
      <c r="B1106" s="31" t="s">
        <v>203</v>
      </c>
      <c r="C1106" s="31"/>
      <c r="D1106" s="31" t="s">
        <v>1202</v>
      </c>
      <c r="E1106" s="31" t="s">
        <v>1203</v>
      </c>
      <c r="F1106" s="31"/>
      <c r="G1106" s="32">
        <v>1</v>
      </c>
      <c r="H1106" s="33">
        <v>0</v>
      </c>
      <c r="I1106" s="34">
        <v>2866.2900480746998</v>
      </c>
      <c r="J1106" s="34">
        <v>2866.2900480746998</v>
      </c>
      <c r="K1106" s="31" t="s">
        <v>2669</v>
      </c>
      <c r="L1106" s="31">
        <v>1</v>
      </c>
      <c r="M1106" s="31" t="s">
        <v>2670</v>
      </c>
      <c r="N1106" s="34">
        <v>30</v>
      </c>
      <c r="O1106" s="35">
        <v>0</v>
      </c>
      <c r="P1106" s="35">
        <v>25</v>
      </c>
      <c r="Q1106" s="35">
        <v>0</v>
      </c>
      <c r="R1106" s="36">
        <v>12.04</v>
      </c>
      <c r="S1106" s="37" t="str">
        <f>IFERROR(_xlfn.XLOOKUP(R1106,'1_Presupuesto'!$E:$E,'1_Presupuesto'!$D:$D),"")</f>
        <v>Revestimiento MO</v>
      </c>
    </row>
    <row r="1107" spans="1:19" x14ac:dyDescent="0.35">
      <c r="A1107" s="31" t="s">
        <v>2671</v>
      </c>
      <c r="B1107" s="31" t="s">
        <v>497</v>
      </c>
      <c r="C1107" s="31" t="s">
        <v>498</v>
      </c>
      <c r="D1107" s="31" t="s">
        <v>1191</v>
      </c>
      <c r="E1107" s="31" t="s">
        <v>1192</v>
      </c>
      <c r="F1107" s="31" t="s">
        <v>739</v>
      </c>
      <c r="G1107" s="32">
        <v>0.2</v>
      </c>
      <c r="H1107" s="33">
        <v>0.2</v>
      </c>
      <c r="I1107" s="34">
        <v>17106.768</v>
      </c>
      <c r="J1107" s="34">
        <v>4105.6243199999999</v>
      </c>
      <c r="K1107" s="31" t="s">
        <v>2672</v>
      </c>
      <c r="L1107" s="31">
        <v>1</v>
      </c>
      <c r="M1107" s="31" t="s">
        <v>2673</v>
      </c>
      <c r="N1107" s="34">
        <v>10</v>
      </c>
      <c r="O1107" s="35">
        <v>0</v>
      </c>
      <c r="P1107" s="35">
        <v>493</v>
      </c>
      <c r="Q1107" s="35">
        <v>0</v>
      </c>
      <c r="R1107" s="36">
        <v>13.01</v>
      </c>
      <c r="S1107" s="37" t="str">
        <f>IFERROR(_xlfn.XLOOKUP(R1107,'1_Presupuesto'!$E:$E,'1_Presupuesto'!$D:$D),"")</f>
        <v>Revestimiento MO</v>
      </c>
    </row>
    <row r="1108" spans="1:19" x14ac:dyDescent="0.35">
      <c r="A1108" s="31" t="s">
        <v>2671</v>
      </c>
      <c r="B1108" s="31" t="s">
        <v>497</v>
      </c>
      <c r="C1108" s="31" t="s">
        <v>498</v>
      </c>
      <c r="D1108" s="31" t="s">
        <v>1224</v>
      </c>
      <c r="E1108" s="31" t="s">
        <v>1225</v>
      </c>
      <c r="F1108" s="31" t="s">
        <v>739</v>
      </c>
      <c r="G1108" s="32">
        <v>0.2</v>
      </c>
      <c r="H1108" s="33">
        <v>0.05</v>
      </c>
      <c r="I1108" s="34">
        <v>3720.15</v>
      </c>
      <c r="J1108" s="34">
        <v>781.23149999999998</v>
      </c>
      <c r="K1108" s="31" t="s">
        <v>2672</v>
      </c>
      <c r="L1108" s="31">
        <v>2</v>
      </c>
      <c r="M1108" s="31" t="s">
        <v>2674</v>
      </c>
      <c r="N1108" s="34">
        <v>10</v>
      </c>
      <c r="O1108" s="35">
        <v>0</v>
      </c>
      <c r="P1108" s="35">
        <v>493</v>
      </c>
      <c r="Q1108" s="35">
        <v>0</v>
      </c>
      <c r="R1108" s="36">
        <v>13.01</v>
      </c>
      <c r="S1108" s="37" t="str">
        <f>IFERROR(_xlfn.XLOOKUP(R1108,'1_Presupuesto'!$E:$E,'1_Presupuesto'!$D:$D),"")</f>
        <v>Revestimiento MO</v>
      </c>
    </row>
    <row r="1109" spans="1:19" x14ac:dyDescent="0.35">
      <c r="A1109" s="31" t="s">
        <v>2671</v>
      </c>
      <c r="B1109" s="31" t="s">
        <v>497</v>
      </c>
      <c r="C1109" s="31" t="s">
        <v>498</v>
      </c>
      <c r="D1109" s="31" t="s">
        <v>1195</v>
      </c>
      <c r="E1109" s="31" t="s">
        <v>1196</v>
      </c>
      <c r="F1109" s="31" t="s">
        <v>261</v>
      </c>
      <c r="G1109" s="32">
        <v>4.0000000000000001E-3</v>
      </c>
      <c r="H1109" s="33">
        <v>0.05</v>
      </c>
      <c r="I1109" s="34">
        <v>11376</v>
      </c>
      <c r="J1109" s="34">
        <v>47.779200000000003</v>
      </c>
      <c r="K1109" s="31" t="s">
        <v>2672</v>
      </c>
      <c r="L1109" s="31">
        <v>3</v>
      </c>
      <c r="M1109" s="31" t="s">
        <v>2675</v>
      </c>
      <c r="N1109" s="34">
        <v>10</v>
      </c>
      <c r="O1109" s="35">
        <v>0</v>
      </c>
      <c r="P1109" s="35">
        <v>493</v>
      </c>
      <c r="Q1109" s="35">
        <v>0</v>
      </c>
      <c r="R1109" s="36">
        <v>13.01</v>
      </c>
      <c r="S1109" s="37" t="str">
        <f>IFERROR(_xlfn.XLOOKUP(R1109,'1_Presupuesto'!$E:$E,'1_Presupuesto'!$D:$D),"")</f>
        <v>Revestimiento MO</v>
      </c>
    </row>
    <row r="1110" spans="1:19" x14ac:dyDescent="0.35">
      <c r="A1110" s="31" t="s">
        <v>2671</v>
      </c>
      <c r="B1110" s="31" t="s">
        <v>497</v>
      </c>
      <c r="C1110" s="31" t="s">
        <v>498</v>
      </c>
      <c r="D1110" s="31" t="s">
        <v>512</v>
      </c>
      <c r="E1110" s="31" t="s">
        <v>513</v>
      </c>
      <c r="F1110" s="31">
        <v>0</v>
      </c>
      <c r="G1110" s="32">
        <v>0.01</v>
      </c>
      <c r="H1110" s="33">
        <v>0.03</v>
      </c>
      <c r="I1110" s="34">
        <v>1182.6446280991699</v>
      </c>
      <c r="J1110" s="34">
        <v>12.181239669421499</v>
      </c>
      <c r="K1110" s="31" t="s">
        <v>2672</v>
      </c>
      <c r="L1110" s="31">
        <v>4</v>
      </c>
      <c r="M1110" s="31" t="s">
        <v>2676</v>
      </c>
      <c r="N1110" s="34">
        <v>10</v>
      </c>
      <c r="O1110" s="35">
        <v>0</v>
      </c>
      <c r="P1110" s="35">
        <v>493</v>
      </c>
      <c r="Q1110" s="35">
        <v>0</v>
      </c>
      <c r="R1110" s="36">
        <v>13.01</v>
      </c>
      <c r="S1110" s="37" t="str">
        <f>IFERROR(_xlfn.XLOOKUP(R1110,'1_Presupuesto'!$E:$E,'1_Presupuesto'!$D:$D),"")</f>
        <v>Revestimiento MO</v>
      </c>
    </row>
    <row r="1111" spans="1:19" x14ac:dyDescent="0.35">
      <c r="A1111" s="31" t="s">
        <v>2671</v>
      </c>
      <c r="B1111" s="31" t="s">
        <v>478</v>
      </c>
      <c r="C1111" s="31" t="s">
        <v>479</v>
      </c>
      <c r="D1111" s="31" t="s">
        <v>494</v>
      </c>
      <c r="E1111" s="31" t="s">
        <v>185</v>
      </c>
      <c r="F1111" s="31" t="s">
        <v>481</v>
      </c>
      <c r="G1111" s="32">
        <v>1</v>
      </c>
      <c r="H1111" s="33">
        <v>0</v>
      </c>
      <c r="I1111" s="34">
        <v>72132.138365590101</v>
      </c>
      <c r="J1111" s="34">
        <v>72132.138365590101</v>
      </c>
      <c r="K1111" s="31" t="s">
        <v>2677</v>
      </c>
      <c r="L1111" s="31">
        <v>1</v>
      </c>
      <c r="M1111" s="31" t="s">
        <v>2678</v>
      </c>
      <c r="N1111" s="34">
        <v>10</v>
      </c>
      <c r="O1111" s="35">
        <v>0.1</v>
      </c>
      <c r="P1111" s="35">
        <v>493</v>
      </c>
      <c r="Q1111" s="35">
        <v>49.3</v>
      </c>
      <c r="R1111" s="36">
        <v>13.01</v>
      </c>
      <c r="S1111" s="37" t="str">
        <f>IFERROR(_xlfn.XLOOKUP(R1111,'1_Presupuesto'!$E:$E,'1_Presupuesto'!$D:$D),"")</f>
        <v>Revestimiento MO</v>
      </c>
    </row>
    <row r="1112" spans="1:19" x14ac:dyDescent="0.35">
      <c r="A1112" s="31" t="s">
        <v>2671</v>
      </c>
      <c r="B1112" s="31" t="s">
        <v>478</v>
      </c>
      <c r="C1112" s="31" t="s">
        <v>479</v>
      </c>
      <c r="D1112" s="31" t="s">
        <v>480</v>
      </c>
      <c r="E1112" s="31" t="s">
        <v>183</v>
      </c>
      <c r="F1112" s="31" t="s">
        <v>481</v>
      </c>
      <c r="G1112" s="32">
        <v>1</v>
      </c>
      <c r="H1112" s="33">
        <v>0</v>
      </c>
      <c r="I1112" s="34">
        <v>94177.137883538904</v>
      </c>
      <c r="J1112" s="34">
        <v>94177.137883538904</v>
      </c>
      <c r="K1112" s="31" t="s">
        <v>2677</v>
      </c>
      <c r="L1112" s="31">
        <v>2</v>
      </c>
      <c r="M1112" s="31" t="s">
        <v>2679</v>
      </c>
      <c r="N1112" s="34">
        <v>10</v>
      </c>
      <c r="O1112" s="35">
        <v>0.1</v>
      </c>
      <c r="P1112" s="35">
        <v>493</v>
      </c>
      <c r="Q1112" s="35">
        <v>49.3</v>
      </c>
      <c r="R1112" s="36">
        <v>13.01</v>
      </c>
      <c r="S1112" s="37" t="str">
        <f>IFERROR(_xlfn.XLOOKUP(R1112,'1_Presupuesto'!$E:$E,'1_Presupuesto'!$D:$D),"")</f>
        <v>Revestimiento MO</v>
      </c>
    </row>
    <row r="1113" spans="1:19" x14ac:dyDescent="0.35">
      <c r="A1113" s="31" t="s">
        <v>2671</v>
      </c>
      <c r="B1113" s="31" t="s">
        <v>203</v>
      </c>
      <c r="C1113" s="31"/>
      <c r="D1113" s="31" t="s">
        <v>1202</v>
      </c>
      <c r="E1113" s="31" t="s">
        <v>1203</v>
      </c>
      <c r="F1113" s="31"/>
      <c r="G1113" s="32">
        <v>1</v>
      </c>
      <c r="H1113" s="33">
        <v>0</v>
      </c>
      <c r="I1113" s="34">
        <v>2866.2900480746998</v>
      </c>
      <c r="J1113" s="34">
        <v>2866.2900480746998</v>
      </c>
      <c r="K1113" s="31" t="s">
        <v>2680</v>
      </c>
      <c r="L1113" s="31">
        <v>1</v>
      </c>
      <c r="M1113" s="31" t="s">
        <v>2681</v>
      </c>
      <c r="N1113" s="34">
        <v>10</v>
      </c>
      <c r="O1113" s="35">
        <v>0</v>
      </c>
      <c r="P1113" s="35">
        <v>493</v>
      </c>
      <c r="Q1113" s="35">
        <v>0</v>
      </c>
      <c r="R1113" s="36">
        <v>13.01</v>
      </c>
      <c r="S1113" s="37" t="str">
        <f>IFERROR(_xlfn.XLOOKUP(R1113,'1_Presupuesto'!$E:$E,'1_Presupuesto'!$D:$D),"")</f>
        <v>Revestimiento MO</v>
      </c>
    </row>
    <row r="1114" spans="1:19" x14ac:dyDescent="0.35">
      <c r="A1114" s="31" t="s">
        <v>2682</v>
      </c>
      <c r="B1114" s="31" t="s">
        <v>497</v>
      </c>
      <c r="C1114" s="31" t="s">
        <v>498</v>
      </c>
      <c r="D1114" s="31" t="s">
        <v>1191</v>
      </c>
      <c r="E1114" s="31" t="s">
        <v>1192</v>
      </c>
      <c r="F1114" s="31" t="s">
        <v>739</v>
      </c>
      <c r="G1114" s="32">
        <v>0.2</v>
      </c>
      <c r="H1114" s="33">
        <v>0.2</v>
      </c>
      <c r="I1114" s="34">
        <v>17106.768</v>
      </c>
      <c r="J1114" s="34">
        <v>4105.6243199999999</v>
      </c>
      <c r="K1114" s="31" t="s">
        <v>2683</v>
      </c>
      <c r="L1114" s="31">
        <v>1</v>
      </c>
      <c r="M1114" s="31" t="s">
        <v>2684</v>
      </c>
      <c r="N1114" s="34">
        <v>10</v>
      </c>
      <c r="O1114" s="35">
        <v>0</v>
      </c>
      <c r="P1114" s="35">
        <v>82</v>
      </c>
      <c r="Q1114" s="35">
        <v>0</v>
      </c>
      <c r="R1114" s="36">
        <v>13.02</v>
      </c>
      <c r="S1114" s="37" t="str">
        <f>IFERROR(_xlfn.XLOOKUP(R1114,'1_Presupuesto'!$E:$E,'1_Presupuesto'!$D:$D),"")</f>
        <v>Revestimiento MO</v>
      </c>
    </row>
    <row r="1115" spans="1:19" x14ac:dyDescent="0.35">
      <c r="A1115" s="31" t="s">
        <v>2682</v>
      </c>
      <c r="B1115" s="31" t="s">
        <v>497</v>
      </c>
      <c r="C1115" s="31" t="s">
        <v>498</v>
      </c>
      <c r="D1115" s="31" t="s">
        <v>1224</v>
      </c>
      <c r="E1115" s="31" t="s">
        <v>1225</v>
      </c>
      <c r="F1115" s="31" t="s">
        <v>739</v>
      </c>
      <c r="G1115" s="32">
        <v>0.2</v>
      </c>
      <c r="H1115" s="33">
        <v>0.05</v>
      </c>
      <c r="I1115" s="34">
        <v>3720.15</v>
      </c>
      <c r="J1115" s="34">
        <v>781.23149999999998</v>
      </c>
      <c r="K1115" s="31" t="s">
        <v>2683</v>
      </c>
      <c r="L1115" s="31">
        <v>2</v>
      </c>
      <c r="M1115" s="31" t="s">
        <v>2685</v>
      </c>
      <c r="N1115" s="34">
        <v>10</v>
      </c>
      <c r="O1115" s="35">
        <v>0</v>
      </c>
      <c r="P1115" s="35">
        <v>82</v>
      </c>
      <c r="Q1115" s="35">
        <v>0</v>
      </c>
      <c r="R1115" s="36">
        <v>13.02</v>
      </c>
      <c r="S1115" s="37" t="str">
        <f>IFERROR(_xlfn.XLOOKUP(R1115,'1_Presupuesto'!$E:$E,'1_Presupuesto'!$D:$D),"")</f>
        <v>Revestimiento MO</v>
      </c>
    </row>
    <row r="1116" spans="1:19" x14ac:dyDescent="0.35">
      <c r="A1116" s="31" t="s">
        <v>2682</v>
      </c>
      <c r="B1116" s="31" t="s">
        <v>497</v>
      </c>
      <c r="C1116" s="31" t="s">
        <v>498</v>
      </c>
      <c r="D1116" s="31" t="s">
        <v>1195</v>
      </c>
      <c r="E1116" s="31" t="s">
        <v>1196</v>
      </c>
      <c r="F1116" s="31" t="s">
        <v>261</v>
      </c>
      <c r="G1116" s="32">
        <v>4.0000000000000001E-3</v>
      </c>
      <c r="H1116" s="33">
        <v>0.05</v>
      </c>
      <c r="I1116" s="34">
        <v>11376</v>
      </c>
      <c r="J1116" s="34">
        <v>47.779200000000003</v>
      </c>
      <c r="K1116" s="31" t="s">
        <v>2683</v>
      </c>
      <c r="L1116" s="31">
        <v>3</v>
      </c>
      <c r="M1116" s="31" t="s">
        <v>2686</v>
      </c>
      <c r="N1116" s="34">
        <v>10</v>
      </c>
      <c r="O1116" s="35">
        <v>0</v>
      </c>
      <c r="P1116" s="35">
        <v>82</v>
      </c>
      <c r="Q1116" s="35">
        <v>0</v>
      </c>
      <c r="R1116" s="36">
        <v>13.02</v>
      </c>
      <c r="S1116" s="37" t="str">
        <f>IFERROR(_xlfn.XLOOKUP(R1116,'1_Presupuesto'!$E:$E,'1_Presupuesto'!$D:$D),"")</f>
        <v>Revestimiento MO</v>
      </c>
    </row>
    <row r="1117" spans="1:19" x14ac:dyDescent="0.35">
      <c r="A1117" s="31" t="s">
        <v>2682</v>
      </c>
      <c r="B1117" s="31" t="s">
        <v>497</v>
      </c>
      <c r="C1117" s="31" t="s">
        <v>498</v>
      </c>
      <c r="D1117" s="31" t="s">
        <v>512</v>
      </c>
      <c r="E1117" s="31" t="s">
        <v>513</v>
      </c>
      <c r="F1117" s="31">
        <v>0</v>
      </c>
      <c r="G1117" s="32">
        <v>0.01</v>
      </c>
      <c r="H1117" s="33">
        <v>0.03</v>
      </c>
      <c r="I1117" s="34">
        <v>1182.6446280991699</v>
      </c>
      <c r="J1117" s="34">
        <v>12.181239669421499</v>
      </c>
      <c r="K1117" s="31" t="s">
        <v>2683</v>
      </c>
      <c r="L1117" s="31">
        <v>4</v>
      </c>
      <c r="M1117" s="31" t="s">
        <v>2687</v>
      </c>
      <c r="N1117" s="34">
        <v>10</v>
      </c>
      <c r="O1117" s="35">
        <v>0</v>
      </c>
      <c r="P1117" s="35">
        <v>82</v>
      </c>
      <c r="Q1117" s="35">
        <v>0</v>
      </c>
      <c r="R1117" s="36">
        <v>13.02</v>
      </c>
      <c r="S1117" s="37" t="str">
        <f>IFERROR(_xlfn.XLOOKUP(R1117,'1_Presupuesto'!$E:$E,'1_Presupuesto'!$D:$D),"")</f>
        <v>Revestimiento MO</v>
      </c>
    </row>
    <row r="1118" spans="1:19" x14ac:dyDescent="0.35">
      <c r="A1118" s="31" t="s">
        <v>2682</v>
      </c>
      <c r="B1118" s="31" t="s">
        <v>478</v>
      </c>
      <c r="C1118" s="31" t="s">
        <v>479</v>
      </c>
      <c r="D1118" s="31" t="s">
        <v>494</v>
      </c>
      <c r="E1118" s="31" t="s">
        <v>185</v>
      </c>
      <c r="F1118" s="31" t="s">
        <v>481</v>
      </c>
      <c r="G1118" s="32">
        <v>1</v>
      </c>
      <c r="H1118" s="33">
        <v>0</v>
      </c>
      <c r="I1118" s="34">
        <v>72132.138365590101</v>
      </c>
      <c r="J1118" s="34">
        <v>72132.138365590101</v>
      </c>
      <c r="K1118" s="31" t="s">
        <v>2688</v>
      </c>
      <c r="L1118" s="31">
        <v>1</v>
      </c>
      <c r="M1118" s="31" t="s">
        <v>2689</v>
      </c>
      <c r="N1118" s="34">
        <v>10</v>
      </c>
      <c r="O1118" s="35">
        <v>0.1</v>
      </c>
      <c r="P1118" s="35">
        <v>82</v>
      </c>
      <c r="Q1118" s="35">
        <v>8.1999999999999993</v>
      </c>
      <c r="R1118" s="36">
        <v>13.02</v>
      </c>
      <c r="S1118" s="37" t="str">
        <f>IFERROR(_xlfn.XLOOKUP(R1118,'1_Presupuesto'!$E:$E,'1_Presupuesto'!$D:$D),"")</f>
        <v>Revestimiento MO</v>
      </c>
    </row>
    <row r="1119" spans="1:19" x14ac:dyDescent="0.35">
      <c r="A1119" s="31" t="s">
        <v>2682</v>
      </c>
      <c r="B1119" s="31" t="s">
        <v>478</v>
      </c>
      <c r="C1119" s="31" t="s">
        <v>479</v>
      </c>
      <c r="D1119" s="31" t="s">
        <v>480</v>
      </c>
      <c r="E1119" s="31" t="s">
        <v>183</v>
      </c>
      <c r="F1119" s="31" t="s">
        <v>481</v>
      </c>
      <c r="G1119" s="32">
        <v>1</v>
      </c>
      <c r="H1119" s="33">
        <v>0</v>
      </c>
      <c r="I1119" s="34">
        <v>94177.137883538904</v>
      </c>
      <c r="J1119" s="34">
        <v>94177.137883538904</v>
      </c>
      <c r="K1119" s="31" t="s">
        <v>2688</v>
      </c>
      <c r="L1119" s="31">
        <v>2</v>
      </c>
      <c r="M1119" s="31" t="s">
        <v>2690</v>
      </c>
      <c r="N1119" s="34">
        <v>10</v>
      </c>
      <c r="O1119" s="35">
        <v>0.1</v>
      </c>
      <c r="P1119" s="35">
        <v>82</v>
      </c>
      <c r="Q1119" s="35">
        <v>8.1999999999999993</v>
      </c>
      <c r="R1119" s="36">
        <v>13.02</v>
      </c>
      <c r="S1119" s="37" t="str">
        <f>IFERROR(_xlfn.XLOOKUP(R1119,'1_Presupuesto'!$E:$E,'1_Presupuesto'!$D:$D),"")</f>
        <v>Revestimiento MO</v>
      </c>
    </row>
    <row r="1120" spans="1:19" x14ac:dyDescent="0.35">
      <c r="A1120" s="31" t="s">
        <v>2682</v>
      </c>
      <c r="B1120" s="31" t="s">
        <v>203</v>
      </c>
      <c r="C1120" s="31"/>
      <c r="D1120" s="31" t="s">
        <v>1202</v>
      </c>
      <c r="E1120" s="31" t="s">
        <v>1203</v>
      </c>
      <c r="F1120" s="31"/>
      <c r="G1120" s="32">
        <v>1</v>
      </c>
      <c r="H1120" s="33">
        <v>0</v>
      </c>
      <c r="I1120" s="34">
        <v>2866.2900480746998</v>
      </c>
      <c r="J1120" s="34">
        <v>2866.2900480746998</v>
      </c>
      <c r="K1120" s="31" t="s">
        <v>2691</v>
      </c>
      <c r="L1120" s="31">
        <v>1</v>
      </c>
      <c r="M1120" s="31" t="s">
        <v>2692</v>
      </c>
      <c r="N1120" s="34">
        <v>10</v>
      </c>
      <c r="O1120" s="35">
        <v>0</v>
      </c>
      <c r="P1120" s="35">
        <v>82</v>
      </c>
      <c r="Q1120" s="35">
        <v>0</v>
      </c>
      <c r="R1120" s="36">
        <v>13.02</v>
      </c>
      <c r="S1120" s="37" t="str">
        <f>IFERROR(_xlfn.XLOOKUP(R1120,'1_Presupuesto'!$E:$E,'1_Presupuesto'!$D:$D),"")</f>
        <v>Revestimiento MO</v>
      </c>
    </row>
    <row r="1121" spans="1:19" x14ac:dyDescent="0.35">
      <c r="A1121" s="31" t="s">
        <v>2693</v>
      </c>
      <c r="B1121" s="31" t="s">
        <v>497</v>
      </c>
      <c r="C1121" s="31" t="s">
        <v>498</v>
      </c>
      <c r="D1121" s="31" t="s">
        <v>1191</v>
      </c>
      <c r="E1121" s="31" t="s">
        <v>1192</v>
      </c>
      <c r="F1121" s="31" t="s">
        <v>739</v>
      </c>
      <c r="G1121" s="32">
        <v>0.04</v>
      </c>
      <c r="H1121" s="33">
        <v>0.2</v>
      </c>
      <c r="I1121" s="34">
        <v>17106.768</v>
      </c>
      <c r="J1121" s="34">
        <v>821.124864</v>
      </c>
      <c r="K1121" s="31" t="s">
        <v>2694</v>
      </c>
      <c r="L1121" s="31">
        <v>1</v>
      </c>
      <c r="M1121" s="31" t="s">
        <v>2695</v>
      </c>
      <c r="N1121" s="34">
        <v>30</v>
      </c>
      <c r="O1121" s="35">
        <v>0</v>
      </c>
      <c r="P1121" s="35">
        <v>152</v>
      </c>
      <c r="Q1121" s="35">
        <v>0</v>
      </c>
      <c r="R1121" s="36">
        <v>13.03</v>
      </c>
      <c r="S1121" s="37" t="str">
        <f>IFERROR(_xlfn.XLOOKUP(R1121,'1_Presupuesto'!$E:$E,'1_Presupuesto'!$D:$D),"")</f>
        <v>Revestimiento MO</v>
      </c>
    </row>
    <row r="1122" spans="1:19" x14ac:dyDescent="0.35">
      <c r="A1122" s="31" t="s">
        <v>2693</v>
      </c>
      <c r="B1122" s="31" t="s">
        <v>497</v>
      </c>
      <c r="C1122" s="31" t="s">
        <v>498</v>
      </c>
      <c r="D1122" s="31" t="s">
        <v>1195</v>
      </c>
      <c r="E1122" s="31" t="s">
        <v>1196</v>
      </c>
      <c r="F1122" s="31" t="s">
        <v>261</v>
      </c>
      <c r="G1122" s="32">
        <v>1E-3</v>
      </c>
      <c r="H1122" s="33">
        <v>0.05</v>
      </c>
      <c r="I1122" s="34">
        <v>11376</v>
      </c>
      <c r="J1122" s="34">
        <v>11.944800000000001</v>
      </c>
      <c r="K1122" s="31" t="s">
        <v>2694</v>
      </c>
      <c r="L1122" s="31">
        <v>2</v>
      </c>
      <c r="M1122" s="31" t="s">
        <v>2696</v>
      </c>
      <c r="N1122" s="34">
        <v>30</v>
      </c>
      <c r="O1122" s="35">
        <v>0</v>
      </c>
      <c r="P1122" s="35">
        <v>152</v>
      </c>
      <c r="Q1122" s="35">
        <v>0</v>
      </c>
      <c r="R1122" s="36">
        <v>13.03</v>
      </c>
      <c r="S1122" s="37" t="str">
        <f>IFERROR(_xlfn.XLOOKUP(R1122,'1_Presupuesto'!$E:$E,'1_Presupuesto'!$D:$D),"")</f>
        <v>Revestimiento MO</v>
      </c>
    </row>
    <row r="1123" spans="1:19" x14ac:dyDescent="0.35">
      <c r="A1123" s="31" t="s">
        <v>2693</v>
      </c>
      <c r="B1123" s="31" t="s">
        <v>497</v>
      </c>
      <c r="C1123" s="31" t="s">
        <v>498</v>
      </c>
      <c r="D1123" s="31" t="s">
        <v>1224</v>
      </c>
      <c r="E1123" s="31" t="s">
        <v>1225</v>
      </c>
      <c r="F1123" s="31" t="s">
        <v>739</v>
      </c>
      <c r="G1123" s="32">
        <v>0.04</v>
      </c>
      <c r="H1123" s="33">
        <v>0.05</v>
      </c>
      <c r="I1123" s="34">
        <v>3720.15</v>
      </c>
      <c r="J1123" s="34">
        <v>156.24629999999999</v>
      </c>
      <c r="K1123" s="31" t="s">
        <v>2694</v>
      </c>
      <c r="L1123" s="31">
        <v>3</v>
      </c>
      <c r="M1123" s="31" t="s">
        <v>2697</v>
      </c>
      <c r="N1123" s="34">
        <v>30</v>
      </c>
      <c r="O1123" s="35">
        <v>0</v>
      </c>
      <c r="P1123" s="35">
        <v>152</v>
      </c>
      <c r="Q1123" s="35">
        <v>0</v>
      </c>
      <c r="R1123" s="36">
        <v>13.03</v>
      </c>
      <c r="S1123" s="37" t="str">
        <f>IFERROR(_xlfn.XLOOKUP(R1123,'1_Presupuesto'!$E:$E,'1_Presupuesto'!$D:$D),"")</f>
        <v>Revestimiento MO</v>
      </c>
    </row>
    <row r="1124" spans="1:19" x14ac:dyDescent="0.35">
      <c r="A1124" s="31" t="s">
        <v>2693</v>
      </c>
      <c r="B1124" s="31" t="s">
        <v>497</v>
      </c>
      <c r="C1124" s="31" t="s">
        <v>498</v>
      </c>
      <c r="D1124" s="31" t="s">
        <v>512</v>
      </c>
      <c r="E1124" s="31" t="s">
        <v>513</v>
      </c>
      <c r="F1124" s="31">
        <v>0</v>
      </c>
      <c r="G1124" s="32">
        <v>0.01</v>
      </c>
      <c r="H1124" s="33">
        <v>0.03</v>
      </c>
      <c r="I1124" s="34">
        <v>1182.6446280991699</v>
      </c>
      <c r="J1124" s="34">
        <v>12.181239669421499</v>
      </c>
      <c r="K1124" s="31" t="s">
        <v>2694</v>
      </c>
      <c r="L1124" s="31">
        <v>4</v>
      </c>
      <c r="M1124" s="31" t="s">
        <v>2698</v>
      </c>
      <c r="N1124" s="34">
        <v>30</v>
      </c>
      <c r="O1124" s="35">
        <v>0</v>
      </c>
      <c r="P1124" s="35">
        <v>152</v>
      </c>
      <c r="Q1124" s="35">
        <v>0</v>
      </c>
      <c r="R1124" s="36">
        <v>13.03</v>
      </c>
      <c r="S1124" s="37" t="str">
        <f>IFERROR(_xlfn.XLOOKUP(R1124,'1_Presupuesto'!$E:$E,'1_Presupuesto'!$D:$D),"")</f>
        <v>Revestimiento MO</v>
      </c>
    </row>
    <row r="1125" spans="1:19" x14ac:dyDescent="0.35">
      <c r="A1125" s="31" t="s">
        <v>2693</v>
      </c>
      <c r="B1125" s="31" t="s">
        <v>478</v>
      </c>
      <c r="C1125" s="31" t="s">
        <v>479</v>
      </c>
      <c r="D1125" s="31" t="s">
        <v>494</v>
      </c>
      <c r="E1125" s="31" t="s">
        <v>185</v>
      </c>
      <c r="F1125" s="31" t="s">
        <v>481</v>
      </c>
      <c r="G1125" s="32">
        <v>1</v>
      </c>
      <c r="H1125" s="33">
        <v>0</v>
      </c>
      <c r="I1125" s="34">
        <v>72132.138365590101</v>
      </c>
      <c r="J1125" s="34">
        <v>72132.138365590101</v>
      </c>
      <c r="K1125" s="31" t="s">
        <v>2699</v>
      </c>
      <c r="L1125" s="31">
        <v>1</v>
      </c>
      <c r="M1125" s="31" t="s">
        <v>2700</v>
      </c>
      <c r="N1125" s="34">
        <v>30</v>
      </c>
      <c r="O1125" s="35">
        <v>3.3333333333333298E-2</v>
      </c>
      <c r="P1125" s="35">
        <v>152</v>
      </c>
      <c r="Q1125" s="35">
        <v>5.06666666666667</v>
      </c>
      <c r="R1125" s="36">
        <v>13.03</v>
      </c>
      <c r="S1125" s="37" t="str">
        <f>IFERROR(_xlfn.XLOOKUP(R1125,'1_Presupuesto'!$E:$E,'1_Presupuesto'!$D:$D),"")</f>
        <v>Revestimiento MO</v>
      </c>
    </row>
    <row r="1126" spans="1:19" x14ac:dyDescent="0.35">
      <c r="A1126" s="31" t="s">
        <v>2693</v>
      </c>
      <c r="B1126" s="31" t="s">
        <v>478</v>
      </c>
      <c r="C1126" s="31" t="s">
        <v>479</v>
      </c>
      <c r="D1126" s="31" t="s">
        <v>480</v>
      </c>
      <c r="E1126" s="31" t="s">
        <v>183</v>
      </c>
      <c r="F1126" s="31" t="s">
        <v>481</v>
      </c>
      <c r="G1126" s="32">
        <v>1</v>
      </c>
      <c r="H1126" s="33">
        <v>0</v>
      </c>
      <c r="I1126" s="34">
        <v>94177.137883538904</v>
      </c>
      <c r="J1126" s="34">
        <v>94177.137883538904</v>
      </c>
      <c r="K1126" s="31" t="s">
        <v>2699</v>
      </c>
      <c r="L1126" s="31">
        <v>2</v>
      </c>
      <c r="M1126" s="31" t="s">
        <v>2701</v>
      </c>
      <c r="N1126" s="34">
        <v>30</v>
      </c>
      <c r="O1126" s="35">
        <v>3.3333333333333298E-2</v>
      </c>
      <c r="P1126" s="35">
        <v>152</v>
      </c>
      <c r="Q1126" s="35">
        <v>5.06666666666667</v>
      </c>
      <c r="R1126" s="36">
        <v>13.03</v>
      </c>
      <c r="S1126" s="37" t="str">
        <f>IFERROR(_xlfn.XLOOKUP(R1126,'1_Presupuesto'!$E:$E,'1_Presupuesto'!$D:$D),"")</f>
        <v>Revestimiento MO</v>
      </c>
    </row>
    <row r="1127" spans="1:19" x14ac:dyDescent="0.35">
      <c r="A1127" s="31" t="s">
        <v>2693</v>
      </c>
      <c r="B1127" s="31" t="s">
        <v>203</v>
      </c>
      <c r="C1127" s="31"/>
      <c r="D1127" s="31" t="s">
        <v>1202</v>
      </c>
      <c r="E1127" s="31" t="s">
        <v>1203</v>
      </c>
      <c r="F1127" s="31"/>
      <c r="G1127" s="32">
        <v>1</v>
      </c>
      <c r="H1127" s="33">
        <v>0</v>
      </c>
      <c r="I1127" s="34">
        <v>2866.2900480746998</v>
      </c>
      <c r="J1127" s="34">
        <v>2866.2900480746998</v>
      </c>
      <c r="K1127" s="31" t="s">
        <v>2702</v>
      </c>
      <c r="L1127" s="31">
        <v>1</v>
      </c>
      <c r="M1127" s="31" t="s">
        <v>2703</v>
      </c>
      <c r="N1127" s="34">
        <v>30</v>
      </c>
      <c r="O1127" s="35">
        <v>0</v>
      </c>
      <c r="P1127" s="35">
        <v>152</v>
      </c>
      <c r="Q1127" s="35">
        <v>0</v>
      </c>
      <c r="R1127" s="36">
        <v>13.03</v>
      </c>
      <c r="S1127" s="37" t="str">
        <f>IFERROR(_xlfn.XLOOKUP(R1127,'1_Presupuesto'!$E:$E,'1_Presupuesto'!$D:$D),"")</f>
        <v>Revestimiento MO</v>
      </c>
    </row>
    <row r="1128" spans="1:19" x14ac:dyDescent="0.35">
      <c r="A1128" s="31" t="s">
        <v>2704</v>
      </c>
      <c r="B1128" s="31" t="s">
        <v>497</v>
      </c>
      <c r="C1128" s="31" t="s">
        <v>498</v>
      </c>
      <c r="D1128" s="31" t="s">
        <v>1253</v>
      </c>
      <c r="E1128" s="31" t="s">
        <v>1254</v>
      </c>
      <c r="F1128" s="31" t="s">
        <v>261</v>
      </c>
      <c r="G1128" s="32">
        <v>0.50769200000000003</v>
      </c>
      <c r="H1128" s="33">
        <v>0.1</v>
      </c>
      <c r="I1128" s="34">
        <v>2244.87</v>
      </c>
      <c r="J1128" s="34">
        <v>1253.6727940440001</v>
      </c>
      <c r="K1128" s="31" t="s">
        <v>2705</v>
      </c>
      <c r="L1128" s="31">
        <v>1</v>
      </c>
      <c r="M1128" s="31" t="s">
        <v>2706</v>
      </c>
      <c r="N1128" s="34">
        <v>9.5</v>
      </c>
      <c r="O1128" s="35">
        <v>0</v>
      </c>
      <c r="P1128" s="35">
        <v>146</v>
      </c>
      <c r="Q1128" s="35">
        <v>0</v>
      </c>
      <c r="R1128" s="36">
        <v>14.01</v>
      </c>
      <c r="S1128" s="37">
        <f>IFERROR(_xlfn.XLOOKUP(R1128,'1_Presupuesto'!$E:$E,'1_Presupuesto'!$D:$D),"")</f>
        <v>0</v>
      </c>
    </row>
    <row r="1129" spans="1:19" x14ac:dyDescent="0.35">
      <c r="A1129" s="31" t="s">
        <v>2704</v>
      </c>
      <c r="B1129" s="31" t="s">
        <v>497</v>
      </c>
      <c r="C1129" s="31" t="s">
        <v>498</v>
      </c>
      <c r="D1129" s="31" t="s">
        <v>1257</v>
      </c>
      <c r="E1129" s="31" t="s">
        <v>1258</v>
      </c>
      <c r="F1129" s="31" t="s">
        <v>261</v>
      </c>
      <c r="G1129" s="32">
        <v>1.230769</v>
      </c>
      <c r="H1129" s="33">
        <v>0.1</v>
      </c>
      <c r="I1129" s="34">
        <v>2574.7199999999998</v>
      </c>
      <c r="J1129" s="34">
        <v>3485.7741156480001</v>
      </c>
      <c r="K1129" s="31" t="s">
        <v>2705</v>
      </c>
      <c r="L1129" s="31">
        <v>2</v>
      </c>
      <c r="M1129" s="31" t="s">
        <v>2707</v>
      </c>
      <c r="N1129" s="34">
        <v>9.5</v>
      </c>
      <c r="O1129" s="35">
        <v>0</v>
      </c>
      <c r="P1129" s="35">
        <v>146</v>
      </c>
      <c r="Q1129" s="35">
        <v>0</v>
      </c>
      <c r="R1129" s="36">
        <v>14.01</v>
      </c>
      <c r="S1129" s="37">
        <f>IFERROR(_xlfn.XLOOKUP(R1129,'1_Presupuesto'!$E:$E,'1_Presupuesto'!$D:$D),"")</f>
        <v>0</v>
      </c>
    </row>
    <row r="1130" spans="1:19" x14ac:dyDescent="0.35">
      <c r="A1130" s="31" t="s">
        <v>2704</v>
      </c>
      <c r="B1130" s="31" t="s">
        <v>497</v>
      </c>
      <c r="C1130" s="31" t="s">
        <v>498</v>
      </c>
      <c r="D1130" s="31" t="s">
        <v>1260</v>
      </c>
      <c r="E1130" s="31" t="s">
        <v>1261</v>
      </c>
      <c r="F1130" s="31" t="s">
        <v>261</v>
      </c>
      <c r="G1130" s="32">
        <v>16</v>
      </c>
      <c r="H1130" s="33">
        <v>0.05</v>
      </c>
      <c r="I1130" s="34">
        <v>26.153884000000001</v>
      </c>
      <c r="J1130" s="34">
        <v>439.38525120000003</v>
      </c>
      <c r="K1130" s="31" t="s">
        <v>2705</v>
      </c>
      <c r="L1130" s="31">
        <v>3</v>
      </c>
      <c r="M1130" s="31" t="s">
        <v>2708</v>
      </c>
      <c r="N1130" s="34">
        <v>9.5</v>
      </c>
      <c r="O1130" s="35">
        <v>0</v>
      </c>
      <c r="P1130" s="35">
        <v>146</v>
      </c>
      <c r="Q1130" s="35">
        <v>0</v>
      </c>
      <c r="R1130" s="36">
        <v>14.01</v>
      </c>
      <c r="S1130" s="37">
        <f>IFERROR(_xlfn.XLOOKUP(R1130,'1_Presupuesto'!$E:$E,'1_Presupuesto'!$D:$D),"")</f>
        <v>0</v>
      </c>
    </row>
    <row r="1131" spans="1:19" x14ac:dyDescent="0.35">
      <c r="A1131" s="31" t="s">
        <v>2704</v>
      </c>
      <c r="B1131" s="31" t="s">
        <v>497</v>
      </c>
      <c r="C1131" s="31" t="s">
        <v>498</v>
      </c>
      <c r="D1131" s="31" t="s">
        <v>587</v>
      </c>
      <c r="E1131" s="31" t="s">
        <v>588</v>
      </c>
      <c r="F1131" s="31" t="s">
        <v>261</v>
      </c>
      <c r="G1131" s="32">
        <v>18</v>
      </c>
      <c r="H1131" s="33">
        <v>0.05</v>
      </c>
      <c r="I1131" s="34">
        <v>9.1146919999999998</v>
      </c>
      <c r="J1131" s="34">
        <v>172.2676788</v>
      </c>
      <c r="K1131" s="31" t="s">
        <v>2705</v>
      </c>
      <c r="L1131" s="31">
        <v>4</v>
      </c>
      <c r="M1131" s="31" t="s">
        <v>2709</v>
      </c>
      <c r="N1131" s="34">
        <v>9.5</v>
      </c>
      <c r="O1131" s="35">
        <v>0</v>
      </c>
      <c r="P1131" s="35">
        <v>146</v>
      </c>
      <c r="Q1131" s="35">
        <v>0</v>
      </c>
      <c r="R1131" s="36">
        <v>14.01</v>
      </c>
      <c r="S1131" s="37">
        <f>IFERROR(_xlfn.XLOOKUP(R1131,'1_Presupuesto'!$E:$E,'1_Presupuesto'!$D:$D),"")</f>
        <v>0</v>
      </c>
    </row>
    <row r="1132" spans="1:19" x14ac:dyDescent="0.35">
      <c r="A1132" s="31" t="s">
        <v>2704</v>
      </c>
      <c r="B1132" s="31" t="s">
        <v>497</v>
      </c>
      <c r="C1132" s="31" t="s">
        <v>498</v>
      </c>
      <c r="D1132" s="31" t="s">
        <v>562</v>
      </c>
      <c r="E1132" s="31" t="s">
        <v>563</v>
      </c>
      <c r="F1132" s="31" t="s">
        <v>261</v>
      </c>
      <c r="G1132" s="32">
        <v>6</v>
      </c>
      <c r="H1132" s="33">
        <v>0.05</v>
      </c>
      <c r="I1132" s="34">
        <v>63.381982999999998</v>
      </c>
      <c r="J1132" s="34">
        <v>399.30649290000002</v>
      </c>
      <c r="K1132" s="31" t="s">
        <v>2705</v>
      </c>
      <c r="L1132" s="31">
        <v>5</v>
      </c>
      <c r="M1132" s="31" t="s">
        <v>2710</v>
      </c>
      <c r="N1132" s="34">
        <v>9.5</v>
      </c>
      <c r="O1132" s="35">
        <v>0</v>
      </c>
      <c r="P1132" s="35">
        <v>146</v>
      </c>
      <c r="Q1132" s="35">
        <v>0</v>
      </c>
      <c r="R1132" s="36">
        <v>14.01</v>
      </c>
      <c r="S1132" s="37">
        <f>IFERROR(_xlfn.XLOOKUP(R1132,'1_Presupuesto'!$E:$E,'1_Presupuesto'!$D:$D),"")</f>
        <v>0</v>
      </c>
    </row>
    <row r="1133" spans="1:19" x14ac:dyDescent="0.35">
      <c r="A1133" s="31" t="s">
        <v>2704</v>
      </c>
      <c r="B1133" s="31" t="s">
        <v>497</v>
      </c>
      <c r="C1133" s="31" t="s">
        <v>498</v>
      </c>
      <c r="D1133" s="31" t="s">
        <v>1265</v>
      </c>
      <c r="E1133" s="31" t="s">
        <v>1266</v>
      </c>
      <c r="F1133" s="31" t="s">
        <v>261</v>
      </c>
      <c r="G1133" s="32">
        <v>1.8332999999999999E-2</v>
      </c>
      <c r="H1133" s="33">
        <v>0.05</v>
      </c>
      <c r="I1133" s="34">
        <v>4734.07</v>
      </c>
      <c r="J1133" s="34">
        <v>91.129190575500004</v>
      </c>
      <c r="K1133" s="31" t="s">
        <v>2705</v>
      </c>
      <c r="L1133" s="31">
        <v>6</v>
      </c>
      <c r="M1133" s="31" t="s">
        <v>2711</v>
      </c>
      <c r="N1133" s="34">
        <v>9.5</v>
      </c>
      <c r="O1133" s="35">
        <v>0</v>
      </c>
      <c r="P1133" s="35">
        <v>146</v>
      </c>
      <c r="Q1133" s="35">
        <v>0</v>
      </c>
      <c r="R1133" s="36">
        <v>14.01</v>
      </c>
      <c r="S1133" s="37">
        <f>IFERROR(_xlfn.XLOOKUP(R1133,'1_Presupuesto'!$E:$E,'1_Presupuesto'!$D:$D),"")</f>
        <v>0</v>
      </c>
    </row>
    <row r="1134" spans="1:19" x14ac:dyDescent="0.35">
      <c r="A1134" s="31" t="s">
        <v>2704</v>
      </c>
      <c r="B1134" s="31" t="s">
        <v>497</v>
      </c>
      <c r="C1134" s="31" t="s">
        <v>498</v>
      </c>
      <c r="D1134" s="31" t="s">
        <v>1268</v>
      </c>
      <c r="E1134" s="31" t="s">
        <v>1269</v>
      </c>
      <c r="F1134" s="31" t="s">
        <v>261</v>
      </c>
      <c r="G1134" s="32">
        <v>2.8125000000000001E-2</v>
      </c>
      <c r="H1134" s="33">
        <v>0.05</v>
      </c>
      <c r="I1134" s="34">
        <v>23166.59</v>
      </c>
      <c r="J1134" s="34">
        <v>684.13836093750001</v>
      </c>
      <c r="K1134" s="31" t="s">
        <v>2705</v>
      </c>
      <c r="L1134" s="31">
        <v>7</v>
      </c>
      <c r="M1134" s="31" t="s">
        <v>2712</v>
      </c>
      <c r="N1134" s="34">
        <v>9.5</v>
      </c>
      <c r="O1134" s="35">
        <v>0</v>
      </c>
      <c r="P1134" s="35">
        <v>146</v>
      </c>
      <c r="Q1134" s="35">
        <v>0</v>
      </c>
      <c r="R1134" s="36">
        <v>14.01</v>
      </c>
      <c r="S1134" s="37">
        <f>IFERROR(_xlfn.XLOOKUP(R1134,'1_Presupuesto'!$E:$E,'1_Presupuesto'!$D:$D),"")</f>
        <v>0</v>
      </c>
    </row>
    <row r="1135" spans="1:19" x14ac:dyDescent="0.35">
      <c r="A1135" s="31" t="s">
        <v>2704</v>
      </c>
      <c r="B1135" s="31" t="s">
        <v>497</v>
      </c>
      <c r="C1135" s="31" t="s">
        <v>498</v>
      </c>
      <c r="D1135" s="31" t="s">
        <v>1271</v>
      </c>
      <c r="E1135" s="31" t="s">
        <v>1272</v>
      </c>
      <c r="F1135" s="31" t="s">
        <v>261</v>
      </c>
      <c r="G1135" s="32">
        <v>0.36</v>
      </c>
      <c r="H1135" s="33">
        <v>0.1</v>
      </c>
      <c r="I1135" s="34">
        <v>10458</v>
      </c>
      <c r="J1135" s="34">
        <v>4141.3680000000004</v>
      </c>
      <c r="K1135" s="31" t="s">
        <v>2705</v>
      </c>
      <c r="L1135" s="31">
        <v>8</v>
      </c>
      <c r="M1135" s="31" t="s">
        <v>2713</v>
      </c>
      <c r="N1135" s="34">
        <v>9.5</v>
      </c>
      <c r="O1135" s="35">
        <v>0</v>
      </c>
      <c r="P1135" s="35">
        <v>146</v>
      </c>
      <c r="Q1135" s="35">
        <v>0</v>
      </c>
      <c r="R1135" s="36">
        <v>14.01</v>
      </c>
      <c r="S1135" s="37">
        <f>IFERROR(_xlfn.XLOOKUP(R1135,'1_Presupuesto'!$E:$E,'1_Presupuesto'!$D:$D),"")</f>
        <v>0</v>
      </c>
    </row>
    <row r="1136" spans="1:19" x14ac:dyDescent="0.35">
      <c r="A1136" s="31" t="s">
        <v>2704</v>
      </c>
      <c r="B1136" s="31" t="s">
        <v>203</v>
      </c>
      <c r="C1136" s="31"/>
      <c r="D1136" s="31" t="s">
        <v>572</v>
      </c>
      <c r="E1136" s="31" t="s">
        <v>573</v>
      </c>
      <c r="F1136" s="31"/>
      <c r="G1136" s="32">
        <v>1</v>
      </c>
      <c r="H1136" s="33">
        <v>0</v>
      </c>
      <c r="I1136" s="34">
        <v>152.380274273738</v>
      </c>
      <c r="J1136" s="34">
        <v>152.380274273738</v>
      </c>
      <c r="K1136" s="31" t="s">
        <v>2714</v>
      </c>
      <c r="L1136" s="31">
        <v>1</v>
      </c>
      <c r="M1136" s="31" t="s">
        <v>2715</v>
      </c>
      <c r="N1136" s="34">
        <v>9.5</v>
      </c>
      <c r="O1136" s="35">
        <v>0</v>
      </c>
      <c r="P1136" s="35">
        <v>146</v>
      </c>
      <c r="Q1136" s="35">
        <v>0</v>
      </c>
      <c r="R1136" s="36">
        <v>14.01</v>
      </c>
      <c r="S1136" s="37">
        <f>IFERROR(_xlfn.XLOOKUP(R1136,'1_Presupuesto'!$E:$E,'1_Presupuesto'!$D:$D),"")</f>
        <v>0</v>
      </c>
    </row>
    <row r="1137" spans="1:19" x14ac:dyDescent="0.35">
      <c r="A1137" s="31" t="s">
        <v>2716</v>
      </c>
      <c r="B1137" s="31" t="s">
        <v>497</v>
      </c>
      <c r="C1137" s="31" t="s">
        <v>498</v>
      </c>
      <c r="D1137" s="31" t="s">
        <v>1281</v>
      </c>
      <c r="E1137" s="31" t="s">
        <v>1282</v>
      </c>
      <c r="F1137" s="31" t="s">
        <v>261</v>
      </c>
      <c r="G1137" s="32">
        <v>0.50769200000000003</v>
      </c>
      <c r="H1137" s="33">
        <v>0.1</v>
      </c>
      <c r="I1137" s="34">
        <v>3084.79</v>
      </c>
      <c r="J1137" s="34">
        <v>1722.7355251480001</v>
      </c>
      <c r="K1137" s="31" t="s">
        <v>2717</v>
      </c>
      <c r="L1137" s="31">
        <v>1</v>
      </c>
      <c r="M1137" s="31" t="s">
        <v>2718</v>
      </c>
      <c r="N1137" s="34">
        <v>9.5</v>
      </c>
      <c r="O1137" s="35">
        <v>0</v>
      </c>
      <c r="P1137" s="35">
        <v>89</v>
      </c>
      <c r="Q1137" s="35">
        <v>0</v>
      </c>
      <c r="R1137" s="36">
        <v>14.02</v>
      </c>
      <c r="S1137" s="37">
        <f>IFERROR(_xlfn.XLOOKUP(R1137,'1_Presupuesto'!$E:$E,'1_Presupuesto'!$D:$D),"")</f>
        <v>0</v>
      </c>
    </row>
    <row r="1138" spans="1:19" x14ac:dyDescent="0.35">
      <c r="A1138" s="31" t="s">
        <v>2716</v>
      </c>
      <c r="B1138" s="31" t="s">
        <v>497</v>
      </c>
      <c r="C1138" s="31" t="s">
        <v>498</v>
      </c>
      <c r="D1138" s="31" t="s">
        <v>1285</v>
      </c>
      <c r="E1138" s="31" t="s">
        <v>1286</v>
      </c>
      <c r="F1138" s="31" t="s">
        <v>261</v>
      </c>
      <c r="G1138" s="32">
        <v>1.230769</v>
      </c>
      <c r="H1138" s="33">
        <v>0.1</v>
      </c>
      <c r="I1138" s="34">
        <v>3385.62</v>
      </c>
      <c r="J1138" s="34">
        <v>4583.6077559579999</v>
      </c>
      <c r="K1138" s="31" t="s">
        <v>2717</v>
      </c>
      <c r="L1138" s="31">
        <v>2</v>
      </c>
      <c r="M1138" s="31" t="s">
        <v>2719</v>
      </c>
      <c r="N1138" s="34">
        <v>9.5</v>
      </c>
      <c r="O1138" s="35">
        <v>0</v>
      </c>
      <c r="P1138" s="35">
        <v>89</v>
      </c>
      <c r="Q1138" s="35">
        <v>0</v>
      </c>
      <c r="R1138" s="36">
        <v>14.02</v>
      </c>
      <c r="S1138" s="37">
        <f>IFERROR(_xlfn.XLOOKUP(R1138,'1_Presupuesto'!$E:$E,'1_Presupuesto'!$D:$D),"")</f>
        <v>0</v>
      </c>
    </row>
    <row r="1139" spans="1:19" x14ac:dyDescent="0.35">
      <c r="A1139" s="31" t="s">
        <v>2716</v>
      </c>
      <c r="B1139" s="31" t="s">
        <v>497</v>
      </c>
      <c r="C1139" s="31" t="s">
        <v>498</v>
      </c>
      <c r="D1139" s="31" t="s">
        <v>1260</v>
      </c>
      <c r="E1139" s="31" t="s">
        <v>1261</v>
      </c>
      <c r="F1139" s="31" t="s">
        <v>261</v>
      </c>
      <c r="G1139" s="32">
        <v>16</v>
      </c>
      <c r="H1139" s="33">
        <v>0.05</v>
      </c>
      <c r="I1139" s="34">
        <v>26.153884000000001</v>
      </c>
      <c r="J1139" s="34">
        <v>439.38525120000003</v>
      </c>
      <c r="K1139" s="31" t="s">
        <v>2717</v>
      </c>
      <c r="L1139" s="31">
        <v>3</v>
      </c>
      <c r="M1139" s="31" t="s">
        <v>2720</v>
      </c>
      <c r="N1139" s="34">
        <v>9.5</v>
      </c>
      <c r="O1139" s="35">
        <v>0</v>
      </c>
      <c r="P1139" s="35">
        <v>89</v>
      </c>
      <c r="Q1139" s="35">
        <v>0</v>
      </c>
      <c r="R1139" s="36">
        <v>14.02</v>
      </c>
      <c r="S1139" s="37">
        <f>IFERROR(_xlfn.XLOOKUP(R1139,'1_Presupuesto'!$E:$E,'1_Presupuesto'!$D:$D),"")</f>
        <v>0</v>
      </c>
    </row>
    <row r="1140" spans="1:19" x14ac:dyDescent="0.35">
      <c r="A1140" s="31" t="s">
        <v>2716</v>
      </c>
      <c r="B1140" s="31" t="s">
        <v>497</v>
      </c>
      <c r="C1140" s="31" t="s">
        <v>498</v>
      </c>
      <c r="D1140" s="31" t="s">
        <v>587</v>
      </c>
      <c r="E1140" s="31" t="s">
        <v>588</v>
      </c>
      <c r="F1140" s="31" t="s">
        <v>261</v>
      </c>
      <c r="G1140" s="32">
        <v>18</v>
      </c>
      <c r="H1140" s="33">
        <v>0.05</v>
      </c>
      <c r="I1140" s="34">
        <v>9.1146919999999998</v>
      </c>
      <c r="J1140" s="34">
        <v>172.2676788</v>
      </c>
      <c r="K1140" s="31" t="s">
        <v>2717</v>
      </c>
      <c r="L1140" s="31">
        <v>4</v>
      </c>
      <c r="M1140" s="31" t="s">
        <v>2721</v>
      </c>
      <c r="N1140" s="34">
        <v>9.5</v>
      </c>
      <c r="O1140" s="35">
        <v>0</v>
      </c>
      <c r="P1140" s="35">
        <v>89</v>
      </c>
      <c r="Q1140" s="35">
        <v>0</v>
      </c>
      <c r="R1140" s="36">
        <v>14.02</v>
      </c>
      <c r="S1140" s="37">
        <f>IFERROR(_xlfn.XLOOKUP(R1140,'1_Presupuesto'!$E:$E,'1_Presupuesto'!$D:$D),"")</f>
        <v>0</v>
      </c>
    </row>
    <row r="1141" spans="1:19" x14ac:dyDescent="0.35">
      <c r="A1141" s="31" t="s">
        <v>2716</v>
      </c>
      <c r="B1141" s="31" t="s">
        <v>497</v>
      </c>
      <c r="C1141" s="31" t="s">
        <v>498</v>
      </c>
      <c r="D1141" s="31" t="s">
        <v>562</v>
      </c>
      <c r="E1141" s="31" t="s">
        <v>563</v>
      </c>
      <c r="F1141" s="31" t="s">
        <v>261</v>
      </c>
      <c r="G1141" s="32">
        <v>6</v>
      </c>
      <c r="H1141" s="33">
        <v>0.05</v>
      </c>
      <c r="I1141" s="34">
        <v>63.381982999999998</v>
      </c>
      <c r="J1141" s="34">
        <v>399.30649290000002</v>
      </c>
      <c r="K1141" s="31" t="s">
        <v>2717</v>
      </c>
      <c r="L1141" s="31">
        <v>5</v>
      </c>
      <c r="M1141" s="31" t="s">
        <v>2722</v>
      </c>
      <c r="N1141" s="34">
        <v>9.5</v>
      </c>
      <c r="O1141" s="35">
        <v>0</v>
      </c>
      <c r="P1141" s="35">
        <v>89</v>
      </c>
      <c r="Q1141" s="35">
        <v>0</v>
      </c>
      <c r="R1141" s="36">
        <v>14.02</v>
      </c>
      <c r="S1141" s="37">
        <f>IFERROR(_xlfn.XLOOKUP(R1141,'1_Presupuesto'!$E:$E,'1_Presupuesto'!$D:$D),"")</f>
        <v>0</v>
      </c>
    </row>
    <row r="1142" spans="1:19" x14ac:dyDescent="0.35">
      <c r="A1142" s="31" t="s">
        <v>2716</v>
      </c>
      <c r="B1142" s="31" t="s">
        <v>497</v>
      </c>
      <c r="C1142" s="31" t="s">
        <v>498</v>
      </c>
      <c r="D1142" s="31" t="s">
        <v>1265</v>
      </c>
      <c r="E1142" s="31" t="s">
        <v>1266</v>
      </c>
      <c r="F1142" s="31" t="s">
        <v>261</v>
      </c>
      <c r="G1142" s="32">
        <v>1.8332999999999999E-2</v>
      </c>
      <c r="H1142" s="33">
        <v>0.05</v>
      </c>
      <c r="I1142" s="34">
        <v>4734.07</v>
      </c>
      <c r="J1142" s="34">
        <v>91.129190575500004</v>
      </c>
      <c r="K1142" s="31" t="s">
        <v>2717</v>
      </c>
      <c r="L1142" s="31">
        <v>6</v>
      </c>
      <c r="M1142" s="31" t="s">
        <v>2723</v>
      </c>
      <c r="N1142" s="34">
        <v>9.5</v>
      </c>
      <c r="O1142" s="35">
        <v>0</v>
      </c>
      <c r="P1142" s="35">
        <v>89</v>
      </c>
      <c r="Q1142" s="35">
        <v>0</v>
      </c>
      <c r="R1142" s="36">
        <v>14.02</v>
      </c>
      <c r="S1142" s="37">
        <f>IFERROR(_xlfn.XLOOKUP(R1142,'1_Presupuesto'!$E:$E,'1_Presupuesto'!$D:$D),"")</f>
        <v>0</v>
      </c>
    </row>
    <row r="1143" spans="1:19" x14ac:dyDescent="0.35">
      <c r="A1143" s="31" t="s">
        <v>2716</v>
      </c>
      <c r="B1143" s="31" t="s">
        <v>497</v>
      </c>
      <c r="C1143" s="31" t="s">
        <v>498</v>
      </c>
      <c r="D1143" s="31" t="s">
        <v>1268</v>
      </c>
      <c r="E1143" s="31" t="s">
        <v>1269</v>
      </c>
      <c r="F1143" s="31" t="s">
        <v>261</v>
      </c>
      <c r="G1143" s="32">
        <v>2.8125000000000001E-2</v>
      </c>
      <c r="H1143" s="33">
        <v>0.05</v>
      </c>
      <c r="I1143" s="34">
        <v>23166.59</v>
      </c>
      <c r="J1143" s="34">
        <v>684.13836093750001</v>
      </c>
      <c r="K1143" s="31" t="s">
        <v>2717</v>
      </c>
      <c r="L1143" s="31">
        <v>7</v>
      </c>
      <c r="M1143" s="31" t="s">
        <v>2724</v>
      </c>
      <c r="N1143" s="34">
        <v>9.5</v>
      </c>
      <c r="O1143" s="35">
        <v>0</v>
      </c>
      <c r="P1143" s="35">
        <v>89</v>
      </c>
      <c r="Q1143" s="35">
        <v>0</v>
      </c>
      <c r="R1143" s="36">
        <v>14.02</v>
      </c>
      <c r="S1143" s="37">
        <f>IFERROR(_xlfn.XLOOKUP(R1143,'1_Presupuesto'!$E:$E,'1_Presupuesto'!$D:$D),"")</f>
        <v>0</v>
      </c>
    </row>
    <row r="1144" spans="1:19" x14ac:dyDescent="0.35">
      <c r="A1144" s="31" t="s">
        <v>2716</v>
      </c>
      <c r="B1144" s="31" t="s">
        <v>497</v>
      </c>
      <c r="C1144" s="31" t="s">
        <v>498</v>
      </c>
      <c r="D1144" s="31" t="s">
        <v>1293</v>
      </c>
      <c r="E1144" s="31" t="s">
        <v>1294</v>
      </c>
      <c r="F1144" s="31" t="s">
        <v>261</v>
      </c>
      <c r="G1144" s="32">
        <v>0.36</v>
      </c>
      <c r="H1144" s="33">
        <v>0.1</v>
      </c>
      <c r="I1144" s="34">
        <v>16808.400000000001</v>
      </c>
      <c r="J1144" s="34">
        <v>6656.1264000000001</v>
      </c>
      <c r="K1144" s="31" t="s">
        <v>2717</v>
      </c>
      <c r="L1144" s="31">
        <v>8</v>
      </c>
      <c r="M1144" s="31" t="s">
        <v>2725</v>
      </c>
      <c r="N1144" s="34">
        <v>9.5</v>
      </c>
      <c r="O1144" s="35">
        <v>0</v>
      </c>
      <c r="P1144" s="35">
        <v>89</v>
      </c>
      <c r="Q1144" s="35">
        <v>0</v>
      </c>
      <c r="R1144" s="36">
        <v>14.02</v>
      </c>
      <c r="S1144" s="37">
        <f>IFERROR(_xlfn.XLOOKUP(R1144,'1_Presupuesto'!$E:$E,'1_Presupuesto'!$D:$D),"")</f>
        <v>0</v>
      </c>
    </row>
    <row r="1145" spans="1:19" x14ac:dyDescent="0.35">
      <c r="A1145" s="31" t="s">
        <v>2716</v>
      </c>
      <c r="B1145" s="31" t="s">
        <v>203</v>
      </c>
      <c r="C1145" s="31"/>
      <c r="D1145" s="31" t="s">
        <v>572</v>
      </c>
      <c r="E1145" s="31" t="s">
        <v>573</v>
      </c>
      <c r="F1145" s="31"/>
      <c r="G1145" s="32">
        <v>1</v>
      </c>
      <c r="H1145" s="33">
        <v>0</v>
      </c>
      <c r="I1145" s="34">
        <v>152.380274273738</v>
      </c>
      <c r="J1145" s="34">
        <v>152.380274273738</v>
      </c>
      <c r="K1145" s="31" t="s">
        <v>2726</v>
      </c>
      <c r="L1145" s="31">
        <v>1</v>
      </c>
      <c r="M1145" s="31" t="s">
        <v>2727</v>
      </c>
      <c r="N1145" s="34">
        <v>9.5</v>
      </c>
      <c r="O1145" s="35">
        <v>0</v>
      </c>
      <c r="P1145" s="35">
        <v>89</v>
      </c>
      <c r="Q1145" s="35">
        <v>0</v>
      </c>
      <c r="R1145" s="36">
        <v>14.02</v>
      </c>
      <c r="S1145" s="37">
        <f>IFERROR(_xlfn.XLOOKUP(R1145,'1_Presupuesto'!$E:$E,'1_Presupuesto'!$D:$D),"")</f>
        <v>0</v>
      </c>
    </row>
    <row r="1146" spans="1:19" x14ac:dyDescent="0.35">
      <c r="A1146" s="31" t="s">
        <v>1274</v>
      </c>
      <c r="B1146" s="31" t="s">
        <v>497</v>
      </c>
      <c r="C1146" s="31" t="s">
        <v>498</v>
      </c>
      <c r="D1146" s="31" t="s">
        <v>1253</v>
      </c>
      <c r="E1146" s="31" t="s">
        <v>1254</v>
      </c>
      <c r="F1146" s="31" t="s">
        <v>261</v>
      </c>
      <c r="G1146" s="32">
        <v>0.50769200000000003</v>
      </c>
      <c r="H1146" s="33">
        <v>0.1</v>
      </c>
      <c r="I1146" s="34">
        <v>2244.87</v>
      </c>
      <c r="J1146" s="34">
        <v>1253.6727940440001</v>
      </c>
      <c r="K1146" s="31" t="s">
        <v>2728</v>
      </c>
      <c r="L1146" s="31">
        <v>1</v>
      </c>
      <c r="M1146" s="31" t="s">
        <v>2729</v>
      </c>
      <c r="N1146" s="34">
        <v>9.5</v>
      </c>
      <c r="O1146" s="35">
        <v>0</v>
      </c>
      <c r="P1146" s="35">
        <v>62</v>
      </c>
      <c r="Q1146" s="35">
        <v>0</v>
      </c>
      <c r="R1146" s="36">
        <v>14.03</v>
      </c>
      <c r="S1146" s="37" t="str">
        <f>IFERROR(_xlfn.XLOOKUP(R1146,'1_Presupuesto'!$E:$E,'1_Presupuesto'!$D:$D),"")</f>
        <v>Durlock MO</v>
      </c>
    </row>
    <row r="1147" spans="1:19" x14ac:dyDescent="0.35">
      <c r="A1147" s="31" t="s">
        <v>1274</v>
      </c>
      <c r="B1147" s="31" t="s">
        <v>497</v>
      </c>
      <c r="C1147" s="31" t="s">
        <v>498</v>
      </c>
      <c r="D1147" s="31" t="s">
        <v>1257</v>
      </c>
      <c r="E1147" s="31" t="s">
        <v>1258</v>
      </c>
      <c r="F1147" s="31" t="s">
        <v>261</v>
      </c>
      <c r="G1147" s="32">
        <v>1.230769</v>
      </c>
      <c r="H1147" s="33">
        <v>0.1</v>
      </c>
      <c r="I1147" s="34">
        <v>2574.7199999999998</v>
      </c>
      <c r="J1147" s="34">
        <v>3485.7741156480001</v>
      </c>
      <c r="K1147" s="31" t="s">
        <v>2728</v>
      </c>
      <c r="L1147" s="31">
        <v>2</v>
      </c>
      <c r="M1147" s="31" t="s">
        <v>2730</v>
      </c>
      <c r="N1147" s="34">
        <v>9.5</v>
      </c>
      <c r="O1147" s="35">
        <v>0</v>
      </c>
      <c r="P1147" s="35">
        <v>62</v>
      </c>
      <c r="Q1147" s="35">
        <v>0</v>
      </c>
      <c r="R1147" s="36">
        <v>14.03</v>
      </c>
      <c r="S1147" s="37" t="str">
        <f>IFERROR(_xlfn.XLOOKUP(R1147,'1_Presupuesto'!$E:$E,'1_Presupuesto'!$D:$D),"")</f>
        <v>Durlock MO</v>
      </c>
    </row>
    <row r="1148" spans="1:19" x14ac:dyDescent="0.35">
      <c r="A1148" s="31" t="s">
        <v>1274</v>
      </c>
      <c r="B1148" s="31" t="s">
        <v>497</v>
      </c>
      <c r="C1148" s="31" t="s">
        <v>498</v>
      </c>
      <c r="D1148" s="31" t="s">
        <v>1260</v>
      </c>
      <c r="E1148" s="31" t="s">
        <v>1261</v>
      </c>
      <c r="F1148" s="31" t="s">
        <v>261</v>
      </c>
      <c r="G1148" s="32">
        <v>16</v>
      </c>
      <c r="H1148" s="33">
        <v>0.05</v>
      </c>
      <c r="I1148" s="34">
        <v>26.153884000000001</v>
      </c>
      <c r="J1148" s="34">
        <v>439.38525120000003</v>
      </c>
      <c r="K1148" s="31" t="s">
        <v>2728</v>
      </c>
      <c r="L1148" s="31">
        <v>3</v>
      </c>
      <c r="M1148" s="31" t="s">
        <v>2731</v>
      </c>
      <c r="N1148" s="34">
        <v>9.5</v>
      </c>
      <c r="O1148" s="35">
        <v>0</v>
      </c>
      <c r="P1148" s="35">
        <v>62</v>
      </c>
      <c r="Q1148" s="35">
        <v>0</v>
      </c>
      <c r="R1148" s="36">
        <v>14.03</v>
      </c>
      <c r="S1148" s="37" t="str">
        <f>IFERROR(_xlfn.XLOOKUP(R1148,'1_Presupuesto'!$E:$E,'1_Presupuesto'!$D:$D),"")</f>
        <v>Durlock MO</v>
      </c>
    </row>
    <row r="1149" spans="1:19" x14ac:dyDescent="0.35">
      <c r="A1149" s="31" t="s">
        <v>1274</v>
      </c>
      <c r="B1149" s="31" t="s">
        <v>497</v>
      </c>
      <c r="C1149" s="31" t="s">
        <v>498</v>
      </c>
      <c r="D1149" s="31" t="s">
        <v>587</v>
      </c>
      <c r="E1149" s="31" t="s">
        <v>588</v>
      </c>
      <c r="F1149" s="31" t="s">
        <v>261</v>
      </c>
      <c r="G1149" s="32">
        <v>18</v>
      </c>
      <c r="H1149" s="33">
        <v>0.05</v>
      </c>
      <c r="I1149" s="34">
        <v>9.1146919999999998</v>
      </c>
      <c r="J1149" s="34">
        <v>172.2676788</v>
      </c>
      <c r="K1149" s="31" t="s">
        <v>2728</v>
      </c>
      <c r="L1149" s="31">
        <v>4</v>
      </c>
      <c r="M1149" s="31" t="s">
        <v>2732</v>
      </c>
      <c r="N1149" s="34">
        <v>9.5</v>
      </c>
      <c r="O1149" s="35">
        <v>0</v>
      </c>
      <c r="P1149" s="35">
        <v>62</v>
      </c>
      <c r="Q1149" s="35">
        <v>0</v>
      </c>
      <c r="R1149" s="36">
        <v>14.03</v>
      </c>
      <c r="S1149" s="37" t="str">
        <f>IFERROR(_xlfn.XLOOKUP(R1149,'1_Presupuesto'!$E:$E,'1_Presupuesto'!$D:$D),"")</f>
        <v>Durlock MO</v>
      </c>
    </row>
    <row r="1150" spans="1:19" x14ac:dyDescent="0.35">
      <c r="A1150" s="31" t="s">
        <v>1274</v>
      </c>
      <c r="B1150" s="31" t="s">
        <v>497</v>
      </c>
      <c r="C1150" s="31" t="s">
        <v>498</v>
      </c>
      <c r="D1150" s="31" t="s">
        <v>562</v>
      </c>
      <c r="E1150" s="31" t="s">
        <v>563</v>
      </c>
      <c r="F1150" s="31" t="s">
        <v>261</v>
      </c>
      <c r="G1150" s="32">
        <v>6</v>
      </c>
      <c r="H1150" s="33">
        <v>0.05</v>
      </c>
      <c r="I1150" s="34">
        <v>63.381982999999998</v>
      </c>
      <c r="J1150" s="34">
        <v>399.30649290000002</v>
      </c>
      <c r="K1150" s="31" t="s">
        <v>2728</v>
      </c>
      <c r="L1150" s="31">
        <v>5</v>
      </c>
      <c r="M1150" s="31" t="s">
        <v>2733</v>
      </c>
      <c r="N1150" s="34">
        <v>9.5</v>
      </c>
      <c r="O1150" s="35">
        <v>0</v>
      </c>
      <c r="P1150" s="35">
        <v>62</v>
      </c>
      <c r="Q1150" s="35">
        <v>0</v>
      </c>
      <c r="R1150" s="36">
        <v>14.03</v>
      </c>
      <c r="S1150" s="37" t="str">
        <f>IFERROR(_xlfn.XLOOKUP(R1150,'1_Presupuesto'!$E:$E,'1_Presupuesto'!$D:$D),"")</f>
        <v>Durlock MO</v>
      </c>
    </row>
    <row r="1151" spans="1:19" x14ac:dyDescent="0.35">
      <c r="A1151" s="31" t="s">
        <v>1274</v>
      </c>
      <c r="B1151" s="31" t="s">
        <v>497</v>
      </c>
      <c r="C1151" s="31" t="s">
        <v>498</v>
      </c>
      <c r="D1151" s="31" t="s">
        <v>1265</v>
      </c>
      <c r="E1151" s="31" t="s">
        <v>1266</v>
      </c>
      <c r="F1151" s="31" t="s">
        <v>261</v>
      </c>
      <c r="G1151" s="32">
        <v>1.8332999999999999E-2</v>
      </c>
      <c r="H1151" s="33">
        <v>0.05</v>
      </c>
      <c r="I1151" s="34">
        <v>4734.07</v>
      </c>
      <c r="J1151" s="34">
        <v>91.129190575500004</v>
      </c>
      <c r="K1151" s="31" t="s">
        <v>2728</v>
      </c>
      <c r="L1151" s="31">
        <v>6</v>
      </c>
      <c r="M1151" s="31" t="s">
        <v>2734</v>
      </c>
      <c r="N1151" s="34">
        <v>9.5</v>
      </c>
      <c r="O1151" s="35">
        <v>0</v>
      </c>
      <c r="P1151" s="35">
        <v>62</v>
      </c>
      <c r="Q1151" s="35">
        <v>0</v>
      </c>
      <c r="R1151" s="36">
        <v>14.03</v>
      </c>
      <c r="S1151" s="37" t="str">
        <f>IFERROR(_xlfn.XLOOKUP(R1151,'1_Presupuesto'!$E:$E,'1_Presupuesto'!$D:$D),"")</f>
        <v>Durlock MO</v>
      </c>
    </row>
    <row r="1152" spans="1:19" x14ac:dyDescent="0.35">
      <c r="A1152" s="31" t="s">
        <v>1274</v>
      </c>
      <c r="B1152" s="31" t="s">
        <v>497</v>
      </c>
      <c r="C1152" s="31" t="s">
        <v>498</v>
      </c>
      <c r="D1152" s="31" t="s">
        <v>1268</v>
      </c>
      <c r="E1152" s="31" t="s">
        <v>1269</v>
      </c>
      <c r="F1152" s="31" t="s">
        <v>261</v>
      </c>
      <c r="G1152" s="32">
        <v>2.8125000000000001E-2</v>
      </c>
      <c r="H1152" s="33">
        <v>0.05</v>
      </c>
      <c r="I1152" s="34">
        <v>23166.59</v>
      </c>
      <c r="J1152" s="34">
        <v>684.13836093750001</v>
      </c>
      <c r="K1152" s="31" t="s">
        <v>2728</v>
      </c>
      <c r="L1152" s="31">
        <v>7</v>
      </c>
      <c r="M1152" s="31" t="s">
        <v>2735</v>
      </c>
      <c r="N1152" s="34">
        <v>9.5</v>
      </c>
      <c r="O1152" s="35">
        <v>0</v>
      </c>
      <c r="P1152" s="35">
        <v>62</v>
      </c>
      <c r="Q1152" s="35">
        <v>0</v>
      </c>
      <c r="R1152" s="36">
        <v>14.03</v>
      </c>
      <c r="S1152" s="37" t="str">
        <f>IFERROR(_xlfn.XLOOKUP(R1152,'1_Presupuesto'!$E:$E,'1_Presupuesto'!$D:$D),"")</f>
        <v>Durlock MO</v>
      </c>
    </row>
    <row r="1153" spans="1:19" x14ac:dyDescent="0.35">
      <c r="A1153" s="31" t="s">
        <v>1274</v>
      </c>
      <c r="B1153" s="31" t="s">
        <v>497</v>
      </c>
      <c r="C1153" s="31" t="s">
        <v>498</v>
      </c>
      <c r="D1153" s="31" t="s">
        <v>1271</v>
      </c>
      <c r="E1153" s="31" t="s">
        <v>1272</v>
      </c>
      <c r="F1153" s="31" t="s">
        <v>261</v>
      </c>
      <c r="G1153" s="32">
        <v>0.36</v>
      </c>
      <c r="H1153" s="33">
        <v>0.1</v>
      </c>
      <c r="I1153" s="34">
        <v>10458</v>
      </c>
      <c r="J1153" s="34">
        <v>4141.3680000000004</v>
      </c>
      <c r="K1153" s="31" t="s">
        <v>2728</v>
      </c>
      <c r="L1153" s="31">
        <v>8</v>
      </c>
      <c r="M1153" s="31" t="s">
        <v>2736</v>
      </c>
      <c r="N1153" s="34">
        <v>9.5</v>
      </c>
      <c r="O1153" s="35">
        <v>0</v>
      </c>
      <c r="P1153" s="35">
        <v>62</v>
      </c>
      <c r="Q1153" s="35">
        <v>0</v>
      </c>
      <c r="R1153" s="36">
        <v>14.03</v>
      </c>
      <c r="S1153" s="37" t="str">
        <f>IFERROR(_xlfn.XLOOKUP(R1153,'1_Presupuesto'!$E:$E,'1_Presupuesto'!$D:$D),"")</f>
        <v>Durlock MO</v>
      </c>
    </row>
    <row r="1154" spans="1:19" x14ac:dyDescent="0.35">
      <c r="A1154" s="31" t="s">
        <v>1274</v>
      </c>
      <c r="B1154" s="31" t="s">
        <v>497</v>
      </c>
      <c r="C1154" s="31" t="s">
        <v>498</v>
      </c>
      <c r="D1154" s="31" t="s">
        <v>583</v>
      </c>
      <c r="E1154" s="31" t="s">
        <v>584</v>
      </c>
      <c r="F1154" s="31" t="s">
        <v>261</v>
      </c>
      <c r="G1154" s="32">
        <v>0.39</v>
      </c>
      <c r="H1154" s="33">
        <v>0.1</v>
      </c>
      <c r="I1154" s="34">
        <v>2234.1799999999998</v>
      </c>
      <c r="J1154" s="34">
        <v>958.46321999999998</v>
      </c>
      <c r="K1154" s="31" t="s">
        <v>2728</v>
      </c>
      <c r="L1154" s="31">
        <v>9</v>
      </c>
      <c r="M1154" s="31" t="s">
        <v>2737</v>
      </c>
      <c r="N1154" s="34">
        <v>9.5</v>
      </c>
      <c r="O1154" s="35">
        <v>0</v>
      </c>
      <c r="P1154" s="35">
        <v>62</v>
      </c>
      <c r="Q1154" s="35">
        <v>0</v>
      </c>
      <c r="R1154" s="36">
        <v>14.03</v>
      </c>
      <c r="S1154" s="37" t="str">
        <f>IFERROR(_xlfn.XLOOKUP(R1154,'1_Presupuesto'!$E:$E,'1_Presupuesto'!$D:$D),"")</f>
        <v>Durlock MO</v>
      </c>
    </row>
    <row r="1155" spans="1:19" x14ac:dyDescent="0.35">
      <c r="A1155" s="31" t="s">
        <v>1274</v>
      </c>
      <c r="B1155" s="31" t="s">
        <v>497</v>
      </c>
      <c r="C1155" s="31" t="s">
        <v>498</v>
      </c>
      <c r="D1155" s="31" t="s">
        <v>587</v>
      </c>
      <c r="E1155" s="31" t="s">
        <v>588</v>
      </c>
      <c r="F1155" s="31" t="s">
        <v>261</v>
      </c>
      <c r="G1155" s="32">
        <v>3</v>
      </c>
      <c r="H1155" s="33">
        <v>0.05</v>
      </c>
      <c r="I1155" s="34">
        <v>9.1146919999999998</v>
      </c>
      <c r="J1155" s="34">
        <v>28.7112798</v>
      </c>
      <c r="K1155" s="31" t="s">
        <v>2728</v>
      </c>
      <c r="L1155" s="31">
        <v>10</v>
      </c>
      <c r="M1155" s="31" t="s">
        <v>2738</v>
      </c>
      <c r="N1155" s="34">
        <v>9.5</v>
      </c>
      <c r="O1155" s="35">
        <v>0</v>
      </c>
      <c r="P1155" s="35">
        <v>62</v>
      </c>
      <c r="Q1155" s="35">
        <v>0</v>
      </c>
      <c r="R1155" s="36">
        <v>14.03</v>
      </c>
      <c r="S1155" s="37" t="str">
        <f>IFERROR(_xlfn.XLOOKUP(R1155,'1_Presupuesto'!$E:$E,'1_Presupuesto'!$D:$D),"")</f>
        <v>Durlock MO</v>
      </c>
    </row>
    <row r="1156" spans="1:19" x14ac:dyDescent="0.35">
      <c r="A1156" s="31" t="s">
        <v>1274</v>
      </c>
      <c r="B1156" s="31" t="s">
        <v>203</v>
      </c>
      <c r="C1156" s="31"/>
      <c r="D1156" s="31" t="s">
        <v>576</v>
      </c>
      <c r="E1156" s="31" t="s">
        <v>577</v>
      </c>
      <c r="F1156" s="31"/>
      <c r="G1156" s="32">
        <v>1</v>
      </c>
      <c r="H1156" s="33">
        <v>0</v>
      </c>
      <c r="I1156" s="34">
        <v>2570.7599166666701</v>
      </c>
      <c r="J1156" s="34">
        <v>2570.7599166666701</v>
      </c>
      <c r="K1156" s="31" t="s">
        <v>1275</v>
      </c>
      <c r="L1156" s="31">
        <v>2</v>
      </c>
      <c r="M1156" s="31" t="s">
        <v>2739</v>
      </c>
      <c r="N1156" s="34">
        <v>9.5</v>
      </c>
      <c r="O1156" s="35">
        <v>0</v>
      </c>
      <c r="P1156" s="35">
        <v>62</v>
      </c>
      <c r="Q1156" s="35">
        <v>0</v>
      </c>
      <c r="R1156" s="36">
        <v>14.03</v>
      </c>
      <c r="S1156" s="37" t="str">
        <f>IFERROR(_xlfn.XLOOKUP(R1156,'1_Presupuesto'!$E:$E,'1_Presupuesto'!$D:$D),"")</f>
        <v>Durlock MO</v>
      </c>
    </row>
    <row r="1157" spans="1:19" x14ac:dyDescent="0.35">
      <c r="A1157" s="31" t="s">
        <v>2740</v>
      </c>
      <c r="B1157" s="31" t="s">
        <v>497</v>
      </c>
      <c r="C1157" s="31" t="s">
        <v>498</v>
      </c>
      <c r="D1157" s="31" t="s">
        <v>583</v>
      </c>
      <c r="E1157" s="31" t="s">
        <v>584</v>
      </c>
      <c r="F1157" s="31" t="s">
        <v>261</v>
      </c>
      <c r="G1157" s="32">
        <v>0.39</v>
      </c>
      <c r="H1157" s="33">
        <v>0.1</v>
      </c>
      <c r="I1157" s="34">
        <v>2234.1799999999998</v>
      </c>
      <c r="J1157" s="34">
        <v>958.46321999999998</v>
      </c>
      <c r="K1157" s="31" t="s">
        <v>2741</v>
      </c>
      <c r="L1157" s="31">
        <v>1</v>
      </c>
      <c r="M1157" s="31" t="s">
        <v>2742</v>
      </c>
      <c r="N1157" s="34">
        <v>15</v>
      </c>
      <c r="O1157" s="35">
        <v>0</v>
      </c>
      <c r="P1157" s="35">
        <v>689</v>
      </c>
      <c r="Q1157" s="35">
        <v>0</v>
      </c>
      <c r="R1157" s="36">
        <v>14.04</v>
      </c>
      <c r="S1157" s="37">
        <f>IFERROR(_xlfn.XLOOKUP(R1157,'1_Presupuesto'!$E:$E,'1_Presupuesto'!$D:$D),"")</f>
        <v>0</v>
      </c>
    </row>
    <row r="1158" spans="1:19" x14ac:dyDescent="0.35">
      <c r="A1158" s="31" t="s">
        <v>2740</v>
      </c>
      <c r="B1158" s="31" t="s">
        <v>497</v>
      </c>
      <c r="C1158" s="31" t="s">
        <v>498</v>
      </c>
      <c r="D1158" s="31" t="s">
        <v>587</v>
      </c>
      <c r="E1158" s="31" t="s">
        <v>588</v>
      </c>
      <c r="F1158" s="31" t="s">
        <v>261</v>
      </c>
      <c r="G1158" s="32">
        <v>3</v>
      </c>
      <c r="H1158" s="33">
        <v>0.05</v>
      </c>
      <c r="I1158" s="34">
        <v>9.1146919999999998</v>
      </c>
      <c r="J1158" s="34">
        <v>28.7112798</v>
      </c>
      <c r="K1158" s="31" t="s">
        <v>2741</v>
      </c>
      <c r="L1158" s="31">
        <v>2</v>
      </c>
      <c r="M1158" s="31" t="s">
        <v>2743</v>
      </c>
      <c r="N1158" s="34">
        <v>15</v>
      </c>
      <c r="O1158" s="35">
        <v>0</v>
      </c>
      <c r="P1158" s="35">
        <v>689</v>
      </c>
      <c r="Q1158" s="35">
        <v>0</v>
      </c>
      <c r="R1158" s="36">
        <v>14.04</v>
      </c>
      <c r="S1158" s="37">
        <f>IFERROR(_xlfn.XLOOKUP(R1158,'1_Presupuesto'!$E:$E,'1_Presupuesto'!$D:$D),"")</f>
        <v>0</v>
      </c>
    </row>
    <row r="1159" spans="1:19" x14ac:dyDescent="0.35">
      <c r="A1159" s="31" t="s">
        <v>2740</v>
      </c>
      <c r="B1159" s="31" t="s">
        <v>203</v>
      </c>
      <c r="C1159" s="31"/>
      <c r="D1159" s="31" t="s">
        <v>572</v>
      </c>
      <c r="E1159" s="31" t="s">
        <v>573</v>
      </c>
      <c r="F1159" s="31"/>
      <c r="G1159" s="32">
        <v>1</v>
      </c>
      <c r="H1159" s="33">
        <v>0</v>
      </c>
      <c r="I1159" s="34">
        <v>152.380274273738</v>
      </c>
      <c r="J1159" s="34">
        <v>152.380274273738</v>
      </c>
      <c r="K1159" s="31" t="s">
        <v>2744</v>
      </c>
      <c r="L1159" s="31">
        <v>1</v>
      </c>
      <c r="M1159" s="31" t="s">
        <v>2745</v>
      </c>
      <c r="N1159" s="34">
        <v>15</v>
      </c>
      <c r="O1159" s="35">
        <v>0</v>
      </c>
      <c r="P1159" s="35">
        <v>689</v>
      </c>
      <c r="Q1159" s="35">
        <v>0</v>
      </c>
      <c r="R1159" s="36">
        <v>14.04</v>
      </c>
      <c r="S1159" s="37">
        <f>IFERROR(_xlfn.XLOOKUP(R1159,'1_Presupuesto'!$E:$E,'1_Presupuesto'!$D:$D),"")</f>
        <v>0</v>
      </c>
    </row>
    <row r="1160" spans="1:19" x14ac:dyDescent="0.35">
      <c r="A1160" s="31" t="s">
        <v>2740</v>
      </c>
      <c r="B1160" s="31" t="s">
        <v>203</v>
      </c>
      <c r="C1160" s="31"/>
      <c r="D1160" s="31" t="s">
        <v>576</v>
      </c>
      <c r="E1160" s="31" t="s">
        <v>577</v>
      </c>
      <c r="F1160" s="31"/>
      <c r="G1160" s="32">
        <v>1</v>
      </c>
      <c r="H1160" s="33">
        <v>0</v>
      </c>
      <c r="I1160" s="34">
        <v>2570.7599166666701</v>
      </c>
      <c r="J1160" s="34">
        <v>2570.7599166666701</v>
      </c>
      <c r="K1160" s="31" t="s">
        <v>2744</v>
      </c>
      <c r="L1160" s="31">
        <v>2</v>
      </c>
      <c r="M1160" s="31" t="s">
        <v>2746</v>
      </c>
      <c r="N1160" s="34">
        <v>15</v>
      </c>
      <c r="O1160" s="35">
        <v>0</v>
      </c>
      <c r="P1160" s="35">
        <v>689</v>
      </c>
      <c r="Q1160" s="35">
        <v>0</v>
      </c>
      <c r="R1160" s="36">
        <v>14.04</v>
      </c>
      <c r="S1160" s="37">
        <f>IFERROR(_xlfn.XLOOKUP(R1160,'1_Presupuesto'!$E:$E,'1_Presupuesto'!$D:$D),"")</f>
        <v>0</v>
      </c>
    </row>
    <row r="1161" spans="1:19" x14ac:dyDescent="0.35">
      <c r="A1161" s="31" t="s">
        <v>2747</v>
      </c>
      <c r="B1161" s="31" t="s">
        <v>497</v>
      </c>
      <c r="C1161" s="31" t="s">
        <v>1706</v>
      </c>
      <c r="D1161" s="31" t="s">
        <v>2341</v>
      </c>
      <c r="E1161" s="31" t="s">
        <v>2342</v>
      </c>
      <c r="F1161" s="31" t="s">
        <v>261</v>
      </c>
      <c r="G1161" s="32">
        <v>0.71407200000000004</v>
      </c>
      <c r="H1161" s="33">
        <v>0</v>
      </c>
      <c r="I1161" s="34">
        <v>7524.72</v>
      </c>
      <c r="J1161" s="34">
        <v>5373.1918598399998</v>
      </c>
      <c r="K1161" s="31" t="s">
        <v>2748</v>
      </c>
      <c r="L1161" s="31">
        <v>1</v>
      </c>
      <c r="M1161" s="31" t="s">
        <v>2749</v>
      </c>
      <c r="N1161" s="34">
        <v>1</v>
      </c>
      <c r="O1161" s="35">
        <v>0</v>
      </c>
      <c r="P1161" s="35">
        <v>668</v>
      </c>
      <c r="Q1161" s="35">
        <v>0</v>
      </c>
      <c r="R1161" s="36">
        <v>14.05</v>
      </c>
      <c r="S1161" s="37">
        <f>IFERROR(_xlfn.XLOOKUP(R1161,'1_Presupuesto'!$E:$E,'1_Presupuesto'!$D:$D),"")</f>
        <v>0</v>
      </c>
    </row>
    <row r="1162" spans="1:19" x14ac:dyDescent="0.35">
      <c r="A1162" s="31" t="s">
        <v>2747</v>
      </c>
      <c r="B1162" s="31" t="s">
        <v>497</v>
      </c>
      <c r="C1162" s="31" t="s">
        <v>1706</v>
      </c>
      <c r="D1162" s="31" t="s">
        <v>2345</v>
      </c>
      <c r="E1162" s="31" t="s">
        <v>2346</v>
      </c>
      <c r="F1162" s="31" t="s">
        <v>261</v>
      </c>
      <c r="G1162" s="32">
        <v>7.4850000000000003E-3</v>
      </c>
      <c r="H1162" s="33">
        <v>0</v>
      </c>
      <c r="I1162" s="34">
        <v>152600</v>
      </c>
      <c r="J1162" s="34">
        <v>1142.211</v>
      </c>
      <c r="K1162" s="31" t="s">
        <v>2748</v>
      </c>
      <c r="L1162" s="31">
        <v>2</v>
      </c>
      <c r="M1162" s="31" t="s">
        <v>2750</v>
      </c>
      <c r="N1162" s="34">
        <v>1</v>
      </c>
      <c r="O1162" s="35">
        <v>0</v>
      </c>
      <c r="P1162" s="35">
        <v>668</v>
      </c>
      <c r="Q1162" s="35">
        <v>0</v>
      </c>
      <c r="R1162" s="36">
        <v>14.05</v>
      </c>
      <c r="S1162" s="37">
        <f>IFERROR(_xlfn.XLOOKUP(R1162,'1_Presupuesto'!$E:$E,'1_Presupuesto'!$D:$D),"")</f>
        <v>0</v>
      </c>
    </row>
    <row r="1163" spans="1:19" x14ac:dyDescent="0.35">
      <c r="A1163" s="31" t="s">
        <v>2747</v>
      </c>
      <c r="B1163" s="31" t="s">
        <v>478</v>
      </c>
      <c r="C1163" s="31" t="s">
        <v>498</v>
      </c>
      <c r="D1163" s="31" t="s">
        <v>2351</v>
      </c>
      <c r="E1163" s="31" t="s">
        <v>2352</v>
      </c>
      <c r="F1163" s="31" t="s">
        <v>481</v>
      </c>
      <c r="G1163" s="32">
        <v>1</v>
      </c>
      <c r="H1163" s="33">
        <v>0</v>
      </c>
      <c r="I1163" s="34">
        <v>12252.5485737202</v>
      </c>
      <c r="J1163" s="34">
        <v>12252.5485737202</v>
      </c>
      <c r="K1163" s="31" t="s">
        <v>2751</v>
      </c>
      <c r="L1163" s="31">
        <v>1</v>
      </c>
      <c r="M1163" s="31" t="s">
        <v>2752</v>
      </c>
      <c r="N1163" s="34">
        <v>1</v>
      </c>
      <c r="O1163" s="35">
        <v>0</v>
      </c>
      <c r="P1163" s="35">
        <v>668</v>
      </c>
      <c r="Q1163" s="35">
        <v>0</v>
      </c>
      <c r="R1163" s="36">
        <v>14.05</v>
      </c>
      <c r="S1163" s="37">
        <f>IFERROR(_xlfn.XLOOKUP(R1163,'1_Presupuesto'!$E:$E,'1_Presupuesto'!$D:$D),"")</f>
        <v>0</v>
      </c>
    </row>
    <row r="1164" spans="1:19" x14ac:dyDescent="0.35">
      <c r="A1164" s="31" t="s">
        <v>2747</v>
      </c>
      <c r="B1164" s="31" t="s">
        <v>203</v>
      </c>
      <c r="C1164" s="31"/>
      <c r="D1164" s="31" t="s">
        <v>2753</v>
      </c>
      <c r="E1164" s="31" t="s">
        <v>2754</v>
      </c>
      <c r="F1164" s="31"/>
      <c r="G1164" s="32">
        <v>1</v>
      </c>
      <c r="H1164" s="33">
        <v>0</v>
      </c>
      <c r="I1164" s="34">
        <v>281.51932381538398</v>
      </c>
      <c r="J1164" s="34">
        <v>281.51932381538398</v>
      </c>
      <c r="K1164" s="31" t="s">
        <v>2755</v>
      </c>
      <c r="L1164" s="31">
        <v>1</v>
      </c>
      <c r="M1164" s="31" t="s">
        <v>2756</v>
      </c>
      <c r="N1164" s="34">
        <v>1</v>
      </c>
      <c r="O1164" s="35">
        <v>0</v>
      </c>
      <c r="P1164" s="35">
        <v>668</v>
      </c>
      <c r="Q1164" s="35">
        <v>0</v>
      </c>
      <c r="R1164" s="36">
        <v>14.05</v>
      </c>
      <c r="S1164" s="37">
        <f>IFERROR(_xlfn.XLOOKUP(R1164,'1_Presupuesto'!$E:$E,'1_Presupuesto'!$D:$D),"")</f>
        <v>0</v>
      </c>
    </row>
    <row r="1165" spans="1:19" x14ac:dyDescent="0.35">
      <c r="A1165" s="31" t="s">
        <v>2757</v>
      </c>
      <c r="B1165" s="31" t="s">
        <v>478</v>
      </c>
      <c r="C1165" s="31" t="s">
        <v>498</v>
      </c>
      <c r="D1165" s="31" t="s">
        <v>2360</v>
      </c>
      <c r="E1165" s="31" t="s">
        <v>2361</v>
      </c>
      <c r="F1165" s="31" t="s">
        <v>481</v>
      </c>
      <c r="G1165" s="32">
        <v>1</v>
      </c>
      <c r="H1165" s="33">
        <v>0</v>
      </c>
      <c r="I1165" s="34">
        <v>13144.582643730701</v>
      </c>
      <c r="J1165" s="34">
        <v>13144.582643730701</v>
      </c>
      <c r="K1165" s="31" t="s">
        <v>2758</v>
      </c>
      <c r="L1165" s="31">
        <v>1</v>
      </c>
      <c r="M1165" s="31" t="s">
        <v>2759</v>
      </c>
      <c r="N1165" s="34">
        <v>1</v>
      </c>
      <c r="O1165" s="35">
        <v>0</v>
      </c>
      <c r="P1165" s="35">
        <v>446</v>
      </c>
      <c r="Q1165" s="35">
        <v>0</v>
      </c>
      <c r="R1165" s="36">
        <v>14.06</v>
      </c>
      <c r="S1165" s="37">
        <f>IFERROR(_xlfn.XLOOKUP(R1165,'1_Presupuesto'!$E:$E,'1_Presupuesto'!$D:$D),"")</f>
        <v>0</v>
      </c>
    </row>
    <row r="1166" spans="1:19" x14ac:dyDescent="0.35">
      <c r="A1166" s="31" t="s">
        <v>2757</v>
      </c>
      <c r="B1166" s="31" t="s">
        <v>203</v>
      </c>
      <c r="C1166" s="31"/>
      <c r="D1166" s="31" t="s">
        <v>2760</v>
      </c>
      <c r="E1166" s="31" t="s">
        <v>2761</v>
      </c>
      <c r="F1166" s="31"/>
      <c r="G1166" s="32">
        <v>1</v>
      </c>
      <c r="H1166" s="33">
        <v>0</v>
      </c>
      <c r="I1166" s="34">
        <v>197.16873965596</v>
      </c>
      <c r="J1166" s="34">
        <v>197.16873965596</v>
      </c>
      <c r="K1166" s="31" t="s">
        <v>2762</v>
      </c>
      <c r="L1166" s="31">
        <v>1</v>
      </c>
      <c r="M1166" s="31" t="s">
        <v>2763</v>
      </c>
      <c r="N1166" s="34">
        <v>1</v>
      </c>
      <c r="O1166" s="35">
        <v>0</v>
      </c>
      <c r="P1166" s="35">
        <v>446</v>
      </c>
      <c r="Q1166" s="35">
        <v>0</v>
      </c>
      <c r="R1166" s="36">
        <v>14.06</v>
      </c>
      <c r="S1166" s="37">
        <f>IFERROR(_xlfn.XLOOKUP(R1166,'1_Presupuesto'!$E:$E,'1_Presupuesto'!$D:$D),"")</f>
        <v>0</v>
      </c>
    </row>
    <row r="1167" spans="1:19" x14ac:dyDescent="0.35">
      <c r="A1167" s="31" t="s">
        <v>2764</v>
      </c>
      <c r="B1167" s="31" t="s">
        <v>478</v>
      </c>
      <c r="C1167" s="31" t="s">
        <v>498</v>
      </c>
      <c r="D1167" s="31" t="s">
        <v>2765</v>
      </c>
      <c r="E1167" s="31" t="s">
        <v>2766</v>
      </c>
      <c r="F1167" s="31" t="s">
        <v>481</v>
      </c>
      <c r="G1167" s="32">
        <v>1</v>
      </c>
      <c r="H1167" s="33">
        <v>0</v>
      </c>
      <c r="I1167" s="34">
        <v>13144.582643730701</v>
      </c>
      <c r="J1167" s="34">
        <v>13144.582643730701</v>
      </c>
      <c r="K1167" s="31" t="s">
        <v>2767</v>
      </c>
      <c r="L1167" s="31">
        <v>1</v>
      </c>
      <c r="M1167" s="31" t="s">
        <v>2768</v>
      </c>
      <c r="N1167" s="34">
        <v>1</v>
      </c>
      <c r="O1167" s="35">
        <v>0</v>
      </c>
      <c r="P1167" s="35">
        <v>2</v>
      </c>
      <c r="Q1167" s="35">
        <v>0</v>
      </c>
      <c r="R1167" s="36">
        <v>14.07</v>
      </c>
      <c r="S1167" s="37">
        <f>IFERROR(_xlfn.XLOOKUP(R1167,'1_Presupuesto'!$E:$E,'1_Presupuesto'!$D:$D),"")</f>
        <v>0</v>
      </c>
    </row>
    <row r="1168" spans="1:19" x14ac:dyDescent="0.35">
      <c r="A1168" s="31" t="s">
        <v>2769</v>
      </c>
      <c r="B1168" s="31" t="s">
        <v>497</v>
      </c>
      <c r="C1168" s="31" t="s">
        <v>498</v>
      </c>
      <c r="D1168" s="31" t="s">
        <v>597</v>
      </c>
      <c r="E1168" s="31" t="s">
        <v>598</v>
      </c>
      <c r="F1168" s="31" t="s">
        <v>218</v>
      </c>
      <c r="G1168" s="32">
        <v>1351.3513513513999</v>
      </c>
      <c r="H1168" s="33">
        <v>0</v>
      </c>
      <c r="I1168" s="34">
        <v>1</v>
      </c>
      <c r="J1168" s="34">
        <v>1351.3513513513999</v>
      </c>
      <c r="K1168" s="31" t="s">
        <v>2770</v>
      </c>
      <c r="L1168" s="31">
        <v>1</v>
      </c>
      <c r="M1168" s="31" t="s">
        <v>2771</v>
      </c>
      <c r="N1168" s="34">
        <v>1</v>
      </c>
      <c r="O1168" s="35">
        <v>0</v>
      </c>
      <c r="P1168" s="35">
        <v>370</v>
      </c>
      <c r="Q1168" s="35">
        <v>0</v>
      </c>
      <c r="R1168" s="36">
        <v>14.08</v>
      </c>
      <c r="S1168" s="37" t="str">
        <f>IFERROR(_xlfn.XLOOKUP(R1168,'1_Presupuesto'!$E:$E,'1_Presupuesto'!$D:$D),"")</f>
        <v>Albañilería MO</v>
      </c>
    </row>
    <row r="1169" spans="1:19" x14ac:dyDescent="0.35">
      <c r="A1169" s="31" t="s">
        <v>2769</v>
      </c>
      <c r="B1169" s="31" t="s">
        <v>478</v>
      </c>
      <c r="C1169" s="31" t="s">
        <v>479</v>
      </c>
      <c r="D1169" s="31" t="s">
        <v>480</v>
      </c>
      <c r="E1169" s="31" t="s">
        <v>183</v>
      </c>
      <c r="F1169" s="31" t="s">
        <v>481</v>
      </c>
      <c r="G1169" s="32">
        <v>2.7026999999999999E-2</v>
      </c>
      <c r="H1169" s="33">
        <v>0</v>
      </c>
      <c r="I1169" s="34">
        <v>94177.137883538904</v>
      </c>
      <c r="J1169" s="34">
        <v>2545.3255055784098</v>
      </c>
      <c r="K1169" s="31" t="s">
        <v>2772</v>
      </c>
      <c r="L1169" s="31">
        <v>1</v>
      </c>
      <c r="M1169" s="31" t="s">
        <v>2773</v>
      </c>
      <c r="N1169" s="34">
        <v>1</v>
      </c>
      <c r="O1169" s="35">
        <v>2.7026999999999999E-2</v>
      </c>
      <c r="P1169" s="35">
        <v>370</v>
      </c>
      <c r="Q1169" s="35">
        <v>9.9999900000000004</v>
      </c>
      <c r="R1169" s="36">
        <v>14.08</v>
      </c>
      <c r="S1169" s="37" t="str">
        <f>IFERROR(_xlfn.XLOOKUP(R1169,'1_Presupuesto'!$E:$E,'1_Presupuesto'!$D:$D),"")</f>
        <v>Albañilería MO</v>
      </c>
    </row>
    <row r="1170" spans="1:19" x14ac:dyDescent="0.35">
      <c r="A1170" s="31" t="s">
        <v>2769</v>
      </c>
      <c r="B1170" s="31" t="s">
        <v>478</v>
      </c>
      <c r="C1170" s="31" t="s">
        <v>479</v>
      </c>
      <c r="D1170" s="31" t="s">
        <v>484</v>
      </c>
      <c r="E1170" s="31" t="s">
        <v>186</v>
      </c>
      <c r="F1170" s="31" t="s">
        <v>481</v>
      </c>
      <c r="G1170" s="32">
        <v>2.7026999999999999E-2</v>
      </c>
      <c r="H1170" s="33">
        <v>0</v>
      </c>
      <c r="I1170" s="34">
        <v>67240.498860267602</v>
      </c>
      <c r="J1170" s="34">
        <v>1817.30896269645</v>
      </c>
      <c r="K1170" s="31" t="s">
        <v>2772</v>
      </c>
      <c r="L1170" s="31">
        <v>2</v>
      </c>
      <c r="M1170" s="31" t="s">
        <v>2774</v>
      </c>
      <c r="N1170" s="34">
        <v>1</v>
      </c>
      <c r="O1170" s="35">
        <v>2.7026999999999999E-2</v>
      </c>
      <c r="P1170" s="35">
        <v>370</v>
      </c>
      <c r="Q1170" s="35">
        <v>9.9999900000000004</v>
      </c>
      <c r="R1170" s="36">
        <v>14.08</v>
      </c>
      <c r="S1170" s="37" t="str">
        <f>IFERROR(_xlfn.XLOOKUP(R1170,'1_Presupuesto'!$E:$E,'1_Presupuesto'!$D:$D),"")</f>
        <v>Albañilería MO</v>
      </c>
    </row>
    <row r="1171" spans="1:19" x14ac:dyDescent="0.35">
      <c r="A1171" s="31" t="s">
        <v>2769</v>
      </c>
      <c r="B1171" s="31" t="s">
        <v>203</v>
      </c>
      <c r="C1171" s="31"/>
      <c r="D1171" s="31" t="s">
        <v>2775</v>
      </c>
      <c r="E1171" s="31" t="s">
        <v>2776</v>
      </c>
      <c r="F1171" s="31"/>
      <c r="G1171" s="32">
        <v>1</v>
      </c>
      <c r="H1171" s="33">
        <v>0</v>
      </c>
      <c r="I1171" s="34">
        <v>85.709852733975595</v>
      </c>
      <c r="J1171" s="34">
        <v>85.709852733975595</v>
      </c>
      <c r="K1171" s="31" t="s">
        <v>2777</v>
      </c>
      <c r="L1171" s="31">
        <v>1</v>
      </c>
      <c r="M1171" s="31" t="s">
        <v>2778</v>
      </c>
      <c r="N1171" s="34">
        <v>1</v>
      </c>
      <c r="O1171" s="35">
        <v>0</v>
      </c>
      <c r="P1171" s="35">
        <v>370</v>
      </c>
      <c r="Q1171" s="35">
        <v>0</v>
      </c>
      <c r="R1171" s="36">
        <v>14.08</v>
      </c>
      <c r="S1171" s="37" t="str">
        <f>IFERROR(_xlfn.XLOOKUP(R1171,'1_Presupuesto'!$E:$E,'1_Presupuesto'!$D:$D),"")</f>
        <v>Albañilería MO</v>
      </c>
    </row>
    <row r="1172" spans="1:19" x14ac:dyDescent="0.35">
      <c r="A1172" s="31" t="s">
        <v>2779</v>
      </c>
      <c r="B1172" s="31" t="s">
        <v>497</v>
      </c>
      <c r="C1172" s="31" t="s">
        <v>498</v>
      </c>
      <c r="D1172" s="31" t="s">
        <v>761</v>
      </c>
      <c r="E1172" s="31" t="s">
        <v>762</v>
      </c>
      <c r="F1172" s="31">
        <v>0</v>
      </c>
      <c r="G1172" s="32">
        <v>1E-3</v>
      </c>
      <c r="H1172" s="33">
        <v>0.05</v>
      </c>
      <c r="I1172" s="34">
        <v>9927.59</v>
      </c>
      <c r="J1172" s="34">
        <v>10.4239695</v>
      </c>
      <c r="K1172" s="31" t="s">
        <v>2780</v>
      </c>
      <c r="L1172" s="31">
        <v>1</v>
      </c>
      <c r="M1172" s="31" t="s">
        <v>2781</v>
      </c>
      <c r="N1172" s="34">
        <v>20</v>
      </c>
      <c r="O1172" s="35">
        <v>0</v>
      </c>
      <c r="P1172" s="35">
        <v>2180</v>
      </c>
      <c r="Q1172" s="35">
        <v>0</v>
      </c>
      <c r="R1172" s="36">
        <v>15.01</v>
      </c>
      <c r="S1172" s="37">
        <f>IFERROR(_xlfn.XLOOKUP(R1172,'1_Presupuesto'!$E:$E,'1_Presupuesto'!$D:$D),"")</f>
        <v>0</v>
      </c>
    </row>
    <row r="1173" spans="1:19" x14ac:dyDescent="0.35">
      <c r="A1173" s="31" t="s">
        <v>2779</v>
      </c>
      <c r="B1173" s="31" t="s">
        <v>497</v>
      </c>
      <c r="C1173" s="31" t="s">
        <v>498</v>
      </c>
      <c r="D1173" s="31" t="s">
        <v>765</v>
      </c>
      <c r="E1173" s="31" t="s">
        <v>766</v>
      </c>
      <c r="F1173" s="31">
        <v>0</v>
      </c>
      <c r="G1173" s="32">
        <v>4.0000000000000001E-3</v>
      </c>
      <c r="H1173" s="33">
        <v>0.05</v>
      </c>
      <c r="I1173" s="34">
        <v>42552.892561983499</v>
      </c>
      <c r="J1173" s="34">
        <v>178.72214876033101</v>
      </c>
      <c r="K1173" s="31" t="s">
        <v>2780</v>
      </c>
      <c r="L1173" s="31">
        <v>2</v>
      </c>
      <c r="M1173" s="31" t="s">
        <v>2782</v>
      </c>
      <c r="N1173" s="34">
        <v>20</v>
      </c>
      <c r="O1173" s="35">
        <v>0</v>
      </c>
      <c r="P1173" s="35">
        <v>2180</v>
      </c>
      <c r="Q1173" s="35">
        <v>0</v>
      </c>
      <c r="R1173" s="36">
        <v>15.01</v>
      </c>
      <c r="S1173" s="37">
        <f>IFERROR(_xlfn.XLOOKUP(R1173,'1_Presupuesto'!$E:$E,'1_Presupuesto'!$D:$D),"")</f>
        <v>0</v>
      </c>
    </row>
    <row r="1174" spans="1:19" x14ac:dyDescent="0.35">
      <c r="A1174" s="31" t="s">
        <v>2779</v>
      </c>
      <c r="B1174" s="31" t="s">
        <v>497</v>
      </c>
      <c r="C1174" s="31" t="s">
        <v>498</v>
      </c>
      <c r="D1174" s="31" t="s">
        <v>512</v>
      </c>
      <c r="E1174" s="31" t="s">
        <v>513</v>
      </c>
      <c r="F1174" s="31">
        <v>0</v>
      </c>
      <c r="G1174" s="32">
        <v>0.03</v>
      </c>
      <c r="H1174" s="33">
        <v>0.05</v>
      </c>
      <c r="I1174" s="34">
        <v>1182.6446280991699</v>
      </c>
      <c r="J1174" s="34">
        <v>37.253305785123899</v>
      </c>
      <c r="K1174" s="31" t="s">
        <v>2780</v>
      </c>
      <c r="L1174" s="31">
        <v>3</v>
      </c>
      <c r="M1174" s="31" t="s">
        <v>2783</v>
      </c>
      <c r="N1174" s="34">
        <v>20</v>
      </c>
      <c r="O1174" s="35">
        <v>0</v>
      </c>
      <c r="P1174" s="35">
        <v>2180</v>
      </c>
      <c r="Q1174" s="35">
        <v>0</v>
      </c>
      <c r="R1174" s="36">
        <v>15.01</v>
      </c>
      <c r="S1174" s="37">
        <f>IFERROR(_xlfn.XLOOKUP(R1174,'1_Presupuesto'!$E:$E,'1_Presupuesto'!$D:$D),"")</f>
        <v>0</v>
      </c>
    </row>
    <row r="1175" spans="1:19" x14ac:dyDescent="0.35">
      <c r="A1175" s="31" t="s">
        <v>2779</v>
      </c>
      <c r="B1175" s="31" t="s">
        <v>497</v>
      </c>
      <c r="C1175" s="31" t="s">
        <v>498</v>
      </c>
      <c r="D1175" s="31" t="s">
        <v>769</v>
      </c>
      <c r="E1175" s="31" t="s">
        <v>770</v>
      </c>
      <c r="F1175" s="31">
        <v>0</v>
      </c>
      <c r="G1175" s="32">
        <v>0.05</v>
      </c>
      <c r="H1175" s="33">
        <v>0.1</v>
      </c>
      <c r="I1175" s="34">
        <v>5885.9504132231395</v>
      </c>
      <c r="J1175" s="34">
        <v>323.72727272727298</v>
      </c>
      <c r="K1175" s="31" t="s">
        <v>2780</v>
      </c>
      <c r="L1175" s="31">
        <v>4</v>
      </c>
      <c r="M1175" s="31" t="s">
        <v>2784</v>
      </c>
      <c r="N1175" s="34">
        <v>20</v>
      </c>
      <c r="O1175" s="35">
        <v>0</v>
      </c>
      <c r="P1175" s="35">
        <v>2180</v>
      </c>
      <c r="Q1175" s="35">
        <v>0</v>
      </c>
      <c r="R1175" s="36">
        <v>15.01</v>
      </c>
      <c r="S1175" s="37">
        <f>IFERROR(_xlfn.XLOOKUP(R1175,'1_Presupuesto'!$E:$E,'1_Presupuesto'!$D:$D),"")</f>
        <v>0</v>
      </c>
    </row>
    <row r="1176" spans="1:19" x14ac:dyDescent="0.35">
      <c r="A1176" s="31" t="s">
        <v>2779</v>
      </c>
      <c r="B1176" s="31" t="s">
        <v>497</v>
      </c>
      <c r="C1176" s="31" t="s">
        <v>498</v>
      </c>
      <c r="D1176" s="31" t="s">
        <v>772</v>
      </c>
      <c r="E1176" s="31" t="s">
        <v>773</v>
      </c>
      <c r="F1176" s="31">
        <v>0</v>
      </c>
      <c r="G1176" s="32">
        <v>1.4999999999999999E-2</v>
      </c>
      <c r="H1176" s="33">
        <v>0.05</v>
      </c>
      <c r="I1176" s="34">
        <v>7917.3553719008296</v>
      </c>
      <c r="J1176" s="34">
        <v>124.698347107438</v>
      </c>
      <c r="K1176" s="31" t="s">
        <v>2780</v>
      </c>
      <c r="L1176" s="31">
        <v>5</v>
      </c>
      <c r="M1176" s="31" t="s">
        <v>2785</v>
      </c>
      <c r="N1176" s="34">
        <v>20</v>
      </c>
      <c r="O1176" s="35">
        <v>0</v>
      </c>
      <c r="P1176" s="35">
        <v>2180</v>
      </c>
      <c r="Q1176" s="35">
        <v>0</v>
      </c>
      <c r="R1176" s="36">
        <v>15.01</v>
      </c>
      <c r="S1176" s="37">
        <f>IFERROR(_xlfn.XLOOKUP(R1176,'1_Presupuesto'!$E:$E,'1_Presupuesto'!$D:$D),"")</f>
        <v>0</v>
      </c>
    </row>
    <row r="1177" spans="1:19" x14ac:dyDescent="0.35">
      <c r="A1177" s="31" t="s">
        <v>2779</v>
      </c>
      <c r="B1177" s="31" t="s">
        <v>497</v>
      </c>
      <c r="C1177" s="31" t="s">
        <v>498</v>
      </c>
      <c r="D1177" s="31" t="s">
        <v>503</v>
      </c>
      <c r="E1177" s="31" t="s">
        <v>504</v>
      </c>
      <c r="F1177" s="31" t="s">
        <v>261</v>
      </c>
      <c r="G1177" s="32">
        <v>5.0000000000000001E-3</v>
      </c>
      <c r="H1177" s="33">
        <v>0.05</v>
      </c>
      <c r="I1177" s="34">
        <v>6442.15</v>
      </c>
      <c r="J1177" s="34">
        <v>33.821287499999997</v>
      </c>
      <c r="K1177" s="31" t="s">
        <v>2780</v>
      </c>
      <c r="L1177" s="31">
        <v>6</v>
      </c>
      <c r="M1177" s="31" t="s">
        <v>2786</v>
      </c>
      <c r="N1177" s="34">
        <v>20</v>
      </c>
      <c r="O1177" s="35">
        <v>0</v>
      </c>
      <c r="P1177" s="35">
        <v>2180</v>
      </c>
      <c r="Q1177" s="35">
        <v>0</v>
      </c>
      <c r="R1177" s="36">
        <v>15.01</v>
      </c>
      <c r="S1177" s="37">
        <f>IFERROR(_xlfn.XLOOKUP(R1177,'1_Presupuesto'!$E:$E,'1_Presupuesto'!$D:$D),"")</f>
        <v>0</v>
      </c>
    </row>
    <row r="1178" spans="1:19" x14ac:dyDescent="0.35">
      <c r="A1178" s="31" t="s">
        <v>2779</v>
      </c>
      <c r="B1178" s="31" t="s">
        <v>497</v>
      </c>
      <c r="C1178" s="31" t="s">
        <v>498</v>
      </c>
      <c r="D1178" s="31" t="s">
        <v>506</v>
      </c>
      <c r="E1178" s="31" t="s">
        <v>507</v>
      </c>
      <c r="F1178" s="31" t="s">
        <v>261</v>
      </c>
      <c r="G1178" s="32">
        <v>5.0000000000000001E-3</v>
      </c>
      <c r="H1178" s="33">
        <v>0.05</v>
      </c>
      <c r="I1178" s="34">
        <v>4418.1818181818198</v>
      </c>
      <c r="J1178" s="34">
        <v>23.195454545454599</v>
      </c>
      <c r="K1178" s="31" t="s">
        <v>2780</v>
      </c>
      <c r="L1178" s="31">
        <v>7</v>
      </c>
      <c r="M1178" s="31" t="s">
        <v>2787</v>
      </c>
      <c r="N1178" s="34">
        <v>20</v>
      </c>
      <c r="O1178" s="35">
        <v>0</v>
      </c>
      <c r="P1178" s="35">
        <v>2180</v>
      </c>
      <c r="Q1178" s="35">
        <v>0</v>
      </c>
      <c r="R1178" s="36">
        <v>15.01</v>
      </c>
      <c r="S1178" s="37">
        <f>IFERROR(_xlfn.XLOOKUP(R1178,'1_Presupuesto'!$E:$E,'1_Presupuesto'!$D:$D),"")</f>
        <v>0</v>
      </c>
    </row>
    <row r="1179" spans="1:19" x14ac:dyDescent="0.35">
      <c r="A1179" s="31" t="s">
        <v>2779</v>
      </c>
      <c r="B1179" s="31" t="s">
        <v>497</v>
      </c>
      <c r="C1179" s="31" t="s">
        <v>498</v>
      </c>
      <c r="D1179" s="31" t="s">
        <v>777</v>
      </c>
      <c r="E1179" s="31" t="s">
        <v>778</v>
      </c>
      <c r="F1179" s="31" t="s">
        <v>261</v>
      </c>
      <c r="G1179" s="32">
        <v>0.01</v>
      </c>
      <c r="H1179" s="33">
        <v>0.05</v>
      </c>
      <c r="I1179" s="34">
        <v>8173.5537190082696</v>
      </c>
      <c r="J1179" s="34">
        <v>85.822314049586794</v>
      </c>
      <c r="K1179" s="31" t="s">
        <v>2780</v>
      </c>
      <c r="L1179" s="31">
        <v>8</v>
      </c>
      <c r="M1179" s="31" t="s">
        <v>2788</v>
      </c>
      <c r="N1179" s="34">
        <v>20</v>
      </c>
      <c r="O1179" s="35">
        <v>0</v>
      </c>
      <c r="P1179" s="35">
        <v>2180</v>
      </c>
      <c r="Q1179" s="35">
        <v>0</v>
      </c>
      <c r="R1179" s="36">
        <v>15.01</v>
      </c>
      <c r="S1179" s="37">
        <f>IFERROR(_xlfn.XLOOKUP(R1179,'1_Presupuesto'!$E:$E,'1_Presupuesto'!$D:$D),"")</f>
        <v>0</v>
      </c>
    </row>
    <row r="1180" spans="1:19" x14ac:dyDescent="0.35">
      <c r="A1180" s="31" t="s">
        <v>2779</v>
      </c>
      <c r="B1180" s="31" t="s">
        <v>497</v>
      </c>
      <c r="C1180" s="31" t="s">
        <v>498</v>
      </c>
      <c r="D1180" s="31" t="s">
        <v>780</v>
      </c>
      <c r="E1180" s="31" t="s">
        <v>781</v>
      </c>
      <c r="F1180" s="31">
        <v>0</v>
      </c>
      <c r="G1180" s="32">
        <v>2E-3</v>
      </c>
      <c r="H1180" s="33">
        <v>0.1</v>
      </c>
      <c r="I1180" s="34">
        <v>41314.049586776899</v>
      </c>
      <c r="J1180" s="34">
        <v>90.890909090909204</v>
      </c>
      <c r="K1180" s="31" t="s">
        <v>2780</v>
      </c>
      <c r="L1180" s="31">
        <v>9</v>
      </c>
      <c r="M1180" s="31" t="s">
        <v>2789</v>
      </c>
      <c r="N1180" s="34">
        <v>20</v>
      </c>
      <c r="O1180" s="35">
        <v>0</v>
      </c>
      <c r="P1180" s="35">
        <v>2180</v>
      </c>
      <c r="Q1180" s="35">
        <v>0</v>
      </c>
      <c r="R1180" s="36">
        <v>15.01</v>
      </c>
      <c r="S1180" s="37">
        <f>IFERROR(_xlfn.XLOOKUP(R1180,'1_Presupuesto'!$E:$E,'1_Presupuesto'!$D:$D),"")</f>
        <v>0</v>
      </c>
    </row>
    <row r="1181" spans="1:19" x14ac:dyDescent="0.35">
      <c r="A1181" s="31" t="s">
        <v>2779</v>
      </c>
      <c r="B1181" s="31" t="s">
        <v>497</v>
      </c>
      <c r="C1181" s="31" t="s">
        <v>498</v>
      </c>
      <c r="D1181" s="31" t="s">
        <v>783</v>
      </c>
      <c r="E1181" s="31" t="s">
        <v>784</v>
      </c>
      <c r="F1181" s="31">
        <v>0</v>
      </c>
      <c r="G1181" s="32">
        <v>1.2500000000000001E-2</v>
      </c>
      <c r="H1181" s="33">
        <v>0.1</v>
      </c>
      <c r="I1181" s="34">
        <v>143389.25619834699</v>
      </c>
      <c r="J1181" s="34">
        <v>1971.60227272727</v>
      </c>
      <c r="K1181" s="31" t="s">
        <v>2780</v>
      </c>
      <c r="L1181" s="31">
        <v>10</v>
      </c>
      <c r="M1181" s="31" t="s">
        <v>2790</v>
      </c>
      <c r="N1181" s="34">
        <v>20</v>
      </c>
      <c r="O1181" s="35">
        <v>0</v>
      </c>
      <c r="P1181" s="35">
        <v>2180</v>
      </c>
      <c r="Q1181" s="35">
        <v>0</v>
      </c>
      <c r="R1181" s="36">
        <v>15.01</v>
      </c>
      <c r="S1181" s="37">
        <f>IFERROR(_xlfn.XLOOKUP(R1181,'1_Presupuesto'!$E:$E,'1_Presupuesto'!$D:$D),"")</f>
        <v>0</v>
      </c>
    </row>
    <row r="1182" spans="1:19" x14ac:dyDescent="0.35">
      <c r="A1182" s="31" t="s">
        <v>2779</v>
      </c>
      <c r="B1182" s="31" t="s">
        <v>203</v>
      </c>
      <c r="C1182" s="31"/>
      <c r="D1182" s="31" t="s">
        <v>786</v>
      </c>
      <c r="E1182" s="31" t="s">
        <v>787</v>
      </c>
      <c r="F1182" s="31"/>
      <c r="G1182" s="32">
        <v>1</v>
      </c>
      <c r="H1182" s="33">
        <v>0</v>
      </c>
      <c r="I1182" s="34">
        <v>1873.3963608356801</v>
      </c>
      <c r="J1182" s="34">
        <v>1873.3963608356801</v>
      </c>
      <c r="K1182" s="31" t="s">
        <v>2791</v>
      </c>
      <c r="L1182" s="31">
        <v>1</v>
      </c>
      <c r="M1182" s="31" t="s">
        <v>2792</v>
      </c>
      <c r="N1182" s="34">
        <v>20</v>
      </c>
      <c r="O1182" s="35">
        <v>0</v>
      </c>
      <c r="P1182" s="35">
        <v>2180</v>
      </c>
      <c r="Q1182" s="35">
        <v>0</v>
      </c>
      <c r="R1182" s="36">
        <v>15.01</v>
      </c>
      <c r="S1182" s="37">
        <f>IFERROR(_xlfn.XLOOKUP(R1182,'1_Presupuesto'!$E:$E,'1_Presupuesto'!$D:$D),"")</f>
        <v>0</v>
      </c>
    </row>
    <row r="1183" spans="1:19" x14ac:dyDescent="0.35">
      <c r="A1183" s="31" t="s">
        <v>2793</v>
      </c>
      <c r="B1183" s="31" t="s">
        <v>497</v>
      </c>
      <c r="C1183" s="31" t="s">
        <v>498</v>
      </c>
      <c r="D1183" s="31" t="s">
        <v>761</v>
      </c>
      <c r="E1183" s="31" t="s">
        <v>762</v>
      </c>
      <c r="F1183" s="31">
        <v>0</v>
      </c>
      <c r="G1183" s="32">
        <v>1E-3</v>
      </c>
      <c r="H1183" s="33">
        <v>0.05</v>
      </c>
      <c r="I1183" s="34">
        <v>9927.59</v>
      </c>
      <c r="J1183" s="34">
        <v>10.4239695</v>
      </c>
      <c r="K1183" s="31" t="s">
        <v>2794</v>
      </c>
      <c r="L1183" s="31">
        <v>1</v>
      </c>
      <c r="M1183" s="31" t="s">
        <v>2795</v>
      </c>
      <c r="N1183" s="34">
        <v>25</v>
      </c>
      <c r="O1183" s="35">
        <v>0</v>
      </c>
      <c r="P1183" s="35">
        <v>525</v>
      </c>
      <c r="Q1183" s="35">
        <v>0</v>
      </c>
      <c r="R1183" s="36">
        <v>15.02</v>
      </c>
      <c r="S1183" s="37">
        <f>IFERROR(_xlfn.XLOOKUP(R1183,'1_Presupuesto'!$E:$E,'1_Presupuesto'!$D:$D),"")</f>
        <v>0</v>
      </c>
    </row>
    <row r="1184" spans="1:19" x14ac:dyDescent="0.35">
      <c r="A1184" s="31" t="s">
        <v>2793</v>
      </c>
      <c r="B1184" s="31" t="s">
        <v>497</v>
      </c>
      <c r="C1184" s="31" t="s">
        <v>498</v>
      </c>
      <c r="D1184" s="31" t="s">
        <v>765</v>
      </c>
      <c r="E1184" s="31" t="s">
        <v>766</v>
      </c>
      <c r="F1184" s="31">
        <v>0</v>
      </c>
      <c r="G1184" s="32">
        <v>4.0000000000000001E-3</v>
      </c>
      <c r="H1184" s="33">
        <v>0.05</v>
      </c>
      <c r="I1184" s="34">
        <v>42552.892561983499</v>
      </c>
      <c r="J1184" s="34">
        <v>178.72214876033101</v>
      </c>
      <c r="K1184" s="31" t="s">
        <v>2794</v>
      </c>
      <c r="L1184" s="31">
        <v>2</v>
      </c>
      <c r="M1184" s="31" t="s">
        <v>2796</v>
      </c>
      <c r="N1184" s="34">
        <v>25</v>
      </c>
      <c r="O1184" s="35">
        <v>0</v>
      </c>
      <c r="P1184" s="35">
        <v>525</v>
      </c>
      <c r="Q1184" s="35">
        <v>0</v>
      </c>
      <c r="R1184" s="36">
        <v>15.02</v>
      </c>
      <c r="S1184" s="37">
        <f>IFERROR(_xlfn.XLOOKUP(R1184,'1_Presupuesto'!$E:$E,'1_Presupuesto'!$D:$D),"")</f>
        <v>0</v>
      </c>
    </row>
    <row r="1185" spans="1:19" x14ac:dyDescent="0.35">
      <c r="A1185" s="31" t="s">
        <v>2793</v>
      </c>
      <c r="B1185" s="31" t="s">
        <v>497</v>
      </c>
      <c r="C1185" s="31" t="s">
        <v>498</v>
      </c>
      <c r="D1185" s="31" t="s">
        <v>512</v>
      </c>
      <c r="E1185" s="31" t="s">
        <v>513</v>
      </c>
      <c r="F1185" s="31">
        <v>0</v>
      </c>
      <c r="G1185" s="32">
        <v>0.03</v>
      </c>
      <c r="H1185" s="33">
        <v>0.05</v>
      </c>
      <c r="I1185" s="34">
        <v>1182.6446280991699</v>
      </c>
      <c r="J1185" s="34">
        <v>37.253305785123899</v>
      </c>
      <c r="K1185" s="31" t="s">
        <v>2794</v>
      </c>
      <c r="L1185" s="31">
        <v>3</v>
      </c>
      <c r="M1185" s="31" t="s">
        <v>2797</v>
      </c>
      <c r="N1185" s="34">
        <v>25</v>
      </c>
      <c r="O1185" s="35">
        <v>0</v>
      </c>
      <c r="P1185" s="35">
        <v>525</v>
      </c>
      <c r="Q1185" s="35">
        <v>0</v>
      </c>
      <c r="R1185" s="36">
        <v>15.02</v>
      </c>
      <c r="S1185" s="37">
        <f>IFERROR(_xlfn.XLOOKUP(R1185,'1_Presupuesto'!$E:$E,'1_Presupuesto'!$D:$D),"")</f>
        <v>0</v>
      </c>
    </row>
    <row r="1186" spans="1:19" x14ac:dyDescent="0.35">
      <c r="A1186" s="31" t="s">
        <v>2793</v>
      </c>
      <c r="B1186" s="31" t="s">
        <v>497</v>
      </c>
      <c r="C1186" s="31" t="s">
        <v>498</v>
      </c>
      <c r="D1186" s="31" t="s">
        <v>769</v>
      </c>
      <c r="E1186" s="31" t="s">
        <v>770</v>
      </c>
      <c r="F1186" s="31">
        <v>0</v>
      </c>
      <c r="G1186" s="32">
        <v>0.05</v>
      </c>
      <c r="H1186" s="33">
        <v>0.1</v>
      </c>
      <c r="I1186" s="34">
        <v>5885.9504132231395</v>
      </c>
      <c r="J1186" s="34">
        <v>323.72727272727298</v>
      </c>
      <c r="K1186" s="31" t="s">
        <v>2794</v>
      </c>
      <c r="L1186" s="31">
        <v>4</v>
      </c>
      <c r="M1186" s="31" t="s">
        <v>2798</v>
      </c>
      <c r="N1186" s="34">
        <v>25</v>
      </c>
      <c r="O1186" s="35">
        <v>0</v>
      </c>
      <c r="P1186" s="35">
        <v>525</v>
      </c>
      <c r="Q1186" s="35">
        <v>0</v>
      </c>
      <c r="R1186" s="36">
        <v>15.02</v>
      </c>
      <c r="S1186" s="37">
        <f>IFERROR(_xlfn.XLOOKUP(R1186,'1_Presupuesto'!$E:$E,'1_Presupuesto'!$D:$D),"")</f>
        <v>0</v>
      </c>
    </row>
    <row r="1187" spans="1:19" x14ac:dyDescent="0.35">
      <c r="A1187" s="31" t="s">
        <v>2793</v>
      </c>
      <c r="B1187" s="31" t="s">
        <v>497</v>
      </c>
      <c r="C1187" s="31" t="s">
        <v>498</v>
      </c>
      <c r="D1187" s="31" t="s">
        <v>503</v>
      </c>
      <c r="E1187" s="31" t="s">
        <v>504</v>
      </c>
      <c r="F1187" s="31" t="s">
        <v>261</v>
      </c>
      <c r="G1187" s="32">
        <v>5.0000000000000001E-3</v>
      </c>
      <c r="H1187" s="33">
        <v>0.05</v>
      </c>
      <c r="I1187" s="34">
        <v>6442.15</v>
      </c>
      <c r="J1187" s="34">
        <v>33.821287499999997</v>
      </c>
      <c r="K1187" s="31" t="s">
        <v>2794</v>
      </c>
      <c r="L1187" s="31">
        <v>5</v>
      </c>
      <c r="M1187" s="31" t="s">
        <v>2799</v>
      </c>
      <c r="N1187" s="34">
        <v>25</v>
      </c>
      <c r="O1187" s="35">
        <v>0</v>
      </c>
      <c r="P1187" s="35">
        <v>525</v>
      </c>
      <c r="Q1187" s="35">
        <v>0</v>
      </c>
      <c r="R1187" s="36">
        <v>15.02</v>
      </c>
      <c r="S1187" s="37">
        <f>IFERROR(_xlfn.XLOOKUP(R1187,'1_Presupuesto'!$E:$E,'1_Presupuesto'!$D:$D),"")</f>
        <v>0</v>
      </c>
    </row>
    <row r="1188" spans="1:19" x14ac:dyDescent="0.35">
      <c r="A1188" s="31" t="s">
        <v>2793</v>
      </c>
      <c r="B1188" s="31" t="s">
        <v>497</v>
      </c>
      <c r="C1188" s="31" t="s">
        <v>498</v>
      </c>
      <c r="D1188" s="31" t="s">
        <v>506</v>
      </c>
      <c r="E1188" s="31" t="s">
        <v>507</v>
      </c>
      <c r="F1188" s="31" t="s">
        <v>261</v>
      </c>
      <c r="G1188" s="32">
        <v>5.0000000000000001E-3</v>
      </c>
      <c r="H1188" s="33">
        <v>0.05</v>
      </c>
      <c r="I1188" s="34">
        <v>4418.1818181818198</v>
      </c>
      <c r="J1188" s="34">
        <v>23.195454545454599</v>
      </c>
      <c r="K1188" s="31" t="s">
        <v>2794</v>
      </c>
      <c r="L1188" s="31">
        <v>6</v>
      </c>
      <c r="M1188" s="31" t="s">
        <v>2800</v>
      </c>
      <c r="N1188" s="34">
        <v>25</v>
      </c>
      <c r="O1188" s="35">
        <v>0</v>
      </c>
      <c r="P1188" s="35">
        <v>525</v>
      </c>
      <c r="Q1188" s="35">
        <v>0</v>
      </c>
      <c r="R1188" s="36">
        <v>15.02</v>
      </c>
      <c r="S1188" s="37">
        <f>IFERROR(_xlfn.XLOOKUP(R1188,'1_Presupuesto'!$E:$E,'1_Presupuesto'!$D:$D),"")</f>
        <v>0</v>
      </c>
    </row>
    <row r="1189" spans="1:19" x14ac:dyDescent="0.35">
      <c r="A1189" s="31" t="s">
        <v>2793</v>
      </c>
      <c r="B1189" s="31" t="s">
        <v>497</v>
      </c>
      <c r="C1189" s="31" t="s">
        <v>498</v>
      </c>
      <c r="D1189" s="31" t="s">
        <v>777</v>
      </c>
      <c r="E1189" s="31" t="s">
        <v>778</v>
      </c>
      <c r="F1189" s="31" t="s">
        <v>261</v>
      </c>
      <c r="G1189" s="32">
        <v>0.01</v>
      </c>
      <c r="H1189" s="33">
        <v>0.05</v>
      </c>
      <c r="I1189" s="34">
        <v>8173.5537190082696</v>
      </c>
      <c r="J1189" s="34">
        <v>85.822314049586794</v>
      </c>
      <c r="K1189" s="31" t="s">
        <v>2794</v>
      </c>
      <c r="L1189" s="31">
        <v>7</v>
      </c>
      <c r="M1189" s="31" t="s">
        <v>2801</v>
      </c>
      <c r="N1189" s="34">
        <v>25</v>
      </c>
      <c r="O1189" s="35">
        <v>0</v>
      </c>
      <c r="P1189" s="35">
        <v>525</v>
      </c>
      <c r="Q1189" s="35">
        <v>0</v>
      </c>
      <c r="R1189" s="36">
        <v>15.02</v>
      </c>
      <c r="S1189" s="37">
        <f>IFERROR(_xlfn.XLOOKUP(R1189,'1_Presupuesto'!$E:$E,'1_Presupuesto'!$D:$D),"")</f>
        <v>0</v>
      </c>
    </row>
    <row r="1190" spans="1:19" x14ac:dyDescent="0.35">
      <c r="A1190" s="31" t="s">
        <v>2793</v>
      </c>
      <c r="B1190" s="31" t="s">
        <v>497</v>
      </c>
      <c r="C1190" s="31" t="s">
        <v>498</v>
      </c>
      <c r="D1190" s="31" t="s">
        <v>783</v>
      </c>
      <c r="E1190" s="31" t="s">
        <v>784</v>
      </c>
      <c r="F1190" s="31">
        <v>0</v>
      </c>
      <c r="G1190" s="32">
        <v>1.2500000000000001E-2</v>
      </c>
      <c r="H1190" s="33">
        <v>0.1</v>
      </c>
      <c r="I1190" s="34">
        <v>143389.25619834699</v>
      </c>
      <c r="J1190" s="34">
        <v>1971.60227272727</v>
      </c>
      <c r="K1190" s="31" t="s">
        <v>2794</v>
      </c>
      <c r="L1190" s="31">
        <v>8</v>
      </c>
      <c r="M1190" s="31" t="s">
        <v>2802</v>
      </c>
      <c r="N1190" s="34">
        <v>25</v>
      </c>
      <c r="O1190" s="35">
        <v>0</v>
      </c>
      <c r="P1190" s="35">
        <v>525</v>
      </c>
      <c r="Q1190" s="35">
        <v>0</v>
      </c>
      <c r="R1190" s="36">
        <v>15.02</v>
      </c>
      <c r="S1190" s="37">
        <f>IFERROR(_xlfn.XLOOKUP(R1190,'1_Presupuesto'!$E:$E,'1_Presupuesto'!$D:$D),"")</f>
        <v>0</v>
      </c>
    </row>
    <row r="1191" spans="1:19" x14ac:dyDescent="0.35">
      <c r="A1191" s="31" t="s">
        <v>2793</v>
      </c>
      <c r="B1191" s="31" t="s">
        <v>203</v>
      </c>
      <c r="C1191" s="31"/>
      <c r="D1191" s="31" t="s">
        <v>786</v>
      </c>
      <c r="E1191" s="31" t="s">
        <v>787</v>
      </c>
      <c r="F1191" s="31"/>
      <c r="G1191" s="32">
        <v>1</v>
      </c>
      <c r="H1191" s="33">
        <v>0</v>
      </c>
      <c r="I1191" s="34">
        <v>1873.3963608356801</v>
      </c>
      <c r="J1191" s="34">
        <v>1873.3963608356801</v>
      </c>
      <c r="K1191" s="31" t="s">
        <v>2803</v>
      </c>
      <c r="L1191" s="31">
        <v>1</v>
      </c>
      <c r="M1191" s="31" t="s">
        <v>2804</v>
      </c>
      <c r="N1191" s="34">
        <v>25</v>
      </c>
      <c r="O1191" s="35">
        <v>0</v>
      </c>
      <c r="P1191" s="35">
        <v>525</v>
      </c>
      <c r="Q1191" s="35">
        <v>0</v>
      </c>
      <c r="R1191" s="36">
        <v>15.02</v>
      </c>
      <c r="S1191" s="37">
        <f>IFERROR(_xlfn.XLOOKUP(R1191,'1_Presupuesto'!$E:$E,'1_Presupuesto'!$D:$D),"")</f>
        <v>0</v>
      </c>
    </row>
    <row r="1192" spans="1:19" x14ac:dyDescent="0.35">
      <c r="A1192" s="31" t="s">
        <v>2805</v>
      </c>
      <c r="B1192" s="31" t="s">
        <v>497</v>
      </c>
      <c r="C1192" s="31" t="s">
        <v>498</v>
      </c>
      <c r="D1192" s="31" t="s">
        <v>765</v>
      </c>
      <c r="E1192" s="31" t="s">
        <v>766</v>
      </c>
      <c r="F1192" s="31">
        <v>0</v>
      </c>
      <c r="G1192" s="32">
        <v>4.0000000000000001E-3</v>
      </c>
      <c r="H1192" s="33">
        <v>0.05</v>
      </c>
      <c r="I1192" s="34">
        <v>42552.892561983499</v>
      </c>
      <c r="J1192" s="34">
        <v>178.72214876033101</v>
      </c>
      <c r="K1192" s="31" t="s">
        <v>2806</v>
      </c>
      <c r="L1192" s="31">
        <v>1</v>
      </c>
      <c r="M1192" s="31" t="s">
        <v>2807</v>
      </c>
      <c r="N1192" s="34">
        <v>17.5</v>
      </c>
      <c r="O1192" s="35">
        <v>0</v>
      </c>
      <c r="P1192" s="35">
        <v>136</v>
      </c>
      <c r="Q1192" s="35">
        <v>0</v>
      </c>
      <c r="R1192" s="36">
        <v>15.03</v>
      </c>
      <c r="S1192" s="37">
        <f>IFERROR(_xlfn.XLOOKUP(R1192,'1_Presupuesto'!$E:$E,'1_Presupuesto'!$D:$D),"")</f>
        <v>0</v>
      </c>
    </row>
    <row r="1193" spans="1:19" x14ac:dyDescent="0.35">
      <c r="A1193" s="31" t="s">
        <v>2805</v>
      </c>
      <c r="B1193" s="31" t="s">
        <v>497</v>
      </c>
      <c r="C1193" s="31" t="s">
        <v>498</v>
      </c>
      <c r="D1193" s="31" t="s">
        <v>780</v>
      </c>
      <c r="E1193" s="31" t="s">
        <v>781</v>
      </c>
      <c r="F1193" s="31">
        <v>0</v>
      </c>
      <c r="G1193" s="32">
        <v>0.03</v>
      </c>
      <c r="H1193" s="33">
        <v>0.1</v>
      </c>
      <c r="I1193" s="34">
        <v>41314.049586776899</v>
      </c>
      <c r="J1193" s="34">
        <v>1363.3636363636399</v>
      </c>
      <c r="K1193" s="31" t="s">
        <v>2806</v>
      </c>
      <c r="L1193" s="31">
        <v>2</v>
      </c>
      <c r="M1193" s="31" t="s">
        <v>2808</v>
      </c>
      <c r="N1193" s="34">
        <v>17.5</v>
      </c>
      <c r="O1193" s="35">
        <v>0</v>
      </c>
      <c r="P1193" s="35">
        <v>136</v>
      </c>
      <c r="Q1193" s="35">
        <v>0</v>
      </c>
      <c r="R1193" s="36">
        <v>15.03</v>
      </c>
      <c r="S1193" s="37">
        <f>IFERROR(_xlfn.XLOOKUP(R1193,'1_Presupuesto'!$E:$E,'1_Presupuesto'!$D:$D),"")</f>
        <v>0</v>
      </c>
    </row>
    <row r="1194" spans="1:19" x14ac:dyDescent="0.35">
      <c r="A1194" s="31" t="s">
        <v>2805</v>
      </c>
      <c r="B1194" s="31" t="s">
        <v>497</v>
      </c>
      <c r="C1194" s="31" t="s">
        <v>498</v>
      </c>
      <c r="D1194" s="31" t="s">
        <v>783</v>
      </c>
      <c r="E1194" s="31" t="s">
        <v>784</v>
      </c>
      <c r="F1194" s="31">
        <v>0</v>
      </c>
      <c r="G1194" s="32">
        <v>1.2500000000000001E-2</v>
      </c>
      <c r="H1194" s="33">
        <v>0.1</v>
      </c>
      <c r="I1194" s="34">
        <v>143389.25619834699</v>
      </c>
      <c r="J1194" s="34">
        <v>1971.60227272727</v>
      </c>
      <c r="K1194" s="31" t="s">
        <v>2806</v>
      </c>
      <c r="L1194" s="31">
        <v>3</v>
      </c>
      <c r="M1194" s="31" t="s">
        <v>2809</v>
      </c>
      <c r="N1194" s="34">
        <v>17.5</v>
      </c>
      <c r="O1194" s="35">
        <v>0</v>
      </c>
      <c r="P1194" s="35">
        <v>136</v>
      </c>
      <c r="Q1194" s="35">
        <v>0</v>
      </c>
      <c r="R1194" s="36">
        <v>15.03</v>
      </c>
      <c r="S1194" s="37">
        <f>IFERROR(_xlfn.XLOOKUP(R1194,'1_Presupuesto'!$E:$E,'1_Presupuesto'!$D:$D),"")</f>
        <v>0</v>
      </c>
    </row>
    <row r="1195" spans="1:19" x14ac:dyDescent="0.35">
      <c r="A1195" s="31" t="s">
        <v>2805</v>
      </c>
      <c r="B1195" s="31" t="s">
        <v>497</v>
      </c>
      <c r="C1195" s="31" t="s">
        <v>498</v>
      </c>
      <c r="D1195" s="31" t="s">
        <v>761</v>
      </c>
      <c r="E1195" s="31" t="s">
        <v>762</v>
      </c>
      <c r="F1195" s="31">
        <v>0</v>
      </c>
      <c r="G1195" s="32">
        <v>2.5000000000000001E-3</v>
      </c>
      <c r="H1195" s="33">
        <v>0.05</v>
      </c>
      <c r="I1195" s="34">
        <v>9927.59</v>
      </c>
      <c r="J1195" s="34">
        <v>26.059923749999999</v>
      </c>
      <c r="K1195" s="31" t="s">
        <v>2806</v>
      </c>
      <c r="L1195" s="31">
        <v>4</v>
      </c>
      <c r="M1195" s="31" t="s">
        <v>2810</v>
      </c>
      <c r="N1195" s="34">
        <v>17.5</v>
      </c>
      <c r="O1195" s="35">
        <v>0</v>
      </c>
      <c r="P1195" s="35">
        <v>136</v>
      </c>
      <c r="Q1195" s="35">
        <v>0</v>
      </c>
      <c r="R1195" s="36">
        <v>15.03</v>
      </c>
      <c r="S1195" s="37">
        <f>IFERROR(_xlfn.XLOOKUP(R1195,'1_Presupuesto'!$E:$E,'1_Presupuesto'!$D:$D),"")</f>
        <v>0</v>
      </c>
    </row>
    <row r="1196" spans="1:19" x14ac:dyDescent="0.35">
      <c r="A1196" s="31" t="s">
        <v>2805</v>
      </c>
      <c r="B1196" s="31" t="s">
        <v>497</v>
      </c>
      <c r="C1196" s="31" t="s">
        <v>498</v>
      </c>
      <c r="D1196" s="31" t="s">
        <v>512</v>
      </c>
      <c r="E1196" s="31" t="s">
        <v>513</v>
      </c>
      <c r="F1196" s="31">
        <v>0</v>
      </c>
      <c r="G1196" s="32">
        <v>0.03</v>
      </c>
      <c r="H1196" s="33">
        <v>0.05</v>
      </c>
      <c r="I1196" s="34">
        <v>1182.6446280991699</v>
      </c>
      <c r="J1196" s="34">
        <v>37.253305785123899</v>
      </c>
      <c r="K1196" s="31" t="s">
        <v>2806</v>
      </c>
      <c r="L1196" s="31">
        <v>5</v>
      </c>
      <c r="M1196" s="31" t="s">
        <v>2811</v>
      </c>
      <c r="N1196" s="34">
        <v>17.5</v>
      </c>
      <c r="O1196" s="35">
        <v>0</v>
      </c>
      <c r="P1196" s="35">
        <v>136</v>
      </c>
      <c r="Q1196" s="35">
        <v>0</v>
      </c>
      <c r="R1196" s="36">
        <v>15.03</v>
      </c>
      <c r="S1196" s="37">
        <f>IFERROR(_xlfn.XLOOKUP(R1196,'1_Presupuesto'!$E:$E,'1_Presupuesto'!$D:$D),"")</f>
        <v>0</v>
      </c>
    </row>
    <row r="1197" spans="1:19" x14ac:dyDescent="0.35">
      <c r="A1197" s="31" t="s">
        <v>2805</v>
      </c>
      <c r="B1197" s="31" t="s">
        <v>497</v>
      </c>
      <c r="C1197" s="31" t="s">
        <v>498</v>
      </c>
      <c r="D1197" s="31" t="s">
        <v>769</v>
      </c>
      <c r="E1197" s="31" t="s">
        <v>770</v>
      </c>
      <c r="F1197" s="31">
        <v>0</v>
      </c>
      <c r="G1197" s="32">
        <v>0.05</v>
      </c>
      <c r="H1197" s="33">
        <v>0.1</v>
      </c>
      <c r="I1197" s="34">
        <v>5885.9504132231395</v>
      </c>
      <c r="J1197" s="34">
        <v>323.72727272727298</v>
      </c>
      <c r="K1197" s="31" t="s">
        <v>2806</v>
      </c>
      <c r="L1197" s="31">
        <v>6</v>
      </c>
      <c r="M1197" s="31" t="s">
        <v>2812</v>
      </c>
      <c r="N1197" s="34">
        <v>17.5</v>
      </c>
      <c r="O1197" s="35">
        <v>0</v>
      </c>
      <c r="P1197" s="35">
        <v>136</v>
      </c>
      <c r="Q1197" s="35">
        <v>0</v>
      </c>
      <c r="R1197" s="36">
        <v>15.03</v>
      </c>
      <c r="S1197" s="37">
        <f>IFERROR(_xlfn.XLOOKUP(R1197,'1_Presupuesto'!$E:$E,'1_Presupuesto'!$D:$D),"")</f>
        <v>0</v>
      </c>
    </row>
    <row r="1198" spans="1:19" x14ac:dyDescent="0.35">
      <c r="A1198" s="31" t="s">
        <v>2805</v>
      </c>
      <c r="B1198" s="31" t="s">
        <v>497</v>
      </c>
      <c r="C1198" s="31" t="s">
        <v>498</v>
      </c>
      <c r="D1198" s="31" t="s">
        <v>772</v>
      </c>
      <c r="E1198" s="31" t="s">
        <v>773</v>
      </c>
      <c r="F1198" s="31">
        <v>0</v>
      </c>
      <c r="G1198" s="32">
        <v>2.5000000000000001E-2</v>
      </c>
      <c r="H1198" s="33">
        <v>0.05</v>
      </c>
      <c r="I1198" s="34">
        <v>7917.3553719008296</v>
      </c>
      <c r="J1198" s="34">
        <v>207.83057851239701</v>
      </c>
      <c r="K1198" s="31" t="s">
        <v>2806</v>
      </c>
      <c r="L1198" s="31">
        <v>7</v>
      </c>
      <c r="M1198" s="31" t="s">
        <v>2813</v>
      </c>
      <c r="N1198" s="34">
        <v>17.5</v>
      </c>
      <c r="O1198" s="35">
        <v>0</v>
      </c>
      <c r="P1198" s="35">
        <v>136</v>
      </c>
      <c r="Q1198" s="35">
        <v>0</v>
      </c>
      <c r="R1198" s="36">
        <v>15.03</v>
      </c>
      <c r="S1198" s="37">
        <f>IFERROR(_xlfn.XLOOKUP(R1198,'1_Presupuesto'!$E:$E,'1_Presupuesto'!$D:$D),"")</f>
        <v>0</v>
      </c>
    </row>
    <row r="1199" spans="1:19" x14ac:dyDescent="0.35">
      <c r="A1199" s="31" t="s">
        <v>2805</v>
      </c>
      <c r="B1199" s="31" t="s">
        <v>497</v>
      </c>
      <c r="C1199" s="31" t="s">
        <v>498</v>
      </c>
      <c r="D1199" s="31" t="s">
        <v>503</v>
      </c>
      <c r="E1199" s="31" t="s">
        <v>504</v>
      </c>
      <c r="F1199" s="31" t="s">
        <v>261</v>
      </c>
      <c r="G1199" s="32">
        <v>5.0000000000000001E-3</v>
      </c>
      <c r="H1199" s="33">
        <v>0.05</v>
      </c>
      <c r="I1199" s="34">
        <v>6442.15</v>
      </c>
      <c r="J1199" s="34">
        <v>33.821287499999997</v>
      </c>
      <c r="K1199" s="31" t="s">
        <v>2806</v>
      </c>
      <c r="L1199" s="31">
        <v>8</v>
      </c>
      <c r="M1199" s="31" t="s">
        <v>2814</v>
      </c>
      <c r="N1199" s="34">
        <v>17.5</v>
      </c>
      <c r="O1199" s="35">
        <v>0</v>
      </c>
      <c r="P1199" s="35">
        <v>136</v>
      </c>
      <c r="Q1199" s="35">
        <v>0</v>
      </c>
      <c r="R1199" s="36">
        <v>15.03</v>
      </c>
      <c r="S1199" s="37">
        <f>IFERROR(_xlfn.XLOOKUP(R1199,'1_Presupuesto'!$E:$E,'1_Presupuesto'!$D:$D),"")</f>
        <v>0</v>
      </c>
    </row>
    <row r="1200" spans="1:19" x14ac:dyDescent="0.35">
      <c r="A1200" s="31" t="s">
        <v>2805</v>
      </c>
      <c r="B1200" s="31" t="s">
        <v>497</v>
      </c>
      <c r="C1200" s="31" t="s">
        <v>498</v>
      </c>
      <c r="D1200" s="31" t="s">
        <v>506</v>
      </c>
      <c r="E1200" s="31" t="s">
        <v>507</v>
      </c>
      <c r="F1200" s="31" t="s">
        <v>261</v>
      </c>
      <c r="G1200" s="32">
        <v>5.0000000000000001E-3</v>
      </c>
      <c r="H1200" s="33">
        <v>0.05</v>
      </c>
      <c r="I1200" s="34">
        <v>4418.1818181818198</v>
      </c>
      <c r="J1200" s="34">
        <v>23.195454545454599</v>
      </c>
      <c r="K1200" s="31" t="s">
        <v>2806</v>
      </c>
      <c r="L1200" s="31">
        <v>9</v>
      </c>
      <c r="M1200" s="31" t="s">
        <v>2815</v>
      </c>
      <c r="N1200" s="34">
        <v>17.5</v>
      </c>
      <c r="O1200" s="35">
        <v>0</v>
      </c>
      <c r="P1200" s="35">
        <v>136</v>
      </c>
      <c r="Q1200" s="35">
        <v>0</v>
      </c>
      <c r="R1200" s="36">
        <v>15.03</v>
      </c>
      <c r="S1200" s="37">
        <f>IFERROR(_xlfn.XLOOKUP(R1200,'1_Presupuesto'!$E:$E,'1_Presupuesto'!$D:$D),"")</f>
        <v>0</v>
      </c>
    </row>
    <row r="1201" spans="1:19" x14ac:dyDescent="0.35">
      <c r="A1201" s="31" t="s">
        <v>2805</v>
      </c>
      <c r="B1201" s="31" t="s">
        <v>497</v>
      </c>
      <c r="C1201" s="31" t="s">
        <v>498</v>
      </c>
      <c r="D1201" s="31" t="s">
        <v>777</v>
      </c>
      <c r="E1201" s="31" t="s">
        <v>778</v>
      </c>
      <c r="F1201" s="31" t="s">
        <v>261</v>
      </c>
      <c r="G1201" s="32">
        <v>0.01</v>
      </c>
      <c r="H1201" s="33">
        <v>0.05</v>
      </c>
      <c r="I1201" s="34">
        <v>8173.5537190082696</v>
      </c>
      <c r="J1201" s="34">
        <v>85.822314049586794</v>
      </c>
      <c r="K1201" s="31" t="s">
        <v>2806</v>
      </c>
      <c r="L1201" s="31">
        <v>10</v>
      </c>
      <c r="M1201" s="31" t="s">
        <v>2816</v>
      </c>
      <c r="N1201" s="34">
        <v>17.5</v>
      </c>
      <c r="O1201" s="35">
        <v>0</v>
      </c>
      <c r="P1201" s="35">
        <v>136</v>
      </c>
      <c r="Q1201" s="35">
        <v>0</v>
      </c>
      <c r="R1201" s="36">
        <v>15.03</v>
      </c>
      <c r="S1201" s="37">
        <f>IFERROR(_xlfn.XLOOKUP(R1201,'1_Presupuesto'!$E:$E,'1_Presupuesto'!$D:$D),"")</f>
        <v>0</v>
      </c>
    </row>
    <row r="1202" spans="1:19" x14ac:dyDescent="0.35">
      <c r="A1202" s="31" t="s">
        <v>2805</v>
      </c>
      <c r="B1202" s="31" t="s">
        <v>203</v>
      </c>
      <c r="C1202" s="31"/>
      <c r="D1202" s="31" t="s">
        <v>613</v>
      </c>
      <c r="E1202" s="31" t="s">
        <v>614</v>
      </c>
      <c r="F1202" s="31"/>
      <c r="G1202" s="32">
        <v>1</v>
      </c>
      <c r="H1202" s="33">
        <v>0</v>
      </c>
      <c r="I1202" s="34">
        <v>620.81078197718296</v>
      </c>
      <c r="J1202" s="34">
        <v>620.81078197718296</v>
      </c>
      <c r="K1202" s="31" t="s">
        <v>2817</v>
      </c>
      <c r="L1202" s="31">
        <v>1</v>
      </c>
      <c r="M1202" s="31" t="s">
        <v>2818</v>
      </c>
      <c r="N1202" s="34">
        <v>17.5</v>
      </c>
      <c r="O1202" s="35">
        <v>0</v>
      </c>
      <c r="P1202" s="35">
        <v>136</v>
      </c>
      <c r="Q1202" s="35">
        <v>0</v>
      </c>
      <c r="R1202" s="36">
        <v>15.03</v>
      </c>
      <c r="S1202" s="37">
        <f>IFERROR(_xlfn.XLOOKUP(R1202,'1_Presupuesto'!$E:$E,'1_Presupuesto'!$D:$D),"")</f>
        <v>0</v>
      </c>
    </row>
    <row r="1203" spans="1:19" x14ac:dyDescent="0.35">
      <c r="A1203" s="31" t="s">
        <v>2805</v>
      </c>
      <c r="B1203" s="31" t="s">
        <v>203</v>
      </c>
      <c r="C1203" s="31"/>
      <c r="D1203" s="31" t="s">
        <v>786</v>
      </c>
      <c r="E1203" s="31" t="s">
        <v>787</v>
      </c>
      <c r="F1203" s="31"/>
      <c r="G1203" s="32">
        <v>2</v>
      </c>
      <c r="H1203" s="33">
        <v>0</v>
      </c>
      <c r="I1203" s="34">
        <v>1873.3963608356801</v>
      </c>
      <c r="J1203" s="34">
        <v>3746.7927216713601</v>
      </c>
      <c r="K1203" s="31" t="s">
        <v>2817</v>
      </c>
      <c r="L1203" s="31">
        <v>2</v>
      </c>
      <c r="M1203" s="31" t="s">
        <v>2819</v>
      </c>
      <c r="N1203" s="34">
        <v>17.5</v>
      </c>
      <c r="O1203" s="35">
        <v>0</v>
      </c>
      <c r="P1203" s="35">
        <v>136</v>
      </c>
      <c r="Q1203" s="35">
        <v>0</v>
      </c>
      <c r="R1203" s="36">
        <v>15.03</v>
      </c>
      <c r="S1203" s="37">
        <f>IFERROR(_xlfn.XLOOKUP(R1203,'1_Presupuesto'!$E:$E,'1_Presupuesto'!$D:$D),"")</f>
        <v>0</v>
      </c>
    </row>
    <row r="1204" spans="1:19" x14ac:dyDescent="0.35">
      <c r="A1204" s="31" t="s">
        <v>2820</v>
      </c>
      <c r="B1204" s="31" t="s">
        <v>497</v>
      </c>
      <c r="C1204" s="31" t="s">
        <v>498</v>
      </c>
      <c r="D1204" s="31" t="s">
        <v>765</v>
      </c>
      <c r="E1204" s="31" t="s">
        <v>766</v>
      </c>
      <c r="F1204" s="31">
        <v>0</v>
      </c>
      <c r="G1204" s="32">
        <v>4.0000000000000001E-3</v>
      </c>
      <c r="H1204" s="33">
        <v>0.05</v>
      </c>
      <c r="I1204" s="34">
        <v>42552.892561983499</v>
      </c>
      <c r="J1204" s="34">
        <v>178.72214876033101</v>
      </c>
      <c r="K1204" s="31" t="s">
        <v>2821</v>
      </c>
      <c r="L1204" s="31">
        <v>1</v>
      </c>
      <c r="M1204" s="31" t="s">
        <v>2822</v>
      </c>
      <c r="N1204" s="34">
        <v>17.5</v>
      </c>
      <c r="O1204" s="35">
        <v>0</v>
      </c>
      <c r="P1204" s="35">
        <v>296</v>
      </c>
      <c r="Q1204" s="35">
        <v>0</v>
      </c>
      <c r="R1204" s="36">
        <v>15.04</v>
      </c>
      <c r="S1204" s="37">
        <f>IFERROR(_xlfn.XLOOKUP(R1204,'1_Presupuesto'!$E:$E,'1_Presupuesto'!$D:$D),"")</f>
        <v>0</v>
      </c>
    </row>
    <row r="1205" spans="1:19" x14ac:dyDescent="0.35">
      <c r="A1205" s="31" t="s">
        <v>2820</v>
      </c>
      <c r="B1205" s="31" t="s">
        <v>497</v>
      </c>
      <c r="C1205" s="31" t="s">
        <v>498</v>
      </c>
      <c r="D1205" s="31" t="s">
        <v>780</v>
      </c>
      <c r="E1205" s="31" t="s">
        <v>781</v>
      </c>
      <c r="F1205" s="31">
        <v>0</v>
      </c>
      <c r="G1205" s="32">
        <v>0.03</v>
      </c>
      <c r="H1205" s="33">
        <v>0.1</v>
      </c>
      <c r="I1205" s="34">
        <v>41314.049586776899</v>
      </c>
      <c r="J1205" s="34">
        <v>1363.3636363636399</v>
      </c>
      <c r="K1205" s="31" t="s">
        <v>2821</v>
      </c>
      <c r="L1205" s="31">
        <v>2</v>
      </c>
      <c r="M1205" s="31" t="s">
        <v>2823</v>
      </c>
      <c r="N1205" s="34">
        <v>17.5</v>
      </c>
      <c r="O1205" s="35">
        <v>0</v>
      </c>
      <c r="P1205" s="35">
        <v>296</v>
      </c>
      <c r="Q1205" s="35">
        <v>0</v>
      </c>
      <c r="R1205" s="36">
        <v>15.04</v>
      </c>
      <c r="S1205" s="37">
        <f>IFERROR(_xlfn.XLOOKUP(R1205,'1_Presupuesto'!$E:$E,'1_Presupuesto'!$D:$D),"")</f>
        <v>0</v>
      </c>
    </row>
    <row r="1206" spans="1:19" x14ac:dyDescent="0.35">
      <c r="A1206" s="31" t="s">
        <v>2820</v>
      </c>
      <c r="B1206" s="31" t="s">
        <v>497</v>
      </c>
      <c r="C1206" s="31" t="s">
        <v>498</v>
      </c>
      <c r="D1206" s="31" t="s">
        <v>783</v>
      </c>
      <c r="E1206" s="31" t="s">
        <v>784</v>
      </c>
      <c r="F1206" s="31">
        <v>0</v>
      </c>
      <c r="G1206" s="32">
        <v>1.2500000000000001E-2</v>
      </c>
      <c r="H1206" s="33">
        <v>0.1</v>
      </c>
      <c r="I1206" s="34">
        <v>143389.25619834699</v>
      </c>
      <c r="J1206" s="34">
        <v>1971.60227272727</v>
      </c>
      <c r="K1206" s="31" t="s">
        <v>2821</v>
      </c>
      <c r="L1206" s="31">
        <v>3</v>
      </c>
      <c r="M1206" s="31" t="s">
        <v>2824</v>
      </c>
      <c r="N1206" s="34">
        <v>17.5</v>
      </c>
      <c r="O1206" s="35">
        <v>0</v>
      </c>
      <c r="P1206" s="35">
        <v>296</v>
      </c>
      <c r="Q1206" s="35">
        <v>0</v>
      </c>
      <c r="R1206" s="36">
        <v>15.04</v>
      </c>
      <c r="S1206" s="37">
        <f>IFERROR(_xlfn.XLOOKUP(R1206,'1_Presupuesto'!$E:$E,'1_Presupuesto'!$D:$D),"")</f>
        <v>0</v>
      </c>
    </row>
    <row r="1207" spans="1:19" x14ac:dyDescent="0.35">
      <c r="A1207" s="31" t="s">
        <v>2820</v>
      </c>
      <c r="B1207" s="31" t="s">
        <v>497</v>
      </c>
      <c r="C1207" s="31" t="s">
        <v>498</v>
      </c>
      <c r="D1207" s="31" t="s">
        <v>761</v>
      </c>
      <c r="E1207" s="31" t="s">
        <v>762</v>
      </c>
      <c r="F1207" s="31">
        <v>0</v>
      </c>
      <c r="G1207" s="32">
        <v>2.5000000000000001E-3</v>
      </c>
      <c r="H1207" s="33">
        <v>0.05</v>
      </c>
      <c r="I1207" s="34">
        <v>9927.59</v>
      </c>
      <c r="J1207" s="34">
        <v>26.059923749999999</v>
      </c>
      <c r="K1207" s="31" t="s">
        <v>2821</v>
      </c>
      <c r="L1207" s="31">
        <v>4</v>
      </c>
      <c r="M1207" s="31" t="s">
        <v>2825</v>
      </c>
      <c r="N1207" s="34">
        <v>17.5</v>
      </c>
      <c r="O1207" s="35">
        <v>0</v>
      </c>
      <c r="P1207" s="35">
        <v>296</v>
      </c>
      <c r="Q1207" s="35">
        <v>0</v>
      </c>
      <c r="R1207" s="36">
        <v>15.04</v>
      </c>
      <c r="S1207" s="37">
        <f>IFERROR(_xlfn.XLOOKUP(R1207,'1_Presupuesto'!$E:$E,'1_Presupuesto'!$D:$D),"")</f>
        <v>0</v>
      </c>
    </row>
    <row r="1208" spans="1:19" x14ac:dyDescent="0.35">
      <c r="A1208" s="31" t="s">
        <v>2820</v>
      </c>
      <c r="B1208" s="31" t="s">
        <v>497</v>
      </c>
      <c r="C1208" s="31" t="s">
        <v>498</v>
      </c>
      <c r="D1208" s="31" t="s">
        <v>512</v>
      </c>
      <c r="E1208" s="31" t="s">
        <v>513</v>
      </c>
      <c r="F1208" s="31">
        <v>0</v>
      </c>
      <c r="G1208" s="32">
        <v>0.03</v>
      </c>
      <c r="H1208" s="33">
        <v>0.05</v>
      </c>
      <c r="I1208" s="34">
        <v>1182.6446280991699</v>
      </c>
      <c r="J1208" s="34">
        <v>37.253305785123899</v>
      </c>
      <c r="K1208" s="31" t="s">
        <v>2821</v>
      </c>
      <c r="L1208" s="31">
        <v>5</v>
      </c>
      <c r="M1208" s="31" t="s">
        <v>2826</v>
      </c>
      <c r="N1208" s="34">
        <v>17.5</v>
      </c>
      <c r="O1208" s="35">
        <v>0</v>
      </c>
      <c r="P1208" s="35">
        <v>296</v>
      </c>
      <c r="Q1208" s="35">
        <v>0</v>
      </c>
      <c r="R1208" s="36">
        <v>15.04</v>
      </c>
      <c r="S1208" s="37">
        <f>IFERROR(_xlfn.XLOOKUP(R1208,'1_Presupuesto'!$E:$E,'1_Presupuesto'!$D:$D),"")</f>
        <v>0</v>
      </c>
    </row>
    <row r="1209" spans="1:19" x14ac:dyDescent="0.35">
      <c r="A1209" s="31" t="s">
        <v>2820</v>
      </c>
      <c r="B1209" s="31" t="s">
        <v>497</v>
      </c>
      <c r="C1209" s="31" t="s">
        <v>498</v>
      </c>
      <c r="D1209" s="31" t="s">
        <v>769</v>
      </c>
      <c r="E1209" s="31" t="s">
        <v>770</v>
      </c>
      <c r="F1209" s="31">
        <v>0</v>
      </c>
      <c r="G1209" s="32">
        <v>0.05</v>
      </c>
      <c r="H1209" s="33">
        <v>0.1</v>
      </c>
      <c r="I1209" s="34">
        <v>5885.9504132231395</v>
      </c>
      <c r="J1209" s="34">
        <v>323.72727272727298</v>
      </c>
      <c r="K1209" s="31" t="s">
        <v>2821</v>
      </c>
      <c r="L1209" s="31">
        <v>6</v>
      </c>
      <c r="M1209" s="31" t="s">
        <v>2827</v>
      </c>
      <c r="N1209" s="34">
        <v>17.5</v>
      </c>
      <c r="O1209" s="35">
        <v>0</v>
      </c>
      <c r="P1209" s="35">
        <v>296</v>
      </c>
      <c r="Q1209" s="35">
        <v>0</v>
      </c>
      <c r="R1209" s="36">
        <v>15.04</v>
      </c>
      <c r="S1209" s="37">
        <f>IFERROR(_xlfn.XLOOKUP(R1209,'1_Presupuesto'!$E:$E,'1_Presupuesto'!$D:$D),"")</f>
        <v>0</v>
      </c>
    </row>
    <row r="1210" spans="1:19" x14ac:dyDescent="0.35">
      <c r="A1210" s="31" t="s">
        <v>2820</v>
      </c>
      <c r="B1210" s="31" t="s">
        <v>497</v>
      </c>
      <c r="C1210" s="31" t="s">
        <v>498</v>
      </c>
      <c r="D1210" s="31" t="s">
        <v>772</v>
      </c>
      <c r="E1210" s="31" t="s">
        <v>773</v>
      </c>
      <c r="F1210" s="31">
        <v>0</v>
      </c>
      <c r="G1210" s="32">
        <v>2.5000000000000001E-2</v>
      </c>
      <c r="H1210" s="33">
        <v>0.05</v>
      </c>
      <c r="I1210" s="34">
        <v>7917.3553719008296</v>
      </c>
      <c r="J1210" s="34">
        <v>207.83057851239701</v>
      </c>
      <c r="K1210" s="31" t="s">
        <v>2821</v>
      </c>
      <c r="L1210" s="31">
        <v>7</v>
      </c>
      <c r="M1210" s="31" t="s">
        <v>2828</v>
      </c>
      <c r="N1210" s="34">
        <v>17.5</v>
      </c>
      <c r="O1210" s="35">
        <v>0</v>
      </c>
      <c r="P1210" s="35">
        <v>296</v>
      </c>
      <c r="Q1210" s="35">
        <v>0</v>
      </c>
      <c r="R1210" s="36">
        <v>15.04</v>
      </c>
      <c r="S1210" s="37">
        <f>IFERROR(_xlfn.XLOOKUP(R1210,'1_Presupuesto'!$E:$E,'1_Presupuesto'!$D:$D),"")</f>
        <v>0</v>
      </c>
    </row>
    <row r="1211" spans="1:19" x14ac:dyDescent="0.35">
      <c r="A1211" s="31" t="s">
        <v>2820</v>
      </c>
      <c r="B1211" s="31" t="s">
        <v>497</v>
      </c>
      <c r="C1211" s="31" t="s">
        <v>498</v>
      </c>
      <c r="D1211" s="31" t="s">
        <v>503</v>
      </c>
      <c r="E1211" s="31" t="s">
        <v>504</v>
      </c>
      <c r="F1211" s="31" t="s">
        <v>261</v>
      </c>
      <c r="G1211" s="32">
        <v>5.0000000000000001E-3</v>
      </c>
      <c r="H1211" s="33">
        <v>0.05</v>
      </c>
      <c r="I1211" s="34">
        <v>6442.15</v>
      </c>
      <c r="J1211" s="34">
        <v>33.821287499999997</v>
      </c>
      <c r="K1211" s="31" t="s">
        <v>2821</v>
      </c>
      <c r="L1211" s="31">
        <v>8</v>
      </c>
      <c r="M1211" s="31" t="s">
        <v>2829</v>
      </c>
      <c r="N1211" s="34">
        <v>17.5</v>
      </c>
      <c r="O1211" s="35">
        <v>0</v>
      </c>
      <c r="P1211" s="35">
        <v>296</v>
      </c>
      <c r="Q1211" s="35">
        <v>0</v>
      </c>
      <c r="R1211" s="36">
        <v>15.04</v>
      </c>
      <c r="S1211" s="37">
        <f>IFERROR(_xlfn.XLOOKUP(R1211,'1_Presupuesto'!$E:$E,'1_Presupuesto'!$D:$D),"")</f>
        <v>0</v>
      </c>
    </row>
    <row r="1212" spans="1:19" x14ac:dyDescent="0.35">
      <c r="A1212" s="31" t="s">
        <v>2820</v>
      </c>
      <c r="B1212" s="31" t="s">
        <v>497</v>
      </c>
      <c r="C1212" s="31" t="s">
        <v>498</v>
      </c>
      <c r="D1212" s="31" t="s">
        <v>506</v>
      </c>
      <c r="E1212" s="31" t="s">
        <v>507</v>
      </c>
      <c r="F1212" s="31" t="s">
        <v>261</v>
      </c>
      <c r="G1212" s="32">
        <v>5.0000000000000001E-3</v>
      </c>
      <c r="H1212" s="33">
        <v>0.05</v>
      </c>
      <c r="I1212" s="34">
        <v>4418.1818181818198</v>
      </c>
      <c r="J1212" s="34">
        <v>23.195454545454599</v>
      </c>
      <c r="K1212" s="31" t="s">
        <v>2821</v>
      </c>
      <c r="L1212" s="31">
        <v>9</v>
      </c>
      <c r="M1212" s="31" t="s">
        <v>2830</v>
      </c>
      <c r="N1212" s="34">
        <v>17.5</v>
      </c>
      <c r="O1212" s="35">
        <v>0</v>
      </c>
      <c r="P1212" s="35">
        <v>296</v>
      </c>
      <c r="Q1212" s="35">
        <v>0</v>
      </c>
      <c r="R1212" s="36">
        <v>15.04</v>
      </c>
      <c r="S1212" s="37">
        <f>IFERROR(_xlfn.XLOOKUP(R1212,'1_Presupuesto'!$E:$E,'1_Presupuesto'!$D:$D),"")</f>
        <v>0</v>
      </c>
    </row>
    <row r="1213" spans="1:19" x14ac:dyDescent="0.35">
      <c r="A1213" s="31" t="s">
        <v>2820</v>
      </c>
      <c r="B1213" s="31" t="s">
        <v>497</v>
      </c>
      <c r="C1213" s="31" t="s">
        <v>498</v>
      </c>
      <c r="D1213" s="31" t="s">
        <v>777</v>
      </c>
      <c r="E1213" s="31" t="s">
        <v>778</v>
      </c>
      <c r="F1213" s="31" t="s">
        <v>261</v>
      </c>
      <c r="G1213" s="32">
        <v>0.01</v>
      </c>
      <c r="H1213" s="33">
        <v>0.05</v>
      </c>
      <c r="I1213" s="34">
        <v>8173.5537190082696</v>
      </c>
      <c r="J1213" s="34">
        <v>85.822314049586794</v>
      </c>
      <c r="K1213" s="31" t="s">
        <v>2821</v>
      </c>
      <c r="L1213" s="31">
        <v>10</v>
      </c>
      <c r="M1213" s="31" t="s">
        <v>2831</v>
      </c>
      <c r="N1213" s="34">
        <v>17.5</v>
      </c>
      <c r="O1213" s="35">
        <v>0</v>
      </c>
      <c r="P1213" s="35">
        <v>296</v>
      </c>
      <c r="Q1213" s="35">
        <v>0</v>
      </c>
      <c r="R1213" s="36">
        <v>15.04</v>
      </c>
      <c r="S1213" s="37">
        <f>IFERROR(_xlfn.XLOOKUP(R1213,'1_Presupuesto'!$E:$E,'1_Presupuesto'!$D:$D),"")</f>
        <v>0</v>
      </c>
    </row>
    <row r="1214" spans="1:19" x14ac:dyDescent="0.35">
      <c r="A1214" s="31" t="s">
        <v>2820</v>
      </c>
      <c r="B1214" s="31" t="s">
        <v>203</v>
      </c>
      <c r="C1214" s="31"/>
      <c r="D1214" s="31" t="s">
        <v>613</v>
      </c>
      <c r="E1214" s="31" t="s">
        <v>614</v>
      </c>
      <c r="F1214" s="31"/>
      <c r="G1214" s="32">
        <v>1</v>
      </c>
      <c r="H1214" s="33">
        <v>0</v>
      </c>
      <c r="I1214" s="34">
        <v>620.81078197718296</v>
      </c>
      <c r="J1214" s="34">
        <v>620.81078197718296</v>
      </c>
      <c r="K1214" s="31" t="s">
        <v>2832</v>
      </c>
      <c r="L1214" s="31">
        <v>1</v>
      </c>
      <c r="M1214" s="31" t="s">
        <v>2833</v>
      </c>
      <c r="N1214" s="34">
        <v>17.5</v>
      </c>
      <c r="O1214" s="35">
        <v>0</v>
      </c>
      <c r="P1214" s="35">
        <v>296</v>
      </c>
      <c r="Q1214" s="35">
        <v>0</v>
      </c>
      <c r="R1214" s="36">
        <v>15.04</v>
      </c>
      <c r="S1214" s="37">
        <f>IFERROR(_xlfn.XLOOKUP(R1214,'1_Presupuesto'!$E:$E,'1_Presupuesto'!$D:$D),"")</f>
        <v>0</v>
      </c>
    </row>
    <row r="1215" spans="1:19" x14ac:dyDescent="0.35">
      <c r="A1215" s="31" t="s">
        <v>2820</v>
      </c>
      <c r="B1215" s="31" t="s">
        <v>203</v>
      </c>
      <c r="C1215" s="31"/>
      <c r="D1215" s="31" t="s">
        <v>786</v>
      </c>
      <c r="E1215" s="31" t="s">
        <v>787</v>
      </c>
      <c r="F1215" s="31"/>
      <c r="G1215" s="32">
        <v>2</v>
      </c>
      <c r="H1215" s="33">
        <v>0</v>
      </c>
      <c r="I1215" s="34">
        <v>1873.3963608356801</v>
      </c>
      <c r="J1215" s="34">
        <v>3746.7927216713601</v>
      </c>
      <c r="K1215" s="31" t="s">
        <v>2832</v>
      </c>
      <c r="L1215" s="31">
        <v>2</v>
      </c>
      <c r="M1215" s="31" t="s">
        <v>2834</v>
      </c>
      <c r="N1215" s="34">
        <v>17.5</v>
      </c>
      <c r="O1215" s="35">
        <v>0</v>
      </c>
      <c r="P1215" s="35">
        <v>296</v>
      </c>
      <c r="Q1215" s="35">
        <v>0</v>
      </c>
      <c r="R1215" s="36">
        <v>15.04</v>
      </c>
      <c r="S1215" s="37">
        <f>IFERROR(_xlfn.XLOOKUP(R1215,'1_Presupuesto'!$E:$E,'1_Presupuesto'!$D:$D),"")</f>
        <v>0</v>
      </c>
    </row>
    <row r="1216" spans="1:19" x14ac:dyDescent="0.35">
      <c r="A1216" s="31" t="s">
        <v>2835</v>
      </c>
      <c r="B1216" s="31" t="s">
        <v>497</v>
      </c>
      <c r="C1216" s="31" t="s">
        <v>498</v>
      </c>
      <c r="D1216" s="31" t="s">
        <v>761</v>
      </c>
      <c r="E1216" s="31" t="s">
        <v>762</v>
      </c>
      <c r="F1216" s="31">
        <v>0</v>
      </c>
      <c r="G1216" s="32">
        <v>1E-3</v>
      </c>
      <c r="H1216" s="33">
        <v>0.05</v>
      </c>
      <c r="I1216" s="34">
        <v>9927.59</v>
      </c>
      <c r="J1216" s="34">
        <v>10.4239695</v>
      </c>
      <c r="K1216" s="31" t="s">
        <v>2836</v>
      </c>
      <c r="L1216" s="31">
        <v>1</v>
      </c>
      <c r="M1216" s="31" t="s">
        <v>2837</v>
      </c>
      <c r="N1216" s="34">
        <v>20</v>
      </c>
      <c r="O1216" s="35">
        <v>0</v>
      </c>
      <c r="P1216" s="35">
        <v>668</v>
      </c>
      <c r="Q1216" s="35">
        <v>0</v>
      </c>
      <c r="R1216" s="36">
        <v>15.05</v>
      </c>
      <c r="S1216" s="37">
        <f>IFERROR(_xlfn.XLOOKUP(R1216,'1_Presupuesto'!$E:$E,'1_Presupuesto'!$D:$D),"")</f>
        <v>0</v>
      </c>
    </row>
    <row r="1217" spans="1:19" x14ac:dyDescent="0.35">
      <c r="A1217" s="31" t="s">
        <v>2835</v>
      </c>
      <c r="B1217" s="31" t="s">
        <v>497</v>
      </c>
      <c r="C1217" s="31" t="s">
        <v>498</v>
      </c>
      <c r="D1217" s="31" t="s">
        <v>765</v>
      </c>
      <c r="E1217" s="31" t="s">
        <v>766</v>
      </c>
      <c r="F1217" s="31">
        <v>0</v>
      </c>
      <c r="G1217" s="32">
        <v>4.0000000000000001E-3</v>
      </c>
      <c r="H1217" s="33">
        <v>0.05</v>
      </c>
      <c r="I1217" s="34">
        <v>42552.892561983499</v>
      </c>
      <c r="J1217" s="34">
        <v>178.72214876033101</v>
      </c>
      <c r="K1217" s="31" t="s">
        <v>2836</v>
      </c>
      <c r="L1217" s="31">
        <v>2</v>
      </c>
      <c r="M1217" s="31" t="s">
        <v>2838</v>
      </c>
      <c r="N1217" s="34">
        <v>20</v>
      </c>
      <c r="O1217" s="35">
        <v>0</v>
      </c>
      <c r="P1217" s="35">
        <v>668</v>
      </c>
      <c r="Q1217" s="35">
        <v>0</v>
      </c>
      <c r="R1217" s="36">
        <v>15.05</v>
      </c>
      <c r="S1217" s="37">
        <f>IFERROR(_xlfn.XLOOKUP(R1217,'1_Presupuesto'!$E:$E,'1_Presupuesto'!$D:$D),"")</f>
        <v>0</v>
      </c>
    </row>
    <row r="1218" spans="1:19" x14ac:dyDescent="0.35">
      <c r="A1218" s="31" t="s">
        <v>2835</v>
      </c>
      <c r="B1218" s="31" t="s">
        <v>497</v>
      </c>
      <c r="C1218" s="31" t="s">
        <v>498</v>
      </c>
      <c r="D1218" s="31" t="s">
        <v>512</v>
      </c>
      <c r="E1218" s="31" t="s">
        <v>513</v>
      </c>
      <c r="F1218" s="31">
        <v>0</v>
      </c>
      <c r="G1218" s="32">
        <v>0.03</v>
      </c>
      <c r="H1218" s="33">
        <v>0.05</v>
      </c>
      <c r="I1218" s="34">
        <v>1182.6446280991699</v>
      </c>
      <c r="J1218" s="34">
        <v>37.253305785123899</v>
      </c>
      <c r="K1218" s="31" t="s">
        <v>2836</v>
      </c>
      <c r="L1218" s="31">
        <v>3</v>
      </c>
      <c r="M1218" s="31" t="s">
        <v>2839</v>
      </c>
      <c r="N1218" s="34">
        <v>20</v>
      </c>
      <c r="O1218" s="35">
        <v>0</v>
      </c>
      <c r="P1218" s="35">
        <v>668</v>
      </c>
      <c r="Q1218" s="35">
        <v>0</v>
      </c>
      <c r="R1218" s="36">
        <v>15.05</v>
      </c>
      <c r="S1218" s="37">
        <f>IFERROR(_xlfn.XLOOKUP(R1218,'1_Presupuesto'!$E:$E,'1_Presupuesto'!$D:$D),"")</f>
        <v>0</v>
      </c>
    </row>
    <row r="1219" spans="1:19" x14ac:dyDescent="0.35">
      <c r="A1219" s="31" t="s">
        <v>2835</v>
      </c>
      <c r="B1219" s="31" t="s">
        <v>497</v>
      </c>
      <c r="C1219" s="31" t="s">
        <v>498</v>
      </c>
      <c r="D1219" s="31" t="s">
        <v>769</v>
      </c>
      <c r="E1219" s="31" t="s">
        <v>770</v>
      </c>
      <c r="F1219" s="31">
        <v>0</v>
      </c>
      <c r="G1219" s="32">
        <v>0.05</v>
      </c>
      <c r="H1219" s="33">
        <v>0.1</v>
      </c>
      <c r="I1219" s="34">
        <v>5885.9504132231395</v>
      </c>
      <c r="J1219" s="34">
        <v>323.72727272727298</v>
      </c>
      <c r="K1219" s="31" t="s">
        <v>2836</v>
      </c>
      <c r="L1219" s="31">
        <v>4</v>
      </c>
      <c r="M1219" s="31" t="s">
        <v>2840</v>
      </c>
      <c r="N1219" s="34">
        <v>20</v>
      </c>
      <c r="O1219" s="35">
        <v>0</v>
      </c>
      <c r="P1219" s="35">
        <v>668</v>
      </c>
      <c r="Q1219" s="35">
        <v>0</v>
      </c>
      <c r="R1219" s="36">
        <v>15.05</v>
      </c>
      <c r="S1219" s="37">
        <f>IFERROR(_xlfn.XLOOKUP(R1219,'1_Presupuesto'!$E:$E,'1_Presupuesto'!$D:$D),"")</f>
        <v>0</v>
      </c>
    </row>
    <row r="1220" spans="1:19" x14ac:dyDescent="0.35">
      <c r="A1220" s="31" t="s">
        <v>2835</v>
      </c>
      <c r="B1220" s="31" t="s">
        <v>497</v>
      </c>
      <c r="C1220" s="31" t="s">
        <v>498</v>
      </c>
      <c r="D1220" s="31" t="s">
        <v>772</v>
      </c>
      <c r="E1220" s="31" t="s">
        <v>773</v>
      </c>
      <c r="F1220" s="31">
        <v>0</v>
      </c>
      <c r="G1220" s="32">
        <v>1.4999999999999999E-2</v>
      </c>
      <c r="H1220" s="33">
        <v>0.05</v>
      </c>
      <c r="I1220" s="34">
        <v>7917.3553719008296</v>
      </c>
      <c r="J1220" s="34">
        <v>124.698347107438</v>
      </c>
      <c r="K1220" s="31" t="s">
        <v>2836</v>
      </c>
      <c r="L1220" s="31">
        <v>5</v>
      </c>
      <c r="M1220" s="31" t="s">
        <v>2841</v>
      </c>
      <c r="N1220" s="34">
        <v>20</v>
      </c>
      <c r="O1220" s="35">
        <v>0</v>
      </c>
      <c r="P1220" s="35">
        <v>668</v>
      </c>
      <c r="Q1220" s="35">
        <v>0</v>
      </c>
      <c r="R1220" s="36">
        <v>15.05</v>
      </c>
      <c r="S1220" s="37">
        <f>IFERROR(_xlfn.XLOOKUP(R1220,'1_Presupuesto'!$E:$E,'1_Presupuesto'!$D:$D),"")</f>
        <v>0</v>
      </c>
    </row>
    <row r="1221" spans="1:19" x14ac:dyDescent="0.35">
      <c r="A1221" s="31" t="s">
        <v>2835</v>
      </c>
      <c r="B1221" s="31" t="s">
        <v>497</v>
      </c>
      <c r="C1221" s="31" t="s">
        <v>498</v>
      </c>
      <c r="D1221" s="31" t="s">
        <v>503</v>
      </c>
      <c r="E1221" s="31" t="s">
        <v>504</v>
      </c>
      <c r="F1221" s="31" t="s">
        <v>261</v>
      </c>
      <c r="G1221" s="32">
        <v>5.0000000000000001E-3</v>
      </c>
      <c r="H1221" s="33">
        <v>0.05</v>
      </c>
      <c r="I1221" s="34">
        <v>6442.15</v>
      </c>
      <c r="J1221" s="34">
        <v>33.821287499999997</v>
      </c>
      <c r="K1221" s="31" t="s">
        <v>2836</v>
      </c>
      <c r="L1221" s="31">
        <v>6</v>
      </c>
      <c r="M1221" s="31" t="s">
        <v>2842</v>
      </c>
      <c r="N1221" s="34">
        <v>20</v>
      </c>
      <c r="O1221" s="35">
        <v>0</v>
      </c>
      <c r="P1221" s="35">
        <v>668</v>
      </c>
      <c r="Q1221" s="35">
        <v>0</v>
      </c>
      <c r="R1221" s="36">
        <v>15.05</v>
      </c>
      <c r="S1221" s="37">
        <f>IFERROR(_xlfn.XLOOKUP(R1221,'1_Presupuesto'!$E:$E,'1_Presupuesto'!$D:$D),"")</f>
        <v>0</v>
      </c>
    </row>
    <row r="1222" spans="1:19" x14ac:dyDescent="0.35">
      <c r="A1222" s="31" t="s">
        <v>2835</v>
      </c>
      <c r="B1222" s="31" t="s">
        <v>497</v>
      </c>
      <c r="C1222" s="31" t="s">
        <v>498</v>
      </c>
      <c r="D1222" s="31" t="s">
        <v>506</v>
      </c>
      <c r="E1222" s="31" t="s">
        <v>507</v>
      </c>
      <c r="F1222" s="31" t="s">
        <v>261</v>
      </c>
      <c r="G1222" s="32">
        <v>5.0000000000000001E-3</v>
      </c>
      <c r="H1222" s="33">
        <v>0.05</v>
      </c>
      <c r="I1222" s="34">
        <v>4418.1818181818198</v>
      </c>
      <c r="J1222" s="34">
        <v>23.195454545454599</v>
      </c>
      <c r="K1222" s="31" t="s">
        <v>2836</v>
      </c>
      <c r="L1222" s="31">
        <v>7</v>
      </c>
      <c r="M1222" s="31" t="s">
        <v>2843</v>
      </c>
      <c r="N1222" s="34">
        <v>20</v>
      </c>
      <c r="O1222" s="35">
        <v>0</v>
      </c>
      <c r="P1222" s="35">
        <v>668</v>
      </c>
      <c r="Q1222" s="35">
        <v>0</v>
      </c>
      <c r="R1222" s="36">
        <v>15.05</v>
      </c>
      <c r="S1222" s="37">
        <f>IFERROR(_xlfn.XLOOKUP(R1222,'1_Presupuesto'!$E:$E,'1_Presupuesto'!$D:$D),"")</f>
        <v>0</v>
      </c>
    </row>
    <row r="1223" spans="1:19" x14ac:dyDescent="0.35">
      <c r="A1223" s="31" t="s">
        <v>2835</v>
      </c>
      <c r="B1223" s="31" t="s">
        <v>497</v>
      </c>
      <c r="C1223" s="31" t="s">
        <v>498</v>
      </c>
      <c r="D1223" s="31" t="s">
        <v>777</v>
      </c>
      <c r="E1223" s="31" t="s">
        <v>778</v>
      </c>
      <c r="F1223" s="31" t="s">
        <v>261</v>
      </c>
      <c r="G1223" s="32">
        <v>0.01</v>
      </c>
      <c r="H1223" s="33">
        <v>0.05</v>
      </c>
      <c r="I1223" s="34">
        <v>8173.5537190082696</v>
      </c>
      <c r="J1223" s="34">
        <v>85.822314049586794</v>
      </c>
      <c r="K1223" s="31" t="s">
        <v>2836</v>
      </c>
      <c r="L1223" s="31">
        <v>8</v>
      </c>
      <c r="M1223" s="31" t="s">
        <v>2844</v>
      </c>
      <c r="N1223" s="34">
        <v>20</v>
      </c>
      <c r="O1223" s="35">
        <v>0</v>
      </c>
      <c r="P1223" s="35">
        <v>668</v>
      </c>
      <c r="Q1223" s="35">
        <v>0</v>
      </c>
      <c r="R1223" s="36">
        <v>15.05</v>
      </c>
      <c r="S1223" s="37">
        <f>IFERROR(_xlfn.XLOOKUP(R1223,'1_Presupuesto'!$E:$E,'1_Presupuesto'!$D:$D),"")</f>
        <v>0</v>
      </c>
    </row>
    <row r="1224" spans="1:19" x14ac:dyDescent="0.35">
      <c r="A1224" s="31" t="s">
        <v>2835</v>
      </c>
      <c r="B1224" s="31" t="s">
        <v>497</v>
      </c>
      <c r="C1224" s="31" t="s">
        <v>498</v>
      </c>
      <c r="D1224" s="31" t="s">
        <v>780</v>
      </c>
      <c r="E1224" s="31" t="s">
        <v>781</v>
      </c>
      <c r="F1224" s="31">
        <v>0</v>
      </c>
      <c r="G1224" s="32">
        <v>2E-3</v>
      </c>
      <c r="H1224" s="33">
        <v>0.1</v>
      </c>
      <c r="I1224" s="34">
        <v>41314.049586776899</v>
      </c>
      <c r="J1224" s="34">
        <v>90.890909090909204</v>
      </c>
      <c r="K1224" s="31" t="s">
        <v>2836</v>
      </c>
      <c r="L1224" s="31">
        <v>9</v>
      </c>
      <c r="M1224" s="31" t="s">
        <v>2845</v>
      </c>
      <c r="N1224" s="34">
        <v>20</v>
      </c>
      <c r="O1224" s="35">
        <v>0</v>
      </c>
      <c r="P1224" s="35">
        <v>668</v>
      </c>
      <c r="Q1224" s="35">
        <v>0</v>
      </c>
      <c r="R1224" s="36">
        <v>15.05</v>
      </c>
      <c r="S1224" s="37">
        <f>IFERROR(_xlfn.XLOOKUP(R1224,'1_Presupuesto'!$E:$E,'1_Presupuesto'!$D:$D),"")</f>
        <v>0</v>
      </c>
    </row>
    <row r="1225" spans="1:19" x14ac:dyDescent="0.35">
      <c r="A1225" s="31" t="s">
        <v>2835</v>
      </c>
      <c r="B1225" s="31" t="s">
        <v>497</v>
      </c>
      <c r="C1225" s="31" t="s">
        <v>498</v>
      </c>
      <c r="D1225" s="31" t="s">
        <v>783</v>
      </c>
      <c r="E1225" s="31" t="s">
        <v>784</v>
      </c>
      <c r="F1225" s="31">
        <v>0</v>
      </c>
      <c r="G1225" s="32">
        <v>1.2500000000000001E-2</v>
      </c>
      <c r="H1225" s="33">
        <v>0.1</v>
      </c>
      <c r="I1225" s="34">
        <v>143389.25619834699</v>
      </c>
      <c r="J1225" s="34">
        <v>1971.60227272727</v>
      </c>
      <c r="K1225" s="31" t="s">
        <v>2836</v>
      </c>
      <c r="L1225" s="31">
        <v>10</v>
      </c>
      <c r="M1225" s="31" t="s">
        <v>2846</v>
      </c>
      <c r="N1225" s="34">
        <v>20</v>
      </c>
      <c r="O1225" s="35">
        <v>0</v>
      </c>
      <c r="P1225" s="35">
        <v>668</v>
      </c>
      <c r="Q1225" s="35">
        <v>0</v>
      </c>
      <c r="R1225" s="36">
        <v>15.05</v>
      </c>
      <c r="S1225" s="37">
        <f>IFERROR(_xlfn.XLOOKUP(R1225,'1_Presupuesto'!$E:$E,'1_Presupuesto'!$D:$D),"")</f>
        <v>0</v>
      </c>
    </row>
    <row r="1226" spans="1:19" x14ac:dyDescent="0.35">
      <c r="A1226" s="31" t="s">
        <v>2835</v>
      </c>
      <c r="B1226" s="31" t="s">
        <v>203</v>
      </c>
      <c r="C1226" s="31"/>
      <c r="D1226" s="31" t="s">
        <v>786</v>
      </c>
      <c r="E1226" s="31" t="s">
        <v>787</v>
      </c>
      <c r="F1226" s="31"/>
      <c r="G1226" s="32">
        <v>1</v>
      </c>
      <c r="H1226" s="33">
        <v>0</v>
      </c>
      <c r="I1226" s="34">
        <v>1873.3963608356801</v>
      </c>
      <c r="J1226" s="34">
        <v>1873.3963608356801</v>
      </c>
      <c r="K1226" s="31" t="s">
        <v>2847</v>
      </c>
      <c r="L1226" s="31">
        <v>1</v>
      </c>
      <c r="M1226" s="31" t="s">
        <v>2848</v>
      </c>
      <c r="N1226" s="34">
        <v>20</v>
      </c>
      <c r="O1226" s="35">
        <v>0</v>
      </c>
      <c r="P1226" s="35">
        <v>668</v>
      </c>
      <c r="Q1226" s="35">
        <v>0</v>
      </c>
      <c r="R1226" s="36">
        <v>15.05</v>
      </c>
      <c r="S1226" s="37">
        <f>IFERROR(_xlfn.XLOOKUP(R1226,'1_Presupuesto'!$E:$E,'1_Presupuesto'!$D:$D),"")</f>
        <v>0</v>
      </c>
    </row>
    <row r="1227" spans="1:19" x14ac:dyDescent="0.35">
      <c r="A1227" s="31" t="s">
        <v>2849</v>
      </c>
      <c r="B1227" s="31" t="s">
        <v>497</v>
      </c>
      <c r="C1227" s="31" t="s">
        <v>498</v>
      </c>
      <c r="D1227" s="31" t="s">
        <v>761</v>
      </c>
      <c r="E1227" s="31" t="s">
        <v>762</v>
      </c>
      <c r="F1227" s="31">
        <v>0</v>
      </c>
      <c r="G1227" s="32">
        <v>1E-3</v>
      </c>
      <c r="H1227" s="33">
        <v>0.05</v>
      </c>
      <c r="I1227" s="34">
        <v>9927.59</v>
      </c>
      <c r="J1227" s="34">
        <v>10.4239695</v>
      </c>
      <c r="K1227" s="31" t="s">
        <v>2850</v>
      </c>
      <c r="L1227" s="31">
        <v>1</v>
      </c>
      <c r="M1227" s="31" t="s">
        <v>2851</v>
      </c>
      <c r="N1227" s="34">
        <v>25</v>
      </c>
      <c r="O1227" s="35">
        <v>0</v>
      </c>
      <c r="P1227" s="35">
        <v>281</v>
      </c>
      <c r="Q1227" s="35">
        <v>0</v>
      </c>
      <c r="R1227" s="36">
        <v>15.06</v>
      </c>
      <c r="S1227" s="37">
        <f>IFERROR(_xlfn.XLOOKUP(R1227,'1_Presupuesto'!$E:$E,'1_Presupuesto'!$D:$D),"")</f>
        <v>0</v>
      </c>
    </row>
    <row r="1228" spans="1:19" x14ac:dyDescent="0.35">
      <c r="A1228" s="31" t="s">
        <v>2849</v>
      </c>
      <c r="B1228" s="31" t="s">
        <v>497</v>
      </c>
      <c r="C1228" s="31" t="s">
        <v>498</v>
      </c>
      <c r="D1228" s="31" t="s">
        <v>765</v>
      </c>
      <c r="E1228" s="31" t="s">
        <v>766</v>
      </c>
      <c r="F1228" s="31">
        <v>0</v>
      </c>
      <c r="G1228" s="32">
        <v>4.0000000000000001E-3</v>
      </c>
      <c r="H1228" s="33">
        <v>0.05</v>
      </c>
      <c r="I1228" s="34">
        <v>42552.892561983499</v>
      </c>
      <c r="J1228" s="34">
        <v>178.72214876033101</v>
      </c>
      <c r="K1228" s="31" t="s">
        <v>2850</v>
      </c>
      <c r="L1228" s="31">
        <v>2</v>
      </c>
      <c r="M1228" s="31" t="s">
        <v>2852</v>
      </c>
      <c r="N1228" s="34">
        <v>25</v>
      </c>
      <c r="O1228" s="35">
        <v>0</v>
      </c>
      <c r="P1228" s="35">
        <v>281</v>
      </c>
      <c r="Q1228" s="35">
        <v>0</v>
      </c>
      <c r="R1228" s="36">
        <v>15.06</v>
      </c>
      <c r="S1228" s="37">
        <f>IFERROR(_xlfn.XLOOKUP(R1228,'1_Presupuesto'!$E:$E,'1_Presupuesto'!$D:$D),"")</f>
        <v>0</v>
      </c>
    </row>
    <row r="1229" spans="1:19" x14ac:dyDescent="0.35">
      <c r="A1229" s="31" t="s">
        <v>2849</v>
      </c>
      <c r="B1229" s="31" t="s">
        <v>497</v>
      </c>
      <c r="C1229" s="31" t="s">
        <v>498</v>
      </c>
      <c r="D1229" s="31" t="s">
        <v>512</v>
      </c>
      <c r="E1229" s="31" t="s">
        <v>513</v>
      </c>
      <c r="F1229" s="31">
        <v>0</v>
      </c>
      <c r="G1229" s="32">
        <v>0.03</v>
      </c>
      <c r="H1229" s="33">
        <v>0.05</v>
      </c>
      <c r="I1229" s="34">
        <v>1182.6446280991699</v>
      </c>
      <c r="J1229" s="34">
        <v>37.253305785123899</v>
      </c>
      <c r="K1229" s="31" t="s">
        <v>2850</v>
      </c>
      <c r="L1229" s="31">
        <v>3</v>
      </c>
      <c r="M1229" s="31" t="s">
        <v>2853</v>
      </c>
      <c r="N1229" s="34">
        <v>25</v>
      </c>
      <c r="O1229" s="35">
        <v>0</v>
      </c>
      <c r="P1229" s="35">
        <v>281</v>
      </c>
      <c r="Q1229" s="35">
        <v>0</v>
      </c>
      <c r="R1229" s="36">
        <v>15.06</v>
      </c>
      <c r="S1229" s="37">
        <f>IFERROR(_xlfn.XLOOKUP(R1229,'1_Presupuesto'!$E:$E,'1_Presupuesto'!$D:$D),"")</f>
        <v>0</v>
      </c>
    </row>
    <row r="1230" spans="1:19" x14ac:dyDescent="0.35">
      <c r="A1230" s="31" t="s">
        <v>2849</v>
      </c>
      <c r="B1230" s="31" t="s">
        <v>497</v>
      </c>
      <c r="C1230" s="31" t="s">
        <v>498</v>
      </c>
      <c r="D1230" s="31" t="s">
        <v>769</v>
      </c>
      <c r="E1230" s="31" t="s">
        <v>770</v>
      </c>
      <c r="F1230" s="31">
        <v>0</v>
      </c>
      <c r="G1230" s="32">
        <v>0.05</v>
      </c>
      <c r="H1230" s="33">
        <v>0.1</v>
      </c>
      <c r="I1230" s="34">
        <v>5885.9504132231395</v>
      </c>
      <c r="J1230" s="34">
        <v>323.72727272727298</v>
      </c>
      <c r="K1230" s="31" t="s">
        <v>2850</v>
      </c>
      <c r="L1230" s="31">
        <v>4</v>
      </c>
      <c r="M1230" s="31" t="s">
        <v>2854</v>
      </c>
      <c r="N1230" s="34">
        <v>25</v>
      </c>
      <c r="O1230" s="35">
        <v>0</v>
      </c>
      <c r="P1230" s="35">
        <v>281</v>
      </c>
      <c r="Q1230" s="35">
        <v>0</v>
      </c>
      <c r="R1230" s="36">
        <v>15.06</v>
      </c>
      <c r="S1230" s="37">
        <f>IFERROR(_xlfn.XLOOKUP(R1230,'1_Presupuesto'!$E:$E,'1_Presupuesto'!$D:$D),"")</f>
        <v>0</v>
      </c>
    </row>
    <row r="1231" spans="1:19" x14ac:dyDescent="0.35">
      <c r="A1231" s="31" t="s">
        <v>2849</v>
      </c>
      <c r="B1231" s="31" t="s">
        <v>497</v>
      </c>
      <c r="C1231" s="31" t="s">
        <v>498</v>
      </c>
      <c r="D1231" s="31" t="s">
        <v>503</v>
      </c>
      <c r="E1231" s="31" t="s">
        <v>504</v>
      </c>
      <c r="F1231" s="31" t="s">
        <v>261</v>
      </c>
      <c r="G1231" s="32">
        <v>5.0000000000000001E-3</v>
      </c>
      <c r="H1231" s="33">
        <v>0.05</v>
      </c>
      <c r="I1231" s="34">
        <v>6442.15</v>
      </c>
      <c r="J1231" s="34">
        <v>33.821287499999997</v>
      </c>
      <c r="K1231" s="31" t="s">
        <v>2850</v>
      </c>
      <c r="L1231" s="31">
        <v>5</v>
      </c>
      <c r="M1231" s="31" t="s">
        <v>2855</v>
      </c>
      <c r="N1231" s="34">
        <v>25</v>
      </c>
      <c r="O1231" s="35">
        <v>0</v>
      </c>
      <c r="P1231" s="35">
        <v>281</v>
      </c>
      <c r="Q1231" s="35">
        <v>0</v>
      </c>
      <c r="R1231" s="36">
        <v>15.06</v>
      </c>
      <c r="S1231" s="37">
        <f>IFERROR(_xlfn.XLOOKUP(R1231,'1_Presupuesto'!$E:$E,'1_Presupuesto'!$D:$D),"")</f>
        <v>0</v>
      </c>
    </row>
    <row r="1232" spans="1:19" x14ac:dyDescent="0.35">
      <c r="A1232" s="31" t="s">
        <v>2849</v>
      </c>
      <c r="B1232" s="31" t="s">
        <v>497</v>
      </c>
      <c r="C1232" s="31" t="s">
        <v>498</v>
      </c>
      <c r="D1232" s="31" t="s">
        <v>506</v>
      </c>
      <c r="E1232" s="31" t="s">
        <v>507</v>
      </c>
      <c r="F1232" s="31" t="s">
        <v>261</v>
      </c>
      <c r="G1232" s="32">
        <v>5.0000000000000001E-3</v>
      </c>
      <c r="H1232" s="33">
        <v>0.05</v>
      </c>
      <c r="I1232" s="34">
        <v>4418.1818181818198</v>
      </c>
      <c r="J1232" s="34">
        <v>23.195454545454599</v>
      </c>
      <c r="K1232" s="31" t="s">
        <v>2850</v>
      </c>
      <c r="L1232" s="31">
        <v>6</v>
      </c>
      <c r="M1232" s="31" t="s">
        <v>2856</v>
      </c>
      <c r="N1232" s="34">
        <v>25</v>
      </c>
      <c r="O1232" s="35">
        <v>0</v>
      </c>
      <c r="P1232" s="35">
        <v>281</v>
      </c>
      <c r="Q1232" s="35">
        <v>0</v>
      </c>
      <c r="R1232" s="36">
        <v>15.06</v>
      </c>
      <c r="S1232" s="37">
        <f>IFERROR(_xlfn.XLOOKUP(R1232,'1_Presupuesto'!$E:$E,'1_Presupuesto'!$D:$D),"")</f>
        <v>0</v>
      </c>
    </row>
    <row r="1233" spans="1:19" x14ac:dyDescent="0.35">
      <c r="A1233" s="31" t="s">
        <v>2849</v>
      </c>
      <c r="B1233" s="31" t="s">
        <v>497</v>
      </c>
      <c r="C1233" s="31" t="s">
        <v>498</v>
      </c>
      <c r="D1233" s="31" t="s">
        <v>777</v>
      </c>
      <c r="E1233" s="31" t="s">
        <v>778</v>
      </c>
      <c r="F1233" s="31" t="s">
        <v>261</v>
      </c>
      <c r="G1233" s="32">
        <v>0.01</v>
      </c>
      <c r="H1233" s="33">
        <v>0.05</v>
      </c>
      <c r="I1233" s="34">
        <v>8173.5537190082696</v>
      </c>
      <c r="J1233" s="34">
        <v>85.822314049586794</v>
      </c>
      <c r="K1233" s="31" t="s">
        <v>2850</v>
      </c>
      <c r="L1233" s="31">
        <v>7</v>
      </c>
      <c r="M1233" s="31" t="s">
        <v>2857</v>
      </c>
      <c r="N1233" s="34">
        <v>25</v>
      </c>
      <c r="O1233" s="35">
        <v>0</v>
      </c>
      <c r="P1233" s="35">
        <v>281</v>
      </c>
      <c r="Q1233" s="35">
        <v>0</v>
      </c>
      <c r="R1233" s="36">
        <v>15.06</v>
      </c>
      <c r="S1233" s="37">
        <f>IFERROR(_xlfn.XLOOKUP(R1233,'1_Presupuesto'!$E:$E,'1_Presupuesto'!$D:$D),"")</f>
        <v>0</v>
      </c>
    </row>
    <row r="1234" spans="1:19" x14ac:dyDescent="0.35">
      <c r="A1234" s="31" t="s">
        <v>2849</v>
      </c>
      <c r="B1234" s="31" t="s">
        <v>497</v>
      </c>
      <c r="C1234" s="31" t="s">
        <v>498</v>
      </c>
      <c r="D1234" s="31" t="s">
        <v>783</v>
      </c>
      <c r="E1234" s="31" t="s">
        <v>784</v>
      </c>
      <c r="F1234" s="31">
        <v>0</v>
      </c>
      <c r="G1234" s="32">
        <v>1.2500000000000001E-2</v>
      </c>
      <c r="H1234" s="33">
        <v>0.1</v>
      </c>
      <c r="I1234" s="34">
        <v>143389.25619834699</v>
      </c>
      <c r="J1234" s="34">
        <v>1971.60227272727</v>
      </c>
      <c r="K1234" s="31" t="s">
        <v>2850</v>
      </c>
      <c r="L1234" s="31">
        <v>8</v>
      </c>
      <c r="M1234" s="31" t="s">
        <v>2858</v>
      </c>
      <c r="N1234" s="34">
        <v>25</v>
      </c>
      <c r="O1234" s="35">
        <v>0</v>
      </c>
      <c r="P1234" s="35">
        <v>281</v>
      </c>
      <c r="Q1234" s="35">
        <v>0</v>
      </c>
      <c r="R1234" s="36">
        <v>15.06</v>
      </c>
      <c r="S1234" s="37">
        <f>IFERROR(_xlfn.XLOOKUP(R1234,'1_Presupuesto'!$E:$E,'1_Presupuesto'!$D:$D),"")</f>
        <v>0</v>
      </c>
    </row>
    <row r="1235" spans="1:19" x14ac:dyDescent="0.35">
      <c r="A1235" s="31" t="s">
        <v>2849</v>
      </c>
      <c r="B1235" s="31" t="s">
        <v>203</v>
      </c>
      <c r="C1235" s="31"/>
      <c r="D1235" s="31" t="s">
        <v>786</v>
      </c>
      <c r="E1235" s="31" t="s">
        <v>787</v>
      </c>
      <c r="F1235" s="31"/>
      <c r="G1235" s="32">
        <v>1</v>
      </c>
      <c r="H1235" s="33">
        <v>0</v>
      </c>
      <c r="I1235" s="34">
        <v>1873.3963608356801</v>
      </c>
      <c r="J1235" s="34">
        <v>1873.3963608356801</v>
      </c>
      <c r="K1235" s="31" t="s">
        <v>2859</v>
      </c>
      <c r="L1235" s="31">
        <v>1</v>
      </c>
      <c r="M1235" s="31" t="s">
        <v>2860</v>
      </c>
      <c r="N1235" s="34">
        <v>25</v>
      </c>
      <c r="O1235" s="35">
        <v>0</v>
      </c>
      <c r="P1235" s="35">
        <v>281</v>
      </c>
      <c r="Q1235" s="35">
        <v>0</v>
      </c>
      <c r="R1235" s="36">
        <v>15.06</v>
      </c>
      <c r="S1235" s="37">
        <f>IFERROR(_xlfn.XLOOKUP(R1235,'1_Presupuesto'!$E:$E,'1_Presupuesto'!$D:$D),"")</f>
        <v>0</v>
      </c>
    </row>
    <row r="1236" spans="1:19" x14ac:dyDescent="0.35">
      <c r="A1236" s="31" t="s">
        <v>2861</v>
      </c>
      <c r="B1236" s="31" t="s">
        <v>497</v>
      </c>
      <c r="C1236" s="31" t="s">
        <v>498</v>
      </c>
      <c r="D1236" s="31" t="s">
        <v>2862</v>
      </c>
      <c r="E1236" s="31" t="s">
        <v>2863</v>
      </c>
      <c r="F1236" s="31" t="s">
        <v>739</v>
      </c>
      <c r="G1236" s="32">
        <v>7.4099999999999999E-2</v>
      </c>
      <c r="H1236" s="33">
        <v>0.1</v>
      </c>
      <c r="I1236" s="34">
        <v>66598.347107438007</v>
      </c>
      <c r="J1236" s="34">
        <v>5428.43127272727</v>
      </c>
      <c r="K1236" s="31" t="s">
        <v>2864</v>
      </c>
      <c r="L1236" s="31">
        <v>1</v>
      </c>
      <c r="M1236" s="31" t="s">
        <v>2865</v>
      </c>
      <c r="N1236" s="34">
        <v>20</v>
      </c>
      <c r="O1236" s="35">
        <v>0</v>
      </c>
      <c r="P1236" s="35">
        <v>752</v>
      </c>
      <c r="Q1236" s="35">
        <v>0</v>
      </c>
      <c r="R1236" s="36">
        <v>15.07</v>
      </c>
      <c r="S1236" s="37">
        <f>IFERROR(_xlfn.XLOOKUP(R1236,'1_Presupuesto'!$E:$E,'1_Presupuesto'!$D:$D),"")</f>
        <v>0</v>
      </c>
    </row>
    <row r="1237" spans="1:19" x14ac:dyDescent="0.35">
      <c r="A1237" s="31" t="s">
        <v>2861</v>
      </c>
      <c r="B1237" s="31" t="s">
        <v>497</v>
      </c>
      <c r="C1237" s="31" t="s">
        <v>498</v>
      </c>
      <c r="D1237" s="31" t="s">
        <v>2866</v>
      </c>
      <c r="E1237" s="31" t="s">
        <v>2867</v>
      </c>
      <c r="F1237" s="31" t="s">
        <v>739</v>
      </c>
      <c r="G1237" s="32">
        <v>1.11E-2</v>
      </c>
      <c r="H1237" s="33">
        <v>0.1</v>
      </c>
      <c r="I1237" s="34">
        <v>102070.24793388401</v>
      </c>
      <c r="J1237" s="34">
        <v>1246.2777272727201</v>
      </c>
      <c r="K1237" s="31" t="s">
        <v>2864</v>
      </c>
      <c r="L1237" s="31">
        <v>2</v>
      </c>
      <c r="M1237" s="31" t="s">
        <v>2868</v>
      </c>
      <c r="N1237" s="34">
        <v>20</v>
      </c>
      <c r="O1237" s="35">
        <v>0</v>
      </c>
      <c r="P1237" s="35">
        <v>752</v>
      </c>
      <c r="Q1237" s="35">
        <v>0</v>
      </c>
      <c r="R1237" s="36">
        <v>15.07</v>
      </c>
      <c r="S1237" s="37">
        <f>IFERROR(_xlfn.XLOOKUP(R1237,'1_Presupuesto'!$E:$E,'1_Presupuesto'!$D:$D),"")</f>
        <v>0</v>
      </c>
    </row>
    <row r="1238" spans="1:19" x14ac:dyDescent="0.35">
      <c r="A1238" s="31" t="s">
        <v>2861</v>
      </c>
      <c r="B1238" s="31" t="s">
        <v>497</v>
      </c>
      <c r="C1238" s="31" t="s">
        <v>498</v>
      </c>
      <c r="D1238" s="31" t="s">
        <v>2869</v>
      </c>
      <c r="E1238" s="31" t="s">
        <v>2870</v>
      </c>
      <c r="F1238" s="31" t="s">
        <v>261</v>
      </c>
      <c r="G1238" s="32">
        <v>0.01</v>
      </c>
      <c r="H1238" s="33">
        <v>0.1</v>
      </c>
      <c r="I1238" s="34">
        <v>13876.0330578512</v>
      </c>
      <c r="J1238" s="34">
        <v>152.636363636363</v>
      </c>
      <c r="K1238" s="31" t="s">
        <v>2864</v>
      </c>
      <c r="L1238" s="31">
        <v>3</v>
      </c>
      <c r="M1238" s="31" t="s">
        <v>2871</v>
      </c>
      <c r="N1238" s="34">
        <v>20</v>
      </c>
      <c r="O1238" s="35">
        <v>0</v>
      </c>
      <c r="P1238" s="35">
        <v>752</v>
      </c>
      <c r="Q1238" s="35">
        <v>0</v>
      </c>
      <c r="R1238" s="36">
        <v>15.07</v>
      </c>
      <c r="S1238" s="37">
        <f>IFERROR(_xlfn.XLOOKUP(R1238,'1_Presupuesto'!$E:$E,'1_Presupuesto'!$D:$D),"")</f>
        <v>0</v>
      </c>
    </row>
    <row r="1239" spans="1:19" x14ac:dyDescent="0.35">
      <c r="A1239" s="31" t="s">
        <v>2861</v>
      </c>
      <c r="B1239" s="31" t="s">
        <v>497</v>
      </c>
      <c r="C1239" s="31" t="s">
        <v>498</v>
      </c>
      <c r="D1239" s="31" t="s">
        <v>503</v>
      </c>
      <c r="E1239" s="31" t="s">
        <v>504</v>
      </c>
      <c r="F1239" s="31" t="s">
        <v>261</v>
      </c>
      <c r="G1239" s="32">
        <v>5.0000000000000001E-3</v>
      </c>
      <c r="H1239" s="33">
        <v>0.05</v>
      </c>
      <c r="I1239" s="34">
        <v>6442.15</v>
      </c>
      <c r="J1239" s="34">
        <v>33.821287499999997</v>
      </c>
      <c r="K1239" s="31" t="s">
        <v>2864</v>
      </c>
      <c r="L1239" s="31">
        <v>4</v>
      </c>
      <c r="M1239" s="31" t="s">
        <v>2872</v>
      </c>
      <c r="N1239" s="34">
        <v>20</v>
      </c>
      <c r="O1239" s="35">
        <v>0</v>
      </c>
      <c r="P1239" s="35">
        <v>752</v>
      </c>
      <c r="Q1239" s="35">
        <v>0</v>
      </c>
      <c r="R1239" s="36">
        <v>15.07</v>
      </c>
      <c r="S1239" s="37">
        <f>IFERROR(_xlfn.XLOOKUP(R1239,'1_Presupuesto'!$E:$E,'1_Presupuesto'!$D:$D),"")</f>
        <v>0</v>
      </c>
    </row>
    <row r="1240" spans="1:19" x14ac:dyDescent="0.35">
      <c r="A1240" s="31" t="s">
        <v>2861</v>
      </c>
      <c r="B1240" s="31" t="s">
        <v>497</v>
      </c>
      <c r="C1240" s="31" t="s">
        <v>498</v>
      </c>
      <c r="D1240" s="31" t="s">
        <v>512</v>
      </c>
      <c r="E1240" s="31" t="s">
        <v>513</v>
      </c>
      <c r="F1240" s="31">
        <v>0</v>
      </c>
      <c r="G1240" s="32">
        <v>5.0000000000000001E-3</v>
      </c>
      <c r="H1240" s="33">
        <v>0.05</v>
      </c>
      <c r="I1240" s="34">
        <v>1182.6446280991699</v>
      </c>
      <c r="J1240" s="34">
        <v>6.2088842975206404</v>
      </c>
      <c r="K1240" s="31" t="s">
        <v>2864</v>
      </c>
      <c r="L1240" s="31">
        <v>5</v>
      </c>
      <c r="M1240" s="31" t="s">
        <v>2873</v>
      </c>
      <c r="N1240" s="34">
        <v>20</v>
      </c>
      <c r="O1240" s="35">
        <v>0</v>
      </c>
      <c r="P1240" s="35">
        <v>752</v>
      </c>
      <c r="Q1240" s="35">
        <v>0</v>
      </c>
      <c r="R1240" s="36">
        <v>15.07</v>
      </c>
      <c r="S1240" s="37">
        <f>IFERROR(_xlfn.XLOOKUP(R1240,'1_Presupuesto'!$E:$E,'1_Presupuesto'!$D:$D),"")</f>
        <v>0</v>
      </c>
    </row>
    <row r="1241" spans="1:19" x14ac:dyDescent="0.35">
      <c r="A1241" s="31" t="s">
        <v>2861</v>
      </c>
      <c r="B1241" s="31" t="s">
        <v>497</v>
      </c>
      <c r="C1241" s="31" t="s">
        <v>498</v>
      </c>
      <c r="D1241" s="31" t="s">
        <v>769</v>
      </c>
      <c r="E1241" s="31" t="s">
        <v>770</v>
      </c>
      <c r="F1241" s="31">
        <v>0</v>
      </c>
      <c r="G1241" s="32">
        <v>0.01</v>
      </c>
      <c r="H1241" s="33">
        <v>0.05</v>
      </c>
      <c r="I1241" s="34">
        <v>5885.9504132231395</v>
      </c>
      <c r="J1241" s="34">
        <v>61.802479338843</v>
      </c>
      <c r="K1241" s="31" t="s">
        <v>2864</v>
      </c>
      <c r="L1241" s="31">
        <v>6</v>
      </c>
      <c r="M1241" s="31" t="s">
        <v>2874</v>
      </c>
      <c r="N1241" s="34">
        <v>20</v>
      </c>
      <c r="O1241" s="35">
        <v>0</v>
      </c>
      <c r="P1241" s="35">
        <v>752</v>
      </c>
      <c r="Q1241" s="35">
        <v>0</v>
      </c>
      <c r="R1241" s="36">
        <v>15.07</v>
      </c>
      <c r="S1241" s="37">
        <f>IFERROR(_xlfn.XLOOKUP(R1241,'1_Presupuesto'!$E:$E,'1_Presupuesto'!$D:$D),"")</f>
        <v>0</v>
      </c>
    </row>
    <row r="1242" spans="1:19" x14ac:dyDescent="0.35">
      <c r="A1242" s="31" t="s">
        <v>2861</v>
      </c>
      <c r="B1242" s="31" t="s">
        <v>203</v>
      </c>
      <c r="C1242" s="31"/>
      <c r="D1242" s="31" t="s">
        <v>1143</v>
      </c>
      <c r="E1242" s="31" t="s">
        <v>1144</v>
      </c>
      <c r="F1242" s="31"/>
      <c r="G1242" s="32">
        <v>0.75</v>
      </c>
      <c r="H1242" s="33">
        <v>0</v>
      </c>
      <c r="I1242" s="34">
        <v>2064.2076262094502</v>
      </c>
      <c r="J1242" s="34">
        <v>1548.15571965708</v>
      </c>
      <c r="K1242" s="31" t="s">
        <v>2875</v>
      </c>
      <c r="L1242" s="31">
        <v>1</v>
      </c>
      <c r="M1242" s="31" t="s">
        <v>2876</v>
      </c>
      <c r="N1242" s="34">
        <v>20</v>
      </c>
      <c r="O1242" s="35">
        <v>0</v>
      </c>
      <c r="P1242" s="35">
        <v>752</v>
      </c>
      <c r="Q1242" s="35">
        <v>0</v>
      </c>
      <c r="R1242" s="36">
        <v>15.07</v>
      </c>
      <c r="S1242" s="37">
        <f>IFERROR(_xlfn.XLOOKUP(R1242,'1_Presupuesto'!$E:$E,'1_Presupuesto'!$D:$D),"")</f>
        <v>0</v>
      </c>
    </row>
    <row r="1243" spans="1:19" x14ac:dyDescent="0.35">
      <c r="A1243" s="31" t="s">
        <v>2861</v>
      </c>
      <c r="B1243" s="31" t="s">
        <v>203</v>
      </c>
      <c r="C1243" s="31"/>
      <c r="D1243" s="31" t="s">
        <v>613</v>
      </c>
      <c r="E1243" s="31" t="s">
        <v>614</v>
      </c>
      <c r="F1243" s="31"/>
      <c r="G1243" s="32">
        <v>0.5</v>
      </c>
      <c r="H1243" s="33">
        <v>0</v>
      </c>
      <c r="I1243" s="34">
        <v>620.81078197718296</v>
      </c>
      <c r="J1243" s="34">
        <v>310.40539098859199</v>
      </c>
      <c r="K1243" s="31" t="s">
        <v>2875</v>
      </c>
      <c r="L1243" s="31">
        <v>2</v>
      </c>
      <c r="M1243" s="31" t="s">
        <v>2877</v>
      </c>
      <c r="N1243" s="34">
        <v>20</v>
      </c>
      <c r="O1243" s="35">
        <v>0</v>
      </c>
      <c r="P1243" s="35">
        <v>752</v>
      </c>
      <c r="Q1243" s="35">
        <v>0</v>
      </c>
      <c r="R1243" s="36">
        <v>15.07</v>
      </c>
      <c r="S1243" s="37">
        <f>IFERROR(_xlfn.XLOOKUP(R1243,'1_Presupuesto'!$E:$E,'1_Presupuesto'!$D:$D),"")</f>
        <v>0</v>
      </c>
    </row>
    <row r="1244" spans="1:19" x14ac:dyDescent="0.35">
      <c r="A1244" s="31" t="s">
        <v>2861</v>
      </c>
      <c r="B1244" s="31" t="s">
        <v>203</v>
      </c>
      <c r="C1244" s="31"/>
      <c r="D1244" s="31" t="s">
        <v>1126</v>
      </c>
      <c r="E1244" s="31" t="s">
        <v>1127</v>
      </c>
      <c r="F1244" s="31"/>
      <c r="G1244" s="32">
        <v>1</v>
      </c>
      <c r="H1244" s="33">
        <v>0</v>
      </c>
      <c r="I1244" s="34">
        <v>217.65359719478201</v>
      </c>
      <c r="J1244" s="34">
        <v>217.65359719478201</v>
      </c>
      <c r="K1244" s="31" t="s">
        <v>2875</v>
      </c>
      <c r="L1244" s="31">
        <v>3</v>
      </c>
      <c r="M1244" s="31" t="s">
        <v>2878</v>
      </c>
      <c r="N1244" s="34">
        <v>20</v>
      </c>
      <c r="O1244" s="35">
        <v>0</v>
      </c>
      <c r="P1244" s="35">
        <v>752</v>
      </c>
      <c r="Q1244" s="35">
        <v>0</v>
      </c>
      <c r="R1244" s="36">
        <v>15.07</v>
      </c>
      <c r="S1244" s="37">
        <f>IFERROR(_xlfn.XLOOKUP(R1244,'1_Presupuesto'!$E:$E,'1_Presupuesto'!$D:$D),"")</f>
        <v>0</v>
      </c>
    </row>
    <row r="1245" spans="1:19" x14ac:dyDescent="0.35">
      <c r="A1245" s="31" t="s">
        <v>2861</v>
      </c>
      <c r="B1245" s="31" t="s">
        <v>203</v>
      </c>
      <c r="C1245" s="31"/>
      <c r="D1245" s="31" t="s">
        <v>786</v>
      </c>
      <c r="E1245" s="31" t="s">
        <v>787</v>
      </c>
      <c r="F1245" s="31"/>
      <c r="G1245" s="32">
        <v>1</v>
      </c>
      <c r="H1245" s="33">
        <v>0</v>
      </c>
      <c r="I1245" s="34">
        <v>1873.3963608356801</v>
      </c>
      <c r="J1245" s="34">
        <v>1873.3963608356801</v>
      </c>
      <c r="K1245" s="31" t="s">
        <v>2875</v>
      </c>
      <c r="L1245" s="31">
        <v>4</v>
      </c>
      <c r="M1245" s="31" t="s">
        <v>2879</v>
      </c>
      <c r="N1245" s="34">
        <v>20</v>
      </c>
      <c r="O1245" s="35">
        <v>0</v>
      </c>
      <c r="P1245" s="35">
        <v>752</v>
      </c>
      <c r="Q1245" s="35">
        <v>0</v>
      </c>
      <c r="R1245" s="36">
        <v>15.07</v>
      </c>
      <c r="S1245" s="37">
        <f>IFERROR(_xlfn.XLOOKUP(R1245,'1_Presupuesto'!$E:$E,'1_Presupuesto'!$D:$D),"")</f>
        <v>0</v>
      </c>
    </row>
    <row r="1246" spans="1:19" x14ac:dyDescent="0.35">
      <c r="A1246" s="31" t="s">
        <v>2880</v>
      </c>
      <c r="B1246" s="31" t="s">
        <v>497</v>
      </c>
      <c r="C1246" s="31" t="s">
        <v>498</v>
      </c>
      <c r="D1246" s="31" t="s">
        <v>2862</v>
      </c>
      <c r="E1246" s="31" t="s">
        <v>2863</v>
      </c>
      <c r="F1246" s="31" t="s">
        <v>739</v>
      </c>
      <c r="G1246" s="32">
        <v>7.4099999999999999E-2</v>
      </c>
      <c r="H1246" s="33">
        <v>0.1</v>
      </c>
      <c r="I1246" s="34">
        <v>66598.347107438007</v>
      </c>
      <c r="J1246" s="34">
        <v>5428.43127272727</v>
      </c>
      <c r="K1246" s="31" t="s">
        <v>2881</v>
      </c>
      <c r="L1246" s="31">
        <v>1</v>
      </c>
      <c r="M1246" s="31" t="s">
        <v>2882</v>
      </c>
      <c r="N1246" s="34">
        <v>20</v>
      </c>
      <c r="O1246" s="35">
        <v>0</v>
      </c>
      <c r="P1246" s="35">
        <v>433</v>
      </c>
      <c r="Q1246" s="35">
        <v>0</v>
      </c>
      <c r="R1246" s="36">
        <v>15.08</v>
      </c>
      <c r="S1246" s="37" t="str">
        <f>IFERROR(_xlfn.XLOOKUP(R1246,'1_Presupuesto'!$E:$E,'1_Presupuesto'!$D:$D),"")</f>
        <v>Pintura MO</v>
      </c>
    </row>
    <row r="1247" spans="1:19" x14ac:dyDescent="0.35">
      <c r="A1247" s="31" t="s">
        <v>2880</v>
      </c>
      <c r="B1247" s="31" t="s">
        <v>497</v>
      </c>
      <c r="C1247" s="31" t="s">
        <v>498</v>
      </c>
      <c r="D1247" s="31" t="s">
        <v>2866</v>
      </c>
      <c r="E1247" s="31" t="s">
        <v>2867</v>
      </c>
      <c r="F1247" s="31" t="s">
        <v>739</v>
      </c>
      <c r="G1247" s="32">
        <v>1.11E-2</v>
      </c>
      <c r="H1247" s="33">
        <v>0.1</v>
      </c>
      <c r="I1247" s="34">
        <v>102070.24793388401</v>
      </c>
      <c r="J1247" s="34">
        <v>1246.2777272727201</v>
      </c>
      <c r="K1247" s="31" t="s">
        <v>2881</v>
      </c>
      <c r="L1247" s="31">
        <v>2</v>
      </c>
      <c r="M1247" s="31" t="s">
        <v>2883</v>
      </c>
      <c r="N1247" s="34">
        <v>20</v>
      </c>
      <c r="O1247" s="35">
        <v>0</v>
      </c>
      <c r="P1247" s="35">
        <v>433</v>
      </c>
      <c r="Q1247" s="35">
        <v>0</v>
      </c>
      <c r="R1247" s="36">
        <v>15.08</v>
      </c>
      <c r="S1247" s="37" t="str">
        <f>IFERROR(_xlfn.XLOOKUP(R1247,'1_Presupuesto'!$E:$E,'1_Presupuesto'!$D:$D),"")</f>
        <v>Pintura MO</v>
      </c>
    </row>
    <row r="1248" spans="1:19" x14ac:dyDescent="0.35">
      <c r="A1248" s="31" t="s">
        <v>2880</v>
      </c>
      <c r="B1248" s="31" t="s">
        <v>497</v>
      </c>
      <c r="C1248" s="31" t="s">
        <v>498</v>
      </c>
      <c r="D1248" s="31" t="s">
        <v>2869</v>
      </c>
      <c r="E1248" s="31" t="s">
        <v>2870</v>
      </c>
      <c r="F1248" s="31" t="s">
        <v>261</v>
      </c>
      <c r="G1248" s="32">
        <v>0.01</v>
      </c>
      <c r="H1248" s="33">
        <v>0.1</v>
      </c>
      <c r="I1248" s="34">
        <v>13876.0330578512</v>
      </c>
      <c r="J1248" s="34">
        <v>152.636363636363</v>
      </c>
      <c r="K1248" s="31" t="s">
        <v>2881</v>
      </c>
      <c r="L1248" s="31">
        <v>3</v>
      </c>
      <c r="M1248" s="31" t="s">
        <v>2884</v>
      </c>
      <c r="N1248" s="34">
        <v>20</v>
      </c>
      <c r="O1248" s="35">
        <v>0</v>
      </c>
      <c r="P1248" s="35">
        <v>433</v>
      </c>
      <c r="Q1248" s="35">
        <v>0</v>
      </c>
      <c r="R1248" s="36">
        <v>15.08</v>
      </c>
      <c r="S1248" s="37" t="str">
        <f>IFERROR(_xlfn.XLOOKUP(R1248,'1_Presupuesto'!$E:$E,'1_Presupuesto'!$D:$D),"")</f>
        <v>Pintura MO</v>
      </c>
    </row>
    <row r="1249" spans="1:19" x14ac:dyDescent="0.35">
      <c r="A1249" s="31" t="s">
        <v>2880</v>
      </c>
      <c r="B1249" s="31" t="s">
        <v>497</v>
      </c>
      <c r="C1249" s="31" t="s">
        <v>498</v>
      </c>
      <c r="D1249" s="31" t="s">
        <v>503</v>
      </c>
      <c r="E1249" s="31" t="s">
        <v>504</v>
      </c>
      <c r="F1249" s="31" t="s">
        <v>261</v>
      </c>
      <c r="G1249" s="32">
        <v>5.0000000000000001E-3</v>
      </c>
      <c r="H1249" s="33">
        <v>0.05</v>
      </c>
      <c r="I1249" s="34">
        <v>6442.15</v>
      </c>
      <c r="J1249" s="34">
        <v>33.821287499999997</v>
      </c>
      <c r="K1249" s="31" t="s">
        <v>2881</v>
      </c>
      <c r="L1249" s="31">
        <v>4</v>
      </c>
      <c r="M1249" s="31" t="s">
        <v>2885</v>
      </c>
      <c r="N1249" s="34">
        <v>20</v>
      </c>
      <c r="O1249" s="35">
        <v>0</v>
      </c>
      <c r="P1249" s="35">
        <v>433</v>
      </c>
      <c r="Q1249" s="35">
        <v>0</v>
      </c>
      <c r="R1249" s="36">
        <v>15.08</v>
      </c>
      <c r="S1249" s="37" t="str">
        <f>IFERROR(_xlfn.XLOOKUP(R1249,'1_Presupuesto'!$E:$E,'1_Presupuesto'!$D:$D),"")</f>
        <v>Pintura MO</v>
      </c>
    </row>
    <row r="1250" spans="1:19" x14ac:dyDescent="0.35">
      <c r="A1250" s="31" t="s">
        <v>2880</v>
      </c>
      <c r="B1250" s="31" t="s">
        <v>497</v>
      </c>
      <c r="C1250" s="31" t="s">
        <v>498</v>
      </c>
      <c r="D1250" s="31" t="s">
        <v>512</v>
      </c>
      <c r="E1250" s="31" t="s">
        <v>513</v>
      </c>
      <c r="F1250" s="31">
        <v>0</v>
      </c>
      <c r="G1250" s="32">
        <v>5.0000000000000001E-3</v>
      </c>
      <c r="H1250" s="33">
        <v>0.05</v>
      </c>
      <c r="I1250" s="34">
        <v>1182.6446280991699</v>
      </c>
      <c r="J1250" s="34">
        <v>6.2088842975206404</v>
      </c>
      <c r="K1250" s="31" t="s">
        <v>2881</v>
      </c>
      <c r="L1250" s="31">
        <v>5</v>
      </c>
      <c r="M1250" s="31" t="s">
        <v>2886</v>
      </c>
      <c r="N1250" s="34">
        <v>20</v>
      </c>
      <c r="O1250" s="35">
        <v>0</v>
      </c>
      <c r="P1250" s="35">
        <v>433</v>
      </c>
      <c r="Q1250" s="35">
        <v>0</v>
      </c>
      <c r="R1250" s="36">
        <v>15.08</v>
      </c>
      <c r="S1250" s="37" t="str">
        <f>IFERROR(_xlfn.XLOOKUP(R1250,'1_Presupuesto'!$E:$E,'1_Presupuesto'!$D:$D),"")</f>
        <v>Pintura MO</v>
      </c>
    </row>
    <row r="1251" spans="1:19" x14ac:dyDescent="0.35">
      <c r="A1251" s="31" t="s">
        <v>2880</v>
      </c>
      <c r="B1251" s="31" t="s">
        <v>497</v>
      </c>
      <c r="C1251" s="31" t="s">
        <v>498</v>
      </c>
      <c r="D1251" s="31" t="s">
        <v>769</v>
      </c>
      <c r="E1251" s="31" t="s">
        <v>770</v>
      </c>
      <c r="F1251" s="31">
        <v>0</v>
      </c>
      <c r="G1251" s="32">
        <v>0.01</v>
      </c>
      <c r="H1251" s="33">
        <v>0.05</v>
      </c>
      <c r="I1251" s="34">
        <v>5885.9504132231395</v>
      </c>
      <c r="J1251" s="34">
        <v>61.802479338843</v>
      </c>
      <c r="K1251" s="31" t="s">
        <v>2881</v>
      </c>
      <c r="L1251" s="31">
        <v>6</v>
      </c>
      <c r="M1251" s="31" t="s">
        <v>2887</v>
      </c>
      <c r="N1251" s="34">
        <v>20</v>
      </c>
      <c r="O1251" s="35">
        <v>0</v>
      </c>
      <c r="P1251" s="35">
        <v>433</v>
      </c>
      <c r="Q1251" s="35">
        <v>0</v>
      </c>
      <c r="R1251" s="36">
        <v>15.08</v>
      </c>
      <c r="S1251" s="37" t="str">
        <f>IFERROR(_xlfn.XLOOKUP(R1251,'1_Presupuesto'!$E:$E,'1_Presupuesto'!$D:$D),"")</f>
        <v>Pintura MO</v>
      </c>
    </row>
    <row r="1252" spans="1:19" x14ac:dyDescent="0.35">
      <c r="A1252" s="31" t="s">
        <v>2880</v>
      </c>
      <c r="B1252" s="31" t="s">
        <v>203</v>
      </c>
      <c r="C1252" s="31"/>
      <c r="D1252" s="31" t="s">
        <v>1143</v>
      </c>
      <c r="E1252" s="31" t="s">
        <v>1144</v>
      </c>
      <c r="F1252" s="31"/>
      <c r="G1252" s="32">
        <v>0.75</v>
      </c>
      <c r="H1252" s="33">
        <v>0</v>
      </c>
      <c r="I1252" s="34">
        <v>2064.2076262094502</v>
      </c>
      <c r="J1252" s="34">
        <v>1548.15571965708</v>
      </c>
      <c r="K1252" s="31" t="s">
        <v>2888</v>
      </c>
      <c r="L1252" s="31">
        <v>1</v>
      </c>
      <c r="M1252" s="31" t="s">
        <v>2889</v>
      </c>
      <c r="N1252" s="34">
        <v>20</v>
      </c>
      <c r="O1252" s="35">
        <v>0</v>
      </c>
      <c r="P1252" s="35">
        <v>433</v>
      </c>
      <c r="Q1252" s="35">
        <v>0</v>
      </c>
      <c r="R1252" s="36">
        <v>15.08</v>
      </c>
      <c r="S1252" s="37" t="str">
        <f>IFERROR(_xlfn.XLOOKUP(R1252,'1_Presupuesto'!$E:$E,'1_Presupuesto'!$D:$D),"")</f>
        <v>Pintura MO</v>
      </c>
    </row>
    <row r="1253" spans="1:19" x14ac:dyDescent="0.35">
      <c r="A1253" s="31" t="s">
        <v>2880</v>
      </c>
      <c r="B1253" s="31" t="s">
        <v>203</v>
      </c>
      <c r="C1253" s="31"/>
      <c r="D1253" s="31" t="s">
        <v>613</v>
      </c>
      <c r="E1253" s="31" t="s">
        <v>614</v>
      </c>
      <c r="F1253" s="31"/>
      <c r="G1253" s="32">
        <v>0.5</v>
      </c>
      <c r="H1253" s="33">
        <v>0</v>
      </c>
      <c r="I1253" s="34">
        <v>620.81078197718296</v>
      </c>
      <c r="J1253" s="34">
        <v>310.40539098859199</v>
      </c>
      <c r="K1253" s="31" t="s">
        <v>2888</v>
      </c>
      <c r="L1253" s="31">
        <v>2</v>
      </c>
      <c r="M1253" s="31" t="s">
        <v>2890</v>
      </c>
      <c r="N1253" s="34">
        <v>20</v>
      </c>
      <c r="O1253" s="35">
        <v>0</v>
      </c>
      <c r="P1253" s="35">
        <v>433</v>
      </c>
      <c r="Q1253" s="35">
        <v>0</v>
      </c>
      <c r="R1253" s="36">
        <v>15.08</v>
      </c>
      <c r="S1253" s="37" t="str">
        <f>IFERROR(_xlfn.XLOOKUP(R1253,'1_Presupuesto'!$E:$E,'1_Presupuesto'!$D:$D),"")</f>
        <v>Pintura MO</v>
      </c>
    </row>
    <row r="1254" spans="1:19" x14ac:dyDescent="0.35">
      <c r="A1254" s="31" t="s">
        <v>2880</v>
      </c>
      <c r="B1254" s="31" t="s">
        <v>203</v>
      </c>
      <c r="C1254" s="31"/>
      <c r="D1254" s="31" t="s">
        <v>1126</v>
      </c>
      <c r="E1254" s="31" t="s">
        <v>1127</v>
      </c>
      <c r="F1254" s="31"/>
      <c r="G1254" s="32">
        <v>1</v>
      </c>
      <c r="H1254" s="33">
        <v>0</v>
      </c>
      <c r="I1254" s="34">
        <v>217.65359719478201</v>
      </c>
      <c r="J1254" s="34">
        <v>217.65359719478201</v>
      </c>
      <c r="K1254" s="31" t="s">
        <v>2888</v>
      </c>
      <c r="L1254" s="31">
        <v>3</v>
      </c>
      <c r="M1254" s="31" t="s">
        <v>2891</v>
      </c>
      <c r="N1254" s="34">
        <v>20</v>
      </c>
      <c r="O1254" s="35">
        <v>0</v>
      </c>
      <c r="P1254" s="35">
        <v>433</v>
      </c>
      <c r="Q1254" s="35">
        <v>0</v>
      </c>
      <c r="R1254" s="36">
        <v>15.08</v>
      </c>
      <c r="S1254" s="37" t="str">
        <f>IFERROR(_xlfn.XLOOKUP(R1254,'1_Presupuesto'!$E:$E,'1_Presupuesto'!$D:$D),"")</f>
        <v>Pintura MO</v>
      </c>
    </row>
    <row r="1255" spans="1:19" x14ac:dyDescent="0.35">
      <c r="A1255" s="31" t="s">
        <v>2880</v>
      </c>
      <c r="B1255" s="31" t="s">
        <v>203</v>
      </c>
      <c r="C1255" s="31"/>
      <c r="D1255" s="31" t="s">
        <v>786</v>
      </c>
      <c r="E1255" s="31" t="s">
        <v>787</v>
      </c>
      <c r="F1255" s="31"/>
      <c r="G1255" s="32">
        <v>1</v>
      </c>
      <c r="H1255" s="33">
        <v>0</v>
      </c>
      <c r="I1255" s="34">
        <v>1873.3963608356801</v>
      </c>
      <c r="J1255" s="34">
        <v>1873.3963608356801</v>
      </c>
      <c r="K1255" s="31" t="s">
        <v>2888</v>
      </c>
      <c r="L1255" s="31">
        <v>4</v>
      </c>
      <c r="M1255" s="31" t="s">
        <v>2892</v>
      </c>
      <c r="N1255" s="34">
        <v>20</v>
      </c>
      <c r="O1255" s="35">
        <v>0</v>
      </c>
      <c r="P1255" s="35">
        <v>433</v>
      </c>
      <c r="Q1255" s="35">
        <v>0</v>
      </c>
      <c r="R1255" s="36">
        <v>15.08</v>
      </c>
      <c r="S1255" s="37" t="str">
        <f>IFERROR(_xlfn.XLOOKUP(R1255,'1_Presupuesto'!$E:$E,'1_Presupuesto'!$D:$D),"")</f>
        <v>Pintura MO</v>
      </c>
    </row>
    <row r="1256" spans="1:19" x14ac:dyDescent="0.35">
      <c r="A1256" s="31" t="s">
        <v>2893</v>
      </c>
      <c r="B1256" s="31" t="s">
        <v>497</v>
      </c>
      <c r="C1256" s="31" t="s">
        <v>498</v>
      </c>
      <c r="D1256" s="31" t="s">
        <v>2894</v>
      </c>
      <c r="E1256" s="31" t="s">
        <v>2895</v>
      </c>
      <c r="F1256" s="31" t="s">
        <v>261</v>
      </c>
      <c r="G1256" s="32">
        <v>0.20091300000000001</v>
      </c>
      <c r="H1256" s="33">
        <v>0</v>
      </c>
      <c r="I1256" s="34">
        <v>53719.008264462798</v>
      </c>
      <c r="J1256" s="34">
        <v>10792.847107438</v>
      </c>
      <c r="K1256" s="31" t="s">
        <v>2896</v>
      </c>
      <c r="L1256" s="31">
        <v>1</v>
      </c>
      <c r="M1256" s="31" t="s">
        <v>2897</v>
      </c>
      <c r="N1256" s="34">
        <v>1</v>
      </c>
      <c r="O1256" s="35">
        <v>0</v>
      </c>
      <c r="P1256" s="35">
        <v>219</v>
      </c>
      <c r="Q1256" s="35">
        <v>0</v>
      </c>
      <c r="R1256" s="36">
        <v>15.09</v>
      </c>
      <c r="S1256" s="37" t="str">
        <f>IFERROR(_xlfn.XLOOKUP(R1256,'1_Presupuesto'!$E:$E,'1_Presupuesto'!$D:$D),"")</f>
        <v>Pintura MO</v>
      </c>
    </row>
    <row r="1257" spans="1:19" x14ac:dyDescent="0.35">
      <c r="A1257" s="31" t="s">
        <v>2893</v>
      </c>
      <c r="B1257" s="31" t="s">
        <v>497</v>
      </c>
      <c r="C1257" s="31" t="s">
        <v>498</v>
      </c>
      <c r="D1257" s="31" t="s">
        <v>597</v>
      </c>
      <c r="E1257" s="31" t="s">
        <v>598</v>
      </c>
      <c r="F1257" s="31" t="s">
        <v>218</v>
      </c>
      <c r="G1257" s="32">
        <v>1080.1818181818201</v>
      </c>
      <c r="H1257" s="33">
        <v>0</v>
      </c>
      <c r="I1257" s="34">
        <v>1</v>
      </c>
      <c r="J1257" s="34">
        <v>1080.1818181818201</v>
      </c>
      <c r="K1257" s="31" t="s">
        <v>2896</v>
      </c>
      <c r="L1257" s="31">
        <v>2</v>
      </c>
      <c r="M1257" s="31" t="s">
        <v>2898</v>
      </c>
      <c r="N1257" s="34">
        <v>1</v>
      </c>
      <c r="O1257" s="35">
        <v>0</v>
      </c>
      <c r="P1257" s="35">
        <v>219</v>
      </c>
      <c r="Q1257" s="35">
        <v>0</v>
      </c>
      <c r="R1257" s="36">
        <v>15.09</v>
      </c>
      <c r="S1257" s="37" t="str">
        <f>IFERROR(_xlfn.XLOOKUP(R1257,'1_Presupuesto'!$E:$E,'1_Presupuesto'!$D:$D),"")</f>
        <v>Pintura MO</v>
      </c>
    </row>
    <row r="1258" spans="1:19" x14ac:dyDescent="0.35">
      <c r="A1258" s="31" t="s">
        <v>2893</v>
      </c>
      <c r="B1258" s="31" t="s">
        <v>478</v>
      </c>
      <c r="C1258" s="31" t="s">
        <v>479</v>
      </c>
      <c r="D1258" s="31" t="s">
        <v>480</v>
      </c>
      <c r="E1258" s="31" t="s">
        <v>183</v>
      </c>
      <c r="F1258" s="31" t="s">
        <v>481</v>
      </c>
      <c r="G1258" s="32">
        <v>5.4795000000000003E-2</v>
      </c>
      <c r="H1258" s="33">
        <v>0</v>
      </c>
      <c r="I1258" s="34">
        <v>94177.137883538904</v>
      </c>
      <c r="J1258" s="34">
        <v>5160.4362703285096</v>
      </c>
      <c r="K1258" s="31" t="s">
        <v>2899</v>
      </c>
      <c r="L1258" s="31">
        <v>1</v>
      </c>
      <c r="M1258" s="31" t="s">
        <v>2900</v>
      </c>
      <c r="N1258" s="34">
        <v>1</v>
      </c>
      <c r="O1258" s="35">
        <v>5.4795000000000003E-2</v>
      </c>
      <c r="P1258" s="35">
        <v>219</v>
      </c>
      <c r="Q1258" s="35">
        <v>12.000105</v>
      </c>
      <c r="R1258" s="36">
        <v>15.09</v>
      </c>
      <c r="S1258" s="37" t="str">
        <f>IFERROR(_xlfn.XLOOKUP(R1258,'1_Presupuesto'!$E:$E,'1_Presupuesto'!$D:$D),"")</f>
        <v>Pintura MO</v>
      </c>
    </row>
    <row r="1259" spans="1:19" x14ac:dyDescent="0.35">
      <c r="A1259" s="31" t="s">
        <v>2893</v>
      </c>
      <c r="B1259" s="31" t="s">
        <v>478</v>
      </c>
      <c r="C1259" s="31" t="s">
        <v>479</v>
      </c>
      <c r="D1259" s="31" t="s">
        <v>494</v>
      </c>
      <c r="E1259" s="31" t="s">
        <v>185</v>
      </c>
      <c r="F1259" s="31" t="s">
        <v>481</v>
      </c>
      <c r="G1259" s="32">
        <v>5.4795000000000003E-2</v>
      </c>
      <c r="H1259" s="33">
        <v>0</v>
      </c>
      <c r="I1259" s="34">
        <v>72132.138365590101</v>
      </c>
      <c r="J1259" s="34">
        <v>3952.4805217425101</v>
      </c>
      <c r="K1259" s="31" t="s">
        <v>2899</v>
      </c>
      <c r="L1259" s="31">
        <v>2</v>
      </c>
      <c r="M1259" s="31" t="s">
        <v>2901</v>
      </c>
      <c r="N1259" s="34">
        <v>1</v>
      </c>
      <c r="O1259" s="35">
        <v>5.4795000000000003E-2</v>
      </c>
      <c r="P1259" s="35">
        <v>219</v>
      </c>
      <c r="Q1259" s="35">
        <v>12.000105</v>
      </c>
      <c r="R1259" s="36">
        <v>15.09</v>
      </c>
      <c r="S1259" s="37" t="str">
        <f>IFERROR(_xlfn.XLOOKUP(R1259,'1_Presupuesto'!$E:$E,'1_Presupuesto'!$D:$D),"")</f>
        <v>Pintura MO</v>
      </c>
    </row>
    <row r="1260" spans="1:19" x14ac:dyDescent="0.35">
      <c r="A1260" s="31" t="s">
        <v>2893</v>
      </c>
      <c r="B1260" s="31" t="s">
        <v>203</v>
      </c>
      <c r="C1260" s="31"/>
      <c r="D1260" s="31" t="s">
        <v>2902</v>
      </c>
      <c r="E1260" s="31" t="s">
        <v>2903</v>
      </c>
      <c r="F1260" s="31"/>
      <c r="G1260" s="32">
        <v>1</v>
      </c>
      <c r="H1260" s="33">
        <v>0</v>
      </c>
      <c r="I1260" s="34">
        <v>314.77474760202398</v>
      </c>
      <c r="J1260" s="34">
        <v>314.77474760202398</v>
      </c>
      <c r="K1260" s="31" t="s">
        <v>2904</v>
      </c>
      <c r="L1260" s="31">
        <v>1</v>
      </c>
      <c r="M1260" s="31" t="s">
        <v>2905</v>
      </c>
      <c r="N1260" s="34">
        <v>1</v>
      </c>
      <c r="O1260" s="35">
        <v>0</v>
      </c>
      <c r="P1260" s="35">
        <v>219</v>
      </c>
      <c r="Q1260" s="35">
        <v>0</v>
      </c>
      <c r="R1260" s="36">
        <v>15.09</v>
      </c>
      <c r="S1260" s="37" t="str">
        <f>IFERROR(_xlfn.XLOOKUP(R1260,'1_Presupuesto'!$E:$E,'1_Presupuesto'!$D:$D),"")</f>
        <v>Pintura MO</v>
      </c>
    </row>
    <row r="1261" spans="1:19" x14ac:dyDescent="0.35">
      <c r="A1261" s="31" t="s">
        <v>2906</v>
      </c>
      <c r="B1261" s="31" t="s">
        <v>497</v>
      </c>
      <c r="C1261" s="31" t="s">
        <v>498</v>
      </c>
      <c r="D1261" s="31" t="s">
        <v>2907</v>
      </c>
      <c r="E1261" s="31" t="s">
        <v>2908</v>
      </c>
      <c r="F1261" s="31" t="s">
        <v>261</v>
      </c>
      <c r="G1261" s="32">
        <v>4.1812000000000002E-2</v>
      </c>
      <c r="H1261" s="33">
        <v>0</v>
      </c>
      <c r="I1261" s="34">
        <v>66115.702479338797</v>
      </c>
      <c r="J1261" s="34">
        <v>2764.4297520661098</v>
      </c>
      <c r="K1261" s="31" t="s">
        <v>2909</v>
      </c>
      <c r="L1261" s="31">
        <v>1</v>
      </c>
      <c r="M1261" s="31" t="s">
        <v>2910</v>
      </c>
      <c r="N1261" s="34">
        <v>1</v>
      </c>
      <c r="O1261" s="35">
        <v>0</v>
      </c>
      <c r="P1261" s="35">
        <v>861</v>
      </c>
      <c r="Q1261" s="35">
        <v>0</v>
      </c>
      <c r="R1261" s="36">
        <v>15.1</v>
      </c>
      <c r="S1261" s="37">
        <f>IFERROR(_xlfn.XLOOKUP(R1261,'1_Presupuesto'!$E:$E,'1_Presupuesto'!$D:$D),"")</f>
        <v>0</v>
      </c>
    </row>
    <row r="1262" spans="1:19" x14ac:dyDescent="0.35">
      <c r="A1262" s="31" t="s">
        <v>2906</v>
      </c>
      <c r="B1262" s="31" t="s">
        <v>497</v>
      </c>
      <c r="C1262" s="31" t="s">
        <v>498</v>
      </c>
      <c r="D1262" s="31" t="s">
        <v>597</v>
      </c>
      <c r="E1262" s="31" t="s">
        <v>598</v>
      </c>
      <c r="F1262" s="31" t="s">
        <v>218</v>
      </c>
      <c r="G1262" s="32">
        <v>691.10490396520004</v>
      </c>
      <c r="H1262" s="33">
        <v>0</v>
      </c>
      <c r="I1262" s="34">
        <v>1</v>
      </c>
      <c r="J1262" s="34">
        <v>691.10490396520004</v>
      </c>
      <c r="K1262" s="31" t="s">
        <v>2909</v>
      </c>
      <c r="L1262" s="31">
        <v>2</v>
      </c>
      <c r="M1262" s="31" t="s">
        <v>2911</v>
      </c>
      <c r="N1262" s="34">
        <v>1</v>
      </c>
      <c r="O1262" s="35">
        <v>0</v>
      </c>
      <c r="P1262" s="35">
        <v>861</v>
      </c>
      <c r="Q1262" s="35">
        <v>0</v>
      </c>
      <c r="R1262" s="36">
        <v>15.1</v>
      </c>
      <c r="S1262" s="37">
        <f>IFERROR(_xlfn.XLOOKUP(R1262,'1_Presupuesto'!$E:$E,'1_Presupuesto'!$D:$D),"")</f>
        <v>0</v>
      </c>
    </row>
    <row r="1263" spans="1:19" x14ac:dyDescent="0.35">
      <c r="A1263" s="31" t="s">
        <v>2906</v>
      </c>
      <c r="B1263" s="31" t="s">
        <v>478</v>
      </c>
      <c r="C1263" s="31" t="s">
        <v>498</v>
      </c>
      <c r="D1263" s="31" t="s">
        <v>2912</v>
      </c>
      <c r="E1263" s="31" t="s">
        <v>2913</v>
      </c>
      <c r="F1263" s="31" t="s">
        <v>481</v>
      </c>
      <c r="G1263" s="32">
        <v>1</v>
      </c>
      <c r="H1263" s="33">
        <v>0</v>
      </c>
      <c r="I1263" s="34">
        <v>6075.9443795831503</v>
      </c>
      <c r="J1263" s="34">
        <v>6075.9443795831503</v>
      </c>
      <c r="K1263" s="31" t="s">
        <v>2914</v>
      </c>
      <c r="L1263" s="31">
        <v>1</v>
      </c>
      <c r="M1263" s="31" t="s">
        <v>2915</v>
      </c>
      <c r="N1263" s="34">
        <v>1</v>
      </c>
      <c r="O1263" s="35">
        <v>0</v>
      </c>
      <c r="P1263" s="35">
        <v>861</v>
      </c>
      <c r="Q1263" s="35">
        <v>0</v>
      </c>
      <c r="R1263" s="36">
        <v>15.1</v>
      </c>
      <c r="S1263" s="37">
        <f>IFERROR(_xlfn.XLOOKUP(R1263,'1_Presupuesto'!$E:$E,'1_Presupuesto'!$D:$D),"")</f>
        <v>0</v>
      </c>
    </row>
    <row r="1264" spans="1:19" x14ac:dyDescent="0.35">
      <c r="A1264" s="31" t="s">
        <v>2906</v>
      </c>
      <c r="B1264" s="31" t="s">
        <v>478</v>
      </c>
      <c r="C1264" s="31" t="s">
        <v>498</v>
      </c>
      <c r="D1264" s="31" t="s">
        <v>2916</v>
      </c>
      <c r="E1264" s="31" t="s">
        <v>2917</v>
      </c>
      <c r="F1264" s="31" t="s">
        <v>481</v>
      </c>
      <c r="G1264" s="32">
        <v>1</v>
      </c>
      <c r="H1264" s="33">
        <v>0</v>
      </c>
      <c r="I1264" s="34">
        <v>2430.3777518332599</v>
      </c>
      <c r="J1264" s="34">
        <v>2430.3777518332599</v>
      </c>
      <c r="K1264" s="31" t="s">
        <v>2914</v>
      </c>
      <c r="L1264" s="31">
        <v>2</v>
      </c>
      <c r="M1264" s="31" t="s">
        <v>2918</v>
      </c>
      <c r="N1264" s="34">
        <v>1</v>
      </c>
      <c r="O1264" s="35">
        <v>0</v>
      </c>
      <c r="P1264" s="35">
        <v>861</v>
      </c>
      <c r="Q1264" s="35">
        <v>0</v>
      </c>
      <c r="R1264" s="36">
        <v>15.1</v>
      </c>
      <c r="S1264" s="37">
        <f>IFERROR(_xlfn.XLOOKUP(R1264,'1_Presupuesto'!$E:$E,'1_Presupuesto'!$D:$D),"")</f>
        <v>0</v>
      </c>
    </row>
    <row r="1265" spans="1:19" x14ac:dyDescent="0.35">
      <c r="A1265" s="31" t="s">
        <v>2906</v>
      </c>
      <c r="B1265" s="31" t="s">
        <v>478</v>
      </c>
      <c r="C1265" s="31" t="s">
        <v>498</v>
      </c>
      <c r="D1265" s="31" t="s">
        <v>2919</v>
      </c>
      <c r="E1265" s="31" t="s">
        <v>2920</v>
      </c>
      <c r="F1265" s="31" t="s">
        <v>481</v>
      </c>
      <c r="G1265" s="32">
        <v>1.1609999999999999E-3</v>
      </c>
      <c r="H1265" s="33">
        <v>0</v>
      </c>
      <c r="I1265" s="34">
        <v>672000</v>
      </c>
      <c r="J1265" s="34">
        <v>780.19200000000001</v>
      </c>
      <c r="K1265" s="31" t="s">
        <v>2914</v>
      </c>
      <c r="L1265" s="31">
        <v>3</v>
      </c>
      <c r="M1265" s="31" t="s">
        <v>2921</v>
      </c>
      <c r="N1265" s="34">
        <v>1</v>
      </c>
      <c r="O1265" s="35">
        <v>0</v>
      </c>
      <c r="P1265" s="35">
        <v>861</v>
      </c>
      <c r="Q1265" s="35">
        <v>0</v>
      </c>
      <c r="R1265" s="36">
        <v>15.1</v>
      </c>
      <c r="S1265" s="37">
        <f>IFERROR(_xlfn.XLOOKUP(R1265,'1_Presupuesto'!$E:$E,'1_Presupuesto'!$D:$D),"")</f>
        <v>0</v>
      </c>
    </row>
    <row r="1266" spans="1:19" x14ac:dyDescent="0.35">
      <c r="A1266" s="31" t="s">
        <v>2906</v>
      </c>
      <c r="B1266" s="31" t="s">
        <v>203</v>
      </c>
      <c r="C1266" s="31"/>
      <c r="D1266" s="31" t="s">
        <v>2922</v>
      </c>
      <c r="E1266" s="31" t="s">
        <v>2923</v>
      </c>
      <c r="F1266" s="31"/>
      <c r="G1266" s="32">
        <v>1</v>
      </c>
      <c r="H1266" s="33">
        <v>0</v>
      </c>
      <c r="I1266" s="34">
        <v>191.13501684180801</v>
      </c>
      <c r="J1266" s="34">
        <v>191.13501684180801</v>
      </c>
      <c r="K1266" s="31" t="s">
        <v>2924</v>
      </c>
      <c r="L1266" s="31">
        <v>1</v>
      </c>
      <c r="M1266" s="31" t="s">
        <v>2925</v>
      </c>
      <c r="N1266" s="34">
        <v>1</v>
      </c>
      <c r="O1266" s="35">
        <v>0</v>
      </c>
      <c r="P1266" s="35">
        <v>861</v>
      </c>
      <c r="Q1266" s="35">
        <v>0</v>
      </c>
      <c r="R1266" s="36">
        <v>15.1</v>
      </c>
      <c r="S1266" s="37">
        <f>IFERROR(_xlfn.XLOOKUP(R1266,'1_Presupuesto'!$E:$E,'1_Presupuesto'!$D:$D),"")</f>
        <v>0</v>
      </c>
    </row>
    <row r="1267" spans="1:19" x14ac:dyDescent="0.35">
      <c r="A1267" s="31" t="s">
        <v>2926</v>
      </c>
      <c r="B1267" s="31" t="s">
        <v>497</v>
      </c>
      <c r="C1267" s="31" t="s">
        <v>498</v>
      </c>
      <c r="D1267" s="31" t="s">
        <v>2927</v>
      </c>
      <c r="E1267" s="31" t="s">
        <v>2928</v>
      </c>
      <c r="F1267" s="31" t="s">
        <v>261</v>
      </c>
      <c r="G1267" s="32">
        <v>2.2727000000000001E-2</v>
      </c>
      <c r="H1267" s="33">
        <v>0</v>
      </c>
      <c r="I1267" s="34">
        <v>35000</v>
      </c>
      <c r="J1267" s="34">
        <v>795.44500000000005</v>
      </c>
      <c r="K1267" s="31" t="s">
        <v>2929</v>
      </c>
      <c r="L1267" s="31">
        <v>1</v>
      </c>
      <c r="M1267" s="31" t="s">
        <v>2930</v>
      </c>
      <c r="N1267" s="34">
        <v>1</v>
      </c>
      <c r="O1267" s="35">
        <v>0</v>
      </c>
      <c r="P1267" s="35">
        <v>88</v>
      </c>
      <c r="Q1267" s="35">
        <v>0</v>
      </c>
      <c r="R1267" s="36">
        <v>15.11</v>
      </c>
      <c r="S1267" s="37" t="str">
        <f>IFERROR(_xlfn.XLOOKUP(R1267,'1_Presupuesto'!$E:$E,'1_Presupuesto'!$D:$D),"")</f>
        <v>Pintura MO</v>
      </c>
    </row>
    <row r="1268" spans="1:19" x14ac:dyDescent="0.35">
      <c r="A1268" s="31" t="s">
        <v>2926</v>
      </c>
      <c r="B1268" s="31" t="s">
        <v>478</v>
      </c>
      <c r="C1268" s="31" t="s">
        <v>479</v>
      </c>
      <c r="D1268" s="31" t="s">
        <v>484</v>
      </c>
      <c r="E1268" s="31" t="s">
        <v>186</v>
      </c>
      <c r="F1268" s="31" t="s">
        <v>481</v>
      </c>
      <c r="G1268" s="32">
        <v>0.204545</v>
      </c>
      <c r="H1268" s="33">
        <v>0</v>
      </c>
      <c r="I1268" s="34">
        <v>67240.498860267602</v>
      </c>
      <c r="J1268" s="34">
        <v>13753.707839373399</v>
      </c>
      <c r="K1268" s="31" t="s">
        <v>2931</v>
      </c>
      <c r="L1268" s="31">
        <v>1</v>
      </c>
      <c r="M1268" s="31" t="s">
        <v>2932</v>
      </c>
      <c r="N1268" s="34">
        <v>1</v>
      </c>
      <c r="O1268" s="35">
        <v>0.204545</v>
      </c>
      <c r="P1268" s="35">
        <v>88</v>
      </c>
      <c r="Q1268" s="35">
        <v>17.999960000000002</v>
      </c>
      <c r="R1268" s="36">
        <v>15.11</v>
      </c>
      <c r="S1268" s="37" t="str">
        <f>IFERROR(_xlfn.XLOOKUP(R1268,'1_Presupuesto'!$E:$E,'1_Presupuesto'!$D:$D),"")</f>
        <v>Pintura MO</v>
      </c>
    </row>
    <row r="1269" spans="1:19" x14ac:dyDescent="0.35">
      <c r="A1269" s="31" t="s">
        <v>2926</v>
      </c>
      <c r="B1269" s="31" t="s">
        <v>497</v>
      </c>
      <c r="C1269" s="31" t="s">
        <v>498</v>
      </c>
      <c r="D1269" s="31" t="s">
        <v>2933</v>
      </c>
      <c r="E1269" s="31" t="s">
        <v>2934</v>
      </c>
      <c r="F1269" s="31" t="s">
        <v>261</v>
      </c>
      <c r="G1269" s="32">
        <v>5.6048749999999998</v>
      </c>
      <c r="H1269" s="33">
        <v>0</v>
      </c>
      <c r="I1269" s="34">
        <v>4460.73119834711</v>
      </c>
      <c r="J1269" s="34">
        <v>25001.840775335801</v>
      </c>
      <c r="K1269" s="31" t="s">
        <v>2929</v>
      </c>
      <c r="L1269" s="31">
        <v>2</v>
      </c>
      <c r="M1269" s="31" t="s">
        <v>2935</v>
      </c>
      <c r="N1269" s="34">
        <v>1</v>
      </c>
      <c r="O1269" s="35">
        <v>0</v>
      </c>
      <c r="P1269" s="35">
        <v>88</v>
      </c>
      <c r="Q1269" s="35">
        <v>0</v>
      </c>
      <c r="R1269" s="36">
        <v>15.11</v>
      </c>
      <c r="S1269" s="37" t="str">
        <f>IFERROR(_xlfn.XLOOKUP(R1269,'1_Presupuesto'!$E:$E,'1_Presupuesto'!$D:$D),"")</f>
        <v>Pintura MO</v>
      </c>
    </row>
    <row r="1270" spans="1:19" x14ac:dyDescent="0.35">
      <c r="A1270" s="31" t="s">
        <v>2926</v>
      </c>
      <c r="B1270" s="31" t="s">
        <v>478</v>
      </c>
      <c r="C1270" s="31" t="s">
        <v>498</v>
      </c>
      <c r="D1270" s="31" t="s">
        <v>2936</v>
      </c>
      <c r="E1270" s="31" t="s">
        <v>2934</v>
      </c>
      <c r="F1270" s="31" t="s">
        <v>481</v>
      </c>
      <c r="G1270" s="32">
        <v>5.6048749999999998</v>
      </c>
      <c r="H1270" s="33">
        <v>0</v>
      </c>
      <c r="I1270" s="34">
        <v>12033.5234801962</v>
      </c>
      <c r="J1270" s="34">
        <v>67446.394916064703</v>
      </c>
      <c r="K1270" s="31" t="s">
        <v>2931</v>
      </c>
      <c r="L1270" s="31">
        <v>2</v>
      </c>
      <c r="M1270" s="31" t="s">
        <v>2937</v>
      </c>
      <c r="N1270" s="34">
        <v>1</v>
      </c>
      <c r="O1270" s="35">
        <v>0</v>
      </c>
      <c r="P1270" s="35">
        <v>88</v>
      </c>
      <c r="Q1270" s="35">
        <v>0</v>
      </c>
      <c r="R1270" s="36">
        <v>15.11</v>
      </c>
      <c r="S1270" s="37" t="str">
        <f>IFERROR(_xlfn.XLOOKUP(R1270,'1_Presupuesto'!$E:$E,'1_Presupuesto'!$D:$D),"")</f>
        <v>Pintura MO</v>
      </c>
    </row>
    <row r="1271" spans="1:19" x14ac:dyDescent="0.35">
      <c r="A1271" s="31" t="s">
        <v>2926</v>
      </c>
      <c r="B1271" s="31" t="s">
        <v>203</v>
      </c>
      <c r="C1271" s="31"/>
      <c r="D1271" s="31" t="s">
        <v>2938</v>
      </c>
      <c r="E1271" s="31" t="s">
        <v>2939</v>
      </c>
      <c r="F1271" s="31"/>
      <c r="G1271" s="32">
        <v>1</v>
      </c>
      <c r="H1271" s="33">
        <v>0</v>
      </c>
      <c r="I1271" s="34">
        <v>1604.9614296013699</v>
      </c>
      <c r="J1271" s="34">
        <v>1604.9614296013699</v>
      </c>
      <c r="K1271" s="31" t="s">
        <v>2940</v>
      </c>
      <c r="L1271" s="31">
        <v>1</v>
      </c>
      <c r="M1271" s="31" t="s">
        <v>2941</v>
      </c>
      <c r="N1271" s="34">
        <v>1</v>
      </c>
      <c r="O1271" s="35">
        <v>0</v>
      </c>
      <c r="P1271" s="35">
        <v>88</v>
      </c>
      <c r="Q1271" s="35">
        <v>0</v>
      </c>
      <c r="R1271" s="36">
        <v>15.11</v>
      </c>
      <c r="S1271" s="37" t="str">
        <f>IFERROR(_xlfn.XLOOKUP(R1271,'1_Presupuesto'!$E:$E,'1_Presupuesto'!$D:$D),"")</f>
        <v>Pintura MO</v>
      </c>
    </row>
    <row r="1272" spans="1:19" x14ac:dyDescent="0.35">
      <c r="A1272" s="31" t="s">
        <v>2942</v>
      </c>
      <c r="B1272" s="31" t="s">
        <v>497</v>
      </c>
      <c r="C1272" s="31" t="s">
        <v>498</v>
      </c>
      <c r="D1272" s="31" t="s">
        <v>2943</v>
      </c>
      <c r="E1272" s="31" t="s">
        <v>234</v>
      </c>
      <c r="F1272" s="31" t="s">
        <v>261</v>
      </c>
      <c r="G1272" s="32">
        <v>473.21199999999999</v>
      </c>
      <c r="H1272" s="33">
        <v>0</v>
      </c>
      <c r="I1272" s="34">
        <v>2676.4387190082598</v>
      </c>
      <c r="J1272" s="34">
        <v>1266522.91909934</v>
      </c>
      <c r="K1272" s="31" t="s">
        <v>2944</v>
      </c>
      <c r="L1272" s="31">
        <v>1</v>
      </c>
      <c r="M1272" s="31" t="s">
        <v>2945</v>
      </c>
      <c r="N1272" s="34">
        <v>1</v>
      </c>
      <c r="O1272" s="35">
        <v>0</v>
      </c>
      <c r="P1272" s="35">
        <v>1</v>
      </c>
      <c r="Q1272" s="35">
        <v>0</v>
      </c>
      <c r="R1272" s="36">
        <v>15.12</v>
      </c>
      <c r="S1272" s="37">
        <f>IFERROR(_xlfn.XLOOKUP(R1272,'1_Presupuesto'!$E:$E,'1_Presupuesto'!$D:$D),"")</f>
        <v>0</v>
      </c>
    </row>
    <row r="1273" spans="1:19" x14ac:dyDescent="0.35">
      <c r="A1273" s="31" t="s">
        <v>2942</v>
      </c>
      <c r="B1273" s="31" t="s">
        <v>478</v>
      </c>
      <c r="C1273" s="31" t="s">
        <v>498</v>
      </c>
      <c r="D1273" s="31" t="s">
        <v>2946</v>
      </c>
      <c r="E1273" s="31" t="s">
        <v>234</v>
      </c>
      <c r="F1273" s="31" t="s">
        <v>481</v>
      </c>
      <c r="G1273" s="32">
        <v>473.21199999999999</v>
      </c>
      <c r="H1273" s="33">
        <v>0</v>
      </c>
      <c r="I1273" s="34">
        <v>12033.5234801962</v>
      </c>
      <c r="J1273" s="34">
        <v>5694407.7131105997</v>
      </c>
      <c r="K1273" s="31" t="s">
        <v>2947</v>
      </c>
      <c r="L1273" s="31">
        <v>1</v>
      </c>
      <c r="M1273" s="31" t="s">
        <v>2948</v>
      </c>
      <c r="N1273" s="34">
        <v>1</v>
      </c>
      <c r="O1273" s="35">
        <v>0</v>
      </c>
      <c r="P1273" s="35">
        <v>1</v>
      </c>
      <c r="Q1273" s="35">
        <v>0</v>
      </c>
      <c r="R1273" s="36">
        <v>15.12</v>
      </c>
      <c r="S1273" s="37">
        <f>IFERROR(_xlfn.XLOOKUP(R1273,'1_Presupuesto'!$E:$E,'1_Presupuesto'!$D:$D),"")</f>
        <v>0</v>
      </c>
    </row>
    <row r="1274" spans="1:19" x14ac:dyDescent="0.35">
      <c r="A1274" s="31" t="s">
        <v>2942</v>
      </c>
      <c r="B1274" s="31" t="s">
        <v>203</v>
      </c>
      <c r="C1274" s="31"/>
      <c r="D1274" s="31" t="s">
        <v>2949</v>
      </c>
      <c r="E1274" s="31" t="s">
        <v>2950</v>
      </c>
      <c r="F1274" s="31"/>
      <c r="G1274" s="32">
        <v>1</v>
      </c>
      <c r="H1274" s="33">
        <v>0</v>
      </c>
      <c r="I1274" s="34">
        <v>104413.959483149</v>
      </c>
      <c r="J1274" s="34">
        <v>104413.959483149</v>
      </c>
      <c r="K1274" s="31" t="s">
        <v>2951</v>
      </c>
      <c r="L1274" s="31">
        <v>1</v>
      </c>
      <c r="M1274" s="31" t="s">
        <v>2952</v>
      </c>
      <c r="N1274" s="34">
        <v>1</v>
      </c>
      <c r="O1274" s="35">
        <v>0</v>
      </c>
      <c r="P1274" s="35">
        <v>1</v>
      </c>
      <c r="Q1274" s="35">
        <v>0</v>
      </c>
      <c r="R1274" s="36">
        <v>15.12</v>
      </c>
      <c r="S1274" s="37">
        <f>IFERROR(_xlfn.XLOOKUP(R1274,'1_Presupuesto'!$E:$E,'1_Presupuesto'!$D:$D),"")</f>
        <v>0</v>
      </c>
    </row>
    <row r="1275" spans="1:19" x14ac:dyDescent="0.35">
      <c r="A1275" s="31" t="s">
        <v>2953</v>
      </c>
      <c r="B1275" s="31" t="s">
        <v>497</v>
      </c>
      <c r="C1275" s="31" t="s">
        <v>498</v>
      </c>
      <c r="D1275" s="31" t="s">
        <v>534</v>
      </c>
      <c r="E1275" s="31" t="s">
        <v>535</v>
      </c>
      <c r="F1275" s="31">
        <v>0</v>
      </c>
      <c r="G1275" s="32">
        <v>3.5999999999999997E-2</v>
      </c>
      <c r="H1275" s="33">
        <v>0.1</v>
      </c>
      <c r="I1275" s="34">
        <v>32620.38</v>
      </c>
      <c r="J1275" s="34">
        <v>1291.7670479999999</v>
      </c>
      <c r="K1275" s="31" t="s">
        <v>2954</v>
      </c>
      <c r="L1275" s="31">
        <v>1</v>
      </c>
      <c r="M1275" s="31" t="s">
        <v>2955</v>
      </c>
      <c r="N1275" s="34">
        <v>2</v>
      </c>
      <c r="O1275" s="35">
        <v>0</v>
      </c>
      <c r="P1275" s="35">
        <v>43</v>
      </c>
      <c r="Q1275" s="35">
        <v>0</v>
      </c>
      <c r="R1275" s="36">
        <v>17.010000000000002</v>
      </c>
      <c r="S1275" s="37" t="str">
        <f>IFERROR(_xlfn.XLOOKUP(R1275,'1_Presupuesto'!$E:$E,'1_Presupuesto'!$D:$D),"")</f>
        <v>Albañilería MO</v>
      </c>
    </row>
    <row r="1276" spans="1:19" x14ac:dyDescent="0.35">
      <c r="A1276" s="31" t="s">
        <v>2953</v>
      </c>
      <c r="B1276" s="31" t="s">
        <v>497</v>
      </c>
      <c r="C1276" s="31" t="s">
        <v>498</v>
      </c>
      <c r="D1276" s="31" t="s">
        <v>541</v>
      </c>
      <c r="E1276" s="31" t="s">
        <v>542</v>
      </c>
      <c r="F1276" s="31">
        <v>0</v>
      </c>
      <c r="G1276" s="32">
        <v>0.32400000000000001</v>
      </c>
      <c r="H1276" s="33">
        <v>0.1</v>
      </c>
      <c r="I1276" s="34">
        <v>7891.74</v>
      </c>
      <c r="J1276" s="34">
        <v>2812.6161360000001</v>
      </c>
      <c r="K1276" s="31" t="s">
        <v>2954</v>
      </c>
      <c r="L1276" s="31">
        <v>2</v>
      </c>
      <c r="M1276" s="31" t="s">
        <v>2956</v>
      </c>
      <c r="N1276" s="34">
        <v>2</v>
      </c>
      <c r="O1276" s="35">
        <v>0</v>
      </c>
      <c r="P1276" s="35">
        <v>43</v>
      </c>
      <c r="Q1276" s="35">
        <v>0</v>
      </c>
      <c r="R1276" s="36">
        <v>17.010000000000002</v>
      </c>
      <c r="S1276" s="37" t="str">
        <f>IFERROR(_xlfn.XLOOKUP(R1276,'1_Presupuesto'!$E:$E,'1_Presupuesto'!$D:$D),"")</f>
        <v>Albañilería MO</v>
      </c>
    </row>
    <row r="1277" spans="1:19" x14ac:dyDescent="0.35">
      <c r="A1277" s="31" t="s">
        <v>2953</v>
      </c>
      <c r="B1277" s="31" t="s">
        <v>478</v>
      </c>
      <c r="C1277" s="31" t="s">
        <v>479</v>
      </c>
      <c r="D1277" s="31" t="s">
        <v>484</v>
      </c>
      <c r="E1277" s="31" t="s">
        <v>186</v>
      </c>
      <c r="F1277" s="31" t="s">
        <v>481</v>
      </c>
      <c r="G1277" s="32">
        <v>0.75</v>
      </c>
      <c r="H1277" s="33">
        <v>0</v>
      </c>
      <c r="I1277" s="34">
        <v>67240.498860267602</v>
      </c>
      <c r="J1277" s="34">
        <v>50430.374145200702</v>
      </c>
      <c r="K1277" s="31" t="s">
        <v>2957</v>
      </c>
      <c r="L1277" s="31">
        <v>1</v>
      </c>
      <c r="M1277" s="31" t="s">
        <v>2958</v>
      </c>
      <c r="N1277" s="34">
        <v>2</v>
      </c>
      <c r="O1277" s="35">
        <v>0.375</v>
      </c>
      <c r="P1277" s="35">
        <v>43</v>
      </c>
      <c r="Q1277" s="35">
        <v>16.125</v>
      </c>
      <c r="R1277" s="36">
        <v>17.010000000000002</v>
      </c>
      <c r="S1277" s="37" t="str">
        <f>IFERROR(_xlfn.XLOOKUP(R1277,'1_Presupuesto'!$E:$E,'1_Presupuesto'!$D:$D),"")</f>
        <v>Albañilería MO</v>
      </c>
    </row>
    <row r="1278" spans="1:19" x14ac:dyDescent="0.35">
      <c r="A1278" s="31" t="s">
        <v>2953</v>
      </c>
      <c r="B1278" s="31" t="s">
        <v>478</v>
      </c>
      <c r="C1278" s="31" t="s">
        <v>479</v>
      </c>
      <c r="D1278" s="31" t="s">
        <v>480</v>
      </c>
      <c r="E1278" s="31" t="s">
        <v>183</v>
      </c>
      <c r="F1278" s="31" t="s">
        <v>481</v>
      </c>
      <c r="G1278" s="32">
        <v>0.75</v>
      </c>
      <c r="H1278" s="33">
        <v>0</v>
      </c>
      <c r="I1278" s="34">
        <v>94177.137883538904</v>
      </c>
      <c r="J1278" s="34">
        <v>70632.853412654207</v>
      </c>
      <c r="K1278" s="31" t="s">
        <v>2957</v>
      </c>
      <c r="L1278" s="31">
        <v>2</v>
      </c>
      <c r="M1278" s="31" t="s">
        <v>2959</v>
      </c>
      <c r="N1278" s="34">
        <v>2</v>
      </c>
      <c r="O1278" s="35">
        <v>0.375</v>
      </c>
      <c r="P1278" s="35">
        <v>43</v>
      </c>
      <c r="Q1278" s="35">
        <v>16.125</v>
      </c>
      <c r="R1278" s="36">
        <v>17.010000000000002</v>
      </c>
      <c r="S1278" s="37" t="str">
        <f>IFERROR(_xlfn.XLOOKUP(R1278,'1_Presupuesto'!$E:$E,'1_Presupuesto'!$D:$D),"")</f>
        <v>Albañilería MO</v>
      </c>
    </row>
    <row r="1279" spans="1:19" x14ac:dyDescent="0.35">
      <c r="A1279" s="31" t="s">
        <v>2953</v>
      </c>
      <c r="B1279" s="31" t="s">
        <v>203</v>
      </c>
      <c r="C1279" s="31"/>
      <c r="D1279" s="31" t="s">
        <v>609</v>
      </c>
      <c r="E1279" s="31" t="s">
        <v>610</v>
      </c>
      <c r="F1279" s="31"/>
      <c r="G1279" s="32">
        <v>0.25</v>
      </c>
      <c r="H1279" s="33">
        <v>0</v>
      </c>
      <c r="I1279" s="34">
        <v>2485.8709964594</v>
      </c>
      <c r="J1279" s="34">
        <v>621.46774911484999</v>
      </c>
      <c r="K1279" s="31" t="s">
        <v>2960</v>
      </c>
      <c r="L1279" s="31">
        <v>1</v>
      </c>
      <c r="M1279" s="31" t="s">
        <v>2961</v>
      </c>
      <c r="N1279" s="34">
        <v>2</v>
      </c>
      <c r="O1279" s="35">
        <v>0</v>
      </c>
      <c r="P1279" s="35">
        <v>43</v>
      </c>
      <c r="Q1279" s="35">
        <v>0</v>
      </c>
      <c r="R1279" s="36">
        <v>17.010000000000002</v>
      </c>
      <c r="S1279" s="37" t="str">
        <f>IFERROR(_xlfn.XLOOKUP(R1279,'1_Presupuesto'!$E:$E,'1_Presupuesto'!$D:$D),"")</f>
        <v>Albañilería MO</v>
      </c>
    </row>
    <row r="1280" spans="1:19" x14ac:dyDescent="0.35">
      <c r="A1280" s="31" t="s">
        <v>2953</v>
      </c>
      <c r="B1280" s="31" t="s">
        <v>203</v>
      </c>
      <c r="C1280" s="31"/>
      <c r="D1280" s="31" t="s">
        <v>616</v>
      </c>
      <c r="E1280" s="31" t="s">
        <v>617</v>
      </c>
      <c r="F1280" s="31"/>
      <c r="G1280" s="32">
        <v>0.25</v>
      </c>
      <c r="H1280" s="33">
        <v>0</v>
      </c>
      <c r="I1280" s="34">
        <v>1040.43144867052</v>
      </c>
      <c r="J1280" s="34">
        <v>260.10786216763103</v>
      </c>
      <c r="K1280" s="31" t="s">
        <v>2960</v>
      </c>
      <c r="L1280" s="31">
        <v>2</v>
      </c>
      <c r="M1280" s="31" t="s">
        <v>2962</v>
      </c>
      <c r="N1280" s="34">
        <v>2</v>
      </c>
      <c r="O1280" s="35">
        <v>0</v>
      </c>
      <c r="P1280" s="35">
        <v>43</v>
      </c>
      <c r="Q1280" s="35">
        <v>0</v>
      </c>
      <c r="R1280" s="36">
        <v>17.010000000000002</v>
      </c>
      <c r="S1280" s="37" t="str">
        <f>IFERROR(_xlfn.XLOOKUP(R1280,'1_Presupuesto'!$E:$E,'1_Presupuesto'!$D:$D),"")</f>
        <v>Albañilería MO</v>
      </c>
    </row>
    <row r="1281" spans="1:19" x14ac:dyDescent="0.35">
      <c r="A1281" s="31" t="s">
        <v>2963</v>
      </c>
      <c r="B1281" s="31" t="s">
        <v>497</v>
      </c>
      <c r="C1281" s="31" t="s">
        <v>498</v>
      </c>
      <c r="D1281" s="31" t="s">
        <v>534</v>
      </c>
      <c r="E1281" s="31" t="s">
        <v>535</v>
      </c>
      <c r="F1281" s="31">
        <v>0</v>
      </c>
      <c r="G1281" s="32">
        <v>3.5999999999999997E-2</v>
      </c>
      <c r="H1281" s="33">
        <v>0.1</v>
      </c>
      <c r="I1281" s="34">
        <v>32620.38</v>
      </c>
      <c r="J1281" s="34">
        <v>1291.7670479999999</v>
      </c>
      <c r="K1281" s="31" t="s">
        <v>2964</v>
      </c>
      <c r="L1281" s="31">
        <v>1</v>
      </c>
      <c r="M1281" s="31" t="s">
        <v>2965</v>
      </c>
      <c r="N1281" s="34">
        <v>2</v>
      </c>
      <c r="O1281" s="35">
        <v>0</v>
      </c>
      <c r="P1281" s="35">
        <v>38</v>
      </c>
      <c r="Q1281" s="35">
        <v>0</v>
      </c>
      <c r="R1281" s="36">
        <v>17.02</v>
      </c>
      <c r="S1281" s="37" t="str">
        <f>IFERROR(_xlfn.XLOOKUP(R1281,'1_Presupuesto'!$E:$E,'1_Presupuesto'!$D:$D),"")</f>
        <v>Albañilería MO</v>
      </c>
    </row>
    <row r="1282" spans="1:19" x14ac:dyDescent="0.35">
      <c r="A1282" s="31" t="s">
        <v>2963</v>
      </c>
      <c r="B1282" s="31" t="s">
        <v>497</v>
      </c>
      <c r="C1282" s="31" t="s">
        <v>498</v>
      </c>
      <c r="D1282" s="31" t="s">
        <v>541</v>
      </c>
      <c r="E1282" s="31" t="s">
        <v>542</v>
      </c>
      <c r="F1282" s="31">
        <v>0</v>
      </c>
      <c r="G1282" s="32">
        <v>0.32400000000000001</v>
      </c>
      <c r="H1282" s="33">
        <v>0.1</v>
      </c>
      <c r="I1282" s="34">
        <v>7891.74</v>
      </c>
      <c r="J1282" s="34">
        <v>2812.6161360000001</v>
      </c>
      <c r="K1282" s="31" t="s">
        <v>2964</v>
      </c>
      <c r="L1282" s="31">
        <v>2</v>
      </c>
      <c r="M1282" s="31" t="s">
        <v>2966</v>
      </c>
      <c r="N1282" s="34">
        <v>2</v>
      </c>
      <c r="O1282" s="35">
        <v>0</v>
      </c>
      <c r="P1282" s="35">
        <v>38</v>
      </c>
      <c r="Q1282" s="35">
        <v>0</v>
      </c>
      <c r="R1282" s="36">
        <v>17.02</v>
      </c>
      <c r="S1282" s="37" t="str">
        <f>IFERROR(_xlfn.XLOOKUP(R1282,'1_Presupuesto'!$E:$E,'1_Presupuesto'!$D:$D),"")</f>
        <v>Albañilería MO</v>
      </c>
    </row>
    <row r="1283" spans="1:19" x14ac:dyDescent="0.35">
      <c r="A1283" s="31" t="s">
        <v>2963</v>
      </c>
      <c r="B1283" s="31" t="s">
        <v>478</v>
      </c>
      <c r="C1283" s="31" t="s">
        <v>479</v>
      </c>
      <c r="D1283" s="31" t="s">
        <v>484</v>
      </c>
      <c r="E1283" s="31" t="s">
        <v>186</v>
      </c>
      <c r="F1283" s="31" t="s">
        <v>481</v>
      </c>
      <c r="G1283" s="32">
        <v>0.75</v>
      </c>
      <c r="H1283" s="33">
        <v>0</v>
      </c>
      <c r="I1283" s="34">
        <v>67240.498860267602</v>
      </c>
      <c r="J1283" s="34">
        <v>50430.374145200702</v>
      </c>
      <c r="K1283" s="31" t="s">
        <v>2967</v>
      </c>
      <c r="L1283" s="31">
        <v>1</v>
      </c>
      <c r="M1283" s="31" t="s">
        <v>2968</v>
      </c>
      <c r="N1283" s="34">
        <v>2</v>
      </c>
      <c r="O1283" s="35">
        <v>0.375</v>
      </c>
      <c r="P1283" s="35">
        <v>38</v>
      </c>
      <c r="Q1283" s="35">
        <v>14.25</v>
      </c>
      <c r="R1283" s="36">
        <v>17.02</v>
      </c>
      <c r="S1283" s="37" t="str">
        <f>IFERROR(_xlfn.XLOOKUP(R1283,'1_Presupuesto'!$E:$E,'1_Presupuesto'!$D:$D),"")</f>
        <v>Albañilería MO</v>
      </c>
    </row>
    <row r="1284" spans="1:19" x14ac:dyDescent="0.35">
      <c r="A1284" s="31" t="s">
        <v>2963</v>
      </c>
      <c r="B1284" s="31" t="s">
        <v>478</v>
      </c>
      <c r="C1284" s="31" t="s">
        <v>479</v>
      </c>
      <c r="D1284" s="31" t="s">
        <v>480</v>
      </c>
      <c r="E1284" s="31" t="s">
        <v>183</v>
      </c>
      <c r="F1284" s="31" t="s">
        <v>481</v>
      </c>
      <c r="G1284" s="32">
        <v>0.75</v>
      </c>
      <c r="H1284" s="33">
        <v>0</v>
      </c>
      <c r="I1284" s="34">
        <v>94177.137883538904</v>
      </c>
      <c r="J1284" s="34">
        <v>70632.853412654207</v>
      </c>
      <c r="K1284" s="31" t="s">
        <v>2967</v>
      </c>
      <c r="L1284" s="31">
        <v>2</v>
      </c>
      <c r="M1284" s="31" t="s">
        <v>2969</v>
      </c>
      <c r="N1284" s="34">
        <v>2</v>
      </c>
      <c r="O1284" s="35">
        <v>0.375</v>
      </c>
      <c r="P1284" s="35">
        <v>38</v>
      </c>
      <c r="Q1284" s="35">
        <v>14.25</v>
      </c>
      <c r="R1284" s="36">
        <v>17.02</v>
      </c>
      <c r="S1284" s="37" t="str">
        <f>IFERROR(_xlfn.XLOOKUP(R1284,'1_Presupuesto'!$E:$E,'1_Presupuesto'!$D:$D),"")</f>
        <v>Albañilería MO</v>
      </c>
    </row>
    <row r="1285" spans="1:19" x14ac:dyDescent="0.35">
      <c r="A1285" s="31" t="s">
        <v>2963</v>
      </c>
      <c r="B1285" s="31" t="s">
        <v>203</v>
      </c>
      <c r="C1285" s="31"/>
      <c r="D1285" s="31" t="s">
        <v>609</v>
      </c>
      <c r="E1285" s="31" t="s">
        <v>610</v>
      </c>
      <c r="F1285" s="31"/>
      <c r="G1285" s="32">
        <v>0.25</v>
      </c>
      <c r="H1285" s="33">
        <v>0</v>
      </c>
      <c r="I1285" s="34">
        <v>2485.8709964594</v>
      </c>
      <c r="J1285" s="34">
        <v>621.46774911484999</v>
      </c>
      <c r="K1285" s="31" t="s">
        <v>2970</v>
      </c>
      <c r="L1285" s="31">
        <v>1</v>
      </c>
      <c r="M1285" s="31" t="s">
        <v>2971</v>
      </c>
      <c r="N1285" s="34">
        <v>2</v>
      </c>
      <c r="O1285" s="35">
        <v>0</v>
      </c>
      <c r="P1285" s="35">
        <v>38</v>
      </c>
      <c r="Q1285" s="35">
        <v>0</v>
      </c>
      <c r="R1285" s="36">
        <v>17.02</v>
      </c>
      <c r="S1285" s="37" t="str">
        <f>IFERROR(_xlfn.XLOOKUP(R1285,'1_Presupuesto'!$E:$E,'1_Presupuesto'!$D:$D),"")</f>
        <v>Albañilería MO</v>
      </c>
    </row>
    <row r="1286" spans="1:19" x14ac:dyDescent="0.35">
      <c r="A1286" s="31" t="s">
        <v>2963</v>
      </c>
      <c r="B1286" s="31" t="s">
        <v>203</v>
      </c>
      <c r="C1286" s="31"/>
      <c r="D1286" s="31" t="s">
        <v>616</v>
      </c>
      <c r="E1286" s="31" t="s">
        <v>617</v>
      </c>
      <c r="F1286" s="31"/>
      <c r="G1286" s="32">
        <v>0.25</v>
      </c>
      <c r="H1286" s="33">
        <v>0</v>
      </c>
      <c r="I1286" s="34">
        <v>1040.43144867052</v>
      </c>
      <c r="J1286" s="34">
        <v>260.10786216763103</v>
      </c>
      <c r="K1286" s="31" t="s">
        <v>2970</v>
      </c>
      <c r="L1286" s="31">
        <v>2</v>
      </c>
      <c r="M1286" s="31" t="s">
        <v>2972</v>
      </c>
      <c r="N1286" s="34">
        <v>2</v>
      </c>
      <c r="O1286" s="35">
        <v>0</v>
      </c>
      <c r="P1286" s="35">
        <v>38</v>
      </c>
      <c r="Q1286" s="35">
        <v>0</v>
      </c>
      <c r="R1286" s="36">
        <v>17.02</v>
      </c>
      <c r="S1286" s="37" t="str">
        <f>IFERROR(_xlfn.XLOOKUP(R1286,'1_Presupuesto'!$E:$E,'1_Presupuesto'!$D:$D),"")</f>
        <v>Albañilería MO</v>
      </c>
    </row>
    <row r="1287" spans="1:19" x14ac:dyDescent="0.35">
      <c r="A1287" s="31" t="s">
        <v>2973</v>
      </c>
      <c r="B1287" s="31" t="s">
        <v>497</v>
      </c>
      <c r="C1287" s="31" t="s">
        <v>498</v>
      </c>
      <c r="D1287" s="31" t="s">
        <v>534</v>
      </c>
      <c r="E1287" s="31" t="s">
        <v>535</v>
      </c>
      <c r="F1287" s="31">
        <v>0</v>
      </c>
      <c r="G1287" s="32">
        <v>1.38E-2</v>
      </c>
      <c r="H1287" s="33">
        <v>0.05</v>
      </c>
      <c r="I1287" s="34">
        <v>32620.38</v>
      </c>
      <c r="J1287" s="34">
        <v>472.66930619999999</v>
      </c>
      <c r="K1287" s="31" t="s">
        <v>2974</v>
      </c>
      <c r="L1287" s="31">
        <v>1</v>
      </c>
      <c r="M1287" s="31" t="s">
        <v>2975</v>
      </c>
      <c r="N1287" s="34">
        <v>4</v>
      </c>
      <c r="O1287" s="35">
        <v>0</v>
      </c>
      <c r="P1287" s="35">
        <v>72</v>
      </c>
      <c r="Q1287" s="35">
        <v>0</v>
      </c>
      <c r="R1287" s="36">
        <v>17.03</v>
      </c>
      <c r="S1287" s="37" t="str">
        <f>IFERROR(_xlfn.XLOOKUP(R1287,'1_Presupuesto'!$E:$E,'1_Presupuesto'!$D:$D),"")</f>
        <v>Albañilería MO</v>
      </c>
    </row>
    <row r="1288" spans="1:19" x14ac:dyDescent="0.35">
      <c r="A1288" s="31" t="s">
        <v>2973</v>
      </c>
      <c r="B1288" s="31" t="s">
        <v>497</v>
      </c>
      <c r="C1288" s="31" t="s">
        <v>498</v>
      </c>
      <c r="D1288" s="31" t="s">
        <v>541</v>
      </c>
      <c r="E1288" s="31" t="s">
        <v>542</v>
      </c>
      <c r="F1288" s="31">
        <v>0</v>
      </c>
      <c r="G1288" s="32">
        <v>0.1242</v>
      </c>
      <c r="H1288" s="33">
        <v>0.05</v>
      </c>
      <c r="I1288" s="34">
        <v>7891.74</v>
      </c>
      <c r="J1288" s="34">
        <v>1029.1618134</v>
      </c>
      <c r="K1288" s="31" t="s">
        <v>2974</v>
      </c>
      <c r="L1288" s="31">
        <v>2</v>
      </c>
      <c r="M1288" s="31" t="s">
        <v>2976</v>
      </c>
      <c r="N1288" s="34">
        <v>4</v>
      </c>
      <c r="O1288" s="35">
        <v>0</v>
      </c>
      <c r="P1288" s="35">
        <v>72</v>
      </c>
      <c r="Q1288" s="35">
        <v>0</v>
      </c>
      <c r="R1288" s="36">
        <v>17.03</v>
      </c>
      <c r="S1288" s="37" t="str">
        <f>IFERROR(_xlfn.XLOOKUP(R1288,'1_Presupuesto'!$E:$E,'1_Presupuesto'!$D:$D),"")</f>
        <v>Albañilería MO</v>
      </c>
    </row>
    <row r="1289" spans="1:19" x14ac:dyDescent="0.35">
      <c r="A1289" s="31" t="s">
        <v>2973</v>
      </c>
      <c r="B1289" s="31" t="s">
        <v>478</v>
      </c>
      <c r="C1289" s="31" t="s">
        <v>479</v>
      </c>
      <c r="D1289" s="31" t="s">
        <v>484</v>
      </c>
      <c r="E1289" s="31" t="s">
        <v>186</v>
      </c>
      <c r="F1289" s="31" t="s">
        <v>481</v>
      </c>
      <c r="G1289" s="32">
        <v>1</v>
      </c>
      <c r="H1289" s="33">
        <v>0</v>
      </c>
      <c r="I1289" s="34">
        <v>67240.498860267602</v>
      </c>
      <c r="J1289" s="34">
        <v>67240.498860267602</v>
      </c>
      <c r="K1289" s="31" t="s">
        <v>2977</v>
      </c>
      <c r="L1289" s="31">
        <v>1</v>
      </c>
      <c r="M1289" s="31" t="s">
        <v>2978</v>
      </c>
      <c r="N1289" s="34">
        <v>4</v>
      </c>
      <c r="O1289" s="35">
        <v>0.25</v>
      </c>
      <c r="P1289" s="35">
        <v>72</v>
      </c>
      <c r="Q1289" s="35">
        <v>18</v>
      </c>
      <c r="R1289" s="36">
        <v>17.03</v>
      </c>
      <c r="S1289" s="37" t="str">
        <f>IFERROR(_xlfn.XLOOKUP(R1289,'1_Presupuesto'!$E:$E,'1_Presupuesto'!$D:$D),"")</f>
        <v>Albañilería MO</v>
      </c>
    </row>
    <row r="1290" spans="1:19" x14ac:dyDescent="0.35">
      <c r="A1290" s="31" t="s">
        <v>2973</v>
      </c>
      <c r="B1290" s="31" t="s">
        <v>478</v>
      </c>
      <c r="C1290" s="31" t="s">
        <v>479</v>
      </c>
      <c r="D1290" s="31" t="s">
        <v>480</v>
      </c>
      <c r="E1290" s="31" t="s">
        <v>183</v>
      </c>
      <c r="F1290" s="31" t="s">
        <v>481</v>
      </c>
      <c r="G1290" s="32">
        <v>1</v>
      </c>
      <c r="H1290" s="33">
        <v>0</v>
      </c>
      <c r="I1290" s="34">
        <v>94177.137883538904</v>
      </c>
      <c r="J1290" s="34">
        <v>94177.137883538904</v>
      </c>
      <c r="K1290" s="31" t="s">
        <v>2977</v>
      </c>
      <c r="L1290" s="31">
        <v>2</v>
      </c>
      <c r="M1290" s="31" t="s">
        <v>2979</v>
      </c>
      <c r="N1290" s="34">
        <v>4</v>
      </c>
      <c r="O1290" s="35">
        <v>0.25</v>
      </c>
      <c r="P1290" s="35">
        <v>72</v>
      </c>
      <c r="Q1290" s="35">
        <v>18</v>
      </c>
      <c r="R1290" s="36">
        <v>17.03</v>
      </c>
      <c r="S1290" s="37" t="str">
        <f>IFERROR(_xlfn.XLOOKUP(R1290,'1_Presupuesto'!$E:$E,'1_Presupuesto'!$D:$D),"")</f>
        <v>Albañilería MO</v>
      </c>
    </row>
    <row r="1291" spans="1:19" x14ac:dyDescent="0.35">
      <c r="A1291" s="31" t="s">
        <v>2973</v>
      </c>
      <c r="B1291" s="31" t="s">
        <v>203</v>
      </c>
      <c r="C1291" s="31"/>
      <c r="D1291" s="31" t="s">
        <v>609</v>
      </c>
      <c r="E1291" s="31" t="s">
        <v>610</v>
      </c>
      <c r="F1291" s="31"/>
      <c r="G1291" s="32">
        <v>0.25</v>
      </c>
      <c r="H1291" s="33">
        <v>0</v>
      </c>
      <c r="I1291" s="34">
        <v>2485.8709964594</v>
      </c>
      <c r="J1291" s="34">
        <v>621.46774911484999</v>
      </c>
      <c r="K1291" s="31" t="s">
        <v>2980</v>
      </c>
      <c r="L1291" s="31">
        <v>1</v>
      </c>
      <c r="M1291" s="31" t="s">
        <v>2981</v>
      </c>
      <c r="N1291" s="34">
        <v>4</v>
      </c>
      <c r="O1291" s="35">
        <v>0</v>
      </c>
      <c r="P1291" s="35">
        <v>72</v>
      </c>
      <c r="Q1291" s="35">
        <v>0</v>
      </c>
      <c r="R1291" s="36">
        <v>17.03</v>
      </c>
      <c r="S1291" s="37" t="str">
        <f>IFERROR(_xlfn.XLOOKUP(R1291,'1_Presupuesto'!$E:$E,'1_Presupuesto'!$D:$D),"")</f>
        <v>Albañilería MO</v>
      </c>
    </row>
    <row r="1292" spans="1:19" x14ac:dyDescent="0.35">
      <c r="A1292" s="31" t="s">
        <v>2973</v>
      </c>
      <c r="B1292" s="31" t="s">
        <v>203</v>
      </c>
      <c r="C1292" s="31"/>
      <c r="D1292" s="31" t="s">
        <v>616</v>
      </c>
      <c r="E1292" s="31" t="s">
        <v>617</v>
      </c>
      <c r="F1292" s="31"/>
      <c r="G1292" s="32">
        <v>0.25</v>
      </c>
      <c r="H1292" s="33">
        <v>0</v>
      </c>
      <c r="I1292" s="34">
        <v>1040.43144867052</v>
      </c>
      <c r="J1292" s="34">
        <v>260.10786216763103</v>
      </c>
      <c r="K1292" s="31" t="s">
        <v>2980</v>
      </c>
      <c r="L1292" s="31">
        <v>2</v>
      </c>
      <c r="M1292" s="31" t="s">
        <v>2982</v>
      </c>
      <c r="N1292" s="34">
        <v>4</v>
      </c>
      <c r="O1292" s="35">
        <v>0</v>
      </c>
      <c r="P1292" s="35">
        <v>72</v>
      </c>
      <c r="Q1292" s="35">
        <v>0</v>
      </c>
      <c r="R1292" s="36">
        <v>17.03</v>
      </c>
      <c r="S1292" s="37" t="str">
        <f>IFERROR(_xlfn.XLOOKUP(R1292,'1_Presupuesto'!$E:$E,'1_Presupuesto'!$D:$D),"")</f>
        <v>Albañilería MO</v>
      </c>
    </row>
    <row r="1293" spans="1:19" x14ac:dyDescent="0.35">
      <c r="A1293" s="31" t="s">
        <v>2983</v>
      </c>
      <c r="B1293" s="31" t="s">
        <v>497</v>
      </c>
      <c r="C1293" s="31" t="s">
        <v>498</v>
      </c>
      <c r="D1293" s="31" t="s">
        <v>2984</v>
      </c>
      <c r="E1293" s="31" t="s">
        <v>387</v>
      </c>
      <c r="F1293" s="31" t="s">
        <v>261</v>
      </c>
      <c r="G1293" s="32">
        <v>1</v>
      </c>
      <c r="H1293" s="33">
        <v>0</v>
      </c>
      <c r="I1293" s="34">
        <v>4104.3831840000003</v>
      </c>
      <c r="J1293" s="34">
        <v>4104.3831840000003</v>
      </c>
      <c r="K1293" s="31" t="s">
        <v>2985</v>
      </c>
      <c r="L1293" s="31">
        <v>1</v>
      </c>
      <c r="M1293" s="31" t="s">
        <v>2986</v>
      </c>
      <c r="N1293" s="34">
        <v>1</v>
      </c>
      <c r="O1293" s="35">
        <v>0</v>
      </c>
      <c r="P1293" s="35">
        <v>8</v>
      </c>
      <c r="Q1293" s="35">
        <v>0</v>
      </c>
      <c r="R1293" s="36">
        <v>17.04</v>
      </c>
      <c r="S1293" s="37" t="str">
        <f>IFERROR(_xlfn.XLOOKUP(R1293,'1_Presupuesto'!$E:$E,'1_Presupuesto'!$D:$D),"")</f>
        <v>Albañilería MO</v>
      </c>
    </row>
    <row r="1294" spans="1:19" x14ac:dyDescent="0.35">
      <c r="A1294" s="31" t="s">
        <v>2983</v>
      </c>
      <c r="B1294" s="31" t="s">
        <v>478</v>
      </c>
      <c r="C1294" s="31" t="s">
        <v>498</v>
      </c>
      <c r="D1294" s="31" t="s">
        <v>2987</v>
      </c>
      <c r="E1294" s="31" t="s">
        <v>2988</v>
      </c>
      <c r="F1294" s="31" t="s">
        <v>481</v>
      </c>
      <c r="G1294" s="32">
        <v>1</v>
      </c>
      <c r="H1294" s="33">
        <v>0</v>
      </c>
      <c r="I1294" s="34">
        <v>90797.420668391205</v>
      </c>
      <c r="J1294" s="34">
        <v>90797.420668391205</v>
      </c>
      <c r="K1294" s="31" t="s">
        <v>2989</v>
      </c>
      <c r="L1294" s="31">
        <v>1</v>
      </c>
      <c r="M1294" s="31" t="s">
        <v>2990</v>
      </c>
      <c r="N1294" s="34">
        <v>1</v>
      </c>
      <c r="O1294" s="35">
        <v>0</v>
      </c>
      <c r="P1294" s="35">
        <v>8</v>
      </c>
      <c r="Q1294" s="35">
        <v>0</v>
      </c>
      <c r="R1294" s="36">
        <v>17.04</v>
      </c>
      <c r="S1294" s="37" t="str">
        <f>IFERROR(_xlfn.XLOOKUP(R1294,'1_Presupuesto'!$E:$E,'1_Presupuesto'!$D:$D),"")</f>
        <v>Albañilería MO</v>
      </c>
    </row>
    <row r="1295" spans="1:19" x14ac:dyDescent="0.35">
      <c r="A1295" s="31" t="s">
        <v>2983</v>
      </c>
      <c r="B1295" s="31" t="s">
        <v>203</v>
      </c>
      <c r="C1295" s="31"/>
      <c r="D1295" s="31" t="s">
        <v>2991</v>
      </c>
      <c r="E1295" s="31" t="s">
        <v>2992</v>
      </c>
      <c r="F1295" s="31"/>
      <c r="G1295" s="32">
        <v>1</v>
      </c>
      <c r="H1295" s="33">
        <v>0</v>
      </c>
      <c r="I1295" s="34">
        <v>440.78780564124003</v>
      </c>
      <c r="J1295" s="34">
        <v>440.78780564124003</v>
      </c>
      <c r="K1295" s="31" t="s">
        <v>2993</v>
      </c>
      <c r="L1295" s="31">
        <v>1</v>
      </c>
      <c r="M1295" s="31" t="s">
        <v>2994</v>
      </c>
      <c r="N1295" s="34">
        <v>1</v>
      </c>
      <c r="O1295" s="35">
        <v>0</v>
      </c>
      <c r="P1295" s="35">
        <v>8</v>
      </c>
      <c r="Q1295" s="35">
        <v>0</v>
      </c>
      <c r="R1295" s="36">
        <v>17.04</v>
      </c>
      <c r="S1295" s="37" t="str">
        <f>IFERROR(_xlfn.XLOOKUP(R1295,'1_Presupuesto'!$E:$E,'1_Presupuesto'!$D:$D),"")</f>
        <v>Albañilería MO</v>
      </c>
    </row>
    <row r="1296" spans="1:19" x14ac:dyDescent="0.35">
      <c r="A1296" s="31" t="s">
        <v>2995</v>
      </c>
      <c r="B1296" s="31" t="s">
        <v>497</v>
      </c>
      <c r="C1296" s="31" t="s">
        <v>498</v>
      </c>
      <c r="D1296" s="31" t="s">
        <v>807</v>
      </c>
      <c r="E1296" s="31" t="s">
        <v>808</v>
      </c>
      <c r="F1296" s="31" t="s">
        <v>261</v>
      </c>
      <c r="G1296" s="32">
        <v>5</v>
      </c>
      <c r="H1296" s="33">
        <v>0.1</v>
      </c>
      <c r="I1296" s="34">
        <v>514.58833333333303</v>
      </c>
      <c r="J1296" s="34">
        <v>2830.23583333333</v>
      </c>
      <c r="K1296" s="31" t="s">
        <v>2996</v>
      </c>
      <c r="L1296" s="31">
        <v>1</v>
      </c>
      <c r="M1296" s="31" t="s">
        <v>2997</v>
      </c>
      <c r="N1296" s="34">
        <v>3.25</v>
      </c>
      <c r="O1296" s="35">
        <v>0</v>
      </c>
      <c r="P1296" s="35">
        <v>222</v>
      </c>
      <c r="Q1296" s="35">
        <v>0</v>
      </c>
      <c r="R1296" s="36">
        <v>18.010000000000002</v>
      </c>
      <c r="S1296" s="37">
        <f>IFERROR(_xlfn.XLOOKUP(R1296,'1_Presupuesto'!$E:$E,'1_Presupuesto'!$D:$D),"")</f>
        <v>0</v>
      </c>
    </row>
    <row r="1297" spans="1:19" x14ac:dyDescent="0.35">
      <c r="A1297" s="31" t="s">
        <v>2995</v>
      </c>
      <c r="B1297" s="31" t="s">
        <v>497</v>
      </c>
      <c r="C1297" s="31" t="s">
        <v>498</v>
      </c>
      <c r="D1297" s="31" t="s">
        <v>655</v>
      </c>
      <c r="E1297" s="31" t="s">
        <v>656</v>
      </c>
      <c r="F1297" s="31" t="s">
        <v>261</v>
      </c>
      <c r="G1297" s="32">
        <v>3</v>
      </c>
      <c r="H1297" s="33">
        <v>0.1</v>
      </c>
      <c r="I1297" s="34">
        <v>250.31899999999999</v>
      </c>
      <c r="J1297" s="34">
        <v>826.05269999999996</v>
      </c>
      <c r="K1297" s="31" t="s">
        <v>2996</v>
      </c>
      <c r="L1297" s="31">
        <v>2</v>
      </c>
      <c r="M1297" s="31" t="s">
        <v>2998</v>
      </c>
      <c r="N1297" s="34">
        <v>3.25</v>
      </c>
      <c r="O1297" s="35">
        <v>0</v>
      </c>
      <c r="P1297" s="35">
        <v>222</v>
      </c>
      <c r="Q1297" s="35">
        <v>0</v>
      </c>
      <c r="R1297" s="36">
        <v>18.010000000000002</v>
      </c>
      <c r="S1297" s="37">
        <f>IFERROR(_xlfn.XLOOKUP(R1297,'1_Presupuesto'!$E:$E,'1_Presupuesto'!$D:$D),"")</f>
        <v>0</v>
      </c>
    </row>
    <row r="1298" spans="1:19" x14ac:dyDescent="0.35">
      <c r="A1298" s="31" t="s">
        <v>2995</v>
      </c>
      <c r="B1298" s="31" t="s">
        <v>497</v>
      </c>
      <c r="C1298" s="31" t="s">
        <v>498</v>
      </c>
      <c r="D1298" s="31" t="s">
        <v>658</v>
      </c>
      <c r="E1298" s="31" t="s">
        <v>659</v>
      </c>
      <c r="F1298" s="31" t="s">
        <v>261</v>
      </c>
      <c r="G1298" s="32">
        <v>2</v>
      </c>
      <c r="H1298" s="33">
        <v>0.1</v>
      </c>
      <c r="I1298" s="34">
        <v>110.121</v>
      </c>
      <c r="J1298" s="34">
        <v>242.2662</v>
      </c>
      <c r="K1298" s="31" t="s">
        <v>2996</v>
      </c>
      <c r="L1298" s="31">
        <v>3</v>
      </c>
      <c r="M1298" s="31" t="s">
        <v>2999</v>
      </c>
      <c r="N1298" s="34">
        <v>3.25</v>
      </c>
      <c r="O1298" s="35">
        <v>0</v>
      </c>
      <c r="P1298" s="35">
        <v>222</v>
      </c>
      <c r="Q1298" s="35">
        <v>0</v>
      </c>
      <c r="R1298" s="36">
        <v>18.010000000000002</v>
      </c>
      <c r="S1298" s="37">
        <f>IFERROR(_xlfn.XLOOKUP(R1298,'1_Presupuesto'!$E:$E,'1_Presupuesto'!$D:$D),"")</f>
        <v>0</v>
      </c>
    </row>
    <row r="1299" spans="1:19" x14ac:dyDescent="0.35">
      <c r="A1299" s="31" t="s">
        <v>2995</v>
      </c>
      <c r="B1299" s="31" t="s">
        <v>497</v>
      </c>
      <c r="C1299" s="31" t="s">
        <v>498</v>
      </c>
      <c r="D1299" s="31" t="s">
        <v>820</v>
      </c>
      <c r="E1299" s="31" t="s">
        <v>821</v>
      </c>
      <c r="F1299" s="31" t="s">
        <v>223</v>
      </c>
      <c r="G1299" s="32">
        <v>7.5</v>
      </c>
      <c r="H1299" s="33">
        <v>0.1</v>
      </c>
      <c r="I1299" s="34">
        <v>339.47162557191899</v>
      </c>
      <c r="J1299" s="34">
        <v>2800.64091096833</v>
      </c>
      <c r="K1299" s="31" t="s">
        <v>2996</v>
      </c>
      <c r="L1299" s="31">
        <v>4</v>
      </c>
      <c r="M1299" s="31" t="s">
        <v>3000</v>
      </c>
      <c r="N1299" s="34">
        <v>3.25</v>
      </c>
      <c r="O1299" s="35">
        <v>0</v>
      </c>
      <c r="P1299" s="35">
        <v>222</v>
      </c>
      <c r="Q1299" s="35">
        <v>0</v>
      </c>
      <c r="R1299" s="36">
        <v>18.010000000000002</v>
      </c>
      <c r="S1299" s="37">
        <f>IFERROR(_xlfn.XLOOKUP(R1299,'1_Presupuesto'!$E:$E,'1_Presupuesto'!$D:$D),"")</f>
        <v>0</v>
      </c>
    </row>
    <row r="1300" spans="1:19" x14ac:dyDescent="0.35">
      <c r="A1300" s="31" t="s">
        <v>2995</v>
      </c>
      <c r="B1300" s="31" t="s">
        <v>497</v>
      </c>
      <c r="C1300" s="31" t="s">
        <v>498</v>
      </c>
      <c r="D1300" s="31" t="s">
        <v>661</v>
      </c>
      <c r="E1300" s="31" t="s">
        <v>662</v>
      </c>
      <c r="F1300" s="31" t="s">
        <v>663</v>
      </c>
      <c r="G1300" s="32">
        <v>5</v>
      </c>
      <c r="H1300" s="33">
        <v>0.1</v>
      </c>
      <c r="I1300" s="34">
        <v>546.37687500000004</v>
      </c>
      <c r="J1300" s="34">
        <v>3005.0728125000001</v>
      </c>
      <c r="K1300" s="31" t="s">
        <v>2996</v>
      </c>
      <c r="L1300" s="31">
        <v>5</v>
      </c>
      <c r="M1300" s="31" t="s">
        <v>3001</v>
      </c>
      <c r="N1300" s="34">
        <v>3.25</v>
      </c>
      <c r="O1300" s="35">
        <v>0</v>
      </c>
      <c r="P1300" s="35">
        <v>222</v>
      </c>
      <c r="Q1300" s="35">
        <v>0</v>
      </c>
      <c r="R1300" s="36">
        <v>18.010000000000002</v>
      </c>
      <c r="S1300" s="37">
        <f>IFERROR(_xlfn.XLOOKUP(R1300,'1_Presupuesto'!$E:$E,'1_Presupuesto'!$D:$D),"")</f>
        <v>0</v>
      </c>
    </row>
    <row r="1301" spans="1:19" x14ac:dyDescent="0.35">
      <c r="A1301" s="31" t="s">
        <v>2995</v>
      </c>
      <c r="B1301" s="31" t="s">
        <v>497</v>
      </c>
      <c r="C1301" s="31" t="s">
        <v>498</v>
      </c>
      <c r="D1301" s="31" t="s">
        <v>661</v>
      </c>
      <c r="E1301" s="31" t="s">
        <v>662</v>
      </c>
      <c r="F1301" s="31" t="s">
        <v>663</v>
      </c>
      <c r="G1301" s="32">
        <v>7.5</v>
      </c>
      <c r="H1301" s="33">
        <v>0.1</v>
      </c>
      <c r="I1301" s="34">
        <v>546.37687500000004</v>
      </c>
      <c r="J1301" s="34">
        <v>4507.6092187499999</v>
      </c>
      <c r="K1301" s="31" t="s">
        <v>2996</v>
      </c>
      <c r="L1301" s="31">
        <v>6</v>
      </c>
      <c r="M1301" s="31" t="s">
        <v>3002</v>
      </c>
      <c r="N1301" s="34">
        <v>3.25</v>
      </c>
      <c r="O1301" s="35">
        <v>0</v>
      </c>
      <c r="P1301" s="35">
        <v>222</v>
      </c>
      <c r="Q1301" s="35">
        <v>0</v>
      </c>
      <c r="R1301" s="36">
        <v>18.010000000000002</v>
      </c>
      <c r="S1301" s="37">
        <f>IFERROR(_xlfn.XLOOKUP(R1301,'1_Presupuesto'!$E:$E,'1_Presupuesto'!$D:$D),"")</f>
        <v>0</v>
      </c>
    </row>
    <row r="1302" spans="1:19" x14ac:dyDescent="0.35">
      <c r="A1302" s="31" t="s">
        <v>2995</v>
      </c>
      <c r="B1302" s="31" t="s">
        <v>497</v>
      </c>
      <c r="C1302" s="31" t="s">
        <v>498</v>
      </c>
      <c r="D1302" s="31" t="s">
        <v>666</v>
      </c>
      <c r="E1302" s="31" t="s">
        <v>667</v>
      </c>
      <c r="F1302" s="31" t="s">
        <v>261</v>
      </c>
      <c r="G1302" s="32">
        <v>0.5</v>
      </c>
      <c r="H1302" s="33">
        <v>0.05</v>
      </c>
      <c r="I1302" s="34">
        <v>217.14975799999999</v>
      </c>
      <c r="J1302" s="34">
        <v>114.00362294999999</v>
      </c>
      <c r="K1302" s="31" t="s">
        <v>2996</v>
      </c>
      <c r="L1302" s="31">
        <v>7</v>
      </c>
      <c r="M1302" s="31" t="s">
        <v>3003</v>
      </c>
      <c r="N1302" s="34">
        <v>3.25</v>
      </c>
      <c r="O1302" s="35">
        <v>0</v>
      </c>
      <c r="P1302" s="35">
        <v>222</v>
      </c>
      <c r="Q1302" s="35">
        <v>0</v>
      </c>
      <c r="R1302" s="36">
        <v>18.010000000000002</v>
      </c>
      <c r="S1302" s="37">
        <f>IFERROR(_xlfn.XLOOKUP(R1302,'1_Presupuesto'!$E:$E,'1_Presupuesto'!$D:$D),"")</f>
        <v>0</v>
      </c>
    </row>
    <row r="1303" spans="1:19" x14ac:dyDescent="0.35">
      <c r="A1303" s="31" t="s">
        <v>2995</v>
      </c>
      <c r="B1303" s="31" t="s">
        <v>497</v>
      </c>
      <c r="C1303" s="31" t="s">
        <v>498</v>
      </c>
      <c r="D1303" s="31" t="s">
        <v>3004</v>
      </c>
      <c r="E1303" s="31" t="s">
        <v>3005</v>
      </c>
      <c r="F1303" s="31" t="s">
        <v>261</v>
      </c>
      <c r="G1303" s="32">
        <v>1</v>
      </c>
      <c r="H1303" s="33">
        <v>0.05</v>
      </c>
      <c r="I1303" s="34">
        <v>1152.752</v>
      </c>
      <c r="J1303" s="34">
        <v>1210.3896</v>
      </c>
      <c r="K1303" s="31" t="s">
        <v>2996</v>
      </c>
      <c r="L1303" s="31">
        <v>8</v>
      </c>
      <c r="M1303" s="31" t="s">
        <v>3006</v>
      </c>
      <c r="N1303" s="34">
        <v>3.25</v>
      </c>
      <c r="O1303" s="35">
        <v>0</v>
      </c>
      <c r="P1303" s="35">
        <v>222</v>
      </c>
      <c r="Q1303" s="35">
        <v>0</v>
      </c>
      <c r="R1303" s="36">
        <v>18.010000000000002</v>
      </c>
      <c r="S1303" s="37">
        <f>IFERROR(_xlfn.XLOOKUP(R1303,'1_Presupuesto'!$E:$E,'1_Presupuesto'!$D:$D),"")</f>
        <v>0</v>
      </c>
    </row>
    <row r="1304" spans="1:19" x14ac:dyDescent="0.35">
      <c r="A1304" s="31" t="s">
        <v>2995</v>
      </c>
      <c r="B1304" s="31" t="s">
        <v>497</v>
      </c>
      <c r="C1304" s="31" t="s">
        <v>498</v>
      </c>
      <c r="D1304" s="31" t="s">
        <v>597</v>
      </c>
      <c r="E1304" s="31" t="s">
        <v>598</v>
      </c>
      <c r="F1304" s="31" t="s">
        <v>218</v>
      </c>
      <c r="G1304" s="32">
        <v>3262.61688872589</v>
      </c>
      <c r="H1304" s="33">
        <v>0</v>
      </c>
      <c r="I1304" s="34">
        <v>1</v>
      </c>
      <c r="J1304" s="34">
        <v>3262.61688872589</v>
      </c>
      <c r="K1304" s="31" t="s">
        <v>2996</v>
      </c>
      <c r="L1304" s="31">
        <v>9</v>
      </c>
      <c r="M1304" s="31" t="s">
        <v>3007</v>
      </c>
      <c r="N1304" s="34">
        <v>3.25</v>
      </c>
      <c r="O1304" s="35">
        <v>0</v>
      </c>
      <c r="P1304" s="35">
        <v>222</v>
      </c>
      <c r="Q1304" s="35">
        <v>0</v>
      </c>
      <c r="R1304" s="36">
        <v>18.010000000000002</v>
      </c>
      <c r="S1304" s="37">
        <f>IFERROR(_xlfn.XLOOKUP(R1304,'1_Presupuesto'!$E:$E,'1_Presupuesto'!$D:$D),"")</f>
        <v>0</v>
      </c>
    </row>
    <row r="1305" spans="1:19" x14ac:dyDescent="0.35">
      <c r="A1305" s="31" t="s">
        <v>2995</v>
      </c>
      <c r="B1305" s="31" t="s">
        <v>203</v>
      </c>
      <c r="C1305" s="31"/>
      <c r="D1305" s="31" t="s">
        <v>641</v>
      </c>
      <c r="E1305" s="31" t="s">
        <v>642</v>
      </c>
      <c r="F1305" s="31"/>
      <c r="G1305" s="32">
        <v>1</v>
      </c>
      <c r="H1305" s="33">
        <v>0</v>
      </c>
      <c r="I1305" s="34">
        <v>5503.0404388678899</v>
      </c>
      <c r="J1305" s="34">
        <v>5503.0404388678899</v>
      </c>
      <c r="K1305" s="31" t="s">
        <v>3008</v>
      </c>
      <c r="L1305" s="31">
        <v>1</v>
      </c>
      <c r="M1305" s="31" t="s">
        <v>3009</v>
      </c>
      <c r="N1305" s="34">
        <v>3.25</v>
      </c>
      <c r="O1305" s="35">
        <v>0</v>
      </c>
      <c r="P1305" s="35">
        <v>222</v>
      </c>
      <c r="Q1305" s="35">
        <v>0</v>
      </c>
      <c r="R1305" s="36">
        <v>18.010000000000002</v>
      </c>
      <c r="S1305" s="37">
        <f>IFERROR(_xlfn.XLOOKUP(R1305,'1_Presupuesto'!$E:$E,'1_Presupuesto'!$D:$D),"")</f>
        <v>0</v>
      </c>
    </row>
    <row r="1306" spans="1:19" x14ac:dyDescent="0.35">
      <c r="A1306" s="31" t="s">
        <v>2995</v>
      </c>
      <c r="B1306" s="31" t="s">
        <v>203</v>
      </c>
      <c r="C1306" s="31"/>
      <c r="D1306" s="31" t="s">
        <v>613</v>
      </c>
      <c r="E1306" s="31" t="s">
        <v>614</v>
      </c>
      <c r="F1306" s="31"/>
      <c r="G1306" s="32">
        <v>0.5</v>
      </c>
      <c r="H1306" s="33">
        <v>0</v>
      </c>
      <c r="I1306" s="34">
        <v>620.81078197718296</v>
      </c>
      <c r="J1306" s="34">
        <v>310.40539098859199</v>
      </c>
      <c r="K1306" s="31" t="s">
        <v>3008</v>
      </c>
      <c r="L1306" s="31">
        <v>2</v>
      </c>
      <c r="M1306" s="31" t="s">
        <v>3010</v>
      </c>
      <c r="N1306" s="34">
        <v>3.25</v>
      </c>
      <c r="O1306" s="35">
        <v>0</v>
      </c>
      <c r="P1306" s="35">
        <v>222</v>
      </c>
      <c r="Q1306" s="35">
        <v>0</v>
      </c>
      <c r="R1306" s="36">
        <v>18.010000000000002</v>
      </c>
      <c r="S1306" s="37">
        <f>IFERROR(_xlfn.XLOOKUP(R1306,'1_Presupuesto'!$E:$E,'1_Presupuesto'!$D:$D),"")</f>
        <v>0</v>
      </c>
    </row>
    <row r="1307" spans="1:19" x14ac:dyDescent="0.35">
      <c r="A1307" s="31" t="s">
        <v>2995</v>
      </c>
      <c r="B1307" s="31" t="s">
        <v>203</v>
      </c>
      <c r="C1307" s="31"/>
      <c r="D1307" s="31" t="s">
        <v>572</v>
      </c>
      <c r="E1307" s="31" t="s">
        <v>573</v>
      </c>
      <c r="F1307" s="31"/>
      <c r="G1307" s="32">
        <v>0.5</v>
      </c>
      <c r="H1307" s="33">
        <v>0</v>
      </c>
      <c r="I1307" s="34">
        <v>152.380274273738</v>
      </c>
      <c r="J1307" s="34">
        <v>76.190137136869097</v>
      </c>
      <c r="K1307" s="31" t="s">
        <v>3008</v>
      </c>
      <c r="L1307" s="31">
        <v>3</v>
      </c>
      <c r="M1307" s="31" t="s">
        <v>3011</v>
      </c>
      <c r="N1307" s="34">
        <v>3.25</v>
      </c>
      <c r="O1307" s="35">
        <v>0</v>
      </c>
      <c r="P1307" s="35">
        <v>222</v>
      </c>
      <c r="Q1307" s="35">
        <v>0</v>
      </c>
      <c r="R1307" s="36">
        <v>18.010000000000002</v>
      </c>
      <c r="S1307" s="37">
        <f>IFERROR(_xlfn.XLOOKUP(R1307,'1_Presupuesto'!$E:$E,'1_Presupuesto'!$D:$D),"")</f>
        <v>0</v>
      </c>
    </row>
    <row r="1308" spans="1:19" x14ac:dyDescent="0.35">
      <c r="A1308" s="31" t="s">
        <v>3012</v>
      </c>
      <c r="B1308" s="31" t="s">
        <v>497</v>
      </c>
      <c r="C1308" s="31" t="s">
        <v>498</v>
      </c>
      <c r="D1308" s="31" t="s">
        <v>807</v>
      </c>
      <c r="E1308" s="31" t="s">
        <v>808</v>
      </c>
      <c r="F1308" s="31" t="s">
        <v>261</v>
      </c>
      <c r="G1308" s="32">
        <v>5</v>
      </c>
      <c r="H1308" s="33">
        <v>0.1</v>
      </c>
      <c r="I1308" s="34">
        <v>514.58833333333303</v>
      </c>
      <c r="J1308" s="34">
        <v>2830.23583333333</v>
      </c>
      <c r="K1308" s="31" t="s">
        <v>3013</v>
      </c>
      <c r="L1308" s="31">
        <v>1</v>
      </c>
      <c r="M1308" s="31" t="s">
        <v>3014</v>
      </c>
      <c r="N1308" s="34">
        <v>3.25</v>
      </c>
      <c r="O1308" s="35">
        <v>0</v>
      </c>
      <c r="P1308" s="35">
        <v>67</v>
      </c>
      <c r="Q1308" s="35">
        <v>0</v>
      </c>
      <c r="R1308" s="36">
        <v>18.02</v>
      </c>
      <c r="S1308" s="37">
        <f>IFERROR(_xlfn.XLOOKUP(R1308,'1_Presupuesto'!$E:$E,'1_Presupuesto'!$D:$D),"")</f>
        <v>0</v>
      </c>
    </row>
    <row r="1309" spans="1:19" x14ac:dyDescent="0.35">
      <c r="A1309" s="31" t="s">
        <v>3012</v>
      </c>
      <c r="B1309" s="31" t="s">
        <v>497</v>
      </c>
      <c r="C1309" s="31" t="s">
        <v>498</v>
      </c>
      <c r="D1309" s="31" t="s">
        <v>655</v>
      </c>
      <c r="E1309" s="31" t="s">
        <v>656</v>
      </c>
      <c r="F1309" s="31" t="s">
        <v>261</v>
      </c>
      <c r="G1309" s="32">
        <v>3</v>
      </c>
      <c r="H1309" s="33">
        <v>0.1</v>
      </c>
      <c r="I1309" s="34">
        <v>250.31899999999999</v>
      </c>
      <c r="J1309" s="34">
        <v>826.05269999999996</v>
      </c>
      <c r="K1309" s="31" t="s">
        <v>3013</v>
      </c>
      <c r="L1309" s="31">
        <v>2</v>
      </c>
      <c r="M1309" s="31" t="s">
        <v>3015</v>
      </c>
      <c r="N1309" s="34">
        <v>3.25</v>
      </c>
      <c r="O1309" s="35">
        <v>0</v>
      </c>
      <c r="P1309" s="35">
        <v>67</v>
      </c>
      <c r="Q1309" s="35">
        <v>0</v>
      </c>
      <c r="R1309" s="36">
        <v>18.02</v>
      </c>
      <c r="S1309" s="37">
        <f>IFERROR(_xlfn.XLOOKUP(R1309,'1_Presupuesto'!$E:$E,'1_Presupuesto'!$D:$D),"")</f>
        <v>0</v>
      </c>
    </row>
    <row r="1310" spans="1:19" x14ac:dyDescent="0.35">
      <c r="A1310" s="31" t="s">
        <v>3012</v>
      </c>
      <c r="B1310" s="31" t="s">
        <v>497</v>
      </c>
      <c r="C1310" s="31" t="s">
        <v>498</v>
      </c>
      <c r="D1310" s="31" t="s">
        <v>658</v>
      </c>
      <c r="E1310" s="31" t="s">
        <v>659</v>
      </c>
      <c r="F1310" s="31" t="s">
        <v>261</v>
      </c>
      <c r="G1310" s="32">
        <v>2</v>
      </c>
      <c r="H1310" s="33">
        <v>0.1</v>
      </c>
      <c r="I1310" s="34">
        <v>110.121</v>
      </c>
      <c r="J1310" s="34">
        <v>242.2662</v>
      </c>
      <c r="K1310" s="31" t="s">
        <v>3013</v>
      </c>
      <c r="L1310" s="31">
        <v>3</v>
      </c>
      <c r="M1310" s="31" t="s">
        <v>3016</v>
      </c>
      <c r="N1310" s="34">
        <v>3.25</v>
      </c>
      <c r="O1310" s="35">
        <v>0</v>
      </c>
      <c r="P1310" s="35">
        <v>67</v>
      </c>
      <c r="Q1310" s="35">
        <v>0</v>
      </c>
      <c r="R1310" s="36">
        <v>18.02</v>
      </c>
      <c r="S1310" s="37">
        <f>IFERROR(_xlfn.XLOOKUP(R1310,'1_Presupuesto'!$E:$E,'1_Presupuesto'!$D:$D),"")</f>
        <v>0</v>
      </c>
    </row>
    <row r="1311" spans="1:19" x14ac:dyDescent="0.35">
      <c r="A1311" s="31" t="s">
        <v>3012</v>
      </c>
      <c r="B1311" s="31" t="s">
        <v>497</v>
      </c>
      <c r="C1311" s="31" t="s">
        <v>498</v>
      </c>
      <c r="D1311" s="31" t="s">
        <v>820</v>
      </c>
      <c r="E1311" s="31" t="s">
        <v>821</v>
      </c>
      <c r="F1311" s="31" t="s">
        <v>223</v>
      </c>
      <c r="G1311" s="32">
        <v>7.5</v>
      </c>
      <c r="H1311" s="33">
        <v>0.1</v>
      </c>
      <c r="I1311" s="34">
        <v>339.47162557191899</v>
      </c>
      <c r="J1311" s="34">
        <v>2800.64091096833</v>
      </c>
      <c r="K1311" s="31" t="s">
        <v>3013</v>
      </c>
      <c r="L1311" s="31">
        <v>4</v>
      </c>
      <c r="M1311" s="31" t="s">
        <v>3017</v>
      </c>
      <c r="N1311" s="34">
        <v>3.25</v>
      </c>
      <c r="O1311" s="35">
        <v>0</v>
      </c>
      <c r="P1311" s="35">
        <v>67</v>
      </c>
      <c r="Q1311" s="35">
        <v>0</v>
      </c>
      <c r="R1311" s="36">
        <v>18.02</v>
      </c>
      <c r="S1311" s="37">
        <f>IFERROR(_xlfn.XLOOKUP(R1311,'1_Presupuesto'!$E:$E,'1_Presupuesto'!$D:$D),"")</f>
        <v>0</v>
      </c>
    </row>
    <row r="1312" spans="1:19" x14ac:dyDescent="0.35">
      <c r="A1312" s="31" t="s">
        <v>3012</v>
      </c>
      <c r="B1312" s="31" t="s">
        <v>497</v>
      </c>
      <c r="C1312" s="31" t="s">
        <v>498</v>
      </c>
      <c r="D1312" s="31" t="s">
        <v>661</v>
      </c>
      <c r="E1312" s="31" t="s">
        <v>662</v>
      </c>
      <c r="F1312" s="31" t="s">
        <v>663</v>
      </c>
      <c r="G1312" s="32">
        <v>5</v>
      </c>
      <c r="H1312" s="33">
        <v>0.1</v>
      </c>
      <c r="I1312" s="34">
        <v>546.37687500000004</v>
      </c>
      <c r="J1312" s="34">
        <v>3005.0728125000001</v>
      </c>
      <c r="K1312" s="31" t="s">
        <v>3013</v>
      </c>
      <c r="L1312" s="31">
        <v>5</v>
      </c>
      <c r="M1312" s="31" t="s">
        <v>3018</v>
      </c>
      <c r="N1312" s="34">
        <v>3.25</v>
      </c>
      <c r="O1312" s="35">
        <v>0</v>
      </c>
      <c r="P1312" s="35">
        <v>67</v>
      </c>
      <c r="Q1312" s="35">
        <v>0</v>
      </c>
      <c r="R1312" s="36">
        <v>18.02</v>
      </c>
      <c r="S1312" s="37">
        <f>IFERROR(_xlfn.XLOOKUP(R1312,'1_Presupuesto'!$E:$E,'1_Presupuesto'!$D:$D),"")</f>
        <v>0</v>
      </c>
    </row>
    <row r="1313" spans="1:19" x14ac:dyDescent="0.35">
      <c r="A1313" s="31" t="s">
        <v>3012</v>
      </c>
      <c r="B1313" s="31" t="s">
        <v>497</v>
      </c>
      <c r="C1313" s="31" t="s">
        <v>498</v>
      </c>
      <c r="D1313" s="31" t="s">
        <v>661</v>
      </c>
      <c r="E1313" s="31" t="s">
        <v>662</v>
      </c>
      <c r="F1313" s="31" t="s">
        <v>663</v>
      </c>
      <c r="G1313" s="32">
        <v>7.5</v>
      </c>
      <c r="H1313" s="33">
        <v>0.1</v>
      </c>
      <c r="I1313" s="34">
        <v>546.37687500000004</v>
      </c>
      <c r="J1313" s="34">
        <v>4507.6092187499999</v>
      </c>
      <c r="K1313" s="31" t="s">
        <v>3013</v>
      </c>
      <c r="L1313" s="31">
        <v>6</v>
      </c>
      <c r="M1313" s="31" t="s">
        <v>3019</v>
      </c>
      <c r="N1313" s="34">
        <v>3.25</v>
      </c>
      <c r="O1313" s="35">
        <v>0</v>
      </c>
      <c r="P1313" s="35">
        <v>67</v>
      </c>
      <c r="Q1313" s="35">
        <v>0</v>
      </c>
      <c r="R1313" s="36">
        <v>18.02</v>
      </c>
      <c r="S1313" s="37">
        <f>IFERROR(_xlfn.XLOOKUP(R1313,'1_Presupuesto'!$E:$E,'1_Presupuesto'!$D:$D),"")</f>
        <v>0</v>
      </c>
    </row>
    <row r="1314" spans="1:19" x14ac:dyDescent="0.35">
      <c r="A1314" s="31" t="s">
        <v>3012</v>
      </c>
      <c r="B1314" s="31" t="s">
        <v>497</v>
      </c>
      <c r="C1314" s="31" t="s">
        <v>498</v>
      </c>
      <c r="D1314" s="31" t="s">
        <v>666</v>
      </c>
      <c r="E1314" s="31" t="s">
        <v>667</v>
      </c>
      <c r="F1314" s="31" t="s">
        <v>261</v>
      </c>
      <c r="G1314" s="32">
        <v>0.5</v>
      </c>
      <c r="H1314" s="33">
        <v>0.05</v>
      </c>
      <c r="I1314" s="34">
        <v>217.14975799999999</v>
      </c>
      <c r="J1314" s="34">
        <v>114.00362294999999</v>
      </c>
      <c r="K1314" s="31" t="s">
        <v>3013</v>
      </c>
      <c r="L1314" s="31">
        <v>7</v>
      </c>
      <c r="M1314" s="31" t="s">
        <v>3020</v>
      </c>
      <c r="N1314" s="34">
        <v>3.25</v>
      </c>
      <c r="O1314" s="35">
        <v>0</v>
      </c>
      <c r="P1314" s="35">
        <v>67</v>
      </c>
      <c r="Q1314" s="35">
        <v>0</v>
      </c>
      <c r="R1314" s="36">
        <v>18.02</v>
      </c>
      <c r="S1314" s="37">
        <f>IFERROR(_xlfn.XLOOKUP(R1314,'1_Presupuesto'!$E:$E,'1_Presupuesto'!$D:$D),"")</f>
        <v>0</v>
      </c>
    </row>
    <row r="1315" spans="1:19" x14ac:dyDescent="0.35">
      <c r="A1315" s="31" t="s">
        <v>3012</v>
      </c>
      <c r="B1315" s="31" t="s">
        <v>497</v>
      </c>
      <c r="C1315" s="31" t="s">
        <v>498</v>
      </c>
      <c r="D1315" s="31" t="s">
        <v>666</v>
      </c>
      <c r="E1315" s="31" t="s">
        <v>667</v>
      </c>
      <c r="F1315" s="31" t="s">
        <v>261</v>
      </c>
      <c r="G1315" s="32">
        <v>1</v>
      </c>
      <c r="H1315" s="33">
        <v>0.05</v>
      </c>
      <c r="I1315" s="34">
        <v>217.14975799999999</v>
      </c>
      <c r="J1315" s="34">
        <v>228.00724589999999</v>
      </c>
      <c r="K1315" s="31" t="s">
        <v>3013</v>
      </c>
      <c r="L1315" s="31">
        <v>8</v>
      </c>
      <c r="M1315" s="31" t="s">
        <v>3021</v>
      </c>
      <c r="N1315" s="34">
        <v>3.25</v>
      </c>
      <c r="O1315" s="35">
        <v>0</v>
      </c>
      <c r="P1315" s="35">
        <v>67</v>
      </c>
      <c r="Q1315" s="35">
        <v>0</v>
      </c>
      <c r="R1315" s="36">
        <v>18.02</v>
      </c>
      <c r="S1315" s="37">
        <f>IFERROR(_xlfn.XLOOKUP(R1315,'1_Presupuesto'!$E:$E,'1_Presupuesto'!$D:$D),"")</f>
        <v>0</v>
      </c>
    </row>
    <row r="1316" spans="1:19" x14ac:dyDescent="0.35">
      <c r="A1316" s="31" t="s">
        <v>3012</v>
      </c>
      <c r="B1316" s="31" t="s">
        <v>497</v>
      </c>
      <c r="C1316" s="31" t="s">
        <v>498</v>
      </c>
      <c r="D1316" s="31" t="s">
        <v>597</v>
      </c>
      <c r="E1316" s="31" t="s">
        <v>598</v>
      </c>
      <c r="F1316" s="31" t="s">
        <v>218</v>
      </c>
      <c r="G1316" s="32">
        <v>3056.31659426235</v>
      </c>
      <c r="H1316" s="33">
        <v>0</v>
      </c>
      <c r="I1316" s="34">
        <v>1</v>
      </c>
      <c r="J1316" s="34">
        <v>3056.31659426235</v>
      </c>
      <c r="K1316" s="31" t="s">
        <v>3013</v>
      </c>
      <c r="L1316" s="31">
        <v>9</v>
      </c>
      <c r="M1316" s="31" t="s">
        <v>3022</v>
      </c>
      <c r="N1316" s="34">
        <v>3.25</v>
      </c>
      <c r="O1316" s="35">
        <v>0</v>
      </c>
      <c r="P1316" s="35">
        <v>67</v>
      </c>
      <c r="Q1316" s="35">
        <v>0</v>
      </c>
      <c r="R1316" s="36">
        <v>18.02</v>
      </c>
      <c r="S1316" s="37">
        <f>IFERROR(_xlfn.XLOOKUP(R1316,'1_Presupuesto'!$E:$E,'1_Presupuesto'!$D:$D),"")</f>
        <v>0</v>
      </c>
    </row>
    <row r="1317" spans="1:19" x14ac:dyDescent="0.35">
      <c r="A1317" s="31" t="s">
        <v>3012</v>
      </c>
      <c r="B1317" s="31" t="s">
        <v>203</v>
      </c>
      <c r="C1317" s="31"/>
      <c r="D1317" s="31" t="s">
        <v>641</v>
      </c>
      <c r="E1317" s="31" t="s">
        <v>642</v>
      </c>
      <c r="F1317" s="31"/>
      <c r="G1317" s="32">
        <v>1</v>
      </c>
      <c r="H1317" s="33">
        <v>0</v>
      </c>
      <c r="I1317" s="34">
        <v>5503.0404388678899</v>
      </c>
      <c r="J1317" s="34">
        <v>5503.0404388678899</v>
      </c>
      <c r="K1317" s="31" t="s">
        <v>3023</v>
      </c>
      <c r="L1317" s="31">
        <v>1</v>
      </c>
      <c r="M1317" s="31" t="s">
        <v>3024</v>
      </c>
      <c r="N1317" s="34">
        <v>3.25</v>
      </c>
      <c r="O1317" s="35">
        <v>0</v>
      </c>
      <c r="P1317" s="35">
        <v>67</v>
      </c>
      <c r="Q1317" s="35">
        <v>0</v>
      </c>
      <c r="R1317" s="36">
        <v>18.02</v>
      </c>
      <c r="S1317" s="37">
        <f>IFERROR(_xlfn.XLOOKUP(R1317,'1_Presupuesto'!$E:$E,'1_Presupuesto'!$D:$D),"")</f>
        <v>0</v>
      </c>
    </row>
    <row r="1318" spans="1:19" x14ac:dyDescent="0.35">
      <c r="A1318" s="31" t="s">
        <v>3012</v>
      </c>
      <c r="B1318" s="31" t="s">
        <v>203</v>
      </c>
      <c r="C1318" s="31"/>
      <c r="D1318" s="31" t="s">
        <v>613</v>
      </c>
      <c r="E1318" s="31" t="s">
        <v>614</v>
      </c>
      <c r="F1318" s="31"/>
      <c r="G1318" s="32">
        <v>0.5</v>
      </c>
      <c r="H1318" s="33">
        <v>0</v>
      </c>
      <c r="I1318" s="34">
        <v>620.81078197718296</v>
      </c>
      <c r="J1318" s="34">
        <v>310.40539098859199</v>
      </c>
      <c r="K1318" s="31" t="s">
        <v>3023</v>
      </c>
      <c r="L1318" s="31">
        <v>2</v>
      </c>
      <c r="M1318" s="31" t="s">
        <v>3025</v>
      </c>
      <c r="N1318" s="34">
        <v>3.25</v>
      </c>
      <c r="O1318" s="35">
        <v>0</v>
      </c>
      <c r="P1318" s="35">
        <v>67</v>
      </c>
      <c r="Q1318" s="35">
        <v>0</v>
      </c>
      <c r="R1318" s="36">
        <v>18.02</v>
      </c>
      <c r="S1318" s="37">
        <f>IFERROR(_xlfn.XLOOKUP(R1318,'1_Presupuesto'!$E:$E,'1_Presupuesto'!$D:$D),"")</f>
        <v>0</v>
      </c>
    </row>
    <row r="1319" spans="1:19" x14ac:dyDescent="0.35">
      <c r="A1319" s="31" t="s">
        <v>3012</v>
      </c>
      <c r="B1319" s="31" t="s">
        <v>203</v>
      </c>
      <c r="C1319" s="31"/>
      <c r="D1319" s="31" t="s">
        <v>572</v>
      </c>
      <c r="E1319" s="31" t="s">
        <v>573</v>
      </c>
      <c r="F1319" s="31"/>
      <c r="G1319" s="32">
        <v>0.5</v>
      </c>
      <c r="H1319" s="33">
        <v>0</v>
      </c>
      <c r="I1319" s="34">
        <v>152.380274273738</v>
      </c>
      <c r="J1319" s="34">
        <v>76.190137136869097</v>
      </c>
      <c r="K1319" s="31" t="s">
        <v>3023</v>
      </c>
      <c r="L1319" s="31">
        <v>3</v>
      </c>
      <c r="M1319" s="31" t="s">
        <v>3026</v>
      </c>
      <c r="N1319" s="34">
        <v>3.25</v>
      </c>
      <c r="O1319" s="35">
        <v>0</v>
      </c>
      <c r="P1319" s="35">
        <v>67</v>
      </c>
      <c r="Q1319" s="35">
        <v>0</v>
      </c>
      <c r="R1319" s="36">
        <v>18.02</v>
      </c>
      <c r="S1319" s="37">
        <f>IFERROR(_xlfn.XLOOKUP(R1319,'1_Presupuesto'!$E:$E,'1_Presupuesto'!$D:$D),"")</f>
        <v>0</v>
      </c>
    </row>
    <row r="1320" spans="1:19" x14ac:dyDescent="0.35">
      <c r="A1320" s="31" t="s">
        <v>3027</v>
      </c>
      <c r="B1320" s="31" t="s">
        <v>497</v>
      </c>
      <c r="C1320" s="31" t="s">
        <v>498</v>
      </c>
      <c r="D1320" s="31" t="s">
        <v>807</v>
      </c>
      <c r="E1320" s="31" t="s">
        <v>808</v>
      </c>
      <c r="F1320" s="31" t="s">
        <v>261</v>
      </c>
      <c r="G1320" s="32">
        <v>5</v>
      </c>
      <c r="H1320" s="33">
        <v>0.1</v>
      </c>
      <c r="I1320" s="34">
        <v>514.58833333333303</v>
      </c>
      <c r="J1320" s="34">
        <v>2830.23583333333</v>
      </c>
      <c r="K1320" s="31" t="s">
        <v>3028</v>
      </c>
      <c r="L1320" s="31">
        <v>1</v>
      </c>
      <c r="M1320" s="31" t="s">
        <v>3029</v>
      </c>
      <c r="N1320" s="34">
        <v>3.25</v>
      </c>
      <c r="O1320" s="35">
        <v>0</v>
      </c>
      <c r="P1320" s="35">
        <v>23</v>
      </c>
      <c r="Q1320" s="35">
        <v>0</v>
      </c>
      <c r="R1320" s="36">
        <v>18.03</v>
      </c>
      <c r="S1320" s="37">
        <f>IFERROR(_xlfn.XLOOKUP(R1320,'1_Presupuesto'!$E:$E,'1_Presupuesto'!$D:$D),"")</f>
        <v>0</v>
      </c>
    </row>
    <row r="1321" spans="1:19" x14ac:dyDescent="0.35">
      <c r="A1321" s="31" t="s">
        <v>3027</v>
      </c>
      <c r="B1321" s="31" t="s">
        <v>497</v>
      </c>
      <c r="C1321" s="31" t="s">
        <v>498</v>
      </c>
      <c r="D1321" s="31" t="s">
        <v>655</v>
      </c>
      <c r="E1321" s="31" t="s">
        <v>656</v>
      </c>
      <c r="F1321" s="31" t="s">
        <v>261</v>
      </c>
      <c r="G1321" s="32">
        <v>3</v>
      </c>
      <c r="H1321" s="33">
        <v>0.1</v>
      </c>
      <c r="I1321" s="34">
        <v>250.31899999999999</v>
      </c>
      <c r="J1321" s="34">
        <v>826.05269999999996</v>
      </c>
      <c r="K1321" s="31" t="s">
        <v>3028</v>
      </c>
      <c r="L1321" s="31">
        <v>2</v>
      </c>
      <c r="M1321" s="31" t="s">
        <v>3030</v>
      </c>
      <c r="N1321" s="34">
        <v>3.25</v>
      </c>
      <c r="O1321" s="35">
        <v>0</v>
      </c>
      <c r="P1321" s="35">
        <v>23</v>
      </c>
      <c r="Q1321" s="35">
        <v>0</v>
      </c>
      <c r="R1321" s="36">
        <v>18.03</v>
      </c>
      <c r="S1321" s="37">
        <f>IFERROR(_xlfn.XLOOKUP(R1321,'1_Presupuesto'!$E:$E,'1_Presupuesto'!$D:$D),"")</f>
        <v>0</v>
      </c>
    </row>
    <row r="1322" spans="1:19" x14ac:dyDescent="0.35">
      <c r="A1322" s="31" t="s">
        <v>3027</v>
      </c>
      <c r="B1322" s="31" t="s">
        <v>497</v>
      </c>
      <c r="C1322" s="31" t="s">
        <v>498</v>
      </c>
      <c r="D1322" s="31" t="s">
        <v>658</v>
      </c>
      <c r="E1322" s="31" t="s">
        <v>659</v>
      </c>
      <c r="F1322" s="31" t="s">
        <v>261</v>
      </c>
      <c r="G1322" s="32">
        <v>2</v>
      </c>
      <c r="H1322" s="33">
        <v>0.1</v>
      </c>
      <c r="I1322" s="34">
        <v>110.121</v>
      </c>
      <c r="J1322" s="34">
        <v>242.2662</v>
      </c>
      <c r="K1322" s="31" t="s">
        <v>3028</v>
      </c>
      <c r="L1322" s="31">
        <v>3</v>
      </c>
      <c r="M1322" s="31" t="s">
        <v>3031</v>
      </c>
      <c r="N1322" s="34">
        <v>3.25</v>
      </c>
      <c r="O1322" s="35">
        <v>0</v>
      </c>
      <c r="P1322" s="35">
        <v>23</v>
      </c>
      <c r="Q1322" s="35">
        <v>0</v>
      </c>
      <c r="R1322" s="36">
        <v>18.03</v>
      </c>
      <c r="S1322" s="37">
        <f>IFERROR(_xlfn.XLOOKUP(R1322,'1_Presupuesto'!$E:$E,'1_Presupuesto'!$D:$D),"")</f>
        <v>0</v>
      </c>
    </row>
    <row r="1323" spans="1:19" x14ac:dyDescent="0.35">
      <c r="A1323" s="31" t="s">
        <v>3027</v>
      </c>
      <c r="B1323" s="31" t="s">
        <v>497</v>
      </c>
      <c r="C1323" s="31" t="s">
        <v>498</v>
      </c>
      <c r="D1323" s="31" t="s">
        <v>820</v>
      </c>
      <c r="E1323" s="31" t="s">
        <v>821</v>
      </c>
      <c r="F1323" s="31" t="s">
        <v>223</v>
      </c>
      <c r="G1323" s="32">
        <v>7.5</v>
      </c>
      <c r="H1323" s="33">
        <v>0.1</v>
      </c>
      <c r="I1323" s="34">
        <v>339.47162557191899</v>
      </c>
      <c r="J1323" s="34">
        <v>2800.64091096833</v>
      </c>
      <c r="K1323" s="31" t="s">
        <v>3028</v>
      </c>
      <c r="L1323" s="31">
        <v>4</v>
      </c>
      <c r="M1323" s="31" t="s">
        <v>3032</v>
      </c>
      <c r="N1323" s="34">
        <v>3.25</v>
      </c>
      <c r="O1323" s="35">
        <v>0</v>
      </c>
      <c r="P1323" s="35">
        <v>23</v>
      </c>
      <c r="Q1323" s="35">
        <v>0</v>
      </c>
      <c r="R1323" s="36">
        <v>18.03</v>
      </c>
      <c r="S1323" s="37">
        <f>IFERROR(_xlfn.XLOOKUP(R1323,'1_Presupuesto'!$E:$E,'1_Presupuesto'!$D:$D),"")</f>
        <v>0</v>
      </c>
    </row>
    <row r="1324" spans="1:19" x14ac:dyDescent="0.35">
      <c r="A1324" s="31" t="s">
        <v>3027</v>
      </c>
      <c r="B1324" s="31" t="s">
        <v>497</v>
      </c>
      <c r="C1324" s="31" t="s">
        <v>498</v>
      </c>
      <c r="D1324" s="31" t="s">
        <v>661</v>
      </c>
      <c r="E1324" s="31" t="s">
        <v>662</v>
      </c>
      <c r="F1324" s="31" t="s">
        <v>663</v>
      </c>
      <c r="G1324" s="32">
        <v>5</v>
      </c>
      <c r="H1324" s="33">
        <v>0.1</v>
      </c>
      <c r="I1324" s="34">
        <v>546.37687500000004</v>
      </c>
      <c r="J1324" s="34">
        <v>3005.0728125000001</v>
      </c>
      <c r="K1324" s="31" t="s">
        <v>3028</v>
      </c>
      <c r="L1324" s="31">
        <v>5</v>
      </c>
      <c r="M1324" s="31" t="s">
        <v>3033</v>
      </c>
      <c r="N1324" s="34">
        <v>3.25</v>
      </c>
      <c r="O1324" s="35">
        <v>0</v>
      </c>
      <c r="P1324" s="35">
        <v>23</v>
      </c>
      <c r="Q1324" s="35">
        <v>0</v>
      </c>
      <c r="R1324" s="36">
        <v>18.03</v>
      </c>
      <c r="S1324" s="37">
        <f>IFERROR(_xlfn.XLOOKUP(R1324,'1_Presupuesto'!$E:$E,'1_Presupuesto'!$D:$D),"")</f>
        <v>0</v>
      </c>
    </row>
    <row r="1325" spans="1:19" x14ac:dyDescent="0.35">
      <c r="A1325" s="31" t="s">
        <v>3027</v>
      </c>
      <c r="B1325" s="31" t="s">
        <v>497</v>
      </c>
      <c r="C1325" s="31" t="s">
        <v>498</v>
      </c>
      <c r="D1325" s="31" t="s">
        <v>661</v>
      </c>
      <c r="E1325" s="31" t="s">
        <v>662</v>
      </c>
      <c r="F1325" s="31" t="s">
        <v>663</v>
      </c>
      <c r="G1325" s="32">
        <v>7.5</v>
      </c>
      <c r="H1325" s="33">
        <v>0.1</v>
      </c>
      <c r="I1325" s="34">
        <v>546.37687500000004</v>
      </c>
      <c r="J1325" s="34">
        <v>4507.6092187499999</v>
      </c>
      <c r="K1325" s="31" t="s">
        <v>3028</v>
      </c>
      <c r="L1325" s="31">
        <v>6</v>
      </c>
      <c r="M1325" s="31" t="s">
        <v>3034</v>
      </c>
      <c r="N1325" s="34">
        <v>3.25</v>
      </c>
      <c r="O1325" s="35">
        <v>0</v>
      </c>
      <c r="P1325" s="35">
        <v>23</v>
      </c>
      <c r="Q1325" s="35">
        <v>0</v>
      </c>
      <c r="R1325" s="36">
        <v>18.03</v>
      </c>
      <c r="S1325" s="37">
        <f>IFERROR(_xlfn.XLOOKUP(R1325,'1_Presupuesto'!$E:$E,'1_Presupuesto'!$D:$D),"")</f>
        <v>0</v>
      </c>
    </row>
    <row r="1326" spans="1:19" x14ac:dyDescent="0.35">
      <c r="A1326" s="31" t="s">
        <v>3027</v>
      </c>
      <c r="B1326" s="31" t="s">
        <v>497</v>
      </c>
      <c r="C1326" s="31" t="s">
        <v>498</v>
      </c>
      <c r="D1326" s="31" t="s">
        <v>666</v>
      </c>
      <c r="E1326" s="31" t="s">
        <v>667</v>
      </c>
      <c r="F1326" s="31" t="s">
        <v>261</v>
      </c>
      <c r="G1326" s="32">
        <v>0.5</v>
      </c>
      <c r="H1326" s="33">
        <v>0.05</v>
      </c>
      <c r="I1326" s="34">
        <v>217.14975799999999</v>
      </c>
      <c r="J1326" s="34">
        <v>114.00362294999999</v>
      </c>
      <c r="K1326" s="31" t="s">
        <v>3028</v>
      </c>
      <c r="L1326" s="31">
        <v>7</v>
      </c>
      <c r="M1326" s="31" t="s">
        <v>3035</v>
      </c>
      <c r="N1326" s="34">
        <v>3.25</v>
      </c>
      <c r="O1326" s="35">
        <v>0</v>
      </c>
      <c r="P1326" s="35">
        <v>23</v>
      </c>
      <c r="Q1326" s="35">
        <v>0</v>
      </c>
      <c r="R1326" s="36">
        <v>18.03</v>
      </c>
      <c r="S1326" s="37">
        <f>IFERROR(_xlfn.XLOOKUP(R1326,'1_Presupuesto'!$E:$E,'1_Presupuesto'!$D:$D),"")</f>
        <v>0</v>
      </c>
    </row>
    <row r="1327" spans="1:19" x14ac:dyDescent="0.35">
      <c r="A1327" s="31" t="s">
        <v>3027</v>
      </c>
      <c r="B1327" s="31" t="s">
        <v>497</v>
      </c>
      <c r="C1327" s="31" t="s">
        <v>498</v>
      </c>
      <c r="D1327" s="31" t="s">
        <v>666</v>
      </c>
      <c r="E1327" s="31" t="s">
        <v>667</v>
      </c>
      <c r="F1327" s="31" t="s">
        <v>261</v>
      </c>
      <c r="G1327" s="32">
        <v>1</v>
      </c>
      <c r="H1327" s="33">
        <v>0.05</v>
      </c>
      <c r="I1327" s="34">
        <v>217.14975799999999</v>
      </c>
      <c r="J1327" s="34">
        <v>228.00724589999999</v>
      </c>
      <c r="K1327" s="31" t="s">
        <v>3028</v>
      </c>
      <c r="L1327" s="31">
        <v>8</v>
      </c>
      <c r="M1327" s="31" t="s">
        <v>3036</v>
      </c>
      <c r="N1327" s="34">
        <v>3.25</v>
      </c>
      <c r="O1327" s="35">
        <v>0</v>
      </c>
      <c r="P1327" s="35">
        <v>23</v>
      </c>
      <c r="Q1327" s="35">
        <v>0</v>
      </c>
      <c r="R1327" s="36">
        <v>18.03</v>
      </c>
      <c r="S1327" s="37">
        <f>IFERROR(_xlfn.XLOOKUP(R1327,'1_Presupuesto'!$E:$E,'1_Presupuesto'!$D:$D),"")</f>
        <v>0</v>
      </c>
    </row>
    <row r="1328" spans="1:19" x14ac:dyDescent="0.35">
      <c r="A1328" s="31" t="s">
        <v>3027</v>
      </c>
      <c r="B1328" s="31" t="s">
        <v>497</v>
      </c>
      <c r="C1328" s="31" t="s">
        <v>498</v>
      </c>
      <c r="D1328" s="31" t="s">
        <v>597</v>
      </c>
      <c r="E1328" s="31" t="s">
        <v>598</v>
      </c>
      <c r="F1328" s="31" t="s">
        <v>218</v>
      </c>
      <c r="G1328" s="32">
        <v>3056.31659426235</v>
      </c>
      <c r="H1328" s="33">
        <v>0</v>
      </c>
      <c r="I1328" s="34">
        <v>1</v>
      </c>
      <c r="J1328" s="34">
        <v>3056.31659426235</v>
      </c>
      <c r="K1328" s="31" t="s">
        <v>3028</v>
      </c>
      <c r="L1328" s="31">
        <v>9</v>
      </c>
      <c r="M1328" s="31" t="s">
        <v>3037</v>
      </c>
      <c r="N1328" s="34">
        <v>3.25</v>
      </c>
      <c r="O1328" s="35">
        <v>0</v>
      </c>
      <c r="P1328" s="35">
        <v>23</v>
      </c>
      <c r="Q1328" s="35">
        <v>0</v>
      </c>
      <c r="R1328" s="36">
        <v>18.03</v>
      </c>
      <c r="S1328" s="37">
        <f>IFERROR(_xlfn.XLOOKUP(R1328,'1_Presupuesto'!$E:$E,'1_Presupuesto'!$D:$D),"")</f>
        <v>0</v>
      </c>
    </row>
    <row r="1329" spans="1:19" x14ac:dyDescent="0.35">
      <c r="A1329" s="31" t="s">
        <v>3027</v>
      </c>
      <c r="B1329" s="31" t="s">
        <v>203</v>
      </c>
      <c r="C1329" s="31"/>
      <c r="D1329" s="31" t="s">
        <v>641</v>
      </c>
      <c r="E1329" s="31" t="s">
        <v>642</v>
      </c>
      <c r="F1329" s="31"/>
      <c r="G1329" s="32">
        <v>1</v>
      </c>
      <c r="H1329" s="33">
        <v>0</v>
      </c>
      <c r="I1329" s="34">
        <v>5503.0404388678899</v>
      </c>
      <c r="J1329" s="34">
        <v>5503.0404388678899</v>
      </c>
      <c r="K1329" s="31" t="s">
        <v>3038</v>
      </c>
      <c r="L1329" s="31">
        <v>1</v>
      </c>
      <c r="M1329" s="31" t="s">
        <v>3039</v>
      </c>
      <c r="N1329" s="34">
        <v>3.25</v>
      </c>
      <c r="O1329" s="35">
        <v>0</v>
      </c>
      <c r="P1329" s="35">
        <v>23</v>
      </c>
      <c r="Q1329" s="35">
        <v>0</v>
      </c>
      <c r="R1329" s="36">
        <v>18.03</v>
      </c>
      <c r="S1329" s="37">
        <f>IFERROR(_xlfn.XLOOKUP(R1329,'1_Presupuesto'!$E:$E,'1_Presupuesto'!$D:$D),"")</f>
        <v>0</v>
      </c>
    </row>
    <row r="1330" spans="1:19" x14ac:dyDescent="0.35">
      <c r="A1330" s="31" t="s">
        <v>3027</v>
      </c>
      <c r="B1330" s="31" t="s">
        <v>203</v>
      </c>
      <c r="C1330" s="31"/>
      <c r="D1330" s="31" t="s">
        <v>613</v>
      </c>
      <c r="E1330" s="31" t="s">
        <v>614</v>
      </c>
      <c r="F1330" s="31"/>
      <c r="G1330" s="32">
        <v>0.5</v>
      </c>
      <c r="H1330" s="33">
        <v>0</v>
      </c>
      <c r="I1330" s="34">
        <v>620.81078197718296</v>
      </c>
      <c r="J1330" s="34">
        <v>310.40539098859199</v>
      </c>
      <c r="K1330" s="31" t="s">
        <v>3038</v>
      </c>
      <c r="L1330" s="31">
        <v>2</v>
      </c>
      <c r="M1330" s="31" t="s">
        <v>3040</v>
      </c>
      <c r="N1330" s="34">
        <v>3.25</v>
      </c>
      <c r="O1330" s="35">
        <v>0</v>
      </c>
      <c r="P1330" s="35">
        <v>23</v>
      </c>
      <c r="Q1330" s="35">
        <v>0</v>
      </c>
      <c r="R1330" s="36">
        <v>18.03</v>
      </c>
      <c r="S1330" s="37">
        <f>IFERROR(_xlfn.XLOOKUP(R1330,'1_Presupuesto'!$E:$E,'1_Presupuesto'!$D:$D),"")</f>
        <v>0</v>
      </c>
    </row>
    <row r="1331" spans="1:19" x14ac:dyDescent="0.35">
      <c r="A1331" s="31" t="s">
        <v>3027</v>
      </c>
      <c r="B1331" s="31" t="s">
        <v>203</v>
      </c>
      <c r="C1331" s="31"/>
      <c r="D1331" s="31" t="s">
        <v>572</v>
      </c>
      <c r="E1331" s="31" t="s">
        <v>573</v>
      </c>
      <c r="F1331" s="31"/>
      <c r="G1331" s="32">
        <v>0.5</v>
      </c>
      <c r="H1331" s="33">
        <v>0</v>
      </c>
      <c r="I1331" s="34">
        <v>152.380274273738</v>
      </c>
      <c r="J1331" s="34">
        <v>76.190137136869097</v>
      </c>
      <c r="K1331" s="31" t="s">
        <v>3038</v>
      </c>
      <c r="L1331" s="31">
        <v>3</v>
      </c>
      <c r="M1331" s="31" t="s">
        <v>3041</v>
      </c>
      <c r="N1331" s="34">
        <v>3.25</v>
      </c>
      <c r="O1331" s="35">
        <v>0</v>
      </c>
      <c r="P1331" s="35">
        <v>23</v>
      </c>
      <c r="Q1331" s="35">
        <v>0</v>
      </c>
      <c r="R1331" s="36">
        <v>18.03</v>
      </c>
      <c r="S1331" s="37">
        <f>IFERROR(_xlfn.XLOOKUP(R1331,'1_Presupuesto'!$E:$E,'1_Presupuesto'!$D:$D),"")</f>
        <v>0</v>
      </c>
    </row>
    <row r="1332" spans="1:19" x14ac:dyDescent="0.35">
      <c r="A1332" s="31" t="s">
        <v>3042</v>
      </c>
      <c r="B1332" s="31" t="s">
        <v>497</v>
      </c>
      <c r="C1332" s="31" t="s">
        <v>498</v>
      </c>
      <c r="D1332" s="31" t="s">
        <v>807</v>
      </c>
      <c r="E1332" s="31" t="s">
        <v>808</v>
      </c>
      <c r="F1332" s="31" t="s">
        <v>261</v>
      </c>
      <c r="G1332" s="32">
        <v>5</v>
      </c>
      <c r="H1332" s="33">
        <v>0.1</v>
      </c>
      <c r="I1332" s="34">
        <v>514.58833333333303</v>
      </c>
      <c r="J1332" s="34">
        <v>2830.23583333333</v>
      </c>
      <c r="K1332" s="31" t="s">
        <v>3043</v>
      </c>
      <c r="L1332" s="31">
        <v>1</v>
      </c>
      <c r="M1332" s="31" t="s">
        <v>3044</v>
      </c>
      <c r="N1332" s="34">
        <v>3.25</v>
      </c>
      <c r="O1332" s="35">
        <v>0</v>
      </c>
      <c r="P1332" s="35">
        <v>11</v>
      </c>
      <c r="Q1332" s="35">
        <v>0</v>
      </c>
      <c r="R1332" s="36">
        <v>18.04</v>
      </c>
      <c r="S1332" s="37">
        <f>IFERROR(_xlfn.XLOOKUP(R1332,'1_Presupuesto'!$E:$E,'1_Presupuesto'!$D:$D),"")</f>
        <v>0</v>
      </c>
    </row>
    <row r="1333" spans="1:19" x14ac:dyDescent="0.35">
      <c r="A1333" s="31" t="s">
        <v>3042</v>
      </c>
      <c r="B1333" s="31" t="s">
        <v>497</v>
      </c>
      <c r="C1333" s="31" t="s">
        <v>498</v>
      </c>
      <c r="D1333" s="31" t="s">
        <v>655</v>
      </c>
      <c r="E1333" s="31" t="s">
        <v>656</v>
      </c>
      <c r="F1333" s="31" t="s">
        <v>261</v>
      </c>
      <c r="G1333" s="32">
        <v>3</v>
      </c>
      <c r="H1333" s="33">
        <v>0.1</v>
      </c>
      <c r="I1333" s="34">
        <v>250.31899999999999</v>
      </c>
      <c r="J1333" s="34">
        <v>826.05269999999996</v>
      </c>
      <c r="K1333" s="31" t="s">
        <v>3043</v>
      </c>
      <c r="L1333" s="31">
        <v>2</v>
      </c>
      <c r="M1333" s="31" t="s">
        <v>3045</v>
      </c>
      <c r="N1333" s="34">
        <v>3.25</v>
      </c>
      <c r="O1333" s="35">
        <v>0</v>
      </c>
      <c r="P1333" s="35">
        <v>11</v>
      </c>
      <c r="Q1333" s="35">
        <v>0</v>
      </c>
      <c r="R1333" s="36">
        <v>18.04</v>
      </c>
      <c r="S1333" s="37">
        <f>IFERROR(_xlfn.XLOOKUP(R1333,'1_Presupuesto'!$E:$E,'1_Presupuesto'!$D:$D),"")</f>
        <v>0</v>
      </c>
    </row>
    <row r="1334" spans="1:19" x14ac:dyDescent="0.35">
      <c r="A1334" s="31" t="s">
        <v>3042</v>
      </c>
      <c r="B1334" s="31" t="s">
        <v>497</v>
      </c>
      <c r="C1334" s="31" t="s">
        <v>498</v>
      </c>
      <c r="D1334" s="31" t="s">
        <v>658</v>
      </c>
      <c r="E1334" s="31" t="s">
        <v>659</v>
      </c>
      <c r="F1334" s="31" t="s">
        <v>261</v>
      </c>
      <c r="G1334" s="32">
        <v>2</v>
      </c>
      <c r="H1334" s="33">
        <v>0.1</v>
      </c>
      <c r="I1334" s="34">
        <v>110.121</v>
      </c>
      <c r="J1334" s="34">
        <v>242.2662</v>
      </c>
      <c r="K1334" s="31" t="s">
        <v>3043</v>
      </c>
      <c r="L1334" s="31">
        <v>3</v>
      </c>
      <c r="M1334" s="31" t="s">
        <v>3046</v>
      </c>
      <c r="N1334" s="34">
        <v>3.25</v>
      </c>
      <c r="O1334" s="35">
        <v>0</v>
      </c>
      <c r="P1334" s="35">
        <v>11</v>
      </c>
      <c r="Q1334" s="35">
        <v>0</v>
      </c>
      <c r="R1334" s="36">
        <v>18.04</v>
      </c>
      <c r="S1334" s="37">
        <f>IFERROR(_xlfn.XLOOKUP(R1334,'1_Presupuesto'!$E:$E,'1_Presupuesto'!$D:$D),"")</f>
        <v>0</v>
      </c>
    </row>
    <row r="1335" spans="1:19" x14ac:dyDescent="0.35">
      <c r="A1335" s="31" t="s">
        <v>3042</v>
      </c>
      <c r="B1335" s="31" t="s">
        <v>497</v>
      </c>
      <c r="C1335" s="31" t="s">
        <v>498</v>
      </c>
      <c r="D1335" s="31" t="s">
        <v>820</v>
      </c>
      <c r="E1335" s="31" t="s">
        <v>821</v>
      </c>
      <c r="F1335" s="31" t="s">
        <v>223</v>
      </c>
      <c r="G1335" s="32">
        <v>7.5</v>
      </c>
      <c r="H1335" s="33">
        <v>0.1</v>
      </c>
      <c r="I1335" s="34">
        <v>339.47162557191899</v>
      </c>
      <c r="J1335" s="34">
        <v>2800.64091096833</v>
      </c>
      <c r="K1335" s="31" t="s">
        <v>3043</v>
      </c>
      <c r="L1335" s="31">
        <v>4</v>
      </c>
      <c r="M1335" s="31" t="s">
        <v>3047</v>
      </c>
      <c r="N1335" s="34">
        <v>3.25</v>
      </c>
      <c r="O1335" s="35">
        <v>0</v>
      </c>
      <c r="P1335" s="35">
        <v>11</v>
      </c>
      <c r="Q1335" s="35">
        <v>0</v>
      </c>
      <c r="R1335" s="36">
        <v>18.04</v>
      </c>
      <c r="S1335" s="37">
        <f>IFERROR(_xlfn.XLOOKUP(R1335,'1_Presupuesto'!$E:$E,'1_Presupuesto'!$D:$D),"")</f>
        <v>0</v>
      </c>
    </row>
    <row r="1336" spans="1:19" x14ac:dyDescent="0.35">
      <c r="A1336" s="31" t="s">
        <v>3042</v>
      </c>
      <c r="B1336" s="31" t="s">
        <v>497</v>
      </c>
      <c r="C1336" s="31" t="s">
        <v>498</v>
      </c>
      <c r="D1336" s="31" t="s">
        <v>661</v>
      </c>
      <c r="E1336" s="31" t="s">
        <v>662</v>
      </c>
      <c r="F1336" s="31" t="s">
        <v>663</v>
      </c>
      <c r="G1336" s="32">
        <v>5</v>
      </c>
      <c r="H1336" s="33">
        <v>0.1</v>
      </c>
      <c r="I1336" s="34">
        <v>546.37687500000004</v>
      </c>
      <c r="J1336" s="34">
        <v>3005.0728125000001</v>
      </c>
      <c r="K1336" s="31" t="s">
        <v>3043</v>
      </c>
      <c r="L1336" s="31">
        <v>5</v>
      </c>
      <c r="M1336" s="31" t="s">
        <v>3048</v>
      </c>
      <c r="N1336" s="34">
        <v>3.25</v>
      </c>
      <c r="O1336" s="35">
        <v>0</v>
      </c>
      <c r="P1336" s="35">
        <v>11</v>
      </c>
      <c r="Q1336" s="35">
        <v>0</v>
      </c>
      <c r="R1336" s="36">
        <v>18.04</v>
      </c>
      <c r="S1336" s="37">
        <f>IFERROR(_xlfn.XLOOKUP(R1336,'1_Presupuesto'!$E:$E,'1_Presupuesto'!$D:$D),"")</f>
        <v>0</v>
      </c>
    </row>
    <row r="1337" spans="1:19" x14ac:dyDescent="0.35">
      <c r="A1337" s="31" t="s">
        <v>3042</v>
      </c>
      <c r="B1337" s="31" t="s">
        <v>497</v>
      </c>
      <c r="C1337" s="31" t="s">
        <v>498</v>
      </c>
      <c r="D1337" s="31" t="s">
        <v>661</v>
      </c>
      <c r="E1337" s="31" t="s">
        <v>662</v>
      </c>
      <c r="F1337" s="31" t="s">
        <v>663</v>
      </c>
      <c r="G1337" s="32">
        <v>7.5</v>
      </c>
      <c r="H1337" s="33">
        <v>0.1</v>
      </c>
      <c r="I1337" s="34">
        <v>546.37687500000004</v>
      </c>
      <c r="J1337" s="34">
        <v>4507.6092187499999</v>
      </c>
      <c r="K1337" s="31" t="s">
        <v>3043</v>
      </c>
      <c r="L1337" s="31">
        <v>6</v>
      </c>
      <c r="M1337" s="31" t="s">
        <v>3049</v>
      </c>
      <c r="N1337" s="34">
        <v>3.25</v>
      </c>
      <c r="O1337" s="35">
        <v>0</v>
      </c>
      <c r="P1337" s="35">
        <v>11</v>
      </c>
      <c r="Q1337" s="35">
        <v>0</v>
      </c>
      <c r="R1337" s="36">
        <v>18.04</v>
      </c>
      <c r="S1337" s="37">
        <f>IFERROR(_xlfn.XLOOKUP(R1337,'1_Presupuesto'!$E:$E,'1_Presupuesto'!$D:$D),"")</f>
        <v>0</v>
      </c>
    </row>
    <row r="1338" spans="1:19" x14ac:dyDescent="0.35">
      <c r="A1338" s="31" t="s">
        <v>3042</v>
      </c>
      <c r="B1338" s="31" t="s">
        <v>497</v>
      </c>
      <c r="C1338" s="31" t="s">
        <v>498</v>
      </c>
      <c r="D1338" s="31" t="s">
        <v>666</v>
      </c>
      <c r="E1338" s="31" t="s">
        <v>667</v>
      </c>
      <c r="F1338" s="31" t="s">
        <v>261</v>
      </c>
      <c r="G1338" s="32">
        <v>0.5</v>
      </c>
      <c r="H1338" s="33">
        <v>0.05</v>
      </c>
      <c r="I1338" s="34">
        <v>217.14975799999999</v>
      </c>
      <c r="J1338" s="34">
        <v>114.00362294999999</v>
      </c>
      <c r="K1338" s="31" t="s">
        <v>3043</v>
      </c>
      <c r="L1338" s="31">
        <v>7</v>
      </c>
      <c r="M1338" s="31" t="s">
        <v>3050</v>
      </c>
      <c r="N1338" s="34">
        <v>3.25</v>
      </c>
      <c r="O1338" s="35">
        <v>0</v>
      </c>
      <c r="P1338" s="35">
        <v>11</v>
      </c>
      <c r="Q1338" s="35">
        <v>0</v>
      </c>
      <c r="R1338" s="36">
        <v>18.04</v>
      </c>
      <c r="S1338" s="37">
        <f>IFERROR(_xlfn.XLOOKUP(R1338,'1_Presupuesto'!$E:$E,'1_Presupuesto'!$D:$D),"")</f>
        <v>0</v>
      </c>
    </row>
    <row r="1339" spans="1:19" x14ac:dyDescent="0.35">
      <c r="A1339" s="31" t="s">
        <v>3042</v>
      </c>
      <c r="B1339" s="31" t="s">
        <v>497</v>
      </c>
      <c r="C1339" s="31" t="s">
        <v>498</v>
      </c>
      <c r="D1339" s="31" t="s">
        <v>666</v>
      </c>
      <c r="E1339" s="31" t="s">
        <v>667</v>
      </c>
      <c r="F1339" s="31" t="s">
        <v>261</v>
      </c>
      <c r="G1339" s="32">
        <v>1</v>
      </c>
      <c r="H1339" s="33">
        <v>0.05</v>
      </c>
      <c r="I1339" s="34">
        <v>217.14975799999999</v>
      </c>
      <c r="J1339" s="34">
        <v>228.00724589999999</v>
      </c>
      <c r="K1339" s="31" t="s">
        <v>3043</v>
      </c>
      <c r="L1339" s="31">
        <v>8</v>
      </c>
      <c r="M1339" s="31" t="s">
        <v>3051</v>
      </c>
      <c r="N1339" s="34">
        <v>3.25</v>
      </c>
      <c r="O1339" s="35">
        <v>0</v>
      </c>
      <c r="P1339" s="35">
        <v>11</v>
      </c>
      <c r="Q1339" s="35">
        <v>0</v>
      </c>
      <c r="R1339" s="36">
        <v>18.04</v>
      </c>
      <c r="S1339" s="37">
        <f>IFERROR(_xlfn.XLOOKUP(R1339,'1_Presupuesto'!$E:$E,'1_Presupuesto'!$D:$D),"")</f>
        <v>0</v>
      </c>
    </row>
    <row r="1340" spans="1:19" x14ac:dyDescent="0.35">
      <c r="A1340" s="31" t="s">
        <v>3042</v>
      </c>
      <c r="B1340" s="31" t="s">
        <v>497</v>
      </c>
      <c r="C1340" s="31" t="s">
        <v>498</v>
      </c>
      <c r="D1340" s="31" t="s">
        <v>597</v>
      </c>
      <c r="E1340" s="31" t="s">
        <v>598</v>
      </c>
      <c r="F1340" s="31" t="s">
        <v>218</v>
      </c>
      <c r="G1340" s="32">
        <v>3056.31659426235</v>
      </c>
      <c r="H1340" s="33">
        <v>0</v>
      </c>
      <c r="I1340" s="34">
        <v>1</v>
      </c>
      <c r="J1340" s="34">
        <v>3056.31659426235</v>
      </c>
      <c r="K1340" s="31" t="s">
        <v>3043</v>
      </c>
      <c r="L1340" s="31">
        <v>9</v>
      </c>
      <c r="M1340" s="31" t="s">
        <v>3052</v>
      </c>
      <c r="N1340" s="34">
        <v>3.25</v>
      </c>
      <c r="O1340" s="35">
        <v>0</v>
      </c>
      <c r="P1340" s="35">
        <v>11</v>
      </c>
      <c r="Q1340" s="35">
        <v>0</v>
      </c>
      <c r="R1340" s="36">
        <v>18.04</v>
      </c>
      <c r="S1340" s="37">
        <f>IFERROR(_xlfn.XLOOKUP(R1340,'1_Presupuesto'!$E:$E,'1_Presupuesto'!$D:$D),"")</f>
        <v>0</v>
      </c>
    </row>
    <row r="1341" spans="1:19" x14ac:dyDescent="0.35">
      <c r="A1341" s="31" t="s">
        <v>3042</v>
      </c>
      <c r="B1341" s="31" t="s">
        <v>203</v>
      </c>
      <c r="C1341" s="31"/>
      <c r="D1341" s="31" t="s">
        <v>641</v>
      </c>
      <c r="E1341" s="31" t="s">
        <v>642</v>
      </c>
      <c r="F1341" s="31"/>
      <c r="G1341" s="32">
        <v>1</v>
      </c>
      <c r="H1341" s="33">
        <v>0</v>
      </c>
      <c r="I1341" s="34">
        <v>5503.0404388678899</v>
      </c>
      <c r="J1341" s="34">
        <v>5503.0404388678899</v>
      </c>
      <c r="K1341" s="31" t="s">
        <v>3053</v>
      </c>
      <c r="L1341" s="31">
        <v>1</v>
      </c>
      <c r="M1341" s="31" t="s">
        <v>3054</v>
      </c>
      <c r="N1341" s="34">
        <v>3.25</v>
      </c>
      <c r="O1341" s="35">
        <v>0</v>
      </c>
      <c r="P1341" s="35">
        <v>11</v>
      </c>
      <c r="Q1341" s="35">
        <v>0</v>
      </c>
      <c r="R1341" s="36">
        <v>18.04</v>
      </c>
      <c r="S1341" s="37">
        <f>IFERROR(_xlfn.XLOOKUP(R1341,'1_Presupuesto'!$E:$E,'1_Presupuesto'!$D:$D),"")</f>
        <v>0</v>
      </c>
    </row>
    <row r="1342" spans="1:19" x14ac:dyDescent="0.35">
      <c r="A1342" s="31" t="s">
        <v>3042</v>
      </c>
      <c r="B1342" s="31" t="s">
        <v>203</v>
      </c>
      <c r="C1342" s="31"/>
      <c r="D1342" s="31" t="s">
        <v>613</v>
      </c>
      <c r="E1342" s="31" t="s">
        <v>614</v>
      </c>
      <c r="F1342" s="31"/>
      <c r="G1342" s="32">
        <v>0.5</v>
      </c>
      <c r="H1342" s="33">
        <v>0</v>
      </c>
      <c r="I1342" s="34">
        <v>620.81078197718296</v>
      </c>
      <c r="J1342" s="34">
        <v>310.40539098859199</v>
      </c>
      <c r="K1342" s="31" t="s">
        <v>3053</v>
      </c>
      <c r="L1342" s="31">
        <v>2</v>
      </c>
      <c r="M1342" s="31" t="s">
        <v>3055</v>
      </c>
      <c r="N1342" s="34">
        <v>3.25</v>
      </c>
      <c r="O1342" s="35">
        <v>0</v>
      </c>
      <c r="P1342" s="35">
        <v>11</v>
      </c>
      <c r="Q1342" s="35">
        <v>0</v>
      </c>
      <c r="R1342" s="36">
        <v>18.04</v>
      </c>
      <c r="S1342" s="37">
        <f>IFERROR(_xlfn.XLOOKUP(R1342,'1_Presupuesto'!$E:$E,'1_Presupuesto'!$D:$D),"")</f>
        <v>0</v>
      </c>
    </row>
    <row r="1343" spans="1:19" x14ac:dyDescent="0.35">
      <c r="A1343" s="31" t="s">
        <v>3042</v>
      </c>
      <c r="B1343" s="31" t="s">
        <v>203</v>
      </c>
      <c r="C1343" s="31"/>
      <c r="D1343" s="31" t="s">
        <v>572</v>
      </c>
      <c r="E1343" s="31" t="s">
        <v>573</v>
      </c>
      <c r="F1343" s="31"/>
      <c r="G1343" s="32">
        <v>0.5</v>
      </c>
      <c r="H1343" s="33">
        <v>0</v>
      </c>
      <c r="I1343" s="34">
        <v>152.380274273738</v>
      </c>
      <c r="J1343" s="34">
        <v>76.190137136869097</v>
      </c>
      <c r="K1343" s="31" t="s">
        <v>3053</v>
      </c>
      <c r="L1343" s="31">
        <v>3</v>
      </c>
      <c r="M1343" s="31" t="s">
        <v>3056</v>
      </c>
      <c r="N1343" s="34">
        <v>3.25</v>
      </c>
      <c r="O1343" s="35">
        <v>0</v>
      </c>
      <c r="P1343" s="35">
        <v>11</v>
      </c>
      <c r="Q1343" s="35">
        <v>0</v>
      </c>
      <c r="R1343" s="36">
        <v>18.04</v>
      </c>
      <c r="S1343" s="37">
        <f>IFERROR(_xlfn.XLOOKUP(R1343,'1_Presupuesto'!$E:$E,'1_Presupuesto'!$D:$D),"")</f>
        <v>0</v>
      </c>
    </row>
    <row r="1344" spans="1:19" x14ac:dyDescent="0.35">
      <c r="A1344" s="31" t="s">
        <v>3057</v>
      </c>
      <c r="B1344" s="31" t="s">
        <v>497</v>
      </c>
      <c r="C1344" s="31" t="s">
        <v>498</v>
      </c>
      <c r="D1344" s="31" t="s">
        <v>651</v>
      </c>
      <c r="E1344" s="31" t="s">
        <v>652</v>
      </c>
      <c r="F1344" s="31" t="s">
        <v>261</v>
      </c>
      <c r="G1344" s="32">
        <v>5</v>
      </c>
      <c r="H1344" s="33">
        <v>0.05</v>
      </c>
      <c r="I1344" s="34">
        <v>504.29656699999998</v>
      </c>
      <c r="J1344" s="34">
        <v>2647.5569767500001</v>
      </c>
      <c r="K1344" s="31" t="s">
        <v>3058</v>
      </c>
      <c r="L1344" s="31">
        <v>1</v>
      </c>
      <c r="M1344" s="31" t="s">
        <v>3059</v>
      </c>
      <c r="N1344" s="34">
        <v>3.25</v>
      </c>
      <c r="O1344" s="35">
        <v>0</v>
      </c>
      <c r="P1344" s="35">
        <v>313</v>
      </c>
      <c r="Q1344" s="35">
        <v>0</v>
      </c>
      <c r="R1344" s="36">
        <v>18.05</v>
      </c>
      <c r="S1344" s="37">
        <f>IFERROR(_xlfn.XLOOKUP(R1344,'1_Presupuesto'!$E:$E,'1_Presupuesto'!$D:$D),"")</f>
        <v>0</v>
      </c>
    </row>
    <row r="1345" spans="1:19" x14ac:dyDescent="0.35">
      <c r="A1345" s="31" t="s">
        <v>3057</v>
      </c>
      <c r="B1345" s="31" t="s">
        <v>497</v>
      </c>
      <c r="C1345" s="31" t="s">
        <v>498</v>
      </c>
      <c r="D1345" s="31" t="s">
        <v>655</v>
      </c>
      <c r="E1345" s="31" t="s">
        <v>656</v>
      </c>
      <c r="F1345" s="31" t="s">
        <v>261</v>
      </c>
      <c r="G1345" s="32">
        <v>4</v>
      </c>
      <c r="H1345" s="33">
        <v>0.1</v>
      </c>
      <c r="I1345" s="34">
        <v>250.31899999999999</v>
      </c>
      <c r="J1345" s="34">
        <v>1101.4036000000001</v>
      </c>
      <c r="K1345" s="31" t="s">
        <v>3058</v>
      </c>
      <c r="L1345" s="31">
        <v>2</v>
      </c>
      <c r="M1345" s="31" t="s">
        <v>3060</v>
      </c>
      <c r="N1345" s="34">
        <v>3.25</v>
      </c>
      <c r="O1345" s="35">
        <v>0</v>
      </c>
      <c r="P1345" s="35">
        <v>313</v>
      </c>
      <c r="Q1345" s="35">
        <v>0</v>
      </c>
      <c r="R1345" s="36">
        <v>18.05</v>
      </c>
      <c r="S1345" s="37">
        <f>IFERROR(_xlfn.XLOOKUP(R1345,'1_Presupuesto'!$E:$E,'1_Presupuesto'!$D:$D),"")</f>
        <v>0</v>
      </c>
    </row>
    <row r="1346" spans="1:19" x14ac:dyDescent="0.35">
      <c r="A1346" s="31" t="s">
        <v>3057</v>
      </c>
      <c r="B1346" s="31" t="s">
        <v>497</v>
      </c>
      <c r="C1346" s="31" t="s">
        <v>498</v>
      </c>
      <c r="D1346" s="31" t="s">
        <v>658</v>
      </c>
      <c r="E1346" s="31" t="s">
        <v>659</v>
      </c>
      <c r="F1346" s="31" t="s">
        <v>261</v>
      </c>
      <c r="G1346" s="32">
        <v>1.2</v>
      </c>
      <c r="H1346" s="33">
        <v>0.1</v>
      </c>
      <c r="I1346" s="34">
        <v>110.121</v>
      </c>
      <c r="J1346" s="34">
        <v>145.35972000000001</v>
      </c>
      <c r="K1346" s="31" t="s">
        <v>3058</v>
      </c>
      <c r="L1346" s="31">
        <v>3</v>
      </c>
      <c r="M1346" s="31" t="s">
        <v>3061</v>
      </c>
      <c r="N1346" s="34">
        <v>3.25</v>
      </c>
      <c r="O1346" s="35">
        <v>0</v>
      </c>
      <c r="P1346" s="35">
        <v>313</v>
      </c>
      <c r="Q1346" s="35">
        <v>0</v>
      </c>
      <c r="R1346" s="36">
        <v>18.05</v>
      </c>
      <c r="S1346" s="37">
        <f>IFERROR(_xlfn.XLOOKUP(R1346,'1_Presupuesto'!$E:$E,'1_Presupuesto'!$D:$D),"")</f>
        <v>0</v>
      </c>
    </row>
    <row r="1347" spans="1:19" x14ac:dyDescent="0.35">
      <c r="A1347" s="31" t="s">
        <v>3057</v>
      </c>
      <c r="B1347" s="31" t="s">
        <v>497</v>
      </c>
      <c r="C1347" s="31" t="s">
        <v>498</v>
      </c>
      <c r="D1347" s="31" t="s">
        <v>661</v>
      </c>
      <c r="E1347" s="31" t="s">
        <v>662</v>
      </c>
      <c r="F1347" s="31" t="s">
        <v>663</v>
      </c>
      <c r="G1347" s="32">
        <v>5</v>
      </c>
      <c r="H1347" s="33">
        <v>0.1</v>
      </c>
      <c r="I1347" s="34">
        <v>546.37687500000004</v>
      </c>
      <c r="J1347" s="34">
        <v>3005.0728125000001</v>
      </c>
      <c r="K1347" s="31" t="s">
        <v>3058</v>
      </c>
      <c r="L1347" s="31">
        <v>4</v>
      </c>
      <c r="M1347" s="31" t="s">
        <v>3062</v>
      </c>
      <c r="N1347" s="34">
        <v>3.25</v>
      </c>
      <c r="O1347" s="35">
        <v>0</v>
      </c>
      <c r="P1347" s="35">
        <v>313</v>
      </c>
      <c r="Q1347" s="35">
        <v>0</v>
      </c>
      <c r="R1347" s="36">
        <v>18.05</v>
      </c>
      <c r="S1347" s="37">
        <f>IFERROR(_xlfn.XLOOKUP(R1347,'1_Presupuesto'!$E:$E,'1_Presupuesto'!$D:$D),"")</f>
        <v>0</v>
      </c>
    </row>
    <row r="1348" spans="1:19" x14ac:dyDescent="0.35">
      <c r="A1348" s="31" t="s">
        <v>3057</v>
      </c>
      <c r="B1348" s="31" t="s">
        <v>497</v>
      </c>
      <c r="C1348" s="31" t="s">
        <v>498</v>
      </c>
      <c r="D1348" s="31" t="s">
        <v>661</v>
      </c>
      <c r="E1348" s="31" t="s">
        <v>662</v>
      </c>
      <c r="F1348" s="31" t="s">
        <v>663</v>
      </c>
      <c r="G1348" s="32">
        <v>10</v>
      </c>
      <c r="H1348" s="33">
        <v>0.1</v>
      </c>
      <c r="I1348" s="34">
        <v>546.37687500000004</v>
      </c>
      <c r="J1348" s="34">
        <v>6010.1456250000001</v>
      </c>
      <c r="K1348" s="31" t="s">
        <v>3058</v>
      </c>
      <c r="L1348" s="31">
        <v>5</v>
      </c>
      <c r="M1348" s="31" t="s">
        <v>3063</v>
      </c>
      <c r="N1348" s="34">
        <v>3.25</v>
      </c>
      <c r="O1348" s="35">
        <v>0</v>
      </c>
      <c r="P1348" s="35">
        <v>313</v>
      </c>
      <c r="Q1348" s="35">
        <v>0</v>
      </c>
      <c r="R1348" s="36">
        <v>18.05</v>
      </c>
      <c r="S1348" s="37">
        <f>IFERROR(_xlfn.XLOOKUP(R1348,'1_Presupuesto'!$E:$E,'1_Presupuesto'!$D:$D),"")</f>
        <v>0</v>
      </c>
    </row>
    <row r="1349" spans="1:19" x14ac:dyDescent="0.35">
      <c r="A1349" s="31" t="s">
        <v>3057</v>
      </c>
      <c r="B1349" s="31" t="s">
        <v>497</v>
      </c>
      <c r="C1349" s="31" t="s">
        <v>498</v>
      </c>
      <c r="D1349" s="31" t="s">
        <v>666</v>
      </c>
      <c r="E1349" s="31" t="s">
        <v>667</v>
      </c>
      <c r="F1349" s="31" t="s">
        <v>261</v>
      </c>
      <c r="G1349" s="32">
        <v>1</v>
      </c>
      <c r="H1349" s="33">
        <v>0.05</v>
      </c>
      <c r="I1349" s="34">
        <v>217.14975799999999</v>
      </c>
      <c r="J1349" s="34">
        <v>228.00724589999999</v>
      </c>
      <c r="K1349" s="31" t="s">
        <v>3058</v>
      </c>
      <c r="L1349" s="31">
        <v>6</v>
      </c>
      <c r="M1349" s="31" t="s">
        <v>3064</v>
      </c>
      <c r="N1349" s="34">
        <v>3.25</v>
      </c>
      <c r="O1349" s="35">
        <v>0</v>
      </c>
      <c r="P1349" s="35">
        <v>313</v>
      </c>
      <c r="Q1349" s="35">
        <v>0</v>
      </c>
      <c r="R1349" s="36">
        <v>18.05</v>
      </c>
      <c r="S1349" s="37">
        <f>IFERROR(_xlfn.XLOOKUP(R1349,'1_Presupuesto'!$E:$E,'1_Presupuesto'!$D:$D),"")</f>
        <v>0</v>
      </c>
    </row>
    <row r="1350" spans="1:19" x14ac:dyDescent="0.35">
      <c r="A1350" s="31" t="s">
        <v>3057</v>
      </c>
      <c r="B1350" s="31" t="s">
        <v>497</v>
      </c>
      <c r="C1350" s="31" t="s">
        <v>498</v>
      </c>
      <c r="D1350" s="31" t="s">
        <v>597</v>
      </c>
      <c r="E1350" s="31" t="s">
        <v>598</v>
      </c>
      <c r="F1350" s="31" t="s">
        <v>218</v>
      </c>
      <c r="G1350" s="32">
        <v>2758.8846554716301</v>
      </c>
      <c r="H1350" s="33">
        <v>0</v>
      </c>
      <c r="I1350" s="34">
        <v>1</v>
      </c>
      <c r="J1350" s="34">
        <v>2758.8846554716301</v>
      </c>
      <c r="K1350" s="31" t="s">
        <v>3058</v>
      </c>
      <c r="L1350" s="31">
        <v>7</v>
      </c>
      <c r="M1350" s="31" t="s">
        <v>3065</v>
      </c>
      <c r="N1350" s="34">
        <v>3.25</v>
      </c>
      <c r="O1350" s="35">
        <v>0</v>
      </c>
      <c r="P1350" s="35">
        <v>313</v>
      </c>
      <c r="Q1350" s="35">
        <v>0</v>
      </c>
      <c r="R1350" s="36">
        <v>18.05</v>
      </c>
      <c r="S1350" s="37">
        <f>IFERROR(_xlfn.XLOOKUP(R1350,'1_Presupuesto'!$E:$E,'1_Presupuesto'!$D:$D),"")</f>
        <v>0</v>
      </c>
    </row>
    <row r="1351" spans="1:19" x14ac:dyDescent="0.35">
      <c r="A1351" s="31" t="s">
        <v>3057</v>
      </c>
      <c r="B1351" s="31" t="s">
        <v>203</v>
      </c>
      <c r="C1351" s="31"/>
      <c r="D1351" s="31" t="s">
        <v>641</v>
      </c>
      <c r="E1351" s="31" t="s">
        <v>642</v>
      </c>
      <c r="F1351" s="31"/>
      <c r="G1351" s="32">
        <v>1</v>
      </c>
      <c r="H1351" s="33">
        <v>0</v>
      </c>
      <c r="I1351" s="34">
        <v>5503.0404388678899</v>
      </c>
      <c r="J1351" s="34">
        <v>5503.0404388678899</v>
      </c>
      <c r="K1351" s="31" t="s">
        <v>3066</v>
      </c>
      <c r="L1351" s="31">
        <v>1</v>
      </c>
      <c r="M1351" s="31" t="s">
        <v>3067</v>
      </c>
      <c r="N1351" s="34">
        <v>3.25</v>
      </c>
      <c r="O1351" s="35">
        <v>0</v>
      </c>
      <c r="P1351" s="35">
        <v>313</v>
      </c>
      <c r="Q1351" s="35">
        <v>0</v>
      </c>
      <c r="R1351" s="36">
        <v>18.05</v>
      </c>
      <c r="S1351" s="37">
        <f>IFERROR(_xlfn.XLOOKUP(R1351,'1_Presupuesto'!$E:$E,'1_Presupuesto'!$D:$D),"")</f>
        <v>0</v>
      </c>
    </row>
    <row r="1352" spans="1:19" x14ac:dyDescent="0.35">
      <c r="A1352" s="31" t="s">
        <v>3057</v>
      </c>
      <c r="B1352" s="31" t="s">
        <v>203</v>
      </c>
      <c r="C1352" s="31"/>
      <c r="D1352" s="31" t="s">
        <v>613</v>
      </c>
      <c r="E1352" s="31" t="s">
        <v>614</v>
      </c>
      <c r="F1352" s="31"/>
      <c r="G1352" s="32">
        <v>0.5</v>
      </c>
      <c r="H1352" s="33">
        <v>0</v>
      </c>
      <c r="I1352" s="34">
        <v>620.81078197718296</v>
      </c>
      <c r="J1352" s="34">
        <v>310.40539098859199</v>
      </c>
      <c r="K1352" s="31" t="s">
        <v>3066</v>
      </c>
      <c r="L1352" s="31">
        <v>2</v>
      </c>
      <c r="M1352" s="31" t="s">
        <v>3068</v>
      </c>
      <c r="N1352" s="34">
        <v>3.25</v>
      </c>
      <c r="O1352" s="35">
        <v>0</v>
      </c>
      <c r="P1352" s="35">
        <v>313</v>
      </c>
      <c r="Q1352" s="35">
        <v>0</v>
      </c>
      <c r="R1352" s="36">
        <v>18.05</v>
      </c>
      <c r="S1352" s="37">
        <f>IFERROR(_xlfn.XLOOKUP(R1352,'1_Presupuesto'!$E:$E,'1_Presupuesto'!$D:$D),"")</f>
        <v>0</v>
      </c>
    </row>
    <row r="1353" spans="1:19" x14ac:dyDescent="0.35">
      <c r="A1353" s="31" t="s">
        <v>3057</v>
      </c>
      <c r="B1353" s="31" t="s">
        <v>203</v>
      </c>
      <c r="C1353" s="31"/>
      <c r="D1353" s="31" t="s">
        <v>572</v>
      </c>
      <c r="E1353" s="31" t="s">
        <v>573</v>
      </c>
      <c r="F1353" s="31"/>
      <c r="G1353" s="32">
        <v>0.5</v>
      </c>
      <c r="H1353" s="33">
        <v>0</v>
      </c>
      <c r="I1353" s="34">
        <v>152.380274273738</v>
      </c>
      <c r="J1353" s="34">
        <v>76.190137136869097</v>
      </c>
      <c r="K1353" s="31" t="s">
        <v>3066</v>
      </c>
      <c r="L1353" s="31">
        <v>3</v>
      </c>
      <c r="M1353" s="31" t="s">
        <v>3069</v>
      </c>
      <c r="N1353" s="34">
        <v>3.25</v>
      </c>
      <c r="O1353" s="35">
        <v>0</v>
      </c>
      <c r="P1353" s="35">
        <v>313</v>
      </c>
      <c r="Q1353" s="35">
        <v>0</v>
      </c>
      <c r="R1353" s="36">
        <v>18.05</v>
      </c>
      <c r="S1353" s="37">
        <f>IFERROR(_xlfn.XLOOKUP(R1353,'1_Presupuesto'!$E:$E,'1_Presupuesto'!$D:$D),"")</f>
        <v>0</v>
      </c>
    </row>
    <row r="1354" spans="1:19" x14ac:dyDescent="0.35">
      <c r="A1354" s="31" t="s">
        <v>3070</v>
      </c>
      <c r="B1354" s="31" t="s">
        <v>497</v>
      </c>
      <c r="C1354" s="31" t="s">
        <v>498</v>
      </c>
      <c r="D1354" s="31" t="s">
        <v>3071</v>
      </c>
      <c r="E1354" s="31" t="s">
        <v>3072</v>
      </c>
      <c r="F1354" s="31" t="s">
        <v>261</v>
      </c>
      <c r="G1354" s="32">
        <v>7.5</v>
      </c>
      <c r="H1354" s="33">
        <v>0.1</v>
      </c>
      <c r="I1354" s="34">
        <v>529.85400000000004</v>
      </c>
      <c r="J1354" s="34">
        <v>4371.2955000000002</v>
      </c>
      <c r="K1354" s="31" t="s">
        <v>3073</v>
      </c>
      <c r="L1354" s="31">
        <v>1</v>
      </c>
      <c r="M1354" s="31" t="s">
        <v>3074</v>
      </c>
      <c r="N1354" s="34">
        <v>3.25</v>
      </c>
      <c r="O1354" s="35">
        <v>0</v>
      </c>
      <c r="P1354" s="35">
        <v>40</v>
      </c>
      <c r="Q1354" s="35">
        <v>0</v>
      </c>
      <c r="R1354" s="36">
        <v>18.059999999999999</v>
      </c>
      <c r="S1354" s="37">
        <f>IFERROR(_xlfn.XLOOKUP(R1354,'1_Presupuesto'!$E:$E,'1_Presupuesto'!$D:$D),"")</f>
        <v>0</v>
      </c>
    </row>
    <row r="1355" spans="1:19" x14ac:dyDescent="0.35">
      <c r="A1355" s="31" t="s">
        <v>3070</v>
      </c>
      <c r="B1355" s="31" t="s">
        <v>497</v>
      </c>
      <c r="C1355" s="31" t="s">
        <v>498</v>
      </c>
      <c r="D1355" s="31" t="s">
        <v>3075</v>
      </c>
      <c r="E1355" s="31" t="s">
        <v>3076</v>
      </c>
      <c r="F1355" s="31" t="s">
        <v>261</v>
      </c>
      <c r="G1355" s="32">
        <v>3</v>
      </c>
      <c r="H1355" s="33">
        <v>0.1</v>
      </c>
      <c r="I1355" s="34">
        <v>310.65199999999999</v>
      </c>
      <c r="J1355" s="34">
        <v>1025.1515999999999</v>
      </c>
      <c r="K1355" s="31" t="s">
        <v>3073</v>
      </c>
      <c r="L1355" s="31">
        <v>2</v>
      </c>
      <c r="M1355" s="31" t="s">
        <v>3077</v>
      </c>
      <c r="N1355" s="34">
        <v>3.25</v>
      </c>
      <c r="O1355" s="35">
        <v>0</v>
      </c>
      <c r="P1355" s="35">
        <v>40</v>
      </c>
      <c r="Q1355" s="35">
        <v>0</v>
      </c>
      <c r="R1355" s="36">
        <v>18.059999999999999</v>
      </c>
      <c r="S1355" s="37">
        <f>IFERROR(_xlfn.XLOOKUP(R1355,'1_Presupuesto'!$E:$E,'1_Presupuesto'!$D:$D),"")</f>
        <v>0</v>
      </c>
    </row>
    <row r="1356" spans="1:19" x14ac:dyDescent="0.35">
      <c r="A1356" s="31" t="s">
        <v>3070</v>
      </c>
      <c r="B1356" s="31" t="s">
        <v>497</v>
      </c>
      <c r="C1356" s="31" t="s">
        <v>498</v>
      </c>
      <c r="D1356" s="31" t="s">
        <v>3078</v>
      </c>
      <c r="E1356" s="31" t="s">
        <v>3079</v>
      </c>
      <c r="F1356" s="31" t="s">
        <v>261</v>
      </c>
      <c r="G1356" s="32">
        <v>3</v>
      </c>
      <c r="H1356" s="33">
        <v>0.1</v>
      </c>
      <c r="I1356" s="34">
        <v>119.32</v>
      </c>
      <c r="J1356" s="34">
        <v>393.75599999999997</v>
      </c>
      <c r="K1356" s="31" t="s">
        <v>3073</v>
      </c>
      <c r="L1356" s="31">
        <v>3</v>
      </c>
      <c r="M1356" s="31" t="s">
        <v>3080</v>
      </c>
      <c r="N1356" s="34">
        <v>3.25</v>
      </c>
      <c r="O1356" s="35">
        <v>0</v>
      </c>
      <c r="P1356" s="35">
        <v>40</v>
      </c>
      <c r="Q1356" s="35">
        <v>0</v>
      </c>
      <c r="R1356" s="36">
        <v>18.059999999999999</v>
      </c>
      <c r="S1356" s="37">
        <f>IFERROR(_xlfn.XLOOKUP(R1356,'1_Presupuesto'!$E:$E,'1_Presupuesto'!$D:$D),"")</f>
        <v>0</v>
      </c>
    </row>
    <row r="1357" spans="1:19" x14ac:dyDescent="0.35">
      <c r="A1357" s="31" t="s">
        <v>3070</v>
      </c>
      <c r="B1357" s="31" t="s">
        <v>497</v>
      </c>
      <c r="C1357" s="31" t="s">
        <v>498</v>
      </c>
      <c r="D1357" s="31" t="s">
        <v>3081</v>
      </c>
      <c r="E1357" s="31" t="s">
        <v>3082</v>
      </c>
      <c r="F1357" s="31">
        <v>0</v>
      </c>
      <c r="G1357" s="32">
        <v>7.5</v>
      </c>
      <c r="H1357" s="33">
        <v>0.1</v>
      </c>
      <c r="I1357" s="34">
        <v>895.33241596022003</v>
      </c>
      <c r="J1357" s="34">
        <v>7386.4924316718198</v>
      </c>
      <c r="K1357" s="31" t="s">
        <v>3073</v>
      </c>
      <c r="L1357" s="31">
        <v>4</v>
      </c>
      <c r="M1357" s="31" t="s">
        <v>3083</v>
      </c>
      <c r="N1357" s="34">
        <v>3.25</v>
      </c>
      <c r="O1357" s="35">
        <v>0</v>
      </c>
      <c r="P1357" s="35">
        <v>40</v>
      </c>
      <c r="Q1357" s="35">
        <v>0</v>
      </c>
      <c r="R1357" s="36">
        <v>18.059999999999999</v>
      </c>
      <c r="S1357" s="37">
        <f>IFERROR(_xlfn.XLOOKUP(R1357,'1_Presupuesto'!$E:$E,'1_Presupuesto'!$D:$D),"")</f>
        <v>0</v>
      </c>
    </row>
    <row r="1358" spans="1:19" x14ac:dyDescent="0.35">
      <c r="A1358" s="31" t="s">
        <v>3070</v>
      </c>
      <c r="B1358" s="31" t="s">
        <v>497</v>
      </c>
      <c r="C1358" s="31" t="s">
        <v>498</v>
      </c>
      <c r="D1358" s="31" t="s">
        <v>3081</v>
      </c>
      <c r="E1358" s="31" t="s">
        <v>3082</v>
      </c>
      <c r="F1358" s="31">
        <v>0</v>
      </c>
      <c r="G1358" s="32">
        <v>15</v>
      </c>
      <c r="H1358" s="33">
        <v>0.1</v>
      </c>
      <c r="I1358" s="34">
        <v>895.33241596022003</v>
      </c>
      <c r="J1358" s="34">
        <v>14772.984863343599</v>
      </c>
      <c r="K1358" s="31" t="s">
        <v>3073</v>
      </c>
      <c r="L1358" s="31">
        <v>5</v>
      </c>
      <c r="M1358" s="31" t="s">
        <v>3084</v>
      </c>
      <c r="N1358" s="34">
        <v>3.25</v>
      </c>
      <c r="O1358" s="35">
        <v>0</v>
      </c>
      <c r="P1358" s="35">
        <v>40</v>
      </c>
      <c r="Q1358" s="35">
        <v>0</v>
      </c>
      <c r="R1358" s="36">
        <v>18.059999999999999</v>
      </c>
      <c r="S1358" s="37">
        <f>IFERROR(_xlfn.XLOOKUP(R1358,'1_Presupuesto'!$E:$E,'1_Presupuesto'!$D:$D),"")</f>
        <v>0</v>
      </c>
    </row>
    <row r="1359" spans="1:19" x14ac:dyDescent="0.35">
      <c r="A1359" s="31" t="s">
        <v>3070</v>
      </c>
      <c r="B1359" s="31" t="s">
        <v>497</v>
      </c>
      <c r="C1359" s="31" t="s">
        <v>498</v>
      </c>
      <c r="D1359" s="31" t="s">
        <v>666</v>
      </c>
      <c r="E1359" s="31" t="s">
        <v>667</v>
      </c>
      <c r="F1359" s="31" t="s">
        <v>261</v>
      </c>
      <c r="G1359" s="32">
        <v>1</v>
      </c>
      <c r="H1359" s="33">
        <v>0.05</v>
      </c>
      <c r="I1359" s="34">
        <v>217.14975799999999</v>
      </c>
      <c r="J1359" s="34">
        <v>228.00724589999999</v>
      </c>
      <c r="K1359" s="31" t="s">
        <v>3073</v>
      </c>
      <c r="L1359" s="31">
        <v>6</v>
      </c>
      <c r="M1359" s="31" t="s">
        <v>3085</v>
      </c>
      <c r="N1359" s="34">
        <v>3.25</v>
      </c>
      <c r="O1359" s="35">
        <v>0</v>
      </c>
      <c r="P1359" s="35">
        <v>40</v>
      </c>
      <c r="Q1359" s="35">
        <v>0</v>
      </c>
      <c r="R1359" s="36">
        <v>18.059999999999999</v>
      </c>
      <c r="S1359" s="37">
        <f>IFERROR(_xlfn.XLOOKUP(R1359,'1_Presupuesto'!$E:$E,'1_Presupuesto'!$D:$D),"")</f>
        <v>0</v>
      </c>
    </row>
    <row r="1360" spans="1:19" x14ac:dyDescent="0.35">
      <c r="A1360" s="31" t="s">
        <v>3070</v>
      </c>
      <c r="B1360" s="31" t="s">
        <v>497</v>
      </c>
      <c r="C1360" s="31" t="s">
        <v>498</v>
      </c>
      <c r="D1360" s="31" t="s">
        <v>597</v>
      </c>
      <c r="E1360" s="31" t="s">
        <v>598</v>
      </c>
      <c r="F1360" s="31" t="s">
        <v>218</v>
      </c>
      <c r="G1360" s="32">
        <v>5917.3144044896999</v>
      </c>
      <c r="H1360" s="33">
        <v>0</v>
      </c>
      <c r="I1360" s="34">
        <v>1</v>
      </c>
      <c r="J1360" s="34">
        <v>5917.3144044896999</v>
      </c>
      <c r="K1360" s="31" t="s">
        <v>3073</v>
      </c>
      <c r="L1360" s="31">
        <v>7</v>
      </c>
      <c r="M1360" s="31" t="s">
        <v>3086</v>
      </c>
      <c r="N1360" s="34">
        <v>3.25</v>
      </c>
      <c r="O1360" s="35">
        <v>0</v>
      </c>
      <c r="P1360" s="35">
        <v>40</v>
      </c>
      <c r="Q1360" s="35">
        <v>0</v>
      </c>
      <c r="R1360" s="36">
        <v>18.059999999999999</v>
      </c>
      <c r="S1360" s="37">
        <f>IFERROR(_xlfn.XLOOKUP(R1360,'1_Presupuesto'!$E:$E,'1_Presupuesto'!$D:$D),"")</f>
        <v>0</v>
      </c>
    </row>
    <row r="1361" spans="1:19" x14ac:dyDescent="0.35">
      <c r="A1361" s="31" t="s">
        <v>3070</v>
      </c>
      <c r="B1361" s="31" t="s">
        <v>203</v>
      </c>
      <c r="C1361" s="31"/>
      <c r="D1361" s="31" t="s">
        <v>641</v>
      </c>
      <c r="E1361" s="31" t="s">
        <v>642</v>
      </c>
      <c r="F1361" s="31"/>
      <c r="G1361" s="32">
        <v>1</v>
      </c>
      <c r="H1361" s="33">
        <v>0</v>
      </c>
      <c r="I1361" s="34">
        <v>5503.0404388678899</v>
      </c>
      <c r="J1361" s="34">
        <v>5503.0404388678899</v>
      </c>
      <c r="K1361" s="31" t="s">
        <v>3087</v>
      </c>
      <c r="L1361" s="31">
        <v>1</v>
      </c>
      <c r="M1361" s="31" t="s">
        <v>3088</v>
      </c>
      <c r="N1361" s="34">
        <v>3.25</v>
      </c>
      <c r="O1361" s="35">
        <v>0</v>
      </c>
      <c r="P1361" s="35">
        <v>40</v>
      </c>
      <c r="Q1361" s="35">
        <v>0</v>
      </c>
      <c r="R1361" s="36">
        <v>18.059999999999999</v>
      </c>
      <c r="S1361" s="37">
        <f>IFERROR(_xlfn.XLOOKUP(R1361,'1_Presupuesto'!$E:$E,'1_Presupuesto'!$D:$D),"")</f>
        <v>0</v>
      </c>
    </row>
    <row r="1362" spans="1:19" x14ac:dyDescent="0.35">
      <c r="A1362" s="31" t="s">
        <v>3070</v>
      </c>
      <c r="B1362" s="31" t="s">
        <v>203</v>
      </c>
      <c r="C1362" s="31"/>
      <c r="D1362" s="31" t="s">
        <v>613</v>
      </c>
      <c r="E1362" s="31" t="s">
        <v>614</v>
      </c>
      <c r="F1362" s="31"/>
      <c r="G1362" s="32">
        <v>0.5</v>
      </c>
      <c r="H1362" s="33">
        <v>0</v>
      </c>
      <c r="I1362" s="34">
        <v>620.81078197718296</v>
      </c>
      <c r="J1362" s="34">
        <v>310.40539098859199</v>
      </c>
      <c r="K1362" s="31" t="s">
        <v>3087</v>
      </c>
      <c r="L1362" s="31">
        <v>2</v>
      </c>
      <c r="M1362" s="31" t="s">
        <v>3089</v>
      </c>
      <c r="N1362" s="34">
        <v>3.25</v>
      </c>
      <c r="O1362" s="35">
        <v>0</v>
      </c>
      <c r="P1362" s="35">
        <v>40</v>
      </c>
      <c r="Q1362" s="35">
        <v>0</v>
      </c>
      <c r="R1362" s="36">
        <v>18.059999999999999</v>
      </c>
      <c r="S1362" s="37">
        <f>IFERROR(_xlfn.XLOOKUP(R1362,'1_Presupuesto'!$E:$E,'1_Presupuesto'!$D:$D),"")</f>
        <v>0</v>
      </c>
    </row>
    <row r="1363" spans="1:19" x14ac:dyDescent="0.35">
      <c r="A1363" s="31" t="s">
        <v>3070</v>
      </c>
      <c r="B1363" s="31" t="s">
        <v>203</v>
      </c>
      <c r="C1363" s="31"/>
      <c r="D1363" s="31" t="s">
        <v>572</v>
      </c>
      <c r="E1363" s="31" t="s">
        <v>573</v>
      </c>
      <c r="F1363" s="31"/>
      <c r="G1363" s="32">
        <v>0.5</v>
      </c>
      <c r="H1363" s="33">
        <v>0</v>
      </c>
      <c r="I1363" s="34">
        <v>152.380274273738</v>
      </c>
      <c r="J1363" s="34">
        <v>76.190137136869097</v>
      </c>
      <c r="K1363" s="31" t="s">
        <v>3087</v>
      </c>
      <c r="L1363" s="31">
        <v>3</v>
      </c>
      <c r="M1363" s="31" t="s">
        <v>3090</v>
      </c>
      <c r="N1363" s="34">
        <v>3.25</v>
      </c>
      <c r="O1363" s="35">
        <v>0</v>
      </c>
      <c r="P1363" s="35">
        <v>40</v>
      </c>
      <c r="Q1363" s="35">
        <v>0</v>
      </c>
      <c r="R1363" s="36">
        <v>18.059999999999999</v>
      </c>
      <c r="S1363" s="37">
        <f>IFERROR(_xlfn.XLOOKUP(R1363,'1_Presupuesto'!$E:$E,'1_Presupuesto'!$D:$D),"")</f>
        <v>0</v>
      </c>
    </row>
    <row r="1364" spans="1:19" x14ac:dyDescent="0.35">
      <c r="A1364" s="31" t="s">
        <v>3091</v>
      </c>
      <c r="B1364" s="31" t="s">
        <v>497</v>
      </c>
      <c r="C1364" s="31" t="s">
        <v>498</v>
      </c>
      <c r="D1364" s="31" t="s">
        <v>3071</v>
      </c>
      <c r="E1364" s="31" t="s">
        <v>3072</v>
      </c>
      <c r="F1364" s="31" t="s">
        <v>261</v>
      </c>
      <c r="G1364" s="32">
        <v>7.5</v>
      </c>
      <c r="H1364" s="33">
        <v>0.1</v>
      </c>
      <c r="I1364" s="34">
        <v>529.85400000000004</v>
      </c>
      <c r="J1364" s="34">
        <v>4371.2955000000002</v>
      </c>
      <c r="K1364" s="31" t="s">
        <v>3092</v>
      </c>
      <c r="L1364" s="31">
        <v>1</v>
      </c>
      <c r="M1364" s="31" t="s">
        <v>3093</v>
      </c>
      <c r="N1364" s="34">
        <v>3.25</v>
      </c>
      <c r="O1364" s="35">
        <v>0</v>
      </c>
      <c r="P1364" s="35">
        <v>50</v>
      </c>
      <c r="Q1364" s="35">
        <v>0</v>
      </c>
      <c r="R1364" s="36">
        <v>18.07</v>
      </c>
      <c r="S1364" s="37">
        <f>IFERROR(_xlfn.XLOOKUP(R1364,'1_Presupuesto'!$E:$E,'1_Presupuesto'!$D:$D),"")</f>
        <v>0</v>
      </c>
    </row>
    <row r="1365" spans="1:19" x14ac:dyDescent="0.35">
      <c r="A1365" s="31" t="s">
        <v>3091</v>
      </c>
      <c r="B1365" s="31" t="s">
        <v>497</v>
      </c>
      <c r="C1365" s="31" t="s">
        <v>498</v>
      </c>
      <c r="D1365" s="31" t="s">
        <v>3075</v>
      </c>
      <c r="E1365" s="31" t="s">
        <v>3076</v>
      </c>
      <c r="F1365" s="31" t="s">
        <v>261</v>
      </c>
      <c r="G1365" s="32">
        <v>3</v>
      </c>
      <c r="H1365" s="33">
        <v>0.1</v>
      </c>
      <c r="I1365" s="34">
        <v>310.65199999999999</v>
      </c>
      <c r="J1365" s="34">
        <v>1025.1515999999999</v>
      </c>
      <c r="K1365" s="31" t="s">
        <v>3092</v>
      </c>
      <c r="L1365" s="31">
        <v>2</v>
      </c>
      <c r="M1365" s="31" t="s">
        <v>3094</v>
      </c>
      <c r="N1365" s="34">
        <v>3.25</v>
      </c>
      <c r="O1365" s="35">
        <v>0</v>
      </c>
      <c r="P1365" s="35">
        <v>50</v>
      </c>
      <c r="Q1365" s="35">
        <v>0</v>
      </c>
      <c r="R1365" s="36">
        <v>18.07</v>
      </c>
      <c r="S1365" s="37">
        <f>IFERROR(_xlfn.XLOOKUP(R1365,'1_Presupuesto'!$E:$E,'1_Presupuesto'!$D:$D),"")</f>
        <v>0</v>
      </c>
    </row>
    <row r="1366" spans="1:19" x14ac:dyDescent="0.35">
      <c r="A1366" s="31" t="s">
        <v>3091</v>
      </c>
      <c r="B1366" s="31" t="s">
        <v>497</v>
      </c>
      <c r="C1366" s="31" t="s">
        <v>498</v>
      </c>
      <c r="D1366" s="31" t="s">
        <v>3078</v>
      </c>
      <c r="E1366" s="31" t="s">
        <v>3079</v>
      </c>
      <c r="F1366" s="31" t="s">
        <v>261</v>
      </c>
      <c r="G1366" s="32">
        <v>3</v>
      </c>
      <c r="H1366" s="33">
        <v>0.1</v>
      </c>
      <c r="I1366" s="34">
        <v>119.32</v>
      </c>
      <c r="J1366" s="34">
        <v>393.75599999999997</v>
      </c>
      <c r="K1366" s="31" t="s">
        <v>3092</v>
      </c>
      <c r="L1366" s="31">
        <v>3</v>
      </c>
      <c r="M1366" s="31" t="s">
        <v>3095</v>
      </c>
      <c r="N1366" s="34">
        <v>3.25</v>
      </c>
      <c r="O1366" s="35">
        <v>0</v>
      </c>
      <c r="P1366" s="35">
        <v>50</v>
      </c>
      <c r="Q1366" s="35">
        <v>0</v>
      </c>
      <c r="R1366" s="36">
        <v>18.07</v>
      </c>
      <c r="S1366" s="37">
        <f>IFERROR(_xlfn.XLOOKUP(R1366,'1_Presupuesto'!$E:$E,'1_Presupuesto'!$D:$D),"")</f>
        <v>0</v>
      </c>
    </row>
    <row r="1367" spans="1:19" x14ac:dyDescent="0.35">
      <c r="A1367" s="31" t="s">
        <v>3091</v>
      </c>
      <c r="B1367" s="31" t="s">
        <v>497</v>
      </c>
      <c r="C1367" s="31" t="s">
        <v>498</v>
      </c>
      <c r="D1367" s="31" t="s">
        <v>3081</v>
      </c>
      <c r="E1367" s="31" t="s">
        <v>3082</v>
      </c>
      <c r="F1367" s="31">
        <v>0</v>
      </c>
      <c r="G1367" s="32">
        <v>7.5</v>
      </c>
      <c r="H1367" s="33">
        <v>0.1</v>
      </c>
      <c r="I1367" s="34">
        <v>895.33241596022003</v>
      </c>
      <c r="J1367" s="34">
        <v>7386.4924316718198</v>
      </c>
      <c r="K1367" s="31" t="s">
        <v>3092</v>
      </c>
      <c r="L1367" s="31">
        <v>4</v>
      </c>
      <c r="M1367" s="31" t="s">
        <v>3096</v>
      </c>
      <c r="N1367" s="34">
        <v>3.25</v>
      </c>
      <c r="O1367" s="35">
        <v>0</v>
      </c>
      <c r="P1367" s="35">
        <v>50</v>
      </c>
      <c r="Q1367" s="35">
        <v>0</v>
      </c>
      <c r="R1367" s="36">
        <v>18.07</v>
      </c>
      <c r="S1367" s="37">
        <f>IFERROR(_xlfn.XLOOKUP(R1367,'1_Presupuesto'!$E:$E,'1_Presupuesto'!$D:$D),"")</f>
        <v>0</v>
      </c>
    </row>
    <row r="1368" spans="1:19" x14ac:dyDescent="0.35">
      <c r="A1368" s="31" t="s">
        <v>3091</v>
      </c>
      <c r="B1368" s="31" t="s">
        <v>497</v>
      </c>
      <c r="C1368" s="31" t="s">
        <v>498</v>
      </c>
      <c r="D1368" s="31" t="s">
        <v>3081</v>
      </c>
      <c r="E1368" s="31" t="s">
        <v>3082</v>
      </c>
      <c r="F1368" s="31">
        <v>0</v>
      </c>
      <c r="G1368" s="32">
        <v>15</v>
      </c>
      <c r="H1368" s="33">
        <v>0.1</v>
      </c>
      <c r="I1368" s="34">
        <v>895.33241596022003</v>
      </c>
      <c r="J1368" s="34">
        <v>14772.984863343599</v>
      </c>
      <c r="K1368" s="31" t="s">
        <v>3092</v>
      </c>
      <c r="L1368" s="31">
        <v>5</v>
      </c>
      <c r="M1368" s="31" t="s">
        <v>3097</v>
      </c>
      <c r="N1368" s="34">
        <v>3.25</v>
      </c>
      <c r="O1368" s="35">
        <v>0</v>
      </c>
      <c r="P1368" s="35">
        <v>50</v>
      </c>
      <c r="Q1368" s="35">
        <v>0</v>
      </c>
      <c r="R1368" s="36">
        <v>18.07</v>
      </c>
      <c r="S1368" s="37">
        <f>IFERROR(_xlfn.XLOOKUP(R1368,'1_Presupuesto'!$E:$E,'1_Presupuesto'!$D:$D),"")</f>
        <v>0</v>
      </c>
    </row>
    <row r="1369" spans="1:19" x14ac:dyDescent="0.35">
      <c r="A1369" s="31" t="s">
        <v>3091</v>
      </c>
      <c r="B1369" s="31" t="s">
        <v>497</v>
      </c>
      <c r="C1369" s="31" t="s">
        <v>498</v>
      </c>
      <c r="D1369" s="31" t="s">
        <v>666</v>
      </c>
      <c r="E1369" s="31" t="s">
        <v>667</v>
      </c>
      <c r="F1369" s="31" t="s">
        <v>261</v>
      </c>
      <c r="G1369" s="32">
        <v>1</v>
      </c>
      <c r="H1369" s="33">
        <v>0.05</v>
      </c>
      <c r="I1369" s="34">
        <v>217.14975799999999</v>
      </c>
      <c r="J1369" s="34">
        <v>228.00724589999999</v>
      </c>
      <c r="K1369" s="31" t="s">
        <v>3092</v>
      </c>
      <c r="L1369" s="31">
        <v>6</v>
      </c>
      <c r="M1369" s="31" t="s">
        <v>3098</v>
      </c>
      <c r="N1369" s="34">
        <v>3.25</v>
      </c>
      <c r="O1369" s="35">
        <v>0</v>
      </c>
      <c r="P1369" s="35">
        <v>50</v>
      </c>
      <c r="Q1369" s="35">
        <v>0</v>
      </c>
      <c r="R1369" s="36">
        <v>18.07</v>
      </c>
      <c r="S1369" s="37">
        <f>IFERROR(_xlfn.XLOOKUP(R1369,'1_Presupuesto'!$E:$E,'1_Presupuesto'!$D:$D),"")</f>
        <v>0</v>
      </c>
    </row>
    <row r="1370" spans="1:19" x14ac:dyDescent="0.35">
      <c r="A1370" s="31" t="s">
        <v>3091</v>
      </c>
      <c r="B1370" s="31" t="s">
        <v>497</v>
      </c>
      <c r="C1370" s="31" t="s">
        <v>498</v>
      </c>
      <c r="D1370" s="31" t="s">
        <v>597</v>
      </c>
      <c r="E1370" s="31" t="s">
        <v>598</v>
      </c>
      <c r="F1370" s="31" t="s">
        <v>218</v>
      </c>
      <c r="G1370" s="32">
        <v>5917.3144044896999</v>
      </c>
      <c r="H1370" s="33">
        <v>0</v>
      </c>
      <c r="I1370" s="34">
        <v>1</v>
      </c>
      <c r="J1370" s="34">
        <v>5917.3144044896999</v>
      </c>
      <c r="K1370" s="31" t="s">
        <v>3092</v>
      </c>
      <c r="L1370" s="31">
        <v>7</v>
      </c>
      <c r="M1370" s="31" t="s">
        <v>3099</v>
      </c>
      <c r="N1370" s="34">
        <v>3.25</v>
      </c>
      <c r="O1370" s="35">
        <v>0</v>
      </c>
      <c r="P1370" s="35">
        <v>50</v>
      </c>
      <c r="Q1370" s="35">
        <v>0</v>
      </c>
      <c r="R1370" s="36">
        <v>18.07</v>
      </c>
      <c r="S1370" s="37">
        <f>IFERROR(_xlfn.XLOOKUP(R1370,'1_Presupuesto'!$E:$E,'1_Presupuesto'!$D:$D),"")</f>
        <v>0</v>
      </c>
    </row>
    <row r="1371" spans="1:19" x14ac:dyDescent="0.35">
      <c r="A1371" s="31" t="s">
        <v>3091</v>
      </c>
      <c r="B1371" s="31" t="s">
        <v>203</v>
      </c>
      <c r="C1371" s="31"/>
      <c r="D1371" s="31" t="s">
        <v>641</v>
      </c>
      <c r="E1371" s="31" t="s">
        <v>642</v>
      </c>
      <c r="F1371" s="31"/>
      <c r="G1371" s="32">
        <v>1</v>
      </c>
      <c r="H1371" s="33">
        <v>0</v>
      </c>
      <c r="I1371" s="34">
        <v>5503.0404388678899</v>
      </c>
      <c r="J1371" s="34">
        <v>5503.0404388678899</v>
      </c>
      <c r="K1371" s="31" t="s">
        <v>3100</v>
      </c>
      <c r="L1371" s="31">
        <v>1</v>
      </c>
      <c r="M1371" s="31" t="s">
        <v>3101</v>
      </c>
      <c r="N1371" s="34">
        <v>3.25</v>
      </c>
      <c r="O1371" s="35">
        <v>0</v>
      </c>
      <c r="P1371" s="35">
        <v>50</v>
      </c>
      <c r="Q1371" s="35">
        <v>0</v>
      </c>
      <c r="R1371" s="36">
        <v>18.07</v>
      </c>
      <c r="S1371" s="37">
        <f>IFERROR(_xlfn.XLOOKUP(R1371,'1_Presupuesto'!$E:$E,'1_Presupuesto'!$D:$D),"")</f>
        <v>0</v>
      </c>
    </row>
    <row r="1372" spans="1:19" x14ac:dyDescent="0.35">
      <c r="A1372" s="31" t="s">
        <v>3091</v>
      </c>
      <c r="B1372" s="31" t="s">
        <v>203</v>
      </c>
      <c r="C1372" s="31"/>
      <c r="D1372" s="31" t="s">
        <v>613</v>
      </c>
      <c r="E1372" s="31" t="s">
        <v>614</v>
      </c>
      <c r="F1372" s="31"/>
      <c r="G1372" s="32">
        <v>0.5</v>
      </c>
      <c r="H1372" s="33">
        <v>0</v>
      </c>
      <c r="I1372" s="34">
        <v>620.81078197718296</v>
      </c>
      <c r="J1372" s="34">
        <v>310.40539098859199</v>
      </c>
      <c r="K1372" s="31" t="s">
        <v>3100</v>
      </c>
      <c r="L1372" s="31">
        <v>2</v>
      </c>
      <c r="M1372" s="31" t="s">
        <v>3102</v>
      </c>
      <c r="N1372" s="34">
        <v>3.25</v>
      </c>
      <c r="O1372" s="35">
        <v>0</v>
      </c>
      <c r="P1372" s="35">
        <v>50</v>
      </c>
      <c r="Q1372" s="35">
        <v>0</v>
      </c>
      <c r="R1372" s="36">
        <v>18.07</v>
      </c>
      <c r="S1372" s="37">
        <f>IFERROR(_xlfn.XLOOKUP(R1372,'1_Presupuesto'!$E:$E,'1_Presupuesto'!$D:$D),"")</f>
        <v>0</v>
      </c>
    </row>
    <row r="1373" spans="1:19" x14ac:dyDescent="0.35">
      <c r="A1373" s="31" t="s">
        <v>3091</v>
      </c>
      <c r="B1373" s="31" t="s">
        <v>203</v>
      </c>
      <c r="C1373" s="31"/>
      <c r="D1373" s="31" t="s">
        <v>572</v>
      </c>
      <c r="E1373" s="31" t="s">
        <v>573</v>
      </c>
      <c r="F1373" s="31"/>
      <c r="G1373" s="32">
        <v>0.5</v>
      </c>
      <c r="H1373" s="33">
        <v>0</v>
      </c>
      <c r="I1373" s="34">
        <v>152.380274273738</v>
      </c>
      <c r="J1373" s="34">
        <v>76.190137136869097</v>
      </c>
      <c r="K1373" s="31" t="s">
        <v>3100</v>
      </c>
      <c r="L1373" s="31">
        <v>3</v>
      </c>
      <c r="M1373" s="31" t="s">
        <v>3103</v>
      </c>
      <c r="N1373" s="34">
        <v>3.25</v>
      </c>
      <c r="O1373" s="35">
        <v>0</v>
      </c>
      <c r="P1373" s="35">
        <v>50</v>
      </c>
      <c r="Q1373" s="35">
        <v>0</v>
      </c>
      <c r="R1373" s="36">
        <v>18.07</v>
      </c>
      <c r="S1373" s="37">
        <f>IFERROR(_xlfn.XLOOKUP(R1373,'1_Presupuesto'!$E:$E,'1_Presupuesto'!$D:$D),"")</f>
        <v>0</v>
      </c>
    </row>
    <row r="1374" spans="1:19" x14ac:dyDescent="0.35">
      <c r="A1374" s="31" t="s">
        <v>3104</v>
      </c>
      <c r="B1374" s="31" t="s">
        <v>497</v>
      </c>
      <c r="C1374" s="31" t="s">
        <v>498</v>
      </c>
      <c r="D1374" s="31" t="s">
        <v>651</v>
      </c>
      <c r="E1374" s="31" t="s">
        <v>652</v>
      </c>
      <c r="F1374" s="31" t="s">
        <v>261</v>
      </c>
      <c r="G1374" s="32">
        <v>5</v>
      </c>
      <c r="H1374" s="33">
        <v>0.05</v>
      </c>
      <c r="I1374" s="34">
        <v>504.29656699999998</v>
      </c>
      <c r="J1374" s="34">
        <v>2647.5569767500001</v>
      </c>
      <c r="K1374" s="31" t="s">
        <v>3105</v>
      </c>
      <c r="L1374" s="31">
        <v>1</v>
      </c>
      <c r="M1374" s="31" t="s">
        <v>3106</v>
      </c>
      <c r="N1374" s="34">
        <v>3.25</v>
      </c>
      <c r="O1374" s="35">
        <v>0</v>
      </c>
      <c r="P1374" s="35">
        <v>0</v>
      </c>
      <c r="Q1374" s="35">
        <v>0</v>
      </c>
      <c r="R1374" s="36">
        <v>18.079999999999998</v>
      </c>
      <c r="S1374" s="37">
        <f>IFERROR(_xlfn.XLOOKUP(R1374,'1_Presupuesto'!$E:$E,'1_Presupuesto'!$D:$D),"")</f>
        <v>0</v>
      </c>
    </row>
    <row r="1375" spans="1:19" x14ac:dyDescent="0.35">
      <c r="A1375" s="31" t="s">
        <v>3104</v>
      </c>
      <c r="B1375" s="31" t="s">
        <v>497</v>
      </c>
      <c r="C1375" s="31" t="s">
        <v>498</v>
      </c>
      <c r="D1375" s="31" t="s">
        <v>655</v>
      </c>
      <c r="E1375" s="31" t="s">
        <v>656</v>
      </c>
      <c r="F1375" s="31" t="s">
        <v>261</v>
      </c>
      <c r="G1375" s="32">
        <v>4</v>
      </c>
      <c r="H1375" s="33">
        <v>0.1</v>
      </c>
      <c r="I1375" s="34">
        <v>250.31899999999999</v>
      </c>
      <c r="J1375" s="34">
        <v>1101.4036000000001</v>
      </c>
      <c r="K1375" s="31" t="s">
        <v>3105</v>
      </c>
      <c r="L1375" s="31">
        <v>2</v>
      </c>
      <c r="M1375" s="31" t="s">
        <v>3107</v>
      </c>
      <c r="N1375" s="34">
        <v>3.25</v>
      </c>
      <c r="O1375" s="35">
        <v>0</v>
      </c>
      <c r="P1375" s="35">
        <v>0</v>
      </c>
      <c r="Q1375" s="35">
        <v>0</v>
      </c>
      <c r="R1375" s="36">
        <v>18.079999999999998</v>
      </c>
      <c r="S1375" s="37">
        <f>IFERROR(_xlfn.XLOOKUP(R1375,'1_Presupuesto'!$E:$E,'1_Presupuesto'!$D:$D),"")</f>
        <v>0</v>
      </c>
    </row>
    <row r="1376" spans="1:19" x14ac:dyDescent="0.35">
      <c r="A1376" s="31" t="s">
        <v>3104</v>
      </c>
      <c r="B1376" s="31" t="s">
        <v>497</v>
      </c>
      <c r="C1376" s="31" t="s">
        <v>498</v>
      </c>
      <c r="D1376" s="31" t="s">
        <v>658</v>
      </c>
      <c r="E1376" s="31" t="s">
        <v>659</v>
      </c>
      <c r="F1376" s="31" t="s">
        <v>261</v>
      </c>
      <c r="G1376" s="32">
        <v>1.2</v>
      </c>
      <c r="H1376" s="33">
        <v>0.1</v>
      </c>
      <c r="I1376" s="34">
        <v>110.121</v>
      </c>
      <c r="J1376" s="34">
        <v>145.35972000000001</v>
      </c>
      <c r="K1376" s="31" t="s">
        <v>3105</v>
      </c>
      <c r="L1376" s="31">
        <v>3</v>
      </c>
      <c r="M1376" s="31" t="s">
        <v>3108</v>
      </c>
      <c r="N1376" s="34">
        <v>3.25</v>
      </c>
      <c r="O1376" s="35">
        <v>0</v>
      </c>
      <c r="P1376" s="35">
        <v>0</v>
      </c>
      <c r="Q1376" s="35">
        <v>0</v>
      </c>
      <c r="R1376" s="36">
        <v>18.079999999999998</v>
      </c>
      <c r="S1376" s="37">
        <f>IFERROR(_xlfn.XLOOKUP(R1376,'1_Presupuesto'!$E:$E,'1_Presupuesto'!$D:$D),"")</f>
        <v>0</v>
      </c>
    </row>
    <row r="1377" spans="1:19" x14ac:dyDescent="0.35">
      <c r="A1377" s="31" t="s">
        <v>3104</v>
      </c>
      <c r="B1377" s="31" t="s">
        <v>497</v>
      </c>
      <c r="C1377" s="31" t="s">
        <v>498</v>
      </c>
      <c r="D1377" s="31" t="s">
        <v>661</v>
      </c>
      <c r="E1377" s="31" t="s">
        <v>662</v>
      </c>
      <c r="F1377" s="31" t="s">
        <v>663</v>
      </c>
      <c r="G1377" s="32">
        <v>5</v>
      </c>
      <c r="H1377" s="33">
        <v>0.1</v>
      </c>
      <c r="I1377" s="34">
        <v>546.37687500000004</v>
      </c>
      <c r="J1377" s="34">
        <v>3005.0728125000001</v>
      </c>
      <c r="K1377" s="31" t="s">
        <v>3105</v>
      </c>
      <c r="L1377" s="31">
        <v>4</v>
      </c>
      <c r="M1377" s="31" t="s">
        <v>3109</v>
      </c>
      <c r="N1377" s="34">
        <v>3.25</v>
      </c>
      <c r="O1377" s="35">
        <v>0</v>
      </c>
      <c r="P1377" s="35">
        <v>0</v>
      </c>
      <c r="Q1377" s="35">
        <v>0</v>
      </c>
      <c r="R1377" s="36">
        <v>18.079999999999998</v>
      </c>
      <c r="S1377" s="37">
        <f>IFERROR(_xlfn.XLOOKUP(R1377,'1_Presupuesto'!$E:$E,'1_Presupuesto'!$D:$D),"")</f>
        <v>0</v>
      </c>
    </row>
    <row r="1378" spans="1:19" x14ac:dyDescent="0.35">
      <c r="A1378" s="31" t="s">
        <v>3104</v>
      </c>
      <c r="B1378" s="31" t="s">
        <v>497</v>
      </c>
      <c r="C1378" s="31" t="s">
        <v>498</v>
      </c>
      <c r="D1378" s="31" t="s">
        <v>661</v>
      </c>
      <c r="E1378" s="31" t="s">
        <v>662</v>
      </c>
      <c r="F1378" s="31" t="s">
        <v>663</v>
      </c>
      <c r="G1378" s="32">
        <v>10</v>
      </c>
      <c r="H1378" s="33">
        <v>0.1</v>
      </c>
      <c r="I1378" s="34">
        <v>546.37687500000004</v>
      </c>
      <c r="J1378" s="34">
        <v>6010.1456250000001</v>
      </c>
      <c r="K1378" s="31" t="s">
        <v>3105</v>
      </c>
      <c r="L1378" s="31">
        <v>5</v>
      </c>
      <c r="M1378" s="31" t="s">
        <v>3110</v>
      </c>
      <c r="N1378" s="34">
        <v>3.25</v>
      </c>
      <c r="O1378" s="35">
        <v>0</v>
      </c>
      <c r="P1378" s="35">
        <v>0</v>
      </c>
      <c r="Q1378" s="35">
        <v>0</v>
      </c>
      <c r="R1378" s="36">
        <v>18.079999999999998</v>
      </c>
      <c r="S1378" s="37">
        <f>IFERROR(_xlfn.XLOOKUP(R1378,'1_Presupuesto'!$E:$E,'1_Presupuesto'!$D:$D),"")</f>
        <v>0</v>
      </c>
    </row>
    <row r="1379" spans="1:19" x14ac:dyDescent="0.35">
      <c r="A1379" s="31" t="s">
        <v>3104</v>
      </c>
      <c r="B1379" s="31" t="s">
        <v>497</v>
      </c>
      <c r="C1379" s="31" t="s">
        <v>498</v>
      </c>
      <c r="D1379" s="31" t="s">
        <v>666</v>
      </c>
      <c r="E1379" s="31" t="s">
        <v>667</v>
      </c>
      <c r="F1379" s="31" t="s">
        <v>261</v>
      </c>
      <c r="G1379" s="32">
        <v>1</v>
      </c>
      <c r="H1379" s="33">
        <v>0.05</v>
      </c>
      <c r="I1379" s="34">
        <v>217.14975799999999</v>
      </c>
      <c r="J1379" s="34">
        <v>228.00724589999999</v>
      </c>
      <c r="K1379" s="31" t="s">
        <v>3105</v>
      </c>
      <c r="L1379" s="31">
        <v>6</v>
      </c>
      <c r="M1379" s="31" t="s">
        <v>3111</v>
      </c>
      <c r="N1379" s="34">
        <v>3.25</v>
      </c>
      <c r="O1379" s="35">
        <v>0</v>
      </c>
      <c r="P1379" s="35">
        <v>0</v>
      </c>
      <c r="Q1379" s="35">
        <v>0</v>
      </c>
      <c r="R1379" s="36">
        <v>18.079999999999998</v>
      </c>
      <c r="S1379" s="37">
        <f>IFERROR(_xlfn.XLOOKUP(R1379,'1_Presupuesto'!$E:$E,'1_Presupuesto'!$D:$D),"")</f>
        <v>0</v>
      </c>
    </row>
    <row r="1380" spans="1:19" x14ac:dyDescent="0.35">
      <c r="A1380" s="31" t="s">
        <v>3104</v>
      </c>
      <c r="B1380" s="31" t="s">
        <v>497</v>
      </c>
      <c r="C1380" s="31" t="s">
        <v>498</v>
      </c>
      <c r="D1380" s="31" t="s">
        <v>597</v>
      </c>
      <c r="E1380" s="31" t="s">
        <v>598</v>
      </c>
      <c r="F1380" s="31" t="s">
        <v>218</v>
      </c>
      <c r="G1380" s="32">
        <v>2758.8846554716301</v>
      </c>
      <c r="H1380" s="33">
        <v>0</v>
      </c>
      <c r="I1380" s="34">
        <v>1</v>
      </c>
      <c r="J1380" s="34">
        <v>2758.8846554716301</v>
      </c>
      <c r="K1380" s="31" t="s">
        <v>3105</v>
      </c>
      <c r="L1380" s="31">
        <v>7</v>
      </c>
      <c r="M1380" s="31" t="s">
        <v>3112</v>
      </c>
      <c r="N1380" s="34">
        <v>3.25</v>
      </c>
      <c r="O1380" s="35">
        <v>0</v>
      </c>
      <c r="P1380" s="35">
        <v>0</v>
      </c>
      <c r="Q1380" s="35">
        <v>0</v>
      </c>
      <c r="R1380" s="36">
        <v>18.079999999999998</v>
      </c>
      <c r="S1380" s="37">
        <f>IFERROR(_xlfn.XLOOKUP(R1380,'1_Presupuesto'!$E:$E,'1_Presupuesto'!$D:$D),"")</f>
        <v>0</v>
      </c>
    </row>
    <row r="1381" spans="1:19" x14ac:dyDescent="0.35">
      <c r="A1381" s="31" t="s">
        <v>3104</v>
      </c>
      <c r="B1381" s="31" t="s">
        <v>203</v>
      </c>
      <c r="C1381" s="31"/>
      <c r="D1381" s="31" t="s">
        <v>641</v>
      </c>
      <c r="E1381" s="31" t="s">
        <v>642</v>
      </c>
      <c r="F1381" s="31"/>
      <c r="G1381" s="32">
        <v>1</v>
      </c>
      <c r="H1381" s="33">
        <v>0</v>
      </c>
      <c r="I1381" s="34">
        <v>5503.0404388678899</v>
      </c>
      <c r="J1381" s="34">
        <v>5503.0404388678899</v>
      </c>
      <c r="K1381" s="31" t="s">
        <v>3113</v>
      </c>
      <c r="L1381" s="31">
        <v>1</v>
      </c>
      <c r="M1381" s="31" t="s">
        <v>3114</v>
      </c>
      <c r="N1381" s="34">
        <v>3.25</v>
      </c>
      <c r="O1381" s="35">
        <v>0</v>
      </c>
      <c r="P1381" s="35">
        <v>0</v>
      </c>
      <c r="Q1381" s="35">
        <v>0</v>
      </c>
      <c r="R1381" s="36">
        <v>18.079999999999998</v>
      </c>
      <c r="S1381" s="37">
        <f>IFERROR(_xlfn.XLOOKUP(R1381,'1_Presupuesto'!$E:$E,'1_Presupuesto'!$D:$D),"")</f>
        <v>0</v>
      </c>
    </row>
    <row r="1382" spans="1:19" x14ac:dyDescent="0.35">
      <c r="A1382" s="31" t="s">
        <v>3104</v>
      </c>
      <c r="B1382" s="31" t="s">
        <v>203</v>
      </c>
      <c r="C1382" s="31"/>
      <c r="D1382" s="31" t="s">
        <v>613</v>
      </c>
      <c r="E1382" s="31" t="s">
        <v>614</v>
      </c>
      <c r="F1382" s="31"/>
      <c r="G1382" s="32">
        <v>0.5</v>
      </c>
      <c r="H1382" s="33">
        <v>0</v>
      </c>
      <c r="I1382" s="34">
        <v>620.81078197718296</v>
      </c>
      <c r="J1382" s="34">
        <v>310.40539098859199</v>
      </c>
      <c r="K1382" s="31" t="s">
        <v>3113</v>
      </c>
      <c r="L1382" s="31">
        <v>2</v>
      </c>
      <c r="M1382" s="31" t="s">
        <v>3115</v>
      </c>
      <c r="N1382" s="34">
        <v>3.25</v>
      </c>
      <c r="O1382" s="35">
        <v>0</v>
      </c>
      <c r="P1382" s="35">
        <v>0</v>
      </c>
      <c r="Q1382" s="35">
        <v>0</v>
      </c>
      <c r="R1382" s="36">
        <v>18.079999999999998</v>
      </c>
      <c r="S1382" s="37">
        <f>IFERROR(_xlfn.XLOOKUP(R1382,'1_Presupuesto'!$E:$E,'1_Presupuesto'!$D:$D),"")</f>
        <v>0</v>
      </c>
    </row>
    <row r="1383" spans="1:19" x14ac:dyDescent="0.35">
      <c r="A1383" s="31" t="s">
        <v>3104</v>
      </c>
      <c r="B1383" s="31" t="s">
        <v>203</v>
      </c>
      <c r="C1383" s="31"/>
      <c r="D1383" s="31" t="s">
        <v>572</v>
      </c>
      <c r="E1383" s="31" t="s">
        <v>573</v>
      </c>
      <c r="F1383" s="31"/>
      <c r="G1383" s="32">
        <v>0.5</v>
      </c>
      <c r="H1383" s="33">
        <v>0</v>
      </c>
      <c r="I1383" s="34">
        <v>152.380274273738</v>
      </c>
      <c r="J1383" s="34">
        <v>76.190137136869097</v>
      </c>
      <c r="K1383" s="31" t="s">
        <v>3113</v>
      </c>
      <c r="L1383" s="31">
        <v>3</v>
      </c>
      <c r="M1383" s="31" t="s">
        <v>3116</v>
      </c>
      <c r="N1383" s="34">
        <v>3.25</v>
      </c>
      <c r="O1383" s="35">
        <v>0</v>
      </c>
      <c r="P1383" s="35">
        <v>0</v>
      </c>
      <c r="Q1383" s="35">
        <v>0</v>
      </c>
      <c r="R1383" s="36">
        <v>18.079999999999998</v>
      </c>
      <c r="S1383" s="37">
        <f>IFERROR(_xlfn.XLOOKUP(R1383,'1_Presupuesto'!$E:$E,'1_Presupuesto'!$D:$D),"")</f>
        <v>0</v>
      </c>
    </row>
    <row r="1384" spans="1:19" x14ac:dyDescent="0.35">
      <c r="A1384" s="31" t="s">
        <v>3117</v>
      </c>
      <c r="B1384" s="31" t="s">
        <v>497</v>
      </c>
      <c r="C1384" s="31" t="s">
        <v>498</v>
      </c>
      <c r="D1384" s="31" t="s">
        <v>3071</v>
      </c>
      <c r="E1384" s="31" t="s">
        <v>3072</v>
      </c>
      <c r="F1384" s="31" t="s">
        <v>261</v>
      </c>
      <c r="G1384" s="32">
        <v>7.5</v>
      </c>
      <c r="H1384" s="33">
        <v>0.05</v>
      </c>
      <c r="I1384" s="34">
        <v>529.85400000000004</v>
      </c>
      <c r="J1384" s="34">
        <v>4172.6002500000004</v>
      </c>
      <c r="K1384" s="31" t="s">
        <v>3118</v>
      </c>
      <c r="L1384" s="31">
        <v>1</v>
      </c>
      <c r="M1384" s="31" t="s">
        <v>3119</v>
      </c>
      <c r="N1384" s="34">
        <v>5</v>
      </c>
      <c r="O1384" s="35">
        <v>0</v>
      </c>
      <c r="P1384" s="35">
        <v>40</v>
      </c>
      <c r="Q1384" s="35">
        <v>0</v>
      </c>
      <c r="R1384" s="36">
        <v>18.09</v>
      </c>
      <c r="S1384" s="37">
        <f>IFERROR(_xlfn.XLOOKUP(R1384,'1_Presupuesto'!$E:$E,'1_Presupuesto'!$D:$D),"")</f>
        <v>0</v>
      </c>
    </row>
    <row r="1385" spans="1:19" x14ac:dyDescent="0.35">
      <c r="A1385" s="31" t="s">
        <v>3117</v>
      </c>
      <c r="B1385" s="31" t="s">
        <v>497</v>
      </c>
      <c r="C1385" s="31" t="s">
        <v>498</v>
      </c>
      <c r="D1385" s="31" t="s">
        <v>3075</v>
      </c>
      <c r="E1385" s="31" t="s">
        <v>3076</v>
      </c>
      <c r="F1385" s="31" t="s">
        <v>261</v>
      </c>
      <c r="G1385" s="32">
        <v>4</v>
      </c>
      <c r="H1385" s="33">
        <v>0.1</v>
      </c>
      <c r="I1385" s="34">
        <v>310.65199999999999</v>
      </c>
      <c r="J1385" s="34">
        <v>1366.8688</v>
      </c>
      <c r="K1385" s="31" t="s">
        <v>3118</v>
      </c>
      <c r="L1385" s="31">
        <v>2</v>
      </c>
      <c r="M1385" s="31" t="s">
        <v>3120</v>
      </c>
      <c r="N1385" s="34">
        <v>5</v>
      </c>
      <c r="O1385" s="35">
        <v>0</v>
      </c>
      <c r="P1385" s="35">
        <v>40</v>
      </c>
      <c r="Q1385" s="35">
        <v>0</v>
      </c>
      <c r="R1385" s="36">
        <v>18.09</v>
      </c>
      <c r="S1385" s="37">
        <f>IFERROR(_xlfn.XLOOKUP(R1385,'1_Presupuesto'!$E:$E,'1_Presupuesto'!$D:$D),"")</f>
        <v>0</v>
      </c>
    </row>
    <row r="1386" spans="1:19" x14ac:dyDescent="0.35">
      <c r="A1386" s="31" t="s">
        <v>3117</v>
      </c>
      <c r="B1386" s="31" t="s">
        <v>497</v>
      </c>
      <c r="C1386" s="31" t="s">
        <v>498</v>
      </c>
      <c r="D1386" s="31" t="s">
        <v>3078</v>
      </c>
      <c r="E1386" s="31" t="s">
        <v>3079</v>
      </c>
      <c r="F1386" s="31" t="s">
        <v>261</v>
      </c>
      <c r="G1386" s="32">
        <v>1.2</v>
      </c>
      <c r="H1386" s="33">
        <v>0.1</v>
      </c>
      <c r="I1386" s="34">
        <v>119.32</v>
      </c>
      <c r="J1386" s="34">
        <v>157.50239999999999</v>
      </c>
      <c r="K1386" s="31" t="s">
        <v>3118</v>
      </c>
      <c r="L1386" s="31">
        <v>3</v>
      </c>
      <c r="M1386" s="31" t="s">
        <v>3121</v>
      </c>
      <c r="N1386" s="34">
        <v>5</v>
      </c>
      <c r="O1386" s="35">
        <v>0</v>
      </c>
      <c r="P1386" s="35">
        <v>40</v>
      </c>
      <c r="Q1386" s="35">
        <v>0</v>
      </c>
      <c r="R1386" s="36">
        <v>18.09</v>
      </c>
      <c r="S1386" s="37">
        <f>IFERROR(_xlfn.XLOOKUP(R1386,'1_Presupuesto'!$E:$E,'1_Presupuesto'!$D:$D),"")</f>
        <v>0</v>
      </c>
    </row>
    <row r="1387" spans="1:19" x14ac:dyDescent="0.35">
      <c r="A1387" s="31" t="s">
        <v>3117</v>
      </c>
      <c r="B1387" s="31" t="s">
        <v>497</v>
      </c>
      <c r="C1387" s="31" t="s">
        <v>498</v>
      </c>
      <c r="D1387" s="31" t="s">
        <v>820</v>
      </c>
      <c r="E1387" s="31" t="s">
        <v>821</v>
      </c>
      <c r="F1387" s="31" t="s">
        <v>223</v>
      </c>
      <c r="G1387" s="32">
        <v>7.5</v>
      </c>
      <c r="H1387" s="33">
        <v>0.1</v>
      </c>
      <c r="I1387" s="34">
        <v>339.47162557191899</v>
      </c>
      <c r="J1387" s="34">
        <v>2800.64091096833</v>
      </c>
      <c r="K1387" s="31" t="s">
        <v>3118</v>
      </c>
      <c r="L1387" s="31">
        <v>4</v>
      </c>
      <c r="M1387" s="31" t="s">
        <v>3122</v>
      </c>
      <c r="N1387" s="34">
        <v>5</v>
      </c>
      <c r="O1387" s="35">
        <v>0</v>
      </c>
      <c r="P1387" s="35">
        <v>40</v>
      </c>
      <c r="Q1387" s="35">
        <v>0</v>
      </c>
      <c r="R1387" s="36">
        <v>18.09</v>
      </c>
      <c r="S1387" s="37">
        <f>IFERROR(_xlfn.XLOOKUP(R1387,'1_Presupuesto'!$E:$E,'1_Presupuesto'!$D:$D),"")</f>
        <v>0</v>
      </c>
    </row>
    <row r="1388" spans="1:19" x14ac:dyDescent="0.35">
      <c r="A1388" s="31" t="s">
        <v>3117</v>
      </c>
      <c r="B1388" s="31" t="s">
        <v>497</v>
      </c>
      <c r="C1388" s="31" t="s">
        <v>498</v>
      </c>
      <c r="D1388" s="31" t="s">
        <v>666</v>
      </c>
      <c r="E1388" s="31" t="s">
        <v>667</v>
      </c>
      <c r="F1388" s="31" t="s">
        <v>261</v>
      </c>
      <c r="G1388" s="32">
        <v>1</v>
      </c>
      <c r="H1388" s="33">
        <v>0.05</v>
      </c>
      <c r="I1388" s="34">
        <v>217.14975799999999</v>
      </c>
      <c r="J1388" s="34">
        <v>228.00724589999999</v>
      </c>
      <c r="K1388" s="31" t="s">
        <v>3118</v>
      </c>
      <c r="L1388" s="31">
        <v>5</v>
      </c>
      <c r="M1388" s="31" t="s">
        <v>3123</v>
      </c>
      <c r="N1388" s="34">
        <v>5</v>
      </c>
      <c r="O1388" s="35">
        <v>0</v>
      </c>
      <c r="P1388" s="35">
        <v>40</v>
      </c>
      <c r="Q1388" s="35">
        <v>0</v>
      </c>
      <c r="R1388" s="36">
        <v>18.09</v>
      </c>
      <c r="S1388" s="37">
        <f>IFERROR(_xlfn.XLOOKUP(R1388,'1_Presupuesto'!$E:$E,'1_Presupuesto'!$D:$D),"")</f>
        <v>0</v>
      </c>
    </row>
    <row r="1389" spans="1:19" x14ac:dyDescent="0.35">
      <c r="A1389" s="31" t="s">
        <v>3117</v>
      </c>
      <c r="B1389" s="31" t="s">
        <v>497</v>
      </c>
      <c r="C1389" s="31" t="s">
        <v>498</v>
      </c>
      <c r="D1389" s="31" t="s">
        <v>597</v>
      </c>
      <c r="E1389" s="31" t="s">
        <v>598</v>
      </c>
      <c r="F1389" s="31" t="s">
        <v>218</v>
      </c>
      <c r="G1389" s="32">
        <v>1832.3801173398101</v>
      </c>
      <c r="H1389" s="33">
        <v>0</v>
      </c>
      <c r="I1389" s="34">
        <v>1</v>
      </c>
      <c r="J1389" s="34">
        <v>1832.3801173398101</v>
      </c>
      <c r="K1389" s="31" t="s">
        <v>3118</v>
      </c>
      <c r="L1389" s="31">
        <v>6</v>
      </c>
      <c r="M1389" s="31" t="s">
        <v>3124</v>
      </c>
      <c r="N1389" s="34">
        <v>5</v>
      </c>
      <c r="O1389" s="35">
        <v>0</v>
      </c>
      <c r="P1389" s="35">
        <v>40</v>
      </c>
      <c r="Q1389" s="35">
        <v>0</v>
      </c>
      <c r="R1389" s="36">
        <v>18.09</v>
      </c>
      <c r="S1389" s="37">
        <f>IFERROR(_xlfn.XLOOKUP(R1389,'1_Presupuesto'!$E:$E,'1_Presupuesto'!$D:$D),"")</f>
        <v>0</v>
      </c>
    </row>
    <row r="1390" spans="1:19" x14ac:dyDescent="0.35">
      <c r="A1390" s="31" t="s">
        <v>3117</v>
      </c>
      <c r="B1390" s="31" t="s">
        <v>203</v>
      </c>
      <c r="C1390" s="31"/>
      <c r="D1390" s="31" t="s">
        <v>641</v>
      </c>
      <c r="E1390" s="31" t="s">
        <v>642</v>
      </c>
      <c r="F1390" s="31"/>
      <c r="G1390" s="32">
        <v>1</v>
      </c>
      <c r="H1390" s="33">
        <v>0</v>
      </c>
      <c r="I1390" s="34">
        <v>5503.0404388678899</v>
      </c>
      <c r="J1390" s="34">
        <v>5503.0404388678899</v>
      </c>
      <c r="K1390" s="31" t="s">
        <v>3125</v>
      </c>
      <c r="L1390" s="31">
        <v>1</v>
      </c>
      <c r="M1390" s="31" t="s">
        <v>3126</v>
      </c>
      <c r="N1390" s="34">
        <v>5</v>
      </c>
      <c r="O1390" s="35">
        <v>0</v>
      </c>
      <c r="P1390" s="35">
        <v>40</v>
      </c>
      <c r="Q1390" s="35">
        <v>0</v>
      </c>
      <c r="R1390" s="36">
        <v>18.09</v>
      </c>
      <c r="S1390" s="37">
        <f>IFERROR(_xlfn.XLOOKUP(R1390,'1_Presupuesto'!$E:$E,'1_Presupuesto'!$D:$D),"")</f>
        <v>0</v>
      </c>
    </row>
    <row r="1391" spans="1:19" x14ac:dyDescent="0.35">
      <c r="A1391" s="31" t="s">
        <v>3117</v>
      </c>
      <c r="B1391" s="31" t="s">
        <v>203</v>
      </c>
      <c r="C1391" s="31"/>
      <c r="D1391" s="31" t="s">
        <v>613</v>
      </c>
      <c r="E1391" s="31" t="s">
        <v>614</v>
      </c>
      <c r="F1391" s="31"/>
      <c r="G1391" s="32">
        <v>0.5</v>
      </c>
      <c r="H1391" s="33">
        <v>0</v>
      </c>
      <c r="I1391" s="34">
        <v>620.81078197718296</v>
      </c>
      <c r="J1391" s="34">
        <v>310.40539098859199</v>
      </c>
      <c r="K1391" s="31" t="s">
        <v>3125</v>
      </c>
      <c r="L1391" s="31">
        <v>2</v>
      </c>
      <c r="M1391" s="31" t="s">
        <v>3127</v>
      </c>
      <c r="N1391" s="34">
        <v>5</v>
      </c>
      <c r="O1391" s="35">
        <v>0</v>
      </c>
      <c r="P1391" s="35">
        <v>40</v>
      </c>
      <c r="Q1391" s="35">
        <v>0</v>
      </c>
      <c r="R1391" s="36">
        <v>18.09</v>
      </c>
      <c r="S1391" s="37">
        <f>IFERROR(_xlfn.XLOOKUP(R1391,'1_Presupuesto'!$E:$E,'1_Presupuesto'!$D:$D),"")</f>
        <v>0</v>
      </c>
    </row>
    <row r="1392" spans="1:19" x14ac:dyDescent="0.35">
      <c r="A1392" s="31" t="s">
        <v>3117</v>
      </c>
      <c r="B1392" s="31" t="s">
        <v>203</v>
      </c>
      <c r="C1392" s="31"/>
      <c r="D1392" s="31" t="s">
        <v>572</v>
      </c>
      <c r="E1392" s="31" t="s">
        <v>573</v>
      </c>
      <c r="F1392" s="31"/>
      <c r="G1392" s="32">
        <v>0.5</v>
      </c>
      <c r="H1392" s="33">
        <v>0</v>
      </c>
      <c r="I1392" s="34">
        <v>152.380274273738</v>
      </c>
      <c r="J1392" s="34">
        <v>76.190137136869097</v>
      </c>
      <c r="K1392" s="31" t="s">
        <v>3125</v>
      </c>
      <c r="L1392" s="31">
        <v>3</v>
      </c>
      <c r="M1392" s="31" t="s">
        <v>3128</v>
      </c>
      <c r="N1392" s="34">
        <v>5</v>
      </c>
      <c r="O1392" s="35">
        <v>0</v>
      </c>
      <c r="P1392" s="35">
        <v>40</v>
      </c>
      <c r="Q1392" s="35">
        <v>0</v>
      </c>
      <c r="R1392" s="36">
        <v>18.09</v>
      </c>
      <c r="S1392" s="37">
        <f>IFERROR(_xlfn.XLOOKUP(R1392,'1_Presupuesto'!$E:$E,'1_Presupuesto'!$D:$D),"")</f>
        <v>0</v>
      </c>
    </row>
    <row r="1393" spans="1:19" x14ac:dyDescent="0.35">
      <c r="A1393" s="31" t="s">
        <v>3129</v>
      </c>
      <c r="B1393" s="31" t="s">
        <v>497</v>
      </c>
      <c r="C1393" s="31" t="s">
        <v>498</v>
      </c>
      <c r="D1393" s="31" t="s">
        <v>3130</v>
      </c>
      <c r="E1393" s="31" t="s">
        <v>3131</v>
      </c>
      <c r="F1393" s="31" t="s">
        <v>261</v>
      </c>
      <c r="G1393" s="32">
        <v>7.5</v>
      </c>
      <c r="H1393" s="33">
        <v>0.1</v>
      </c>
      <c r="I1393" s="34">
        <v>529.85400000000004</v>
      </c>
      <c r="J1393" s="34">
        <v>4371.2955000000002</v>
      </c>
      <c r="K1393" s="31" t="s">
        <v>3132</v>
      </c>
      <c r="L1393" s="31">
        <v>1</v>
      </c>
      <c r="M1393" s="31" t="s">
        <v>3133</v>
      </c>
      <c r="N1393" s="34">
        <v>3.25</v>
      </c>
      <c r="O1393" s="35">
        <v>0</v>
      </c>
      <c r="P1393" s="35">
        <v>0</v>
      </c>
      <c r="Q1393" s="35">
        <v>0</v>
      </c>
      <c r="R1393" s="36">
        <v>18.100000000000001</v>
      </c>
      <c r="S1393" s="37">
        <f>IFERROR(_xlfn.XLOOKUP(R1393,'1_Presupuesto'!$E:$E,'1_Presupuesto'!$D:$D),"")</f>
        <v>0</v>
      </c>
    </row>
    <row r="1394" spans="1:19" x14ac:dyDescent="0.35">
      <c r="A1394" s="31" t="s">
        <v>3129</v>
      </c>
      <c r="B1394" s="31" t="s">
        <v>497</v>
      </c>
      <c r="C1394" s="31" t="s">
        <v>498</v>
      </c>
      <c r="D1394" s="31" t="s">
        <v>3075</v>
      </c>
      <c r="E1394" s="31" t="s">
        <v>3076</v>
      </c>
      <c r="F1394" s="31" t="s">
        <v>261</v>
      </c>
      <c r="G1394" s="32">
        <v>3</v>
      </c>
      <c r="H1394" s="33">
        <v>0.1</v>
      </c>
      <c r="I1394" s="34">
        <v>310.65199999999999</v>
      </c>
      <c r="J1394" s="34">
        <v>1025.1515999999999</v>
      </c>
      <c r="K1394" s="31" t="s">
        <v>3132</v>
      </c>
      <c r="L1394" s="31">
        <v>2</v>
      </c>
      <c r="M1394" s="31" t="s">
        <v>3134</v>
      </c>
      <c r="N1394" s="34">
        <v>3.25</v>
      </c>
      <c r="O1394" s="35">
        <v>0</v>
      </c>
      <c r="P1394" s="35">
        <v>0</v>
      </c>
      <c r="Q1394" s="35">
        <v>0</v>
      </c>
      <c r="R1394" s="36">
        <v>18.100000000000001</v>
      </c>
      <c r="S1394" s="37">
        <f>IFERROR(_xlfn.XLOOKUP(R1394,'1_Presupuesto'!$E:$E,'1_Presupuesto'!$D:$D),"")</f>
        <v>0</v>
      </c>
    </row>
    <row r="1395" spans="1:19" x14ac:dyDescent="0.35">
      <c r="A1395" s="31" t="s">
        <v>3129</v>
      </c>
      <c r="B1395" s="31" t="s">
        <v>497</v>
      </c>
      <c r="C1395" s="31" t="s">
        <v>498</v>
      </c>
      <c r="D1395" s="31" t="s">
        <v>3078</v>
      </c>
      <c r="E1395" s="31" t="s">
        <v>3079</v>
      </c>
      <c r="F1395" s="31" t="s">
        <v>261</v>
      </c>
      <c r="G1395" s="32">
        <v>3</v>
      </c>
      <c r="H1395" s="33">
        <v>0.1</v>
      </c>
      <c r="I1395" s="34">
        <v>119.32</v>
      </c>
      <c r="J1395" s="34">
        <v>393.75599999999997</v>
      </c>
      <c r="K1395" s="31" t="s">
        <v>3132</v>
      </c>
      <c r="L1395" s="31">
        <v>3</v>
      </c>
      <c r="M1395" s="31" t="s">
        <v>3135</v>
      </c>
      <c r="N1395" s="34">
        <v>3.25</v>
      </c>
      <c r="O1395" s="35">
        <v>0</v>
      </c>
      <c r="P1395" s="35">
        <v>0</v>
      </c>
      <c r="Q1395" s="35">
        <v>0</v>
      </c>
      <c r="R1395" s="36">
        <v>18.100000000000001</v>
      </c>
      <c r="S1395" s="37">
        <f>IFERROR(_xlfn.XLOOKUP(R1395,'1_Presupuesto'!$E:$E,'1_Presupuesto'!$D:$D),"")</f>
        <v>0</v>
      </c>
    </row>
    <row r="1396" spans="1:19" x14ac:dyDescent="0.35">
      <c r="A1396" s="31" t="s">
        <v>3129</v>
      </c>
      <c r="B1396" s="31" t="s">
        <v>497</v>
      </c>
      <c r="C1396" s="31" t="s">
        <v>498</v>
      </c>
      <c r="D1396" s="31" t="s">
        <v>3081</v>
      </c>
      <c r="E1396" s="31" t="s">
        <v>3082</v>
      </c>
      <c r="F1396" s="31">
        <v>0</v>
      </c>
      <c r="G1396" s="32">
        <v>7.5</v>
      </c>
      <c r="H1396" s="33">
        <v>0.1</v>
      </c>
      <c r="I1396" s="34">
        <v>895.33241596022003</v>
      </c>
      <c r="J1396" s="34">
        <v>7386.4924316718198</v>
      </c>
      <c r="K1396" s="31" t="s">
        <v>3132</v>
      </c>
      <c r="L1396" s="31">
        <v>4</v>
      </c>
      <c r="M1396" s="31" t="s">
        <v>3136</v>
      </c>
      <c r="N1396" s="34">
        <v>3.25</v>
      </c>
      <c r="O1396" s="35">
        <v>0</v>
      </c>
      <c r="P1396" s="35">
        <v>0</v>
      </c>
      <c r="Q1396" s="35">
        <v>0</v>
      </c>
      <c r="R1396" s="36">
        <v>18.100000000000001</v>
      </c>
      <c r="S1396" s="37">
        <f>IFERROR(_xlfn.XLOOKUP(R1396,'1_Presupuesto'!$E:$E,'1_Presupuesto'!$D:$D),"")</f>
        <v>0</v>
      </c>
    </row>
    <row r="1397" spans="1:19" x14ac:dyDescent="0.35">
      <c r="A1397" s="31" t="s">
        <v>3129</v>
      </c>
      <c r="B1397" s="31" t="s">
        <v>497</v>
      </c>
      <c r="C1397" s="31" t="s">
        <v>498</v>
      </c>
      <c r="D1397" s="31" t="s">
        <v>3081</v>
      </c>
      <c r="E1397" s="31" t="s">
        <v>3082</v>
      </c>
      <c r="F1397" s="31">
        <v>0</v>
      </c>
      <c r="G1397" s="32">
        <v>15</v>
      </c>
      <c r="H1397" s="33">
        <v>0.1</v>
      </c>
      <c r="I1397" s="34">
        <v>895.33241596022003</v>
      </c>
      <c r="J1397" s="34">
        <v>14772.984863343599</v>
      </c>
      <c r="K1397" s="31" t="s">
        <v>3132</v>
      </c>
      <c r="L1397" s="31">
        <v>5</v>
      </c>
      <c r="M1397" s="31" t="s">
        <v>3137</v>
      </c>
      <c r="N1397" s="34">
        <v>3.25</v>
      </c>
      <c r="O1397" s="35">
        <v>0</v>
      </c>
      <c r="P1397" s="35">
        <v>0</v>
      </c>
      <c r="Q1397" s="35">
        <v>0</v>
      </c>
      <c r="R1397" s="36">
        <v>18.100000000000001</v>
      </c>
      <c r="S1397" s="37">
        <f>IFERROR(_xlfn.XLOOKUP(R1397,'1_Presupuesto'!$E:$E,'1_Presupuesto'!$D:$D),"")</f>
        <v>0</v>
      </c>
    </row>
    <row r="1398" spans="1:19" x14ac:dyDescent="0.35">
      <c r="A1398" s="31" t="s">
        <v>3129</v>
      </c>
      <c r="B1398" s="31" t="s">
        <v>497</v>
      </c>
      <c r="C1398" s="31" t="s">
        <v>498</v>
      </c>
      <c r="D1398" s="31" t="s">
        <v>666</v>
      </c>
      <c r="E1398" s="31" t="s">
        <v>667</v>
      </c>
      <c r="F1398" s="31" t="s">
        <v>261</v>
      </c>
      <c r="G1398" s="32">
        <v>1</v>
      </c>
      <c r="H1398" s="33">
        <v>0.05</v>
      </c>
      <c r="I1398" s="34">
        <v>217.14975799999999</v>
      </c>
      <c r="J1398" s="34">
        <v>228.00724589999999</v>
      </c>
      <c r="K1398" s="31" t="s">
        <v>3132</v>
      </c>
      <c r="L1398" s="31">
        <v>6</v>
      </c>
      <c r="M1398" s="31" t="s">
        <v>3138</v>
      </c>
      <c r="N1398" s="34">
        <v>3.25</v>
      </c>
      <c r="O1398" s="35">
        <v>0</v>
      </c>
      <c r="P1398" s="35">
        <v>0</v>
      </c>
      <c r="Q1398" s="35">
        <v>0</v>
      </c>
      <c r="R1398" s="36">
        <v>18.100000000000001</v>
      </c>
      <c r="S1398" s="37">
        <f>IFERROR(_xlfn.XLOOKUP(R1398,'1_Presupuesto'!$E:$E,'1_Presupuesto'!$D:$D),"")</f>
        <v>0</v>
      </c>
    </row>
    <row r="1399" spans="1:19" x14ac:dyDescent="0.35">
      <c r="A1399" s="31" t="s">
        <v>3129</v>
      </c>
      <c r="B1399" s="31" t="s">
        <v>497</v>
      </c>
      <c r="C1399" s="31" t="s">
        <v>498</v>
      </c>
      <c r="D1399" s="31" t="s">
        <v>597</v>
      </c>
      <c r="E1399" s="31" t="s">
        <v>598</v>
      </c>
      <c r="F1399" s="31" t="s">
        <v>218</v>
      </c>
      <c r="G1399" s="32">
        <v>5917.3144044896999</v>
      </c>
      <c r="H1399" s="33">
        <v>0</v>
      </c>
      <c r="I1399" s="34">
        <v>1</v>
      </c>
      <c r="J1399" s="34">
        <v>5917.3144044896999</v>
      </c>
      <c r="K1399" s="31" t="s">
        <v>3132</v>
      </c>
      <c r="L1399" s="31">
        <v>7</v>
      </c>
      <c r="M1399" s="31" t="s">
        <v>3139</v>
      </c>
      <c r="N1399" s="34">
        <v>3.25</v>
      </c>
      <c r="O1399" s="35">
        <v>0</v>
      </c>
      <c r="P1399" s="35">
        <v>0</v>
      </c>
      <c r="Q1399" s="35">
        <v>0</v>
      </c>
      <c r="R1399" s="36">
        <v>18.100000000000001</v>
      </c>
      <c r="S1399" s="37">
        <f>IFERROR(_xlfn.XLOOKUP(R1399,'1_Presupuesto'!$E:$E,'1_Presupuesto'!$D:$D),"")</f>
        <v>0</v>
      </c>
    </row>
    <row r="1400" spans="1:19" x14ac:dyDescent="0.35">
      <c r="A1400" s="31" t="s">
        <v>3129</v>
      </c>
      <c r="B1400" s="31" t="s">
        <v>203</v>
      </c>
      <c r="C1400" s="31"/>
      <c r="D1400" s="31" t="s">
        <v>641</v>
      </c>
      <c r="E1400" s="31" t="s">
        <v>642</v>
      </c>
      <c r="F1400" s="31"/>
      <c r="G1400" s="32">
        <v>1</v>
      </c>
      <c r="H1400" s="33">
        <v>0</v>
      </c>
      <c r="I1400" s="34">
        <v>5503.0404388678899</v>
      </c>
      <c r="J1400" s="34">
        <v>5503.0404388678899</v>
      </c>
      <c r="K1400" s="31" t="s">
        <v>3140</v>
      </c>
      <c r="L1400" s="31">
        <v>1</v>
      </c>
      <c r="M1400" s="31" t="s">
        <v>3141</v>
      </c>
      <c r="N1400" s="34">
        <v>3.25</v>
      </c>
      <c r="O1400" s="35">
        <v>0</v>
      </c>
      <c r="P1400" s="35">
        <v>0</v>
      </c>
      <c r="Q1400" s="35">
        <v>0</v>
      </c>
      <c r="R1400" s="36">
        <v>18.100000000000001</v>
      </c>
      <c r="S1400" s="37">
        <f>IFERROR(_xlfn.XLOOKUP(R1400,'1_Presupuesto'!$E:$E,'1_Presupuesto'!$D:$D),"")</f>
        <v>0</v>
      </c>
    </row>
    <row r="1401" spans="1:19" x14ac:dyDescent="0.35">
      <c r="A1401" s="31" t="s">
        <v>3129</v>
      </c>
      <c r="B1401" s="31" t="s">
        <v>203</v>
      </c>
      <c r="C1401" s="31"/>
      <c r="D1401" s="31" t="s">
        <v>613</v>
      </c>
      <c r="E1401" s="31" t="s">
        <v>614</v>
      </c>
      <c r="F1401" s="31"/>
      <c r="G1401" s="32">
        <v>0.5</v>
      </c>
      <c r="H1401" s="33">
        <v>0</v>
      </c>
      <c r="I1401" s="34">
        <v>620.81078197718296</v>
      </c>
      <c r="J1401" s="34">
        <v>310.40539098859199</v>
      </c>
      <c r="K1401" s="31" t="s">
        <v>3140</v>
      </c>
      <c r="L1401" s="31">
        <v>2</v>
      </c>
      <c r="M1401" s="31" t="s">
        <v>3142</v>
      </c>
      <c r="N1401" s="34">
        <v>3.25</v>
      </c>
      <c r="O1401" s="35">
        <v>0</v>
      </c>
      <c r="P1401" s="35">
        <v>0</v>
      </c>
      <c r="Q1401" s="35">
        <v>0</v>
      </c>
      <c r="R1401" s="36">
        <v>18.100000000000001</v>
      </c>
      <c r="S1401" s="37">
        <f>IFERROR(_xlfn.XLOOKUP(R1401,'1_Presupuesto'!$E:$E,'1_Presupuesto'!$D:$D),"")</f>
        <v>0</v>
      </c>
    </row>
    <row r="1402" spans="1:19" x14ac:dyDescent="0.35">
      <c r="A1402" s="31" t="s">
        <v>3129</v>
      </c>
      <c r="B1402" s="31" t="s">
        <v>203</v>
      </c>
      <c r="C1402" s="31"/>
      <c r="D1402" s="31" t="s">
        <v>572</v>
      </c>
      <c r="E1402" s="31" t="s">
        <v>573</v>
      </c>
      <c r="F1402" s="31"/>
      <c r="G1402" s="32">
        <v>0.5</v>
      </c>
      <c r="H1402" s="33">
        <v>0</v>
      </c>
      <c r="I1402" s="34">
        <v>152.380274273738</v>
      </c>
      <c r="J1402" s="34">
        <v>76.190137136869097</v>
      </c>
      <c r="K1402" s="31" t="s">
        <v>3140</v>
      </c>
      <c r="L1402" s="31">
        <v>3</v>
      </c>
      <c r="M1402" s="31" t="s">
        <v>3143</v>
      </c>
      <c r="N1402" s="34">
        <v>3.25</v>
      </c>
      <c r="O1402" s="35">
        <v>0</v>
      </c>
      <c r="P1402" s="35">
        <v>0</v>
      </c>
      <c r="Q1402" s="35">
        <v>0</v>
      </c>
      <c r="R1402" s="36">
        <v>18.100000000000001</v>
      </c>
      <c r="S1402" s="37">
        <f>IFERROR(_xlfn.XLOOKUP(R1402,'1_Presupuesto'!$E:$E,'1_Presupuesto'!$D:$D),"")</f>
        <v>0</v>
      </c>
    </row>
    <row r="1403" spans="1:19" x14ac:dyDescent="0.35">
      <c r="A1403" s="31" t="s">
        <v>3144</v>
      </c>
      <c r="B1403" s="31" t="s">
        <v>478</v>
      </c>
      <c r="C1403" s="31" t="s">
        <v>498</v>
      </c>
      <c r="D1403" s="31" t="s">
        <v>3145</v>
      </c>
      <c r="E1403" s="31" t="s">
        <v>3146</v>
      </c>
      <c r="F1403" s="31" t="s">
        <v>481</v>
      </c>
      <c r="G1403" s="32">
        <v>1</v>
      </c>
      <c r="H1403" s="33">
        <v>0</v>
      </c>
      <c r="I1403" s="34">
        <v>434240.1</v>
      </c>
      <c r="J1403" s="34">
        <v>434240.1</v>
      </c>
      <c r="K1403" s="31" t="s">
        <v>3147</v>
      </c>
      <c r="L1403" s="31">
        <v>1</v>
      </c>
      <c r="M1403" s="31" t="s">
        <v>3148</v>
      </c>
      <c r="N1403" s="34">
        <v>1</v>
      </c>
      <c r="O1403" s="35">
        <v>0</v>
      </c>
      <c r="P1403" s="35">
        <v>1</v>
      </c>
      <c r="Q1403" s="35">
        <v>0</v>
      </c>
      <c r="R1403" s="36">
        <v>18.11</v>
      </c>
      <c r="S1403" s="37">
        <f>IFERROR(_xlfn.XLOOKUP(R1403,'1_Presupuesto'!$E:$E,'1_Presupuesto'!$D:$D),"")</f>
        <v>0</v>
      </c>
    </row>
    <row r="1404" spans="1:19" x14ac:dyDescent="0.35">
      <c r="A1404" s="31" t="s">
        <v>3144</v>
      </c>
      <c r="B1404" s="31" t="s">
        <v>497</v>
      </c>
      <c r="C1404" s="31" t="s">
        <v>498</v>
      </c>
      <c r="D1404" s="31" t="s">
        <v>3149</v>
      </c>
      <c r="E1404" s="31" t="s">
        <v>3150</v>
      </c>
      <c r="F1404" s="31" t="s">
        <v>261</v>
      </c>
      <c r="G1404" s="32">
        <v>2</v>
      </c>
      <c r="H1404" s="33">
        <v>0</v>
      </c>
      <c r="I1404" s="34">
        <v>20196.092406751999</v>
      </c>
      <c r="J1404" s="34">
        <v>40392.184813503998</v>
      </c>
      <c r="K1404" s="31" t="s">
        <v>3151</v>
      </c>
      <c r="L1404" s="31">
        <v>1</v>
      </c>
      <c r="M1404" s="31" t="s">
        <v>3152</v>
      </c>
      <c r="N1404" s="34">
        <v>1</v>
      </c>
      <c r="O1404" s="35">
        <v>0</v>
      </c>
      <c r="P1404" s="35">
        <v>1</v>
      </c>
      <c r="Q1404" s="35">
        <v>0</v>
      </c>
      <c r="R1404" s="36">
        <v>18.11</v>
      </c>
      <c r="S1404" s="37">
        <f>IFERROR(_xlfn.XLOOKUP(R1404,'1_Presupuesto'!$E:$E,'1_Presupuesto'!$D:$D),"")</f>
        <v>0</v>
      </c>
    </row>
    <row r="1405" spans="1:19" x14ac:dyDescent="0.35">
      <c r="A1405" s="31" t="s">
        <v>3144</v>
      </c>
      <c r="B1405" s="31" t="s">
        <v>203</v>
      </c>
      <c r="C1405" s="31"/>
      <c r="D1405" s="31" t="s">
        <v>3153</v>
      </c>
      <c r="E1405" s="31" t="s">
        <v>3154</v>
      </c>
      <c r="F1405" s="31"/>
      <c r="G1405" s="32">
        <v>1</v>
      </c>
      <c r="H1405" s="33">
        <v>0</v>
      </c>
      <c r="I1405" s="34">
        <v>27650.867628874701</v>
      </c>
      <c r="J1405" s="34">
        <v>27650.867628874701</v>
      </c>
      <c r="K1405" s="31" t="s">
        <v>3155</v>
      </c>
      <c r="L1405" s="31">
        <v>1</v>
      </c>
      <c r="M1405" s="31" t="s">
        <v>3156</v>
      </c>
      <c r="N1405" s="34">
        <v>1</v>
      </c>
      <c r="O1405" s="35">
        <v>0</v>
      </c>
      <c r="P1405" s="35">
        <v>1</v>
      </c>
      <c r="Q1405" s="35">
        <v>0</v>
      </c>
      <c r="R1405" s="36">
        <v>18.11</v>
      </c>
      <c r="S1405" s="37">
        <f>IFERROR(_xlfn.XLOOKUP(R1405,'1_Presupuesto'!$E:$E,'1_Presupuesto'!$D:$D),"")</f>
        <v>0</v>
      </c>
    </row>
    <row r="1406" spans="1:19" x14ac:dyDescent="0.35">
      <c r="A1406" s="31" t="s">
        <v>3157</v>
      </c>
      <c r="B1406" s="31" t="s">
        <v>478</v>
      </c>
      <c r="C1406" s="31" t="s">
        <v>498</v>
      </c>
      <c r="D1406" s="31" t="s">
        <v>3158</v>
      </c>
      <c r="E1406" s="31" t="s">
        <v>3159</v>
      </c>
      <c r="F1406" s="31" t="s">
        <v>481</v>
      </c>
      <c r="G1406" s="32">
        <v>1</v>
      </c>
      <c r="H1406" s="33">
        <v>0</v>
      </c>
      <c r="I1406" s="34">
        <v>289506.59999999998</v>
      </c>
      <c r="J1406" s="34">
        <v>289506.59999999998</v>
      </c>
      <c r="K1406" s="31" t="s">
        <v>3160</v>
      </c>
      <c r="L1406" s="31">
        <v>1</v>
      </c>
      <c r="M1406" s="31" t="s">
        <v>3161</v>
      </c>
      <c r="N1406" s="34">
        <v>1</v>
      </c>
      <c r="O1406" s="35">
        <v>0</v>
      </c>
      <c r="P1406" s="35">
        <v>1</v>
      </c>
      <c r="Q1406" s="35">
        <v>0</v>
      </c>
      <c r="R1406" s="36">
        <v>18.12</v>
      </c>
      <c r="S1406" s="37">
        <f>IFERROR(_xlfn.XLOOKUP(R1406,'1_Presupuesto'!$E:$E,'1_Presupuesto'!$D:$D),"")</f>
        <v>0</v>
      </c>
    </row>
    <row r="1407" spans="1:19" x14ac:dyDescent="0.35">
      <c r="A1407" s="31" t="s">
        <v>3157</v>
      </c>
      <c r="B1407" s="31" t="s">
        <v>497</v>
      </c>
      <c r="C1407" s="31" t="s">
        <v>498</v>
      </c>
      <c r="D1407" s="31" t="s">
        <v>3149</v>
      </c>
      <c r="E1407" s="31" t="s">
        <v>3150</v>
      </c>
      <c r="F1407" s="31" t="s">
        <v>261</v>
      </c>
      <c r="G1407" s="32">
        <v>1</v>
      </c>
      <c r="H1407" s="33">
        <v>0</v>
      </c>
      <c r="I1407" s="34">
        <v>20196.092406751999</v>
      </c>
      <c r="J1407" s="34">
        <v>20196.092406751999</v>
      </c>
      <c r="K1407" s="31" t="s">
        <v>3162</v>
      </c>
      <c r="L1407" s="31">
        <v>1</v>
      </c>
      <c r="M1407" s="31" t="s">
        <v>3163</v>
      </c>
      <c r="N1407" s="34">
        <v>1</v>
      </c>
      <c r="O1407" s="35">
        <v>0</v>
      </c>
      <c r="P1407" s="35">
        <v>1</v>
      </c>
      <c r="Q1407" s="35">
        <v>0</v>
      </c>
      <c r="R1407" s="36">
        <v>18.12</v>
      </c>
      <c r="S1407" s="37">
        <f>IFERROR(_xlfn.XLOOKUP(R1407,'1_Presupuesto'!$E:$E,'1_Presupuesto'!$D:$D),"")</f>
        <v>0</v>
      </c>
    </row>
    <row r="1408" spans="1:19" x14ac:dyDescent="0.35">
      <c r="A1408" s="31" t="s">
        <v>3157</v>
      </c>
      <c r="B1408" s="31" t="s">
        <v>203</v>
      </c>
      <c r="C1408" s="31"/>
      <c r="D1408" s="31" t="s">
        <v>3164</v>
      </c>
      <c r="E1408" s="31" t="s">
        <v>3165</v>
      </c>
      <c r="F1408" s="31"/>
      <c r="G1408" s="32">
        <v>1</v>
      </c>
      <c r="H1408" s="33">
        <v>0</v>
      </c>
      <c r="I1408" s="34">
        <v>13500.7040955099</v>
      </c>
      <c r="J1408" s="34">
        <v>13500.7040955099</v>
      </c>
      <c r="K1408" s="31" t="s">
        <v>3166</v>
      </c>
      <c r="L1408" s="31">
        <v>1</v>
      </c>
      <c r="M1408" s="31" t="s">
        <v>3167</v>
      </c>
      <c r="N1408" s="34">
        <v>1</v>
      </c>
      <c r="O1408" s="35">
        <v>0</v>
      </c>
      <c r="P1408" s="35">
        <v>1</v>
      </c>
      <c r="Q1408" s="35">
        <v>0</v>
      </c>
      <c r="R1408" s="36">
        <v>18.12</v>
      </c>
      <c r="S1408" s="37">
        <f>IFERROR(_xlfn.XLOOKUP(R1408,'1_Presupuesto'!$E:$E,'1_Presupuesto'!$D:$D),"")</f>
        <v>0</v>
      </c>
    </row>
    <row r="1409" spans="1:19" x14ac:dyDescent="0.35">
      <c r="A1409" s="31" t="s">
        <v>3168</v>
      </c>
      <c r="B1409" s="31" t="s">
        <v>478</v>
      </c>
      <c r="C1409" s="31" t="s">
        <v>498</v>
      </c>
      <c r="D1409" s="31" t="s">
        <v>3158</v>
      </c>
      <c r="E1409" s="31" t="s">
        <v>3159</v>
      </c>
      <c r="F1409" s="31" t="s">
        <v>481</v>
      </c>
      <c r="G1409" s="32">
        <v>1</v>
      </c>
      <c r="H1409" s="33">
        <v>0</v>
      </c>
      <c r="I1409" s="34">
        <v>289506.59999999998</v>
      </c>
      <c r="J1409" s="34">
        <v>289506.59999999998</v>
      </c>
      <c r="K1409" s="31" t="s">
        <v>3169</v>
      </c>
      <c r="L1409" s="31">
        <v>1</v>
      </c>
      <c r="M1409" s="31" t="s">
        <v>3170</v>
      </c>
      <c r="N1409" s="34">
        <v>1</v>
      </c>
      <c r="O1409" s="35">
        <v>0</v>
      </c>
      <c r="P1409" s="35">
        <v>1</v>
      </c>
      <c r="Q1409" s="35">
        <v>0</v>
      </c>
      <c r="R1409" s="36">
        <v>18.13</v>
      </c>
      <c r="S1409" s="37">
        <f>IFERROR(_xlfn.XLOOKUP(R1409,'1_Presupuesto'!$E:$E,'1_Presupuesto'!$D:$D),"")</f>
        <v>0</v>
      </c>
    </row>
    <row r="1410" spans="1:19" x14ac:dyDescent="0.35">
      <c r="A1410" s="31" t="s">
        <v>3168</v>
      </c>
      <c r="B1410" s="31" t="s">
        <v>497</v>
      </c>
      <c r="C1410" s="31" t="s">
        <v>498</v>
      </c>
      <c r="D1410" s="31" t="s">
        <v>3171</v>
      </c>
      <c r="E1410" s="31" t="s">
        <v>3172</v>
      </c>
      <c r="F1410" s="31" t="s">
        <v>261</v>
      </c>
      <c r="G1410" s="32">
        <v>2</v>
      </c>
      <c r="H1410" s="33">
        <v>0</v>
      </c>
      <c r="I1410" s="34">
        <v>12011.3461770173</v>
      </c>
      <c r="J1410" s="34">
        <v>24022.6923540346</v>
      </c>
      <c r="K1410" s="31" t="s">
        <v>3173</v>
      </c>
      <c r="L1410" s="31">
        <v>1</v>
      </c>
      <c r="M1410" s="31" t="s">
        <v>3174</v>
      </c>
      <c r="N1410" s="34">
        <v>1</v>
      </c>
      <c r="O1410" s="35">
        <v>0</v>
      </c>
      <c r="P1410" s="35">
        <v>1</v>
      </c>
      <c r="Q1410" s="35">
        <v>0</v>
      </c>
      <c r="R1410" s="36">
        <v>18.13</v>
      </c>
      <c r="S1410" s="37">
        <f>IFERROR(_xlfn.XLOOKUP(R1410,'1_Presupuesto'!$E:$E,'1_Presupuesto'!$D:$D),"")</f>
        <v>0</v>
      </c>
    </row>
    <row r="1411" spans="1:19" x14ac:dyDescent="0.35">
      <c r="A1411" s="31" t="s">
        <v>3168</v>
      </c>
      <c r="B1411" s="31" t="s">
        <v>203</v>
      </c>
      <c r="C1411" s="31"/>
      <c r="D1411" s="31" t="s">
        <v>3175</v>
      </c>
      <c r="E1411" s="31" t="s">
        <v>3176</v>
      </c>
      <c r="F1411" s="31"/>
      <c r="G1411" s="32">
        <v>1</v>
      </c>
      <c r="H1411" s="33">
        <v>0</v>
      </c>
      <c r="I1411" s="34">
        <v>8705.7989624149104</v>
      </c>
      <c r="J1411" s="34">
        <v>8705.7989624149104</v>
      </c>
      <c r="K1411" s="31" t="s">
        <v>3177</v>
      </c>
      <c r="L1411" s="31">
        <v>1</v>
      </c>
      <c r="M1411" s="31" t="s">
        <v>3178</v>
      </c>
      <c r="N1411" s="34">
        <v>1</v>
      </c>
      <c r="O1411" s="35">
        <v>0</v>
      </c>
      <c r="P1411" s="35">
        <v>1</v>
      </c>
      <c r="Q1411" s="35">
        <v>0</v>
      </c>
      <c r="R1411" s="36">
        <v>18.13</v>
      </c>
      <c r="S1411" s="37">
        <f>IFERROR(_xlfn.XLOOKUP(R1411,'1_Presupuesto'!$E:$E,'1_Presupuesto'!$D:$D),"")</f>
        <v>0</v>
      </c>
    </row>
    <row r="1412" spans="1:19" x14ac:dyDescent="0.35">
      <c r="A1412" s="31" t="s">
        <v>3179</v>
      </c>
      <c r="B1412" s="31" t="s">
        <v>478</v>
      </c>
      <c r="C1412" s="31" t="s">
        <v>498</v>
      </c>
      <c r="D1412" s="31" t="s">
        <v>3158</v>
      </c>
      <c r="E1412" s="31" t="s">
        <v>3159</v>
      </c>
      <c r="F1412" s="31" t="s">
        <v>481</v>
      </c>
      <c r="G1412" s="32">
        <v>1</v>
      </c>
      <c r="H1412" s="33">
        <v>0</v>
      </c>
      <c r="I1412" s="34">
        <v>289506.59999999998</v>
      </c>
      <c r="J1412" s="34">
        <v>289506.59999999998</v>
      </c>
      <c r="K1412" s="31" t="s">
        <v>3180</v>
      </c>
      <c r="L1412" s="31">
        <v>1</v>
      </c>
      <c r="M1412" s="31" t="s">
        <v>3181</v>
      </c>
      <c r="N1412" s="34">
        <v>1</v>
      </c>
      <c r="O1412" s="35">
        <v>0</v>
      </c>
      <c r="P1412" s="35">
        <v>1</v>
      </c>
      <c r="Q1412" s="35">
        <v>0</v>
      </c>
      <c r="R1412" s="36">
        <v>18.14</v>
      </c>
      <c r="S1412" s="37">
        <f>IFERROR(_xlfn.XLOOKUP(R1412,'1_Presupuesto'!$E:$E,'1_Presupuesto'!$D:$D),"")</f>
        <v>0</v>
      </c>
    </row>
    <row r="1413" spans="1:19" x14ac:dyDescent="0.35">
      <c r="A1413" s="31" t="s">
        <v>3179</v>
      </c>
      <c r="B1413" s="31" t="s">
        <v>497</v>
      </c>
      <c r="C1413" s="31" t="s">
        <v>498</v>
      </c>
      <c r="D1413" s="31" t="s">
        <v>3182</v>
      </c>
      <c r="E1413" s="31" t="s">
        <v>3183</v>
      </c>
      <c r="F1413" s="31" t="s">
        <v>261</v>
      </c>
      <c r="G1413" s="32">
        <v>2</v>
      </c>
      <c r="H1413" s="33">
        <v>0</v>
      </c>
      <c r="I1413" s="34">
        <v>5688.7390030904999</v>
      </c>
      <c r="J1413" s="34">
        <v>11377.478006181</v>
      </c>
      <c r="K1413" s="31" t="s">
        <v>3184</v>
      </c>
      <c r="L1413" s="31">
        <v>1</v>
      </c>
      <c r="M1413" s="31" t="s">
        <v>3185</v>
      </c>
      <c r="N1413" s="34">
        <v>1</v>
      </c>
      <c r="O1413" s="35">
        <v>0</v>
      </c>
      <c r="P1413" s="35">
        <v>1</v>
      </c>
      <c r="Q1413" s="35">
        <v>0</v>
      </c>
      <c r="R1413" s="36">
        <v>18.14</v>
      </c>
      <c r="S1413" s="37">
        <f>IFERROR(_xlfn.XLOOKUP(R1413,'1_Presupuesto'!$E:$E,'1_Presupuesto'!$D:$D),"")</f>
        <v>0</v>
      </c>
    </row>
    <row r="1414" spans="1:19" x14ac:dyDescent="0.35">
      <c r="A1414" s="31" t="s">
        <v>3179</v>
      </c>
      <c r="B1414" s="31" t="s">
        <v>203</v>
      </c>
      <c r="C1414" s="31"/>
      <c r="D1414" s="31" t="s">
        <v>3186</v>
      </c>
      <c r="E1414" s="31" t="s">
        <v>3187</v>
      </c>
      <c r="F1414" s="31"/>
      <c r="G1414" s="32">
        <v>1</v>
      </c>
      <c r="H1414" s="33">
        <v>0</v>
      </c>
      <c r="I1414" s="34">
        <v>11886.9640402859</v>
      </c>
      <c r="J1414" s="34">
        <v>11886.9640402859</v>
      </c>
      <c r="K1414" s="31" t="s">
        <v>3188</v>
      </c>
      <c r="L1414" s="31">
        <v>1</v>
      </c>
      <c r="M1414" s="31" t="s">
        <v>3189</v>
      </c>
      <c r="N1414" s="34">
        <v>1</v>
      </c>
      <c r="O1414" s="35">
        <v>0</v>
      </c>
      <c r="P1414" s="35">
        <v>1</v>
      </c>
      <c r="Q1414" s="35">
        <v>0</v>
      </c>
      <c r="R1414" s="36">
        <v>18.14</v>
      </c>
      <c r="S1414" s="37">
        <f>IFERROR(_xlfn.XLOOKUP(R1414,'1_Presupuesto'!$E:$E,'1_Presupuesto'!$D:$D),"")</f>
        <v>0</v>
      </c>
    </row>
    <row r="1415" spans="1:19" x14ac:dyDescent="0.35">
      <c r="A1415" s="31" t="s">
        <v>3190</v>
      </c>
      <c r="B1415" s="31" t="s">
        <v>478</v>
      </c>
      <c r="C1415" s="31" t="s">
        <v>498</v>
      </c>
      <c r="D1415" s="31" t="s">
        <v>3158</v>
      </c>
      <c r="E1415" s="31" t="s">
        <v>3159</v>
      </c>
      <c r="F1415" s="31" t="s">
        <v>481</v>
      </c>
      <c r="G1415" s="32">
        <v>1</v>
      </c>
      <c r="H1415" s="33">
        <v>0</v>
      </c>
      <c r="I1415" s="34">
        <v>289506.59999999998</v>
      </c>
      <c r="J1415" s="34">
        <v>289506.59999999998</v>
      </c>
      <c r="K1415" s="31" t="s">
        <v>3191</v>
      </c>
      <c r="L1415" s="31">
        <v>1</v>
      </c>
      <c r="M1415" s="31" t="s">
        <v>3192</v>
      </c>
      <c r="N1415" s="34">
        <v>1</v>
      </c>
      <c r="O1415" s="35">
        <v>0</v>
      </c>
      <c r="P1415" s="35">
        <v>11</v>
      </c>
      <c r="Q1415" s="35">
        <v>0</v>
      </c>
      <c r="R1415" s="36">
        <v>18.149999999999999</v>
      </c>
      <c r="S1415" s="37">
        <f>IFERROR(_xlfn.XLOOKUP(R1415,'1_Presupuesto'!$E:$E,'1_Presupuesto'!$D:$D),"")</f>
        <v>0</v>
      </c>
    </row>
    <row r="1416" spans="1:19" x14ac:dyDescent="0.35">
      <c r="A1416" s="31" t="s">
        <v>3190</v>
      </c>
      <c r="B1416" s="31" t="s">
        <v>497</v>
      </c>
      <c r="C1416" s="31" t="s">
        <v>498</v>
      </c>
      <c r="D1416" s="31" t="s">
        <v>3193</v>
      </c>
      <c r="E1416" s="31" t="s">
        <v>3194</v>
      </c>
      <c r="F1416" s="31" t="s">
        <v>261</v>
      </c>
      <c r="G1416" s="32">
        <v>1</v>
      </c>
      <c r="H1416" s="33">
        <v>0</v>
      </c>
      <c r="I1416" s="34">
        <v>5688.7390030904999</v>
      </c>
      <c r="J1416" s="34">
        <v>5688.7390030904999</v>
      </c>
      <c r="K1416" s="31" t="s">
        <v>3195</v>
      </c>
      <c r="L1416" s="31">
        <v>1</v>
      </c>
      <c r="M1416" s="31" t="s">
        <v>3196</v>
      </c>
      <c r="N1416" s="34">
        <v>1</v>
      </c>
      <c r="O1416" s="35">
        <v>0</v>
      </c>
      <c r="P1416" s="35">
        <v>11</v>
      </c>
      <c r="Q1416" s="35">
        <v>0</v>
      </c>
      <c r="R1416" s="36">
        <v>18.149999999999999</v>
      </c>
      <c r="S1416" s="37">
        <f>IFERROR(_xlfn.XLOOKUP(R1416,'1_Presupuesto'!$E:$E,'1_Presupuesto'!$D:$D),"")</f>
        <v>0</v>
      </c>
    </row>
    <row r="1417" spans="1:19" x14ac:dyDescent="0.35">
      <c r="A1417" s="31" t="s">
        <v>3190</v>
      </c>
      <c r="B1417" s="31" t="s">
        <v>203</v>
      </c>
      <c r="C1417" s="31"/>
      <c r="D1417" s="31" t="s">
        <v>3197</v>
      </c>
      <c r="E1417" s="31" t="s">
        <v>3198</v>
      </c>
      <c r="F1417" s="31"/>
      <c r="G1417" s="32">
        <v>1</v>
      </c>
      <c r="H1417" s="33">
        <v>0</v>
      </c>
      <c r="I1417" s="34">
        <v>6390.5096158082797</v>
      </c>
      <c r="J1417" s="34">
        <v>6390.5096158082797</v>
      </c>
      <c r="K1417" s="31" t="s">
        <v>3199</v>
      </c>
      <c r="L1417" s="31">
        <v>1</v>
      </c>
      <c r="M1417" s="31" t="s">
        <v>3200</v>
      </c>
      <c r="N1417" s="34">
        <v>1</v>
      </c>
      <c r="O1417" s="35">
        <v>0</v>
      </c>
      <c r="P1417" s="35">
        <v>11</v>
      </c>
      <c r="Q1417" s="35">
        <v>0</v>
      </c>
      <c r="R1417" s="36">
        <v>18.149999999999999</v>
      </c>
      <c r="S1417" s="37">
        <f>IFERROR(_xlfn.XLOOKUP(R1417,'1_Presupuesto'!$E:$E,'1_Presupuesto'!$D:$D),"")</f>
        <v>0</v>
      </c>
    </row>
    <row r="1418" spans="1:19" x14ac:dyDescent="0.35">
      <c r="A1418" s="31" t="s">
        <v>3201</v>
      </c>
      <c r="B1418" s="31" t="s">
        <v>478</v>
      </c>
      <c r="C1418" s="31" t="s">
        <v>498</v>
      </c>
      <c r="D1418" s="31" t="s">
        <v>3158</v>
      </c>
      <c r="E1418" s="31" t="s">
        <v>3159</v>
      </c>
      <c r="F1418" s="31" t="s">
        <v>481</v>
      </c>
      <c r="G1418" s="32">
        <v>1</v>
      </c>
      <c r="H1418" s="33">
        <v>0</v>
      </c>
      <c r="I1418" s="34">
        <v>289506.59999999998</v>
      </c>
      <c r="J1418" s="34">
        <v>289506.59999999998</v>
      </c>
      <c r="K1418" s="31" t="s">
        <v>3202</v>
      </c>
      <c r="L1418" s="31">
        <v>1</v>
      </c>
      <c r="M1418" s="31" t="s">
        <v>3203</v>
      </c>
      <c r="N1418" s="34">
        <v>1</v>
      </c>
      <c r="O1418" s="35">
        <v>0</v>
      </c>
      <c r="P1418" s="35">
        <v>14</v>
      </c>
      <c r="Q1418" s="35">
        <v>0</v>
      </c>
      <c r="R1418" s="36">
        <v>18.16</v>
      </c>
      <c r="S1418" s="37">
        <f>IFERROR(_xlfn.XLOOKUP(R1418,'1_Presupuesto'!$E:$E,'1_Presupuesto'!$D:$D),"")</f>
        <v>0</v>
      </c>
    </row>
    <row r="1419" spans="1:19" x14ac:dyDescent="0.35">
      <c r="A1419" s="31" t="s">
        <v>3201</v>
      </c>
      <c r="B1419" s="31" t="s">
        <v>497</v>
      </c>
      <c r="C1419" s="31" t="s">
        <v>498</v>
      </c>
      <c r="D1419" s="31" t="s">
        <v>3204</v>
      </c>
      <c r="E1419" s="31" t="s">
        <v>3205</v>
      </c>
      <c r="F1419" s="31" t="s">
        <v>261</v>
      </c>
      <c r="G1419" s="32">
        <v>1</v>
      </c>
      <c r="H1419" s="33">
        <v>0</v>
      </c>
      <c r="I1419" s="34">
        <v>38605.985559603403</v>
      </c>
      <c r="J1419" s="34">
        <v>38605.985559603403</v>
      </c>
      <c r="K1419" s="31" t="s">
        <v>3206</v>
      </c>
      <c r="L1419" s="31">
        <v>1</v>
      </c>
      <c r="M1419" s="31" t="s">
        <v>3207</v>
      </c>
      <c r="N1419" s="34">
        <v>1</v>
      </c>
      <c r="O1419" s="35">
        <v>0</v>
      </c>
      <c r="P1419" s="35">
        <v>14</v>
      </c>
      <c r="Q1419" s="35">
        <v>0</v>
      </c>
      <c r="R1419" s="36">
        <v>18.16</v>
      </c>
      <c r="S1419" s="37">
        <f>IFERROR(_xlfn.XLOOKUP(R1419,'1_Presupuesto'!$E:$E,'1_Presupuesto'!$D:$D),"")</f>
        <v>0</v>
      </c>
    </row>
    <row r="1420" spans="1:19" x14ac:dyDescent="0.35">
      <c r="A1420" s="31" t="s">
        <v>3201</v>
      </c>
      <c r="B1420" s="31" t="s">
        <v>203</v>
      </c>
      <c r="C1420" s="31"/>
      <c r="D1420" s="31" t="s">
        <v>3208</v>
      </c>
      <c r="E1420" s="31" t="s">
        <v>3209</v>
      </c>
      <c r="F1420" s="31"/>
      <c r="G1420" s="32">
        <v>1</v>
      </c>
      <c r="H1420" s="33">
        <v>0</v>
      </c>
      <c r="I1420" s="34">
        <v>7507.2881701155102</v>
      </c>
      <c r="J1420" s="34">
        <v>7507.2881701155102</v>
      </c>
      <c r="K1420" s="31" t="s">
        <v>3210</v>
      </c>
      <c r="L1420" s="31">
        <v>1</v>
      </c>
      <c r="M1420" s="31" t="s">
        <v>3211</v>
      </c>
      <c r="N1420" s="34">
        <v>1</v>
      </c>
      <c r="O1420" s="35">
        <v>0</v>
      </c>
      <c r="P1420" s="35">
        <v>14</v>
      </c>
      <c r="Q1420" s="35">
        <v>0</v>
      </c>
      <c r="R1420" s="36">
        <v>18.16</v>
      </c>
      <c r="S1420" s="37">
        <f>IFERROR(_xlfn.XLOOKUP(R1420,'1_Presupuesto'!$E:$E,'1_Presupuesto'!$D:$D),"")</f>
        <v>0</v>
      </c>
    </row>
    <row r="1421" spans="1:19" x14ac:dyDescent="0.35">
      <c r="A1421" s="31" t="s">
        <v>3212</v>
      </c>
      <c r="B1421" s="31" t="s">
        <v>497</v>
      </c>
      <c r="C1421" s="31" t="s">
        <v>498</v>
      </c>
      <c r="D1421" s="31" t="s">
        <v>3213</v>
      </c>
      <c r="E1421" s="31" t="s">
        <v>3214</v>
      </c>
      <c r="F1421" s="31" t="s">
        <v>261</v>
      </c>
      <c r="G1421" s="32">
        <v>1</v>
      </c>
      <c r="H1421" s="33">
        <v>0</v>
      </c>
      <c r="I1421" s="34">
        <v>6941648.2775357002</v>
      </c>
      <c r="J1421" s="34">
        <v>6941648.2775357002</v>
      </c>
      <c r="K1421" s="31" t="s">
        <v>3215</v>
      </c>
      <c r="L1421" s="31">
        <v>1</v>
      </c>
      <c r="M1421" s="31" t="s">
        <v>3216</v>
      </c>
      <c r="N1421" s="34">
        <v>1</v>
      </c>
      <c r="O1421" s="35">
        <v>0</v>
      </c>
      <c r="P1421" s="35">
        <v>1</v>
      </c>
      <c r="Q1421" s="35">
        <v>0</v>
      </c>
      <c r="R1421" s="36">
        <v>18.170000000000002</v>
      </c>
      <c r="S1421" s="37" t="str">
        <f>IFERROR(_xlfn.XLOOKUP(R1421,'1_Presupuesto'!$E:$E,'1_Presupuesto'!$D:$D),"")</f>
        <v>Eléctrico MO</v>
      </c>
    </row>
    <row r="1422" spans="1:19" x14ac:dyDescent="0.35">
      <c r="A1422" s="31" t="s">
        <v>3212</v>
      </c>
      <c r="B1422" s="31" t="s">
        <v>478</v>
      </c>
      <c r="C1422" s="31" t="s">
        <v>479</v>
      </c>
      <c r="D1422" s="31" t="s">
        <v>480</v>
      </c>
      <c r="E1422" s="31" t="s">
        <v>183</v>
      </c>
      <c r="F1422" s="31" t="s">
        <v>481</v>
      </c>
      <c r="G1422" s="32">
        <v>14</v>
      </c>
      <c r="H1422" s="33">
        <v>0</v>
      </c>
      <c r="I1422" s="34">
        <v>94177.137883538904</v>
      </c>
      <c r="J1422" s="34">
        <v>1318479.9303695499</v>
      </c>
      <c r="K1422" s="31" t="s">
        <v>3217</v>
      </c>
      <c r="L1422" s="31">
        <v>1</v>
      </c>
      <c r="M1422" s="31" t="s">
        <v>3218</v>
      </c>
      <c r="N1422" s="34">
        <v>1</v>
      </c>
      <c r="O1422" s="35">
        <v>14</v>
      </c>
      <c r="P1422" s="35">
        <v>1</v>
      </c>
      <c r="Q1422" s="35">
        <v>14</v>
      </c>
      <c r="R1422" s="36">
        <v>18.170000000000002</v>
      </c>
      <c r="S1422" s="37" t="str">
        <f>IFERROR(_xlfn.XLOOKUP(R1422,'1_Presupuesto'!$E:$E,'1_Presupuesto'!$D:$D),"")</f>
        <v>Eléctrico MO</v>
      </c>
    </row>
    <row r="1423" spans="1:19" x14ac:dyDescent="0.35">
      <c r="A1423" s="31" t="s">
        <v>3212</v>
      </c>
      <c r="B1423" s="31" t="s">
        <v>478</v>
      </c>
      <c r="C1423" s="31" t="s">
        <v>479</v>
      </c>
      <c r="D1423" s="31" t="s">
        <v>494</v>
      </c>
      <c r="E1423" s="31" t="s">
        <v>185</v>
      </c>
      <c r="F1423" s="31" t="s">
        <v>481</v>
      </c>
      <c r="G1423" s="32">
        <v>14</v>
      </c>
      <c r="H1423" s="33">
        <v>0</v>
      </c>
      <c r="I1423" s="34">
        <v>72132.138365590101</v>
      </c>
      <c r="J1423" s="34">
        <v>1009849.93711826</v>
      </c>
      <c r="K1423" s="31" t="s">
        <v>3217</v>
      </c>
      <c r="L1423" s="31">
        <v>2</v>
      </c>
      <c r="M1423" s="31" t="s">
        <v>3219</v>
      </c>
      <c r="N1423" s="34">
        <v>1</v>
      </c>
      <c r="O1423" s="35">
        <v>14</v>
      </c>
      <c r="P1423" s="35">
        <v>1</v>
      </c>
      <c r="Q1423" s="35">
        <v>14</v>
      </c>
      <c r="R1423" s="36">
        <v>18.170000000000002</v>
      </c>
      <c r="S1423" s="37" t="str">
        <f>IFERROR(_xlfn.XLOOKUP(R1423,'1_Presupuesto'!$E:$E,'1_Presupuesto'!$D:$D),"")</f>
        <v>Eléctrico MO</v>
      </c>
    </row>
    <row r="1424" spans="1:19" x14ac:dyDescent="0.35">
      <c r="A1424" s="31" t="s">
        <v>3212</v>
      </c>
      <c r="B1424" s="31" t="s">
        <v>478</v>
      </c>
      <c r="C1424" s="31" t="s">
        <v>479</v>
      </c>
      <c r="D1424" s="31" t="s">
        <v>484</v>
      </c>
      <c r="E1424" s="31" t="s">
        <v>186</v>
      </c>
      <c r="F1424" s="31" t="s">
        <v>481</v>
      </c>
      <c r="G1424" s="32">
        <v>14</v>
      </c>
      <c r="H1424" s="33">
        <v>0</v>
      </c>
      <c r="I1424" s="34">
        <v>67240.498860267602</v>
      </c>
      <c r="J1424" s="34">
        <v>941366.98404374695</v>
      </c>
      <c r="K1424" s="31" t="s">
        <v>3217</v>
      </c>
      <c r="L1424" s="31">
        <v>3</v>
      </c>
      <c r="M1424" s="31" t="s">
        <v>3220</v>
      </c>
      <c r="N1424" s="34">
        <v>1</v>
      </c>
      <c r="O1424" s="35">
        <v>14</v>
      </c>
      <c r="P1424" s="35">
        <v>1</v>
      </c>
      <c r="Q1424" s="35">
        <v>14</v>
      </c>
      <c r="R1424" s="36">
        <v>18.170000000000002</v>
      </c>
      <c r="S1424" s="37" t="str">
        <f>IFERROR(_xlfn.XLOOKUP(R1424,'1_Presupuesto'!$E:$E,'1_Presupuesto'!$D:$D),"")</f>
        <v>Eléctrico MO</v>
      </c>
    </row>
    <row r="1425" spans="1:19" x14ac:dyDescent="0.35">
      <c r="A1425" s="31" t="s">
        <v>3212</v>
      </c>
      <c r="B1425" s="31" t="s">
        <v>203</v>
      </c>
      <c r="C1425" s="31"/>
      <c r="D1425" s="31" t="s">
        <v>3221</v>
      </c>
      <c r="E1425" s="31" t="s">
        <v>3222</v>
      </c>
      <c r="F1425" s="31"/>
      <c r="G1425" s="32">
        <v>1</v>
      </c>
      <c r="H1425" s="33">
        <v>0</v>
      </c>
      <c r="I1425" s="34">
        <v>153170.176936009</v>
      </c>
      <c r="J1425" s="34">
        <v>153170.176936009</v>
      </c>
      <c r="K1425" s="31" t="s">
        <v>3223</v>
      </c>
      <c r="L1425" s="31">
        <v>1</v>
      </c>
      <c r="M1425" s="31" t="s">
        <v>3224</v>
      </c>
      <c r="N1425" s="34">
        <v>1</v>
      </c>
      <c r="O1425" s="35">
        <v>0</v>
      </c>
      <c r="P1425" s="35">
        <v>1</v>
      </c>
      <c r="Q1425" s="35">
        <v>0</v>
      </c>
      <c r="R1425" s="36">
        <v>18.170000000000002</v>
      </c>
      <c r="S1425" s="37" t="str">
        <f>IFERROR(_xlfn.XLOOKUP(R1425,'1_Presupuesto'!$E:$E,'1_Presupuesto'!$D:$D),"")</f>
        <v>Eléctrico MO</v>
      </c>
    </row>
    <row r="1426" spans="1:19" x14ac:dyDescent="0.35">
      <c r="A1426" s="31" t="s">
        <v>3225</v>
      </c>
      <c r="B1426" s="31" t="s">
        <v>497</v>
      </c>
      <c r="C1426" s="31" t="s">
        <v>498</v>
      </c>
      <c r="D1426" s="31" t="s">
        <v>3226</v>
      </c>
      <c r="E1426" s="31" t="s">
        <v>3227</v>
      </c>
      <c r="F1426" s="31" t="s">
        <v>218</v>
      </c>
      <c r="G1426" s="32">
        <v>1</v>
      </c>
      <c r="H1426" s="33">
        <v>0</v>
      </c>
      <c r="I1426" s="34">
        <v>896755.59</v>
      </c>
      <c r="J1426" s="34">
        <v>896755.59</v>
      </c>
      <c r="K1426" s="31" t="s">
        <v>3228</v>
      </c>
      <c r="L1426" s="31">
        <v>1</v>
      </c>
      <c r="M1426" s="31" t="s">
        <v>3229</v>
      </c>
      <c r="N1426" s="34">
        <v>1</v>
      </c>
      <c r="O1426" s="35">
        <v>0</v>
      </c>
      <c r="P1426" s="35">
        <v>1</v>
      </c>
      <c r="Q1426" s="35">
        <v>0</v>
      </c>
      <c r="R1426" s="36">
        <v>18.18</v>
      </c>
      <c r="S1426" s="37" t="str">
        <f>IFERROR(_xlfn.XLOOKUP(R1426,'1_Presupuesto'!$E:$E,'1_Presupuesto'!$D:$D),"")</f>
        <v>Eléctrico MO</v>
      </c>
    </row>
    <row r="1427" spans="1:19" x14ac:dyDescent="0.35">
      <c r="A1427" s="31" t="s">
        <v>3225</v>
      </c>
      <c r="B1427" s="31" t="s">
        <v>478</v>
      </c>
      <c r="C1427" s="31" t="s">
        <v>479</v>
      </c>
      <c r="D1427" s="31" t="s">
        <v>480</v>
      </c>
      <c r="E1427" s="31" t="s">
        <v>183</v>
      </c>
      <c r="F1427" s="31" t="s">
        <v>481</v>
      </c>
      <c r="G1427" s="32">
        <v>7</v>
      </c>
      <c r="H1427" s="33">
        <v>0</v>
      </c>
      <c r="I1427" s="34">
        <v>94177.137883538904</v>
      </c>
      <c r="J1427" s="34">
        <v>659239.96518477204</v>
      </c>
      <c r="K1427" s="31" t="s">
        <v>3230</v>
      </c>
      <c r="L1427" s="31">
        <v>1</v>
      </c>
      <c r="M1427" s="31" t="s">
        <v>3231</v>
      </c>
      <c r="N1427" s="34">
        <v>1</v>
      </c>
      <c r="O1427" s="35">
        <v>7</v>
      </c>
      <c r="P1427" s="35">
        <v>1</v>
      </c>
      <c r="Q1427" s="35">
        <v>7</v>
      </c>
      <c r="R1427" s="36">
        <v>18.18</v>
      </c>
      <c r="S1427" s="37" t="str">
        <f>IFERROR(_xlfn.XLOOKUP(R1427,'1_Presupuesto'!$E:$E,'1_Presupuesto'!$D:$D),"")</f>
        <v>Eléctrico MO</v>
      </c>
    </row>
    <row r="1428" spans="1:19" x14ac:dyDescent="0.35">
      <c r="A1428" s="31" t="s">
        <v>3225</v>
      </c>
      <c r="B1428" s="31" t="s">
        <v>478</v>
      </c>
      <c r="C1428" s="31" t="s">
        <v>479</v>
      </c>
      <c r="D1428" s="31" t="s">
        <v>494</v>
      </c>
      <c r="E1428" s="31" t="s">
        <v>185</v>
      </c>
      <c r="F1428" s="31" t="s">
        <v>481</v>
      </c>
      <c r="G1428" s="32">
        <v>7</v>
      </c>
      <c r="H1428" s="33">
        <v>0</v>
      </c>
      <c r="I1428" s="34">
        <v>72132.138365590101</v>
      </c>
      <c r="J1428" s="34">
        <v>504924.96855913103</v>
      </c>
      <c r="K1428" s="31" t="s">
        <v>3230</v>
      </c>
      <c r="L1428" s="31">
        <v>2</v>
      </c>
      <c r="M1428" s="31" t="s">
        <v>3232</v>
      </c>
      <c r="N1428" s="34">
        <v>1</v>
      </c>
      <c r="O1428" s="35">
        <v>7</v>
      </c>
      <c r="P1428" s="35">
        <v>1</v>
      </c>
      <c r="Q1428" s="35">
        <v>7</v>
      </c>
      <c r="R1428" s="36">
        <v>18.18</v>
      </c>
      <c r="S1428" s="37" t="str">
        <f>IFERROR(_xlfn.XLOOKUP(R1428,'1_Presupuesto'!$E:$E,'1_Presupuesto'!$D:$D),"")</f>
        <v>Eléctrico MO</v>
      </c>
    </row>
    <row r="1429" spans="1:19" x14ac:dyDescent="0.35">
      <c r="A1429" s="31" t="s">
        <v>3225</v>
      </c>
      <c r="B1429" s="31" t="s">
        <v>478</v>
      </c>
      <c r="C1429" s="31" t="s">
        <v>479</v>
      </c>
      <c r="D1429" s="31" t="s">
        <v>484</v>
      </c>
      <c r="E1429" s="31" t="s">
        <v>186</v>
      </c>
      <c r="F1429" s="31" t="s">
        <v>481</v>
      </c>
      <c r="G1429" s="32">
        <v>7</v>
      </c>
      <c r="H1429" s="33">
        <v>0</v>
      </c>
      <c r="I1429" s="34">
        <v>67240.498860267602</v>
      </c>
      <c r="J1429" s="34">
        <v>470683.49202187301</v>
      </c>
      <c r="K1429" s="31" t="s">
        <v>3230</v>
      </c>
      <c r="L1429" s="31">
        <v>3</v>
      </c>
      <c r="M1429" s="31" t="s">
        <v>3233</v>
      </c>
      <c r="N1429" s="34">
        <v>1</v>
      </c>
      <c r="O1429" s="35">
        <v>7</v>
      </c>
      <c r="P1429" s="35">
        <v>1</v>
      </c>
      <c r="Q1429" s="35">
        <v>7</v>
      </c>
      <c r="R1429" s="36">
        <v>18.18</v>
      </c>
      <c r="S1429" s="37" t="str">
        <f>IFERROR(_xlfn.XLOOKUP(R1429,'1_Presupuesto'!$E:$E,'1_Presupuesto'!$D:$D),"")</f>
        <v>Eléctrico MO</v>
      </c>
    </row>
    <row r="1430" spans="1:19" x14ac:dyDescent="0.35">
      <c r="A1430" s="31" t="s">
        <v>3225</v>
      </c>
      <c r="B1430" s="31" t="s">
        <v>203</v>
      </c>
      <c r="C1430" s="31"/>
      <c r="D1430" s="31" t="s">
        <v>3234</v>
      </c>
      <c r="E1430" s="31" t="s">
        <v>3235</v>
      </c>
      <c r="F1430" s="31"/>
      <c r="G1430" s="32">
        <v>1</v>
      </c>
      <c r="H1430" s="33">
        <v>0</v>
      </c>
      <c r="I1430" s="34">
        <v>37974.0602915403</v>
      </c>
      <c r="J1430" s="34">
        <v>37974.0602915403</v>
      </c>
      <c r="K1430" s="31" t="s">
        <v>3236</v>
      </c>
      <c r="L1430" s="31">
        <v>1</v>
      </c>
      <c r="M1430" s="31" t="s">
        <v>3237</v>
      </c>
      <c r="N1430" s="34">
        <v>1</v>
      </c>
      <c r="O1430" s="35">
        <v>0</v>
      </c>
      <c r="P1430" s="35">
        <v>1</v>
      </c>
      <c r="Q1430" s="35">
        <v>0</v>
      </c>
      <c r="R1430" s="36">
        <v>18.18</v>
      </c>
      <c r="S1430" s="37" t="str">
        <f>IFERROR(_xlfn.XLOOKUP(R1430,'1_Presupuesto'!$E:$E,'1_Presupuesto'!$D:$D),"")</f>
        <v>Eléctrico MO</v>
      </c>
    </row>
    <row r="1431" spans="1:19" x14ac:dyDescent="0.35">
      <c r="A1431" s="31" t="s">
        <v>3238</v>
      </c>
      <c r="B1431" s="31" t="s">
        <v>478</v>
      </c>
      <c r="C1431" s="31" t="s">
        <v>498</v>
      </c>
      <c r="D1431" s="31" t="s">
        <v>3239</v>
      </c>
      <c r="E1431" s="31" t="s">
        <v>3240</v>
      </c>
      <c r="F1431" s="31" t="s">
        <v>481</v>
      </c>
      <c r="G1431" s="32">
        <v>1</v>
      </c>
      <c r="H1431" s="33">
        <v>0</v>
      </c>
      <c r="I1431" s="34">
        <v>9575.2999999999993</v>
      </c>
      <c r="J1431" s="34">
        <v>9575.2999999999993</v>
      </c>
      <c r="K1431" s="31" t="s">
        <v>3241</v>
      </c>
      <c r="L1431" s="31">
        <v>1</v>
      </c>
      <c r="M1431" s="31" t="s">
        <v>3242</v>
      </c>
      <c r="N1431" s="34">
        <v>1</v>
      </c>
      <c r="O1431" s="35">
        <v>0</v>
      </c>
      <c r="P1431" s="35">
        <v>119</v>
      </c>
      <c r="Q1431" s="35">
        <v>0</v>
      </c>
      <c r="R1431" s="36">
        <v>18.2</v>
      </c>
      <c r="S1431" s="37">
        <f>IFERROR(_xlfn.XLOOKUP(R1431,'1_Presupuesto'!$E:$E,'1_Presupuesto'!$D:$D),"")</f>
        <v>0</v>
      </c>
    </row>
    <row r="1432" spans="1:19" x14ac:dyDescent="0.35">
      <c r="A1432" s="31" t="s">
        <v>3238</v>
      </c>
      <c r="B1432" s="31" t="s">
        <v>203</v>
      </c>
      <c r="C1432" s="31"/>
      <c r="D1432" s="31" t="s">
        <v>3243</v>
      </c>
      <c r="E1432" s="31" t="s">
        <v>3244</v>
      </c>
      <c r="F1432" s="31"/>
      <c r="G1432" s="32">
        <v>1</v>
      </c>
      <c r="H1432" s="33">
        <v>0</v>
      </c>
      <c r="I1432" s="34">
        <v>143.62950000000001</v>
      </c>
      <c r="J1432" s="34">
        <v>143.62950000000001</v>
      </c>
      <c r="K1432" s="31" t="s">
        <v>3245</v>
      </c>
      <c r="L1432" s="31">
        <v>1</v>
      </c>
      <c r="M1432" s="31" t="s">
        <v>3246</v>
      </c>
      <c r="N1432" s="34">
        <v>1</v>
      </c>
      <c r="O1432" s="35">
        <v>0</v>
      </c>
      <c r="P1432" s="35">
        <v>119</v>
      </c>
      <c r="Q1432" s="35">
        <v>0</v>
      </c>
      <c r="R1432" s="36">
        <v>18.2</v>
      </c>
      <c r="S1432" s="37">
        <f>IFERROR(_xlfn.XLOOKUP(R1432,'1_Presupuesto'!$E:$E,'1_Presupuesto'!$D:$D),"")</f>
        <v>0</v>
      </c>
    </row>
    <row r="1433" spans="1:19" x14ac:dyDescent="0.35">
      <c r="A1433" s="31" t="s">
        <v>3247</v>
      </c>
      <c r="B1433" s="31" t="s">
        <v>478</v>
      </c>
      <c r="C1433" s="31" t="s">
        <v>498</v>
      </c>
      <c r="D1433" s="31" t="s">
        <v>3239</v>
      </c>
      <c r="E1433" s="31" t="s">
        <v>3240</v>
      </c>
      <c r="F1433" s="31" t="s">
        <v>481</v>
      </c>
      <c r="G1433" s="32">
        <v>1</v>
      </c>
      <c r="H1433" s="33">
        <v>0</v>
      </c>
      <c r="I1433" s="34">
        <v>9575.2999999999993</v>
      </c>
      <c r="J1433" s="34">
        <v>9575.2999999999993</v>
      </c>
      <c r="K1433" s="31" t="s">
        <v>3248</v>
      </c>
      <c r="L1433" s="31">
        <v>1</v>
      </c>
      <c r="M1433" s="31" t="s">
        <v>3249</v>
      </c>
      <c r="N1433" s="34">
        <v>1</v>
      </c>
      <c r="O1433" s="35">
        <v>0</v>
      </c>
      <c r="P1433" s="35">
        <v>16</v>
      </c>
      <c r="Q1433" s="35">
        <v>0</v>
      </c>
      <c r="R1433" s="36">
        <v>18.21</v>
      </c>
      <c r="S1433" s="37">
        <f>IFERROR(_xlfn.XLOOKUP(R1433,'1_Presupuesto'!$E:$E,'1_Presupuesto'!$D:$D),"")</f>
        <v>0</v>
      </c>
    </row>
    <row r="1434" spans="1:19" x14ac:dyDescent="0.35">
      <c r="A1434" s="31" t="s">
        <v>3247</v>
      </c>
      <c r="B1434" s="31" t="s">
        <v>203</v>
      </c>
      <c r="C1434" s="31"/>
      <c r="D1434" s="31" t="s">
        <v>3250</v>
      </c>
      <c r="E1434" s="31" t="s">
        <v>3251</v>
      </c>
      <c r="F1434" s="31"/>
      <c r="G1434" s="32">
        <v>1</v>
      </c>
      <c r="H1434" s="33">
        <v>0</v>
      </c>
      <c r="I1434" s="34">
        <v>143.62950000000001</v>
      </c>
      <c r="J1434" s="34">
        <v>143.62950000000001</v>
      </c>
      <c r="K1434" s="31" t="s">
        <v>3252</v>
      </c>
      <c r="L1434" s="31">
        <v>1</v>
      </c>
      <c r="M1434" s="31" t="s">
        <v>3253</v>
      </c>
      <c r="N1434" s="34">
        <v>1</v>
      </c>
      <c r="O1434" s="35">
        <v>0</v>
      </c>
      <c r="P1434" s="35">
        <v>16</v>
      </c>
      <c r="Q1434" s="35">
        <v>0</v>
      </c>
      <c r="R1434" s="36">
        <v>18.21</v>
      </c>
      <c r="S1434" s="37">
        <f>IFERROR(_xlfn.XLOOKUP(R1434,'1_Presupuesto'!$E:$E,'1_Presupuesto'!$D:$D),"")</f>
        <v>0</v>
      </c>
    </row>
    <row r="1435" spans="1:19" x14ac:dyDescent="0.35">
      <c r="A1435" s="31" t="s">
        <v>3254</v>
      </c>
      <c r="B1435" s="31" t="s">
        <v>478</v>
      </c>
      <c r="C1435" s="31" t="s">
        <v>498</v>
      </c>
      <c r="D1435" s="31" t="s">
        <v>3239</v>
      </c>
      <c r="E1435" s="31" t="s">
        <v>3240</v>
      </c>
      <c r="F1435" s="31" t="s">
        <v>481</v>
      </c>
      <c r="G1435" s="32">
        <v>1</v>
      </c>
      <c r="H1435" s="33">
        <v>0</v>
      </c>
      <c r="I1435" s="34">
        <v>9575.2999999999993</v>
      </c>
      <c r="J1435" s="34">
        <v>9575.2999999999993</v>
      </c>
      <c r="K1435" s="31" t="s">
        <v>3255</v>
      </c>
      <c r="L1435" s="31">
        <v>1</v>
      </c>
      <c r="M1435" s="31" t="s">
        <v>3256</v>
      </c>
      <c r="N1435" s="34">
        <v>1</v>
      </c>
      <c r="O1435" s="35">
        <v>0</v>
      </c>
      <c r="P1435" s="35">
        <v>363</v>
      </c>
      <c r="Q1435" s="35">
        <v>0</v>
      </c>
      <c r="R1435" s="36">
        <v>18.22</v>
      </c>
      <c r="S1435" s="37">
        <f>IFERROR(_xlfn.XLOOKUP(R1435,'1_Presupuesto'!$E:$E,'1_Presupuesto'!$D:$D),"")</f>
        <v>0</v>
      </c>
    </row>
    <row r="1436" spans="1:19" x14ac:dyDescent="0.35">
      <c r="A1436" s="31" t="s">
        <v>3254</v>
      </c>
      <c r="B1436" s="31" t="s">
        <v>203</v>
      </c>
      <c r="C1436" s="31"/>
      <c r="D1436" s="31" t="s">
        <v>3257</v>
      </c>
      <c r="E1436" s="31" t="s">
        <v>3258</v>
      </c>
      <c r="F1436" s="31"/>
      <c r="G1436" s="32">
        <v>1</v>
      </c>
      <c r="H1436" s="33">
        <v>0</v>
      </c>
      <c r="I1436" s="34">
        <v>143.62950000000001</v>
      </c>
      <c r="J1436" s="34">
        <v>143.62950000000001</v>
      </c>
      <c r="K1436" s="31" t="s">
        <v>3259</v>
      </c>
      <c r="L1436" s="31">
        <v>1</v>
      </c>
      <c r="M1436" s="31" t="s">
        <v>3260</v>
      </c>
      <c r="N1436" s="34">
        <v>1</v>
      </c>
      <c r="O1436" s="35">
        <v>0</v>
      </c>
      <c r="P1436" s="35">
        <v>363</v>
      </c>
      <c r="Q1436" s="35">
        <v>0</v>
      </c>
      <c r="R1436" s="36">
        <v>18.22</v>
      </c>
      <c r="S1436" s="37">
        <f>IFERROR(_xlfn.XLOOKUP(R1436,'1_Presupuesto'!$E:$E,'1_Presupuesto'!$D:$D),"")</f>
        <v>0</v>
      </c>
    </row>
    <row r="1437" spans="1:19" x14ac:dyDescent="0.35">
      <c r="A1437" s="31" t="s">
        <v>3261</v>
      </c>
      <c r="B1437" s="31" t="s">
        <v>478</v>
      </c>
      <c r="C1437" s="31" t="s">
        <v>498</v>
      </c>
      <c r="D1437" s="31" t="s">
        <v>3262</v>
      </c>
      <c r="E1437" s="31" t="s">
        <v>3263</v>
      </c>
      <c r="F1437" s="31" t="s">
        <v>481</v>
      </c>
      <c r="G1437" s="32">
        <v>1</v>
      </c>
      <c r="H1437" s="33">
        <v>0</v>
      </c>
      <c r="I1437" s="34">
        <v>14693.7</v>
      </c>
      <c r="J1437" s="34">
        <v>14693.7</v>
      </c>
      <c r="K1437" s="31" t="s">
        <v>3264</v>
      </c>
      <c r="L1437" s="31">
        <v>1</v>
      </c>
      <c r="M1437" s="31" t="s">
        <v>3265</v>
      </c>
      <c r="N1437" s="34">
        <v>1</v>
      </c>
      <c r="O1437" s="35">
        <v>0</v>
      </c>
      <c r="P1437" s="35">
        <v>119</v>
      </c>
      <c r="Q1437" s="35">
        <v>0</v>
      </c>
      <c r="R1437" s="36">
        <v>18.23</v>
      </c>
      <c r="S1437" s="37">
        <f>IFERROR(_xlfn.XLOOKUP(R1437,'1_Presupuesto'!$E:$E,'1_Presupuesto'!$D:$D),"")</f>
        <v>0</v>
      </c>
    </row>
    <row r="1438" spans="1:19" x14ac:dyDescent="0.35">
      <c r="A1438" s="31" t="s">
        <v>3261</v>
      </c>
      <c r="B1438" s="31" t="s">
        <v>203</v>
      </c>
      <c r="C1438" s="31"/>
      <c r="D1438" s="31" t="s">
        <v>3266</v>
      </c>
      <c r="E1438" s="31" t="s">
        <v>3267</v>
      </c>
      <c r="F1438" s="31"/>
      <c r="G1438" s="32">
        <v>1</v>
      </c>
      <c r="H1438" s="33">
        <v>0</v>
      </c>
      <c r="I1438" s="34">
        <v>220.40549999999999</v>
      </c>
      <c r="J1438" s="34">
        <v>220.40549999999999</v>
      </c>
      <c r="K1438" s="31" t="s">
        <v>3268</v>
      </c>
      <c r="L1438" s="31">
        <v>1</v>
      </c>
      <c r="M1438" s="31" t="s">
        <v>3269</v>
      </c>
      <c r="N1438" s="34">
        <v>1</v>
      </c>
      <c r="O1438" s="35">
        <v>0</v>
      </c>
      <c r="P1438" s="35">
        <v>119</v>
      </c>
      <c r="Q1438" s="35">
        <v>0</v>
      </c>
      <c r="R1438" s="36">
        <v>18.23</v>
      </c>
      <c r="S1438" s="37">
        <f>IFERROR(_xlfn.XLOOKUP(R1438,'1_Presupuesto'!$E:$E,'1_Presupuesto'!$D:$D),"")</f>
        <v>0</v>
      </c>
    </row>
    <row r="1439" spans="1:19" x14ac:dyDescent="0.35">
      <c r="A1439" s="31" t="s">
        <v>3270</v>
      </c>
      <c r="B1439" s="31" t="s">
        <v>478</v>
      </c>
      <c r="C1439" s="31" t="s">
        <v>498</v>
      </c>
      <c r="D1439" s="31" t="s">
        <v>3262</v>
      </c>
      <c r="E1439" s="31" t="s">
        <v>3263</v>
      </c>
      <c r="F1439" s="31" t="s">
        <v>481</v>
      </c>
      <c r="G1439" s="32">
        <v>1</v>
      </c>
      <c r="H1439" s="33">
        <v>0</v>
      </c>
      <c r="I1439" s="34">
        <v>14693.7</v>
      </c>
      <c r="J1439" s="34">
        <v>14693.7</v>
      </c>
      <c r="K1439" s="31" t="s">
        <v>3271</v>
      </c>
      <c r="L1439" s="31">
        <v>1</v>
      </c>
      <c r="M1439" s="31" t="s">
        <v>3272</v>
      </c>
      <c r="N1439" s="34">
        <v>1</v>
      </c>
      <c r="O1439" s="35">
        <v>0</v>
      </c>
      <c r="P1439" s="35">
        <v>25</v>
      </c>
      <c r="Q1439" s="35">
        <v>0</v>
      </c>
      <c r="R1439" s="36">
        <v>18.239999999999998</v>
      </c>
      <c r="S1439" s="37">
        <f>IFERROR(_xlfn.XLOOKUP(R1439,'1_Presupuesto'!$E:$E,'1_Presupuesto'!$D:$D),"")</f>
        <v>0</v>
      </c>
    </row>
    <row r="1440" spans="1:19" x14ac:dyDescent="0.35">
      <c r="A1440" s="31" t="s">
        <v>3270</v>
      </c>
      <c r="B1440" s="31" t="s">
        <v>203</v>
      </c>
      <c r="C1440" s="31"/>
      <c r="D1440" s="31" t="s">
        <v>3273</v>
      </c>
      <c r="E1440" s="31" t="s">
        <v>3274</v>
      </c>
      <c r="F1440" s="31"/>
      <c r="G1440" s="32">
        <v>1</v>
      </c>
      <c r="H1440" s="33">
        <v>0</v>
      </c>
      <c r="I1440" s="34">
        <v>220.40549999999999</v>
      </c>
      <c r="J1440" s="34">
        <v>220.40549999999999</v>
      </c>
      <c r="K1440" s="31" t="s">
        <v>3275</v>
      </c>
      <c r="L1440" s="31">
        <v>1</v>
      </c>
      <c r="M1440" s="31" t="s">
        <v>3276</v>
      </c>
      <c r="N1440" s="34">
        <v>1</v>
      </c>
      <c r="O1440" s="35">
        <v>0</v>
      </c>
      <c r="P1440" s="35">
        <v>25</v>
      </c>
      <c r="Q1440" s="35">
        <v>0</v>
      </c>
      <c r="R1440" s="36">
        <v>18.239999999999998</v>
      </c>
      <c r="S1440" s="37">
        <f>IFERROR(_xlfn.XLOOKUP(R1440,'1_Presupuesto'!$E:$E,'1_Presupuesto'!$D:$D),"")</f>
        <v>0</v>
      </c>
    </row>
    <row r="1441" spans="1:19" x14ac:dyDescent="0.35">
      <c r="A1441" s="31" t="s">
        <v>3277</v>
      </c>
      <c r="B1441" s="31" t="s">
        <v>497</v>
      </c>
      <c r="C1441" s="31" t="s">
        <v>498</v>
      </c>
      <c r="D1441" s="31" t="s">
        <v>3278</v>
      </c>
      <c r="E1441" s="31" t="s">
        <v>3279</v>
      </c>
      <c r="F1441" s="31" t="s">
        <v>261</v>
      </c>
      <c r="G1441" s="32">
        <v>1</v>
      </c>
      <c r="H1441" s="33">
        <v>0</v>
      </c>
      <c r="I1441" s="34">
        <v>6991302.4321481204</v>
      </c>
      <c r="J1441" s="34">
        <v>6991302.4321481204</v>
      </c>
      <c r="K1441" s="31" t="s">
        <v>3280</v>
      </c>
      <c r="L1441" s="31">
        <v>1</v>
      </c>
      <c r="M1441" s="31" t="s">
        <v>3281</v>
      </c>
      <c r="N1441" s="34">
        <v>1</v>
      </c>
      <c r="O1441" s="35">
        <v>0</v>
      </c>
      <c r="P1441" s="35">
        <v>1</v>
      </c>
      <c r="Q1441" s="35">
        <v>0</v>
      </c>
      <c r="R1441" s="36">
        <v>18.25</v>
      </c>
      <c r="S1441" s="37">
        <f>IFERROR(_xlfn.XLOOKUP(R1441,'1_Presupuesto'!$E:$E,'1_Presupuesto'!$D:$D),"")</f>
        <v>0</v>
      </c>
    </row>
    <row r="1442" spans="1:19" x14ac:dyDescent="0.35">
      <c r="A1442" s="31" t="s">
        <v>3277</v>
      </c>
      <c r="B1442" s="31" t="s">
        <v>478</v>
      </c>
      <c r="C1442" s="31" t="s">
        <v>498</v>
      </c>
      <c r="D1442" s="31" t="s">
        <v>3282</v>
      </c>
      <c r="E1442" s="31" t="s">
        <v>3283</v>
      </c>
      <c r="F1442" s="31" t="s">
        <v>481</v>
      </c>
      <c r="G1442" s="32">
        <v>4</v>
      </c>
      <c r="H1442" s="33">
        <v>0</v>
      </c>
      <c r="I1442" s="34">
        <v>428925</v>
      </c>
      <c r="J1442" s="34">
        <v>1715700</v>
      </c>
      <c r="K1442" s="31" t="s">
        <v>3284</v>
      </c>
      <c r="L1442" s="31">
        <v>1</v>
      </c>
      <c r="M1442" s="31" t="s">
        <v>3285</v>
      </c>
      <c r="N1442" s="34">
        <v>1</v>
      </c>
      <c r="O1442" s="35">
        <v>0</v>
      </c>
      <c r="P1442" s="35">
        <v>1</v>
      </c>
      <c r="Q1442" s="35">
        <v>0</v>
      </c>
      <c r="R1442" s="36">
        <v>18.25</v>
      </c>
      <c r="S1442" s="37">
        <f>IFERROR(_xlfn.XLOOKUP(R1442,'1_Presupuesto'!$E:$E,'1_Presupuesto'!$D:$D),"")</f>
        <v>0</v>
      </c>
    </row>
    <row r="1443" spans="1:19" x14ac:dyDescent="0.35">
      <c r="A1443" s="31" t="s">
        <v>3277</v>
      </c>
      <c r="B1443" s="31" t="s">
        <v>478</v>
      </c>
      <c r="C1443" s="31" t="s">
        <v>498</v>
      </c>
      <c r="D1443" s="31" t="s">
        <v>3286</v>
      </c>
      <c r="E1443" s="31" t="s">
        <v>3287</v>
      </c>
      <c r="F1443" s="31" t="s">
        <v>481</v>
      </c>
      <c r="G1443" s="32">
        <v>0</v>
      </c>
      <c r="H1443" s="33">
        <v>0</v>
      </c>
      <c r="I1443" s="34">
        <v>112571.9</v>
      </c>
      <c r="J1443" s="34">
        <v>0</v>
      </c>
      <c r="K1443" s="31" t="s">
        <v>3284</v>
      </c>
      <c r="L1443" s="31">
        <v>2</v>
      </c>
      <c r="M1443" s="31" t="s">
        <v>3288</v>
      </c>
      <c r="N1443" s="34">
        <v>1</v>
      </c>
      <c r="O1443" s="35">
        <v>0</v>
      </c>
      <c r="P1443" s="35">
        <v>1</v>
      </c>
      <c r="Q1443" s="35">
        <v>0</v>
      </c>
      <c r="R1443" s="36">
        <v>18.25</v>
      </c>
      <c r="S1443" s="37">
        <f>IFERROR(_xlfn.XLOOKUP(R1443,'1_Presupuesto'!$E:$E,'1_Presupuesto'!$D:$D),"")</f>
        <v>0</v>
      </c>
    </row>
    <row r="1444" spans="1:19" x14ac:dyDescent="0.35">
      <c r="A1444" s="31" t="s">
        <v>3277</v>
      </c>
      <c r="B1444" s="31" t="s">
        <v>478</v>
      </c>
      <c r="C1444" s="31" t="s">
        <v>498</v>
      </c>
      <c r="D1444" s="31" t="s">
        <v>3289</v>
      </c>
      <c r="E1444" s="31" t="s">
        <v>3290</v>
      </c>
      <c r="F1444" s="31" t="s">
        <v>481</v>
      </c>
      <c r="G1444" s="32">
        <v>3</v>
      </c>
      <c r="H1444" s="33">
        <v>0</v>
      </c>
      <c r="I1444" s="34">
        <v>428925</v>
      </c>
      <c r="J1444" s="34">
        <v>1286775</v>
      </c>
      <c r="K1444" s="31" t="s">
        <v>3284</v>
      </c>
      <c r="L1444" s="31">
        <v>3</v>
      </c>
      <c r="M1444" s="31" t="s">
        <v>3291</v>
      </c>
      <c r="N1444" s="34">
        <v>1</v>
      </c>
      <c r="O1444" s="35">
        <v>0</v>
      </c>
      <c r="P1444" s="35">
        <v>1</v>
      </c>
      <c r="Q1444" s="35">
        <v>0</v>
      </c>
      <c r="R1444" s="36">
        <v>18.25</v>
      </c>
      <c r="S1444" s="37">
        <f>IFERROR(_xlfn.XLOOKUP(R1444,'1_Presupuesto'!$E:$E,'1_Presupuesto'!$D:$D),"")</f>
        <v>0</v>
      </c>
    </row>
    <row r="1445" spans="1:19" x14ac:dyDescent="0.35">
      <c r="A1445" s="31" t="s">
        <v>3277</v>
      </c>
      <c r="B1445" s="31" t="s">
        <v>478</v>
      </c>
      <c r="C1445" s="31" t="s">
        <v>498</v>
      </c>
      <c r="D1445" s="31" t="s">
        <v>3292</v>
      </c>
      <c r="E1445" s="31" t="s">
        <v>3293</v>
      </c>
      <c r="F1445" s="31" t="s">
        <v>481</v>
      </c>
      <c r="G1445" s="32">
        <v>3</v>
      </c>
      <c r="H1445" s="33">
        <v>0</v>
      </c>
      <c r="I1445" s="34">
        <v>26460</v>
      </c>
      <c r="J1445" s="34">
        <v>79380</v>
      </c>
      <c r="K1445" s="31" t="s">
        <v>3284</v>
      </c>
      <c r="L1445" s="31">
        <v>4</v>
      </c>
      <c r="M1445" s="31" t="s">
        <v>3294</v>
      </c>
      <c r="N1445" s="34">
        <v>1</v>
      </c>
      <c r="O1445" s="35">
        <v>0</v>
      </c>
      <c r="P1445" s="35">
        <v>1</v>
      </c>
      <c r="Q1445" s="35">
        <v>0</v>
      </c>
      <c r="R1445" s="36">
        <v>18.25</v>
      </c>
      <c r="S1445" s="37">
        <f>IFERROR(_xlfn.XLOOKUP(R1445,'1_Presupuesto'!$E:$E,'1_Presupuesto'!$D:$D),"")</f>
        <v>0</v>
      </c>
    </row>
    <row r="1446" spans="1:19" x14ac:dyDescent="0.35">
      <c r="A1446" s="31" t="s">
        <v>3277</v>
      </c>
      <c r="B1446" s="31" t="s">
        <v>478</v>
      </c>
      <c r="C1446" s="31" t="s">
        <v>498</v>
      </c>
      <c r="D1446" s="31" t="s">
        <v>3295</v>
      </c>
      <c r="E1446" s="31" t="s">
        <v>3296</v>
      </c>
      <c r="F1446" s="31" t="s">
        <v>481</v>
      </c>
      <c r="G1446" s="32">
        <v>1</v>
      </c>
      <c r="H1446" s="33">
        <v>0</v>
      </c>
      <c r="I1446" s="34">
        <v>160878.20000000001</v>
      </c>
      <c r="J1446" s="34">
        <v>160878.20000000001</v>
      </c>
      <c r="K1446" s="31" t="s">
        <v>3284</v>
      </c>
      <c r="L1446" s="31">
        <v>5</v>
      </c>
      <c r="M1446" s="31" t="s">
        <v>3297</v>
      </c>
      <c r="N1446" s="34">
        <v>1</v>
      </c>
      <c r="O1446" s="35">
        <v>0</v>
      </c>
      <c r="P1446" s="35">
        <v>1</v>
      </c>
      <c r="Q1446" s="35">
        <v>0</v>
      </c>
      <c r="R1446" s="36">
        <v>18.25</v>
      </c>
      <c r="S1446" s="37">
        <f>IFERROR(_xlfn.XLOOKUP(R1446,'1_Presupuesto'!$E:$E,'1_Presupuesto'!$D:$D),"")</f>
        <v>0</v>
      </c>
    </row>
    <row r="1447" spans="1:19" x14ac:dyDescent="0.35">
      <c r="A1447" s="31" t="s">
        <v>3277</v>
      </c>
      <c r="B1447" s="31" t="s">
        <v>203</v>
      </c>
      <c r="C1447" s="31"/>
      <c r="D1447" s="31" t="s">
        <v>3298</v>
      </c>
      <c r="E1447" s="31" t="s">
        <v>3299</v>
      </c>
      <c r="F1447" s="31"/>
      <c r="G1447" s="32">
        <v>1</v>
      </c>
      <c r="H1447" s="33">
        <v>0</v>
      </c>
      <c r="I1447" s="34">
        <v>153510.53448222199</v>
      </c>
      <c r="J1447" s="34">
        <v>153510.53448222199</v>
      </c>
      <c r="K1447" s="31" t="s">
        <v>3300</v>
      </c>
      <c r="L1447" s="31">
        <v>1</v>
      </c>
      <c r="M1447" s="31" t="s">
        <v>3301</v>
      </c>
      <c r="N1447" s="34">
        <v>1</v>
      </c>
      <c r="O1447" s="35">
        <v>0</v>
      </c>
      <c r="P1447" s="35">
        <v>1</v>
      </c>
      <c r="Q1447" s="35">
        <v>0</v>
      </c>
      <c r="R1447" s="36">
        <v>18.25</v>
      </c>
      <c r="S1447" s="37">
        <f>IFERROR(_xlfn.XLOOKUP(R1447,'1_Presupuesto'!$E:$E,'1_Presupuesto'!$D:$D),"")</f>
        <v>0</v>
      </c>
    </row>
    <row r="1448" spans="1:19" x14ac:dyDescent="0.35">
      <c r="A1448" s="31" t="s">
        <v>3302</v>
      </c>
      <c r="B1448" s="31" t="s">
        <v>497</v>
      </c>
      <c r="C1448" s="31" t="s">
        <v>498</v>
      </c>
      <c r="D1448" s="31" t="s">
        <v>3303</v>
      </c>
      <c r="E1448" s="31" t="s">
        <v>3304</v>
      </c>
      <c r="F1448" s="31" t="s">
        <v>218</v>
      </c>
      <c r="G1448" s="32">
        <v>1</v>
      </c>
      <c r="H1448" s="33">
        <v>0</v>
      </c>
      <c r="I1448" s="34">
        <v>1057994.98</v>
      </c>
      <c r="J1448" s="34">
        <v>1057994.98</v>
      </c>
      <c r="K1448" s="31" t="s">
        <v>3305</v>
      </c>
      <c r="L1448" s="31">
        <v>1</v>
      </c>
      <c r="M1448" s="31" t="s">
        <v>3306</v>
      </c>
      <c r="N1448" s="34">
        <v>1</v>
      </c>
      <c r="O1448" s="35">
        <v>0</v>
      </c>
      <c r="P1448" s="35">
        <v>1</v>
      </c>
      <c r="Q1448" s="35">
        <v>0</v>
      </c>
      <c r="R1448" s="36">
        <v>18.260000000000002</v>
      </c>
      <c r="S1448" s="37">
        <f>IFERROR(_xlfn.XLOOKUP(R1448,'1_Presupuesto'!$E:$E,'1_Presupuesto'!$D:$D),"")</f>
        <v>0</v>
      </c>
    </row>
    <row r="1449" spans="1:19" x14ac:dyDescent="0.35">
      <c r="A1449" s="31" t="s">
        <v>3302</v>
      </c>
      <c r="B1449" s="31" t="s">
        <v>478</v>
      </c>
      <c r="C1449" s="31" t="s">
        <v>498</v>
      </c>
      <c r="D1449" s="31" t="s">
        <v>3307</v>
      </c>
      <c r="E1449" s="31" t="s">
        <v>3308</v>
      </c>
      <c r="F1449" s="31" t="s">
        <v>481</v>
      </c>
      <c r="G1449" s="32">
        <v>5</v>
      </c>
      <c r="H1449" s="33">
        <v>0</v>
      </c>
      <c r="I1449" s="34">
        <v>80397.100000000006</v>
      </c>
      <c r="J1449" s="34">
        <v>401985.5</v>
      </c>
      <c r="K1449" s="31" t="s">
        <v>3309</v>
      </c>
      <c r="L1449" s="31">
        <v>1</v>
      </c>
      <c r="M1449" s="31" t="s">
        <v>3310</v>
      </c>
      <c r="N1449" s="34">
        <v>1</v>
      </c>
      <c r="O1449" s="35">
        <v>0</v>
      </c>
      <c r="P1449" s="35">
        <v>1</v>
      </c>
      <c r="Q1449" s="35">
        <v>0</v>
      </c>
      <c r="R1449" s="36">
        <v>18.260000000000002</v>
      </c>
      <c r="S1449" s="37">
        <f>IFERROR(_xlfn.XLOOKUP(R1449,'1_Presupuesto'!$E:$E,'1_Presupuesto'!$D:$D),"")</f>
        <v>0</v>
      </c>
    </row>
    <row r="1450" spans="1:19" x14ac:dyDescent="0.35">
      <c r="A1450" s="31" t="s">
        <v>3302</v>
      </c>
      <c r="B1450" s="31" t="s">
        <v>203</v>
      </c>
      <c r="C1450" s="31"/>
      <c r="D1450" s="31" t="s">
        <v>3311</v>
      </c>
      <c r="E1450" s="31" t="s">
        <v>3312</v>
      </c>
      <c r="F1450" s="31"/>
      <c r="G1450" s="32">
        <v>1</v>
      </c>
      <c r="H1450" s="33">
        <v>0</v>
      </c>
      <c r="I1450" s="34">
        <v>21899.707259482599</v>
      </c>
      <c r="J1450" s="34">
        <v>21899.707259482599</v>
      </c>
      <c r="K1450" s="31" t="s">
        <v>3313</v>
      </c>
      <c r="L1450" s="31">
        <v>1</v>
      </c>
      <c r="M1450" s="31" t="s">
        <v>3314</v>
      </c>
      <c r="N1450" s="34">
        <v>1</v>
      </c>
      <c r="O1450" s="35">
        <v>0</v>
      </c>
      <c r="P1450" s="35">
        <v>1</v>
      </c>
      <c r="Q1450" s="35">
        <v>0</v>
      </c>
      <c r="R1450" s="36">
        <v>18.260000000000002</v>
      </c>
      <c r="S1450" s="37">
        <f>IFERROR(_xlfn.XLOOKUP(R1450,'1_Presupuesto'!$E:$E,'1_Presupuesto'!$D:$D),"")</f>
        <v>0</v>
      </c>
    </row>
    <row r="1451" spans="1:19" x14ac:dyDescent="0.35">
      <c r="A1451" s="31" t="s">
        <v>3315</v>
      </c>
      <c r="B1451" s="31" t="s">
        <v>478</v>
      </c>
      <c r="C1451" s="31" t="s">
        <v>498</v>
      </c>
      <c r="D1451" s="31" t="s">
        <v>3316</v>
      </c>
      <c r="E1451" s="31" t="s">
        <v>3317</v>
      </c>
      <c r="F1451" s="31" t="s">
        <v>481</v>
      </c>
      <c r="G1451" s="32">
        <v>1</v>
      </c>
      <c r="H1451" s="33">
        <v>0</v>
      </c>
      <c r="I1451" s="34">
        <v>113275.771948505</v>
      </c>
      <c r="J1451" s="34">
        <v>113275.771948505</v>
      </c>
      <c r="K1451" s="31" t="s">
        <v>3318</v>
      </c>
      <c r="L1451" s="31">
        <v>1</v>
      </c>
      <c r="M1451" s="31" t="s">
        <v>3319</v>
      </c>
      <c r="N1451" s="34">
        <v>1</v>
      </c>
      <c r="O1451" s="35">
        <v>0</v>
      </c>
      <c r="P1451" s="35">
        <v>1</v>
      </c>
      <c r="Q1451" s="35">
        <v>0</v>
      </c>
      <c r="R1451" s="36">
        <v>18.27</v>
      </c>
      <c r="S1451" s="37">
        <f>IFERROR(_xlfn.XLOOKUP(R1451,'1_Presupuesto'!$E:$E,'1_Presupuesto'!$D:$D),"")</f>
        <v>0</v>
      </c>
    </row>
    <row r="1452" spans="1:19" x14ac:dyDescent="0.35">
      <c r="A1452" s="31" t="s">
        <v>3320</v>
      </c>
      <c r="B1452" s="31" t="s">
        <v>497</v>
      </c>
      <c r="C1452" s="31" t="s">
        <v>498</v>
      </c>
      <c r="D1452" s="31" t="s">
        <v>3321</v>
      </c>
      <c r="E1452" s="31" t="s">
        <v>3322</v>
      </c>
      <c r="F1452" s="31" t="s">
        <v>261</v>
      </c>
      <c r="G1452" s="32">
        <v>12</v>
      </c>
      <c r="H1452" s="33">
        <v>0</v>
      </c>
      <c r="I1452" s="34">
        <v>15376.594074713499</v>
      </c>
      <c r="J1452" s="34">
        <v>184519.128896562</v>
      </c>
      <c r="K1452" s="31" t="s">
        <v>3323</v>
      </c>
      <c r="L1452" s="31">
        <v>1</v>
      </c>
      <c r="M1452" s="31" t="s">
        <v>3324</v>
      </c>
      <c r="N1452" s="34">
        <v>1</v>
      </c>
      <c r="O1452" s="35">
        <v>0</v>
      </c>
      <c r="P1452" s="35">
        <v>1</v>
      </c>
      <c r="Q1452" s="35">
        <v>0</v>
      </c>
      <c r="R1452" s="36">
        <v>19.010000000000002</v>
      </c>
      <c r="S1452" s="37">
        <f>IFERROR(_xlfn.XLOOKUP(R1452,'1_Presupuesto'!$E:$E,'1_Presupuesto'!$D:$D),"")</f>
        <v>0</v>
      </c>
    </row>
    <row r="1453" spans="1:19" x14ac:dyDescent="0.35">
      <c r="A1453" s="31" t="s">
        <v>3320</v>
      </c>
      <c r="B1453" s="31" t="s">
        <v>203</v>
      </c>
      <c r="C1453" s="31"/>
      <c r="D1453" s="31" t="s">
        <v>3325</v>
      </c>
      <c r="E1453" s="31" t="s">
        <v>3326</v>
      </c>
      <c r="F1453" s="31"/>
      <c r="G1453" s="32">
        <v>1</v>
      </c>
      <c r="H1453" s="33">
        <v>0</v>
      </c>
      <c r="I1453" s="34">
        <v>22374.766708971001</v>
      </c>
      <c r="J1453" s="34">
        <v>22374.766708971001</v>
      </c>
      <c r="K1453" s="31" t="s">
        <v>3327</v>
      </c>
      <c r="L1453" s="31">
        <v>1</v>
      </c>
      <c r="M1453" s="31" t="s">
        <v>3328</v>
      </c>
      <c r="N1453" s="34">
        <v>1</v>
      </c>
      <c r="O1453" s="35">
        <v>0</v>
      </c>
      <c r="P1453" s="35">
        <v>1</v>
      </c>
      <c r="Q1453" s="35">
        <v>0</v>
      </c>
      <c r="R1453" s="36">
        <v>19.010000000000002</v>
      </c>
      <c r="S1453" s="37">
        <f>IFERROR(_xlfn.XLOOKUP(R1453,'1_Presupuesto'!$E:$E,'1_Presupuesto'!$D:$D),"")</f>
        <v>0</v>
      </c>
    </row>
    <row r="1454" spans="1:19" x14ac:dyDescent="0.35">
      <c r="A1454" s="31" t="s">
        <v>3329</v>
      </c>
      <c r="B1454" s="31" t="s">
        <v>497</v>
      </c>
      <c r="C1454" s="31" t="s">
        <v>498</v>
      </c>
      <c r="D1454" s="31" t="s">
        <v>3321</v>
      </c>
      <c r="E1454" s="31" t="s">
        <v>3322</v>
      </c>
      <c r="F1454" s="31" t="s">
        <v>261</v>
      </c>
      <c r="G1454" s="32">
        <v>42</v>
      </c>
      <c r="H1454" s="33">
        <v>0</v>
      </c>
      <c r="I1454" s="34">
        <v>15376.594074713499</v>
      </c>
      <c r="J1454" s="34">
        <v>645816.95113796694</v>
      </c>
      <c r="K1454" s="31" t="s">
        <v>3330</v>
      </c>
      <c r="L1454" s="31">
        <v>1</v>
      </c>
      <c r="M1454" s="31" t="s">
        <v>3331</v>
      </c>
      <c r="N1454" s="34">
        <v>1</v>
      </c>
      <c r="O1454" s="35">
        <v>0</v>
      </c>
      <c r="P1454" s="35">
        <v>1</v>
      </c>
      <c r="Q1454" s="35">
        <v>0</v>
      </c>
      <c r="R1454" s="36">
        <v>19.02</v>
      </c>
      <c r="S1454" s="37">
        <f>IFERROR(_xlfn.XLOOKUP(R1454,'1_Presupuesto'!$E:$E,'1_Presupuesto'!$D:$D),"")</f>
        <v>0</v>
      </c>
    </row>
    <row r="1455" spans="1:19" x14ac:dyDescent="0.35">
      <c r="A1455" s="31" t="s">
        <v>3329</v>
      </c>
      <c r="B1455" s="31" t="s">
        <v>203</v>
      </c>
      <c r="C1455" s="31"/>
      <c r="D1455" s="31" t="s">
        <v>3332</v>
      </c>
      <c r="E1455" s="31" t="s">
        <v>3333</v>
      </c>
      <c r="F1455" s="31"/>
      <c r="G1455" s="32">
        <v>1</v>
      </c>
      <c r="H1455" s="33">
        <v>0</v>
      </c>
      <c r="I1455" s="34">
        <v>176237.56103145599</v>
      </c>
      <c r="J1455" s="34">
        <v>176237.56103145599</v>
      </c>
      <c r="K1455" s="31" t="s">
        <v>3334</v>
      </c>
      <c r="L1455" s="31">
        <v>1</v>
      </c>
      <c r="M1455" s="31" t="s">
        <v>3335</v>
      </c>
      <c r="N1455" s="34">
        <v>1</v>
      </c>
      <c r="O1455" s="35">
        <v>0</v>
      </c>
      <c r="P1455" s="35">
        <v>1</v>
      </c>
      <c r="Q1455" s="35">
        <v>0</v>
      </c>
      <c r="R1455" s="36">
        <v>19.02</v>
      </c>
      <c r="S1455" s="37">
        <f>IFERROR(_xlfn.XLOOKUP(R1455,'1_Presupuesto'!$E:$E,'1_Presupuesto'!$D:$D),"")</f>
        <v>0</v>
      </c>
    </row>
    <row r="1456" spans="1:19" x14ac:dyDescent="0.35">
      <c r="A1456" s="31" t="s">
        <v>3336</v>
      </c>
      <c r="B1456" s="31" t="s">
        <v>497</v>
      </c>
      <c r="C1456" s="31" t="s">
        <v>498</v>
      </c>
      <c r="D1456" s="31" t="s">
        <v>3337</v>
      </c>
      <c r="E1456" s="31" t="s">
        <v>3338</v>
      </c>
      <c r="F1456" s="31" t="s">
        <v>261</v>
      </c>
      <c r="G1456" s="32">
        <v>1</v>
      </c>
      <c r="H1456" s="33">
        <v>0</v>
      </c>
      <c r="I1456" s="34">
        <v>1446561.6458157499</v>
      </c>
      <c r="J1456" s="34">
        <v>1446561.6458157499</v>
      </c>
      <c r="K1456" s="31" t="s">
        <v>3339</v>
      </c>
      <c r="L1456" s="31">
        <v>1</v>
      </c>
      <c r="M1456" s="31" t="s">
        <v>3340</v>
      </c>
      <c r="N1456" s="34">
        <v>1</v>
      </c>
      <c r="O1456" s="35">
        <v>0</v>
      </c>
      <c r="P1456" s="35">
        <v>1</v>
      </c>
      <c r="Q1456" s="35">
        <v>0</v>
      </c>
      <c r="R1456" s="36">
        <v>19.03</v>
      </c>
      <c r="S1456" s="37">
        <f>IFERROR(_xlfn.XLOOKUP(R1456,'1_Presupuesto'!$E:$E,'1_Presupuesto'!$D:$D),"")</f>
        <v>0</v>
      </c>
    </row>
    <row r="1457" spans="1:19" x14ac:dyDescent="0.35">
      <c r="A1457" s="31" t="s">
        <v>3336</v>
      </c>
      <c r="B1457" s="31" t="s">
        <v>203</v>
      </c>
      <c r="C1457" s="31"/>
      <c r="D1457" s="31" t="s">
        <v>3341</v>
      </c>
      <c r="E1457" s="31" t="s">
        <v>3342</v>
      </c>
      <c r="F1457" s="31"/>
      <c r="G1457" s="32">
        <v>1</v>
      </c>
      <c r="H1457" s="33">
        <v>0</v>
      </c>
      <c r="I1457" s="34">
        <v>54384.028149377104</v>
      </c>
      <c r="J1457" s="34">
        <v>54384.028149377104</v>
      </c>
      <c r="K1457" s="31" t="s">
        <v>3343</v>
      </c>
      <c r="L1457" s="31">
        <v>1</v>
      </c>
      <c r="M1457" s="31" t="s">
        <v>3344</v>
      </c>
      <c r="N1457" s="34">
        <v>1</v>
      </c>
      <c r="O1457" s="35">
        <v>0</v>
      </c>
      <c r="P1457" s="35">
        <v>1</v>
      </c>
      <c r="Q1457" s="35">
        <v>0</v>
      </c>
      <c r="R1457" s="36">
        <v>19.03</v>
      </c>
      <c r="S1457" s="37">
        <f>IFERROR(_xlfn.XLOOKUP(R1457,'1_Presupuesto'!$E:$E,'1_Presupuesto'!$D:$D),"")</f>
        <v>0</v>
      </c>
    </row>
    <row r="1458" spans="1:19" x14ac:dyDescent="0.35">
      <c r="A1458" s="31" t="s">
        <v>3345</v>
      </c>
      <c r="B1458" s="31" t="s">
        <v>497</v>
      </c>
      <c r="C1458" s="31" t="s">
        <v>498</v>
      </c>
      <c r="D1458" s="31" t="s">
        <v>3321</v>
      </c>
      <c r="E1458" s="31" t="s">
        <v>3322</v>
      </c>
      <c r="F1458" s="31" t="s">
        <v>261</v>
      </c>
      <c r="G1458" s="32">
        <v>15</v>
      </c>
      <c r="H1458" s="33">
        <v>0</v>
      </c>
      <c r="I1458" s="34">
        <v>15376.594074713499</v>
      </c>
      <c r="J1458" s="34">
        <v>230648.91112070301</v>
      </c>
      <c r="K1458" s="31" t="s">
        <v>3346</v>
      </c>
      <c r="L1458" s="31">
        <v>1</v>
      </c>
      <c r="M1458" s="31" t="s">
        <v>3347</v>
      </c>
      <c r="N1458" s="34">
        <v>1</v>
      </c>
      <c r="O1458" s="35">
        <v>0</v>
      </c>
      <c r="P1458" s="35">
        <v>1</v>
      </c>
      <c r="Q1458" s="35">
        <v>0</v>
      </c>
      <c r="R1458" s="36">
        <v>19.04</v>
      </c>
      <c r="S1458" s="37">
        <f>IFERROR(_xlfn.XLOOKUP(R1458,'1_Presupuesto'!$E:$E,'1_Presupuesto'!$D:$D),"")</f>
        <v>0</v>
      </c>
    </row>
    <row r="1459" spans="1:19" x14ac:dyDescent="0.35">
      <c r="A1459" s="31" t="s">
        <v>3345</v>
      </c>
      <c r="B1459" s="31" t="s">
        <v>203</v>
      </c>
      <c r="C1459" s="31"/>
      <c r="D1459" s="31" t="s">
        <v>3348</v>
      </c>
      <c r="E1459" s="31" t="s">
        <v>3349</v>
      </c>
      <c r="F1459" s="31"/>
      <c r="G1459" s="32">
        <v>1</v>
      </c>
      <c r="H1459" s="33">
        <v>0</v>
      </c>
      <c r="I1459" s="34">
        <v>20885.780963797501</v>
      </c>
      <c r="J1459" s="34">
        <v>20885.780963797501</v>
      </c>
      <c r="K1459" s="31" t="s">
        <v>3350</v>
      </c>
      <c r="L1459" s="31">
        <v>1</v>
      </c>
      <c r="M1459" s="31" t="s">
        <v>3351</v>
      </c>
      <c r="N1459" s="34">
        <v>1</v>
      </c>
      <c r="O1459" s="35">
        <v>0</v>
      </c>
      <c r="P1459" s="35">
        <v>1</v>
      </c>
      <c r="Q1459" s="35">
        <v>0</v>
      </c>
      <c r="R1459" s="36">
        <v>19.04</v>
      </c>
      <c r="S1459" s="37">
        <f>IFERROR(_xlfn.XLOOKUP(R1459,'1_Presupuesto'!$E:$E,'1_Presupuesto'!$D:$D),"")</f>
        <v>0</v>
      </c>
    </row>
    <row r="1460" spans="1:19" x14ac:dyDescent="0.35">
      <c r="A1460" s="31" t="s">
        <v>3352</v>
      </c>
      <c r="B1460" s="31" t="s">
        <v>497</v>
      </c>
      <c r="C1460" s="31" t="s">
        <v>498</v>
      </c>
      <c r="D1460" s="31" t="s">
        <v>3353</v>
      </c>
      <c r="E1460" s="31" t="s">
        <v>3354</v>
      </c>
      <c r="F1460" s="31" t="s">
        <v>261</v>
      </c>
      <c r="G1460" s="32">
        <v>1</v>
      </c>
      <c r="H1460" s="33">
        <v>0</v>
      </c>
      <c r="I1460" s="34">
        <v>2104760.5606523599</v>
      </c>
      <c r="J1460" s="34">
        <v>2104760.5606523599</v>
      </c>
      <c r="K1460" s="31" t="s">
        <v>3355</v>
      </c>
      <c r="L1460" s="31">
        <v>1</v>
      </c>
      <c r="M1460" s="31" t="s">
        <v>3356</v>
      </c>
      <c r="N1460" s="34">
        <v>1</v>
      </c>
      <c r="O1460" s="35">
        <v>0</v>
      </c>
      <c r="P1460" s="35">
        <v>1</v>
      </c>
      <c r="Q1460" s="35">
        <v>0</v>
      </c>
      <c r="R1460" s="36">
        <v>19.05</v>
      </c>
      <c r="S1460" s="37">
        <f>IFERROR(_xlfn.XLOOKUP(R1460,'1_Presupuesto'!$E:$E,'1_Presupuesto'!$D:$D),"")</f>
        <v>0</v>
      </c>
    </row>
    <row r="1461" spans="1:19" x14ac:dyDescent="0.35">
      <c r="A1461" s="31" t="s">
        <v>3352</v>
      </c>
      <c r="B1461" s="31" t="s">
        <v>203</v>
      </c>
      <c r="C1461" s="31"/>
      <c r="D1461" s="31" t="s">
        <v>3357</v>
      </c>
      <c r="E1461" s="31" t="s">
        <v>3358</v>
      </c>
      <c r="F1461" s="31"/>
      <c r="G1461" s="32">
        <v>1</v>
      </c>
      <c r="H1461" s="33">
        <v>0</v>
      </c>
      <c r="I1461" s="34">
        <v>84635.381339109605</v>
      </c>
      <c r="J1461" s="34">
        <v>84635.381339109605</v>
      </c>
      <c r="K1461" s="31" t="s">
        <v>3359</v>
      </c>
      <c r="L1461" s="31">
        <v>1</v>
      </c>
      <c r="M1461" s="31" t="s">
        <v>3360</v>
      </c>
      <c r="N1461" s="34">
        <v>1</v>
      </c>
      <c r="O1461" s="35">
        <v>0</v>
      </c>
      <c r="P1461" s="35">
        <v>1</v>
      </c>
      <c r="Q1461" s="35">
        <v>0</v>
      </c>
      <c r="R1461" s="36">
        <v>19.05</v>
      </c>
      <c r="S1461" s="37">
        <f>IFERROR(_xlfn.XLOOKUP(R1461,'1_Presupuesto'!$E:$E,'1_Presupuesto'!$D:$D),"")</f>
        <v>0</v>
      </c>
    </row>
    <row r="1462" spans="1:19" x14ac:dyDescent="0.35">
      <c r="A1462" s="31" t="s">
        <v>3361</v>
      </c>
      <c r="B1462" s="31" t="s">
        <v>497</v>
      </c>
      <c r="C1462" s="31" t="s">
        <v>498</v>
      </c>
      <c r="D1462" s="31" t="s">
        <v>3362</v>
      </c>
      <c r="E1462" s="31" t="s">
        <v>3363</v>
      </c>
      <c r="F1462" s="31" t="s">
        <v>261</v>
      </c>
      <c r="G1462" s="32">
        <v>1</v>
      </c>
      <c r="H1462" s="33">
        <v>0</v>
      </c>
      <c r="I1462" s="34">
        <v>809170.17674968601</v>
      </c>
      <c r="J1462" s="34">
        <v>809170.17674968601</v>
      </c>
      <c r="K1462" s="31" t="s">
        <v>3364</v>
      </c>
      <c r="L1462" s="31">
        <v>1</v>
      </c>
      <c r="M1462" s="31" t="s">
        <v>3365</v>
      </c>
      <c r="N1462" s="34">
        <v>1</v>
      </c>
      <c r="O1462" s="35">
        <v>0</v>
      </c>
      <c r="P1462" s="35">
        <v>1</v>
      </c>
      <c r="Q1462" s="35">
        <v>0</v>
      </c>
      <c r="R1462" s="36">
        <v>19.059999999999999</v>
      </c>
      <c r="S1462" s="37">
        <f>IFERROR(_xlfn.XLOOKUP(R1462,'1_Presupuesto'!$E:$E,'1_Presupuesto'!$D:$D),"")</f>
        <v>0</v>
      </c>
    </row>
    <row r="1463" spans="1:19" x14ac:dyDescent="0.35">
      <c r="A1463" s="31" t="s">
        <v>3361</v>
      </c>
      <c r="B1463" s="31" t="s">
        <v>203</v>
      </c>
      <c r="C1463" s="31"/>
      <c r="D1463" s="31" t="s">
        <v>3366</v>
      </c>
      <c r="E1463" s="31" t="s">
        <v>3367</v>
      </c>
      <c r="F1463" s="31"/>
      <c r="G1463" s="32">
        <v>1</v>
      </c>
      <c r="H1463" s="33">
        <v>0</v>
      </c>
      <c r="I1463" s="34">
        <v>38331.263660483099</v>
      </c>
      <c r="J1463" s="34">
        <v>38331.263660483099</v>
      </c>
      <c r="K1463" s="31" t="s">
        <v>3368</v>
      </c>
      <c r="L1463" s="31">
        <v>1</v>
      </c>
      <c r="M1463" s="31" t="s">
        <v>3369</v>
      </c>
      <c r="N1463" s="34">
        <v>1</v>
      </c>
      <c r="O1463" s="35">
        <v>0</v>
      </c>
      <c r="P1463" s="35">
        <v>1</v>
      </c>
      <c r="Q1463" s="35">
        <v>0</v>
      </c>
      <c r="R1463" s="36">
        <v>19.059999999999999</v>
      </c>
      <c r="S1463" s="37">
        <f>IFERROR(_xlfn.XLOOKUP(R1463,'1_Presupuesto'!$E:$E,'1_Presupuesto'!$D:$D),"")</f>
        <v>0</v>
      </c>
    </row>
    <row r="1464" spans="1:19" x14ac:dyDescent="0.35">
      <c r="A1464" s="31" t="s">
        <v>3370</v>
      </c>
      <c r="B1464" s="31" t="s">
        <v>497</v>
      </c>
      <c r="C1464" s="31" t="s">
        <v>498</v>
      </c>
      <c r="D1464" s="31" t="s">
        <v>3371</v>
      </c>
      <c r="E1464" s="31" t="s">
        <v>3372</v>
      </c>
      <c r="F1464" s="31" t="s">
        <v>261</v>
      </c>
      <c r="G1464" s="32">
        <v>1</v>
      </c>
      <c r="H1464" s="33">
        <v>0</v>
      </c>
      <c r="I1464" s="34">
        <v>1906561.77476009</v>
      </c>
      <c r="J1464" s="34">
        <v>1906561.77476009</v>
      </c>
      <c r="K1464" s="31" t="s">
        <v>3373</v>
      </c>
      <c r="L1464" s="31">
        <v>1</v>
      </c>
      <c r="M1464" s="31" t="s">
        <v>3374</v>
      </c>
      <c r="N1464" s="34">
        <v>1</v>
      </c>
      <c r="O1464" s="35">
        <v>0</v>
      </c>
      <c r="P1464" s="35">
        <v>1</v>
      </c>
      <c r="Q1464" s="35">
        <v>0</v>
      </c>
      <c r="R1464" s="36">
        <v>19.07</v>
      </c>
      <c r="S1464" s="37">
        <f>IFERROR(_xlfn.XLOOKUP(R1464,'1_Presupuesto'!$E:$E,'1_Presupuesto'!$D:$D),"")</f>
        <v>0</v>
      </c>
    </row>
    <row r="1465" spans="1:19" x14ac:dyDescent="0.35">
      <c r="A1465" s="31" t="s">
        <v>3370</v>
      </c>
      <c r="B1465" s="31" t="s">
        <v>203</v>
      </c>
      <c r="C1465" s="31"/>
      <c r="D1465" s="31" t="s">
        <v>3375</v>
      </c>
      <c r="E1465" s="31" t="s">
        <v>3376</v>
      </c>
      <c r="F1465" s="31"/>
      <c r="G1465" s="32">
        <v>1</v>
      </c>
      <c r="H1465" s="33">
        <v>0</v>
      </c>
      <c r="I1465" s="34">
        <v>82579.398554802203</v>
      </c>
      <c r="J1465" s="34">
        <v>82579.398554802203</v>
      </c>
      <c r="K1465" s="31" t="s">
        <v>3377</v>
      </c>
      <c r="L1465" s="31">
        <v>1</v>
      </c>
      <c r="M1465" s="31" t="s">
        <v>3378</v>
      </c>
      <c r="N1465" s="34">
        <v>1</v>
      </c>
      <c r="O1465" s="35">
        <v>0</v>
      </c>
      <c r="P1465" s="35">
        <v>1</v>
      </c>
      <c r="Q1465" s="35">
        <v>0</v>
      </c>
      <c r="R1465" s="36">
        <v>19.07</v>
      </c>
      <c r="S1465" s="37">
        <f>IFERROR(_xlfn.XLOOKUP(R1465,'1_Presupuesto'!$E:$E,'1_Presupuesto'!$D:$D),"")</f>
        <v>0</v>
      </c>
    </row>
    <row r="1466" spans="1:19" x14ac:dyDescent="0.35">
      <c r="A1466" s="31" t="s">
        <v>3379</v>
      </c>
      <c r="B1466" s="31" t="s">
        <v>497</v>
      </c>
      <c r="C1466" s="31" t="s">
        <v>498</v>
      </c>
      <c r="D1466" s="31" t="s">
        <v>3380</v>
      </c>
      <c r="E1466" s="31" t="s">
        <v>3381</v>
      </c>
      <c r="F1466" s="31" t="s">
        <v>261</v>
      </c>
      <c r="G1466" s="32">
        <v>1</v>
      </c>
      <c r="H1466" s="33">
        <v>0</v>
      </c>
      <c r="I1466" s="34">
        <v>1435578.0647120301</v>
      </c>
      <c r="J1466" s="34">
        <v>1435578.0647120301</v>
      </c>
      <c r="K1466" s="31" t="s">
        <v>3382</v>
      </c>
      <c r="L1466" s="31">
        <v>1</v>
      </c>
      <c r="M1466" s="31" t="s">
        <v>3383</v>
      </c>
      <c r="N1466" s="34">
        <v>1</v>
      </c>
      <c r="O1466" s="35">
        <v>0</v>
      </c>
      <c r="P1466" s="35">
        <v>1</v>
      </c>
      <c r="Q1466" s="35">
        <v>0</v>
      </c>
      <c r="R1466" s="36">
        <v>19.079999999999998</v>
      </c>
      <c r="S1466" s="37">
        <f>IFERROR(_xlfn.XLOOKUP(R1466,'1_Presupuesto'!$E:$E,'1_Presupuesto'!$D:$D),"")</f>
        <v>0</v>
      </c>
    </row>
    <row r="1467" spans="1:19" x14ac:dyDescent="0.35">
      <c r="A1467" s="31" t="s">
        <v>3379</v>
      </c>
      <c r="B1467" s="31" t="s">
        <v>203</v>
      </c>
      <c r="C1467" s="31"/>
      <c r="D1467" s="31" t="s">
        <v>3384</v>
      </c>
      <c r="E1467" s="31" t="s">
        <v>3385</v>
      </c>
      <c r="F1467" s="31"/>
      <c r="G1467" s="32">
        <v>1</v>
      </c>
      <c r="H1467" s="33">
        <v>0</v>
      </c>
      <c r="I1467" s="34">
        <v>59033.896817303801</v>
      </c>
      <c r="J1467" s="34">
        <v>59033.896817303801</v>
      </c>
      <c r="K1467" s="31" t="s">
        <v>3386</v>
      </c>
      <c r="L1467" s="31">
        <v>1</v>
      </c>
      <c r="M1467" s="31" t="s">
        <v>3387</v>
      </c>
      <c r="N1467" s="34">
        <v>1</v>
      </c>
      <c r="O1467" s="35">
        <v>0</v>
      </c>
      <c r="P1467" s="35">
        <v>1</v>
      </c>
      <c r="Q1467" s="35">
        <v>0</v>
      </c>
      <c r="R1467" s="36">
        <v>19.079999999999998</v>
      </c>
      <c r="S1467" s="37">
        <f>IFERROR(_xlfn.XLOOKUP(R1467,'1_Presupuesto'!$E:$E,'1_Presupuesto'!$D:$D),"")</f>
        <v>0</v>
      </c>
    </row>
    <row r="1468" spans="1:19" x14ac:dyDescent="0.35">
      <c r="A1468" s="31" t="s">
        <v>3388</v>
      </c>
      <c r="B1468" s="31" t="s">
        <v>497</v>
      </c>
      <c r="C1468" s="31" t="s">
        <v>498</v>
      </c>
      <c r="D1468" s="31" t="s">
        <v>3389</v>
      </c>
      <c r="E1468" s="31" t="s">
        <v>3390</v>
      </c>
      <c r="F1468" s="31" t="s">
        <v>261</v>
      </c>
      <c r="G1468" s="32">
        <v>1</v>
      </c>
      <c r="H1468" s="33">
        <v>0</v>
      </c>
      <c r="I1468" s="34">
        <v>609036.01399088604</v>
      </c>
      <c r="J1468" s="34">
        <v>609036.01399088604</v>
      </c>
      <c r="K1468" s="31" t="s">
        <v>3391</v>
      </c>
      <c r="L1468" s="31">
        <v>1</v>
      </c>
      <c r="M1468" s="31" t="s">
        <v>3392</v>
      </c>
      <c r="N1468" s="34">
        <v>1</v>
      </c>
      <c r="O1468" s="35">
        <v>0</v>
      </c>
      <c r="P1468" s="35">
        <v>1</v>
      </c>
      <c r="Q1468" s="35">
        <v>0</v>
      </c>
      <c r="R1468" s="36">
        <v>19.09</v>
      </c>
      <c r="S1468" s="37">
        <f>IFERROR(_xlfn.XLOOKUP(R1468,'1_Presupuesto'!$E:$E,'1_Presupuesto'!$D:$D),"")</f>
        <v>0</v>
      </c>
    </row>
    <row r="1469" spans="1:19" x14ac:dyDescent="0.35">
      <c r="A1469" s="31" t="s">
        <v>3388</v>
      </c>
      <c r="B1469" s="31" t="s">
        <v>203</v>
      </c>
      <c r="C1469" s="31"/>
      <c r="D1469" s="31" t="s">
        <v>3393</v>
      </c>
      <c r="E1469" s="31" t="s">
        <v>3394</v>
      </c>
      <c r="F1469" s="31"/>
      <c r="G1469" s="32">
        <v>1</v>
      </c>
      <c r="H1469" s="33">
        <v>0</v>
      </c>
      <c r="I1469" s="34">
        <v>27129.197520996899</v>
      </c>
      <c r="J1469" s="34">
        <v>27129.197520996899</v>
      </c>
      <c r="K1469" s="31" t="s">
        <v>3395</v>
      </c>
      <c r="L1469" s="31">
        <v>1</v>
      </c>
      <c r="M1469" s="31" t="s">
        <v>3396</v>
      </c>
      <c r="N1469" s="34">
        <v>1</v>
      </c>
      <c r="O1469" s="35">
        <v>0</v>
      </c>
      <c r="P1469" s="35">
        <v>1</v>
      </c>
      <c r="Q1469" s="35">
        <v>0</v>
      </c>
      <c r="R1469" s="36">
        <v>19.09</v>
      </c>
      <c r="S1469" s="37">
        <f>IFERROR(_xlfn.XLOOKUP(R1469,'1_Presupuesto'!$E:$E,'1_Presupuesto'!$D:$D),"")</f>
        <v>0</v>
      </c>
    </row>
    <row r="1470" spans="1:19" x14ac:dyDescent="0.35">
      <c r="A1470" s="31" t="s">
        <v>3397</v>
      </c>
      <c r="B1470" s="31" t="s">
        <v>497</v>
      </c>
      <c r="C1470" s="31" t="s">
        <v>498</v>
      </c>
      <c r="D1470" s="31" t="s">
        <v>3398</v>
      </c>
      <c r="E1470" s="31" t="s">
        <v>3399</v>
      </c>
      <c r="F1470" s="31" t="s">
        <v>261</v>
      </c>
      <c r="G1470" s="32">
        <v>1</v>
      </c>
      <c r="H1470" s="33">
        <v>0</v>
      </c>
      <c r="I1470" s="34">
        <v>2840582.8064988302</v>
      </c>
      <c r="J1470" s="34">
        <v>2840582.8064988302</v>
      </c>
      <c r="K1470" s="31" t="s">
        <v>3400</v>
      </c>
      <c r="L1470" s="31">
        <v>1</v>
      </c>
      <c r="M1470" s="31" t="s">
        <v>3401</v>
      </c>
      <c r="N1470" s="34">
        <v>1</v>
      </c>
      <c r="O1470" s="35">
        <v>0</v>
      </c>
      <c r="P1470" s="35">
        <v>1</v>
      </c>
      <c r="Q1470" s="35">
        <v>0</v>
      </c>
      <c r="R1470" s="36">
        <v>19.100000000000001</v>
      </c>
      <c r="S1470" s="37">
        <f>IFERROR(_xlfn.XLOOKUP(R1470,'1_Presupuesto'!$E:$E,'1_Presupuesto'!$D:$D),"")</f>
        <v>0</v>
      </c>
    </row>
    <row r="1471" spans="1:19" x14ac:dyDescent="0.35">
      <c r="A1471" s="31" t="s">
        <v>3397</v>
      </c>
      <c r="B1471" s="31" t="s">
        <v>203</v>
      </c>
      <c r="C1471" s="31"/>
      <c r="D1471" s="31" t="s">
        <v>3402</v>
      </c>
      <c r="E1471" s="31" t="s">
        <v>3403</v>
      </c>
      <c r="F1471" s="31"/>
      <c r="G1471" s="32">
        <v>1</v>
      </c>
      <c r="H1471" s="33">
        <v>0</v>
      </c>
      <c r="I1471" s="34">
        <v>180429.330098951</v>
      </c>
      <c r="J1471" s="34">
        <v>180429.330098951</v>
      </c>
      <c r="K1471" s="31" t="s">
        <v>3404</v>
      </c>
      <c r="L1471" s="31">
        <v>1</v>
      </c>
      <c r="M1471" s="31" t="s">
        <v>3405</v>
      </c>
      <c r="N1471" s="34">
        <v>1</v>
      </c>
      <c r="O1471" s="35">
        <v>0</v>
      </c>
      <c r="P1471" s="35">
        <v>1</v>
      </c>
      <c r="Q1471" s="35">
        <v>0</v>
      </c>
      <c r="R1471" s="36">
        <v>19.100000000000001</v>
      </c>
      <c r="S1471" s="37">
        <f>IFERROR(_xlfn.XLOOKUP(R1471,'1_Presupuesto'!$E:$E,'1_Presupuesto'!$D:$D),"")</f>
        <v>0</v>
      </c>
    </row>
    <row r="1472" spans="1:19" x14ac:dyDescent="0.35">
      <c r="A1472" s="31" t="s">
        <v>3406</v>
      </c>
      <c r="B1472" s="31" t="s">
        <v>497</v>
      </c>
      <c r="C1472" s="31" t="s">
        <v>498</v>
      </c>
      <c r="D1472" s="31" t="s">
        <v>3407</v>
      </c>
      <c r="E1472" s="31" t="s">
        <v>3408</v>
      </c>
      <c r="F1472" s="31" t="s">
        <v>261</v>
      </c>
      <c r="G1472" s="32">
        <v>1</v>
      </c>
      <c r="H1472" s="33">
        <v>0</v>
      </c>
      <c r="I1472" s="34">
        <v>2501139.9349345602</v>
      </c>
      <c r="J1472" s="34">
        <v>2501139.9349345602</v>
      </c>
      <c r="K1472" s="31" t="s">
        <v>3409</v>
      </c>
      <c r="L1472" s="31">
        <v>1</v>
      </c>
      <c r="M1472" s="31" t="s">
        <v>3410</v>
      </c>
      <c r="N1472" s="34">
        <v>1</v>
      </c>
      <c r="O1472" s="35">
        <v>0</v>
      </c>
      <c r="P1472" s="35">
        <v>1</v>
      </c>
      <c r="Q1472" s="35">
        <v>0</v>
      </c>
      <c r="R1472" s="36">
        <v>19.12</v>
      </c>
      <c r="S1472" s="37">
        <f>IFERROR(_xlfn.XLOOKUP(R1472,'1_Presupuesto'!$E:$E,'1_Presupuesto'!$D:$D),"")</f>
        <v>0</v>
      </c>
    </row>
    <row r="1473" spans="1:19" x14ac:dyDescent="0.35">
      <c r="A1473" s="31" t="s">
        <v>3406</v>
      </c>
      <c r="B1473" s="31" t="s">
        <v>203</v>
      </c>
      <c r="C1473" s="31"/>
      <c r="D1473" s="31" t="s">
        <v>3411</v>
      </c>
      <c r="E1473" s="31" t="s">
        <v>3412</v>
      </c>
      <c r="F1473" s="31"/>
      <c r="G1473" s="32">
        <v>1</v>
      </c>
      <c r="H1473" s="33">
        <v>0</v>
      </c>
      <c r="I1473" s="34">
        <v>113709.375157824</v>
      </c>
      <c r="J1473" s="34">
        <v>113709.375157824</v>
      </c>
      <c r="K1473" s="31" t="s">
        <v>3413</v>
      </c>
      <c r="L1473" s="31">
        <v>1</v>
      </c>
      <c r="M1473" s="31" t="s">
        <v>3414</v>
      </c>
      <c r="N1473" s="34">
        <v>1</v>
      </c>
      <c r="O1473" s="35">
        <v>0</v>
      </c>
      <c r="P1473" s="35">
        <v>1</v>
      </c>
      <c r="Q1473" s="35">
        <v>0</v>
      </c>
      <c r="R1473" s="36">
        <v>19.12</v>
      </c>
      <c r="S1473" s="37">
        <f>IFERROR(_xlfn.XLOOKUP(R1473,'1_Presupuesto'!$E:$E,'1_Presupuesto'!$D:$D),"")</f>
        <v>0</v>
      </c>
    </row>
    <row r="1474" spans="1:19" x14ac:dyDescent="0.35">
      <c r="A1474" s="31" t="s">
        <v>3415</v>
      </c>
      <c r="B1474" s="31" t="s">
        <v>497</v>
      </c>
      <c r="C1474" s="31" t="s">
        <v>498</v>
      </c>
      <c r="D1474" s="31" t="s">
        <v>3416</v>
      </c>
      <c r="E1474" s="31" t="s">
        <v>3417</v>
      </c>
      <c r="F1474" s="31" t="s">
        <v>261</v>
      </c>
      <c r="G1474" s="32">
        <v>1</v>
      </c>
      <c r="H1474" s="33">
        <v>0</v>
      </c>
      <c r="I1474" s="34">
        <v>358894.516178007</v>
      </c>
      <c r="J1474" s="34">
        <v>358894.516178007</v>
      </c>
      <c r="K1474" s="31" t="s">
        <v>3418</v>
      </c>
      <c r="L1474" s="31">
        <v>1</v>
      </c>
      <c r="M1474" s="31" t="s">
        <v>3419</v>
      </c>
      <c r="N1474" s="34">
        <v>1</v>
      </c>
      <c r="O1474" s="35">
        <v>0</v>
      </c>
      <c r="P1474" s="35">
        <v>1</v>
      </c>
      <c r="Q1474" s="35">
        <v>0</v>
      </c>
      <c r="R1474" s="36">
        <v>19.13</v>
      </c>
      <c r="S1474" s="37">
        <f>IFERROR(_xlfn.XLOOKUP(R1474,'1_Presupuesto'!$E:$E,'1_Presupuesto'!$D:$D),"")</f>
        <v>0</v>
      </c>
    </row>
    <row r="1475" spans="1:19" x14ac:dyDescent="0.35">
      <c r="A1475" s="31" t="s">
        <v>3415</v>
      </c>
      <c r="B1475" s="31" t="s">
        <v>478</v>
      </c>
      <c r="C1475" s="31" t="s">
        <v>498</v>
      </c>
      <c r="D1475" s="31" t="s">
        <v>3420</v>
      </c>
      <c r="E1475" s="31" t="s">
        <v>3421</v>
      </c>
      <c r="F1475" s="31" t="s">
        <v>481</v>
      </c>
      <c r="G1475" s="32">
        <v>1</v>
      </c>
      <c r="H1475" s="33">
        <v>0</v>
      </c>
      <c r="I1475" s="34">
        <v>625003.76411038905</v>
      </c>
      <c r="J1475" s="34">
        <v>625003.76411038905</v>
      </c>
      <c r="K1475" s="31" t="s">
        <v>3422</v>
      </c>
      <c r="L1475" s="31">
        <v>1</v>
      </c>
      <c r="M1475" s="31" t="s">
        <v>3423</v>
      </c>
      <c r="N1475" s="34">
        <v>1</v>
      </c>
      <c r="O1475" s="35">
        <v>0</v>
      </c>
      <c r="P1475" s="35">
        <v>1</v>
      </c>
      <c r="Q1475" s="35">
        <v>0</v>
      </c>
      <c r="R1475" s="36">
        <v>19.13</v>
      </c>
      <c r="S1475" s="37">
        <f>IFERROR(_xlfn.XLOOKUP(R1475,'1_Presupuesto'!$E:$E,'1_Presupuesto'!$D:$D),"")</f>
        <v>0</v>
      </c>
    </row>
    <row r="1476" spans="1:19" x14ac:dyDescent="0.35">
      <c r="A1476" s="31" t="s">
        <v>3415</v>
      </c>
      <c r="B1476" s="31" t="s">
        <v>203</v>
      </c>
      <c r="C1476" s="31"/>
      <c r="D1476" s="31" t="s">
        <v>3424</v>
      </c>
      <c r="E1476" s="31" t="s">
        <v>3425</v>
      </c>
      <c r="F1476" s="31"/>
      <c r="G1476" s="32">
        <v>1</v>
      </c>
      <c r="H1476" s="33">
        <v>0</v>
      </c>
      <c r="I1476" s="34">
        <v>14758.474204325899</v>
      </c>
      <c r="J1476" s="34">
        <v>14758.474204325899</v>
      </c>
      <c r="K1476" s="31" t="s">
        <v>3426</v>
      </c>
      <c r="L1476" s="31">
        <v>1</v>
      </c>
      <c r="M1476" s="31" t="s">
        <v>3427</v>
      </c>
      <c r="N1476" s="34">
        <v>1</v>
      </c>
      <c r="O1476" s="35">
        <v>0</v>
      </c>
      <c r="P1476" s="35">
        <v>1</v>
      </c>
      <c r="Q1476" s="35">
        <v>0</v>
      </c>
      <c r="R1476" s="36">
        <v>19.13</v>
      </c>
      <c r="S1476" s="37">
        <f>IFERROR(_xlfn.XLOOKUP(R1476,'1_Presupuesto'!$E:$E,'1_Presupuesto'!$D:$D),"")</f>
        <v>0</v>
      </c>
    </row>
    <row r="1477" spans="1:19" x14ac:dyDescent="0.35">
      <c r="A1477" s="31" t="s">
        <v>3428</v>
      </c>
      <c r="B1477" s="31" t="s">
        <v>497</v>
      </c>
      <c r="C1477" s="31" t="s">
        <v>498</v>
      </c>
      <c r="D1477" s="31" t="s">
        <v>3429</v>
      </c>
      <c r="E1477" s="31" t="s">
        <v>3430</v>
      </c>
      <c r="F1477" s="31" t="s">
        <v>261</v>
      </c>
      <c r="G1477" s="32">
        <v>39</v>
      </c>
      <c r="H1477" s="33">
        <v>0</v>
      </c>
      <c r="I1477" s="34">
        <v>337.95256133570001</v>
      </c>
      <c r="J1477" s="34">
        <v>13180.1498920923</v>
      </c>
      <c r="K1477" s="31" t="s">
        <v>3431</v>
      </c>
      <c r="L1477" s="31">
        <v>1</v>
      </c>
      <c r="M1477" s="31" t="s">
        <v>3432</v>
      </c>
      <c r="N1477" s="34">
        <v>1</v>
      </c>
      <c r="O1477" s="35">
        <v>0</v>
      </c>
      <c r="P1477" s="35">
        <v>1</v>
      </c>
      <c r="Q1477" s="35">
        <v>0</v>
      </c>
      <c r="R1477" s="36">
        <v>19.14</v>
      </c>
      <c r="S1477" s="37">
        <f>IFERROR(_xlfn.XLOOKUP(R1477,'1_Presupuesto'!$E:$E,'1_Presupuesto'!$D:$D),"")</f>
        <v>0</v>
      </c>
    </row>
    <row r="1478" spans="1:19" x14ac:dyDescent="0.35">
      <c r="A1478" s="31" t="s">
        <v>3428</v>
      </c>
      <c r="B1478" s="31" t="s">
        <v>203</v>
      </c>
      <c r="C1478" s="31"/>
      <c r="D1478" s="31" t="s">
        <v>3433</v>
      </c>
      <c r="E1478" s="31" t="s">
        <v>3434</v>
      </c>
      <c r="F1478" s="31"/>
      <c r="G1478" s="32">
        <v>1</v>
      </c>
      <c r="H1478" s="33">
        <v>0</v>
      </c>
      <c r="I1478" s="34">
        <v>35765.263711523599</v>
      </c>
      <c r="J1478" s="34">
        <v>35765.263711523599</v>
      </c>
      <c r="K1478" s="31" t="s">
        <v>3435</v>
      </c>
      <c r="L1478" s="31">
        <v>1</v>
      </c>
      <c r="M1478" s="31" t="s">
        <v>3436</v>
      </c>
      <c r="N1478" s="34">
        <v>1</v>
      </c>
      <c r="O1478" s="35">
        <v>0</v>
      </c>
      <c r="P1478" s="35">
        <v>1</v>
      </c>
      <c r="Q1478" s="35">
        <v>0</v>
      </c>
      <c r="R1478" s="36">
        <v>19.14</v>
      </c>
      <c r="S1478" s="37">
        <f>IFERROR(_xlfn.XLOOKUP(R1478,'1_Presupuesto'!$E:$E,'1_Presupuesto'!$D:$D),"")</f>
        <v>0</v>
      </c>
    </row>
    <row r="1479" spans="1:19" x14ac:dyDescent="0.35">
      <c r="A1479" s="31" t="s">
        <v>3437</v>
      </c>
      <c r="B1479" s="31" t="s">
        <v>497</v>
      </c>
      <c r="C1479" s="31" t="s">
        <v>498</v>
      </c>
      <c r="D1479" s="31" t="s">
        <v>3438</v>
      </c>
      <c r="E1479" s="31" t="s">
        <v>3439</v>
      </c>
      <c r="F1479" s="31" t="s">
        <v>261</v>
      </c>
      <c r="G1479" s="32">
        <v>1</v>
      </c>
      <c r="H1479" s="33">
        <v>0</v>
      </c>
      <c r="I1479" s="34">
        <v>3702330.1060249</v>
      </c>
      <c r="J1479" s="34">
        <v>3702330.1060249</v>
      </c>
      <c r="K1479" s="31" t="s">
        <v>3440</v>
      </c>
      <c r="L1479" s="31">
        <v>1</v>
      </c>
      <c r="M1479" s="31" t="s">
        <v>3441</v>
      </c>
      <c r="N1479" s="34">
        <v>1</v>
      </c>
      <c r="O1479" s="35">
        <v>0</v>
      </c>
      <c r="P1479" s="35">
        <v>1</v>
      </c>
      <c r="Q1479" s="35">
        <v>0</v>
      </c>
      <c r="R1479" s="36">
        <v>19.149999999999999</v>
      </c>
      <c r="S1479" s="37">
        <f>IFERROR(_xlfn.XLOOKUP(R1479,'1_Presupuesto'!$E:$E,'1_Presupuesto'!$D:$D),"")</f>
        <v>0</v>
      </c>
    </row>
    <row r="1480" spans="1:19" x14ac:dyDescent="0.35">
      <c r="A1480" s="31" t="s">
        <v>3437</v>
      </c>
      <c r="B1480" s="31" t="s">
        <v>203</v>
      </c>
      <c r="C1480" s="31"/>
      <c r="D1480" s="31" t="s">
        <v>3442</v>
      </c>
      <c r="E1480" s="31" t="s">
        <v>3443</v>
      </c>
      <c r="F1480" s="31"/>
      <c r="G1480" s="32">
        <v>1</v>
      </c>
      <c r="H1480" s="33">
        <v>0</v>
      </c>
      <c r="I1480" s="34">
        <v>107892.95041054901</v>
      </c>
      <c r="J1480" s="34">
        <v>107892.95041054901</v>
      </c>
      <c r="K1480" s="31" t="s">
        <v>3444</v>
      </c>
      <c r="L1480" s="31">
        <v>1</v>
      </c>
      <c r="M1480" s="31" t="s">
        <v>3445</v>
      </c>
      <c r="N1480" s="34">
        <v>1</v>
      </c>
      <c r="O1480" s="35">
        <v>0</v>
      </c>
      <c r="P1480" s="35">
        <v>1</v>
      </c>
      <c r="Q1480" s="35">
        <v>0</v>
      </c>
      <c r="R1480" s="36">
        <v>19.149999999999999</v>
      </c>
      <c r="S1480" s="37">
        <f>IFERROR(_xlfn.XLOOKUP(R1480,'1_Presupuesto'!$E:$E,'1_Presupuesto'!$D:$D),"")</f>
        <v>0</v>
      </c>
    </row>
    <row r="1481" spans="1:19" x14ac:dyDescent="0.35">
      <c r="A1481" s="31" t="s">
        <v>3446</v>
      </c>
      <c r="B1481" s="31" t="s">
        <v>497</v>
      </c>
      <c r="C1481" s="31" t="s">
        <v>498</v>
      </c>
      <c r="D1481" s="31" t="s">
        <v>3447</v>
      </c>
      <c r="E1481" s="31" t="s">
        <v>3448</v>
      </c>
      <c r="F1481" s="31" t="s">
        <v>3449</v>
      </c>
      <c r="G1481" s="32">
        <v>1</v>
      </c>
      <c r="H1481" s="33">
        <v>0</v>
      </c>
      <c r="I1481" s="34">
        <v>85882.267275332793</v>
      </c>
      <c r="J1481" s="34">
        <v>85882.267275332793</v>
      </c>
      <c r="K1481" s="31" t="s">
        <v>3450</v>
      </c>
      <c r="L1481" s="31">
        <v>1</v>
      </c>
      <c r="M1481" s="31" t="s">
        <v>3451</v>
      </c>
      <c r="N1481" s="34">
        <v>1</v>
      </c>
      <c r="O1481" s="35">
        <v>0</v>
      </c>
      <c r="P1481" s="35">
        <v>1</v>
      </c>
      <c r="Q1481" s="35">
        <v>0</v>
      </c>
      <c r="R1481" s="36">
        <v>19.16</v>
      </c>
      <c r="S1481" s="37">
        <f>IFERROR(_xlfn.XLOOKUP(R1481,'1_Presupuesto'!$E:$E,'1_Presupuesto'!$D:$D),"")</f>
        <v>0</v>
      </c>
    </row>
    <row r="1482" spans="1:19" x14ac:dyDescent="0.35">
      <c r="A1482" s="31" t="s">
        <v>3446</v>
      </c>
      <c r="B1482" s="31" t="s">
        <v>203</v>
      </c>
      <c r="C1482" s="31"/>
      <c r="D1482" s="31" t="s">
        <v>3452</v>
      </c>
      <c r="E1482" s="31" t="s">
        <v>3453</v>
      </c>
      <c r="F1482" s="31"/>
      <c r="G1482" s="32">
        <v>1</v>
      </c>
      <c r="H1482" s="33">
        <v>0</v>
      </c>
      <c r="I1482" s="34">
        <v>97657.093521783696</v>
      </c>
      <c r="J1482" s="34">
        <v>97657.093521783696</v>
      </c>
      <c r="K1482" s="31" t="s">
        <v>3454</v>
      </c>
      <c r="L1482" s="31">
        <v>1</v>
      </c>
      <c r="M1482" s="31" t="s">
        <v>3455</v>
      </c>
      <c r="N1482" s="34">
        <v>1</v>
      </c>
      <c r="O1482" s="35">
        <v>0</v>
      </c>
      <c r="P1482" s="35">
        <v>1</v>
      </c>
      <c r="Q1482" s="35">
        <v>0</v>
      </c>
      <c r="R1482" s="36">
        <v>19.16</v>
      </c>
      <c r="S1482" s="37">
        <f>IFERROR(_xlfn.XLOOKUP(R1482,'1_Presupuesto'!$E:$E,'1_Presupuesto'!$D:$D),"")</f>
        <v>0</v>
      </c>
    </row>
    <row r="1483" spans="1:19" x14ac:dyDescent="0.35">
      <c r="A1483" s="31" t="s">
        <v>3456</v>
      </c>
      <c r="B1483" s="31" t="s">
        <v>497</v>
      </c>
      <c r="C1483" s="31" t="s">
        <v>498</v>
      </c>
      <c r="D1483" s="31" t="s">
        <v>3457</v>
      </c>
      <c r="E1483" s="31" t="s">
        <v>3458</v>
      </c>
      <c r="F1483" s="31" t="s">
        <v>261</v>
      </c>
      <c r="G1483" s="32">
        <v>1</v>
      </c>
      <c r="H1483" s="33">
        <v>0</v>
      </c>
      <c r="I1483" s="34">
        <v>43707.030007852401</v>
      </c>
      <c r="J1483" s="34">
        <v>43707.030007852401</v>
      </c>
      <c r="K1483" s="31" t="s">
        <v>3459</v>
      </c>
      <c r="L1483" s="31">
        <v>1</v>
      </c>
      <c r="M1483" s="31" t="s">
        <v>3460</v>
      </c>
      <c r="N1483" s="34">
        <v>1</v>
      </c>
      <c r="O1483" s="35">
        <v>0</v>
      </c>
      <c r="P1483" s="35">
        <v>1</v>
      </c>
      <c r="Q1483" s="35">
        <v>0</v>
      </c>
      <c r="R1483" s="36">
        <v>19.170000000000002</v>
      </c>
      <c r="S1483" s="37">
        <f>IFERROR(_xlfn.XLOOKUP(R1483,'1_Presupuesto'!$E:$E,'1_Presupuesto'!$D:$D),"")</f>
        <v>0</v>
      </c>
    </row>
    <row r="1484" spans="1:19" x14ac:dyDescent="0.35">
      <c r="A1484" s="31" t="s">
        <v>3456</v>
      </c>
      <c r="B1484" s="31" t="s">
        <v>203</v>
      </c>
      <c r="C1484" s="31"/>
      <c r="D1484" s="31" t="s">
        <v>3461</v>
      </c>
      <c r="E1484" s="31" t="s">
        <v>3462</v>
      </c>
      <c r="F1484" s="31"/>
      <c r="G1484" s="32">
        <v>1</v>
      </c>
      <c r="H1484" s="33">
        <v>0</v>
      </c>
      <c r="I1484" s="34">
        <v>8139.5228813285903</v>
      </c>
      <c r="J1484" s="34">
        <v>8139.5228813285903</v>
      </c>
      <c r="K1484" s="31" t="s">
        <v>3463</v>
      </c>
      <c r="L1484" s="31">
        <v>1</v>
      </c>
      <c r="M1484" s="31" t="s">
        <v>3464</v>
      </c>
      <c r="N1484" s="34">
        <v>1</v>
      </c>
      <c r="O1484" s="35">
        <v>0</v>
      </c>
      <c r="P1484" s="35">
        <v>1</v>
      </c>
      <c r="Q1484" s="35">
        <v>0</v>
      </c>
      <c r="R1484" s="36">
        <v>19.170000000000002</v>
      </c>
      <c r="S1484" s="37">
        <f>IFERROR(_xlfn.XLOOKUP(R1484,'1_Presupuesto'!$E:$E,'1_Presupuesto'!$D:$D),"")</f>
        <v>0</v>
      </c>
    </row>
    <row r="1485" spans="1:19" x14ac:dyDescent="0.35">
      <c r="A1485" s="31" t="s">
        <v>3465</v>
      </c>
      <c r="B1485" s="31" t="s">
        <v>478</v>
      </c>
      <c r="C1485" s="31" t="s">
        <v>498</v>
      </c>
      <c r="D1485" s="31" t="s">
        <v>3466</v>
      </c>
      <c r="E1485" s="31" t="s">
        <v>3467</v>
      </c>
      <c r="F1485" s="31" t="s">
        <v>481</v>
      </c>
      <c r="G1485" s="32">
        <v>1</v>
      </c>
      <c r="H1485" s="33">
        <v>0</v>
      </c>
      <c r="I1485" s="34">
        <v>450000</v>
      </c>
      <c r="J1485" s="34">
        <v>450000</v>
      </c>
      <c r="K1485" s="31" t="s">
        <v>3468</v>
      </c>
      <c r="L1485" s="31">
        <v>1</v>
      </c>
      <c r="M1485" s="31" t="s">
        <v>3469</v>
      </c>
      <c r="N1485" s="34">
        <v>1</v>
      </c>
      <c r="O1485" s="35">
        <v>0</v>
      </c>
      <c r="P1485" s="35">
        <v>1</v>
      </c>
      <c r="Q1485" s="35">
        <v>0</v>
      </c>
      <c r="R1485" s="36">
        <v>19.18</v>
      </c>
      <c r="S1485" s="37">
        <f>IFERROR(_xlfn.XLOOKUP(R1485,'1_Presupuesto'!$E:$E,'1_Presupuesto'!$D:$D),"")</f>
        <v>0</v>
      </c>
    </row>
    <row r="1486" spans="1:19" x14ac:dyDescent="0.35">
      <c r="A1486" s="31" t="s">
        <v>3470</v>
      </c>
      <c r="B1486" s="31" t="s">
        <v>478</v>
      </c>
      <c r="C1486" s="31" t="s">
        <v>498</v>
      </c>
      <c r="D1486" s="31" t="s">
        <v>3471</v>
      </c>
      <c r="E1486" s="31" t="s">
        <v>3472</v>
      </c>
      <c r="F1486" s="31" t="s">
        <v>481</v>
      </c>
      <c r="G1486" s="32">
        <v>1</v>
      </c>
      <c r="H1486" s="33">
        <v>0</v>
      </c>
      <c r="I1486" s="34">
        <v>1400000</v>
      </c>
      <c r="J1486" s="34">
        <v>1400000</v>
      </c>
      <c r="K1486" s="31" t="s">
        <v>3473</v>
      </c>
      <c r="L1486" s="31">
        <v>1</v>
      </c>
      <c r="M1486" s="31" t="s">
        <v>3474</v>
      </c>
      <c r="N1486" s="34">
        <v>1</v>
      </c>
      <c r="O1486" s="35">
        <v>0</v>
      </c>
      <c r="P1486" s="35">
        <v>1</v>
      </c>
      <c r="Q1486" s="35">
        <v>0</v>
      </c>
      <c r="R1486" s="36">
        <v>19.190000000000001</v>
      </c>
      <c r="S1486" s="37">
        <f>IFERROR(_xlfn.XLOOKUP(R1486,'1_Presupuesto'!$E:$E,'1_Presupuesto'!$D:$D),"")</f>
        <v>0</v>
      </c>
    </row>
    <row r="1487" spans="1:19" x14ac:dyDescent="0.35">
      <c r="A1487" s="31" t="s">
        <v>3475</v>
      </c>
      <c r="B1487" s="31" t="s">
        <v>478</v>
      </c>
      <c r="C1487" s="31" t="s">
        <v>498</v>
      </c>
      <c r="D1487" s="31" t="s">
        <v>3476</v>
      </c>
      <c r="E1487" s="31" t="s">
        <v>3477</v>
      </c>
      <c r="F1487" s="31" t="s">
        <v>481</v>
      </c>
      <c r="G1487" s="32">
        <v>1</v>
      </c>
      <c r="H1487" s="33">
        <v>0</v>
      </c>
      <c r="I1487" s="34">
        <v>230000</v>
      </c>
      <c r="J1487" s="34">
        <v>230000</v>
      </c>
      <c r="K1487" s="31" t="s">
        <v>3478</v>
      </c>
      <c r="L1487" s="31">
        <v>1</v>
      </c>
      <c r="M1487" s="31" t="s">
        <v>3479</v>
      </c>
      <c r="N1487" s="34">
        <v>1</v>
      </c>
      <c r="O1487" s="35">
        <v>0</v>
      </c>
      <c r="P1487" s="35">
        <v>40</v>
      </c>
      <c r="Q1487" s="35">
        <v>0</v>
      </c>
      <c r="R1487" s="36">
        <v>20.010000000000002</v>
      </c>
      <c r="S1487" s="37">
        <f>IFERROR(_xlfn.XLOOKUP(R1487,'1_Presupuesto'!$E:$E,'1_Presupuesto'!$D:$D),"")</f>
        <v>0</v>
      </c>
    </row>
    <row r="1488" spans="1:19" x14ac:dyDescent="0.35">
      <c r="A1488" s="31" t="s">
        <v>3480</v>
      </c>
      <c r="B1488" s="31" t="s">
        <v>478</v>
      </c>
      <c r="C1488" s="31" t="s">
        <v>498</v>
      </c>
      <c r="D1488" s="31" t="s">
        <v>3481</v>
      </c>
      <c r="E1488" s="31" t="s">
        <v>3482</v>
      </c>
      <c r="F1488" s="31" t="s">
        <v>481</v>
      </c>
      <c r="G1488" s="32">
        <v>1</v>
      </c>
      <c r="H1488" s="33">
        <v>0</v>
      </c>
      <c r="I1488" s="34">
        <v>0</v>
      </c>
      <c r="J1488" s="34">
        <v>0</v>
      </c>
      <c r="K1488" s="31" t="s">
        <v>3483</v>
      </c>
      <c r="L1488" s="31">
        <v>1</v>
      </c>
      <c r="M1488" s="31" t="s">
        <v>3484</v>
      </c>
      <c r="N1488" s="34">
        <v>1</v>
      </c>
      <c r="O1488" s="35">
        <v>0</v>
      </c>
      <c r="P1488" s="35">
        <v>0</v>
      </c>
      <c r="Q1488" s="35">
        <v>0</v>
      </c>
      <c r="R1488" s="36">
        <v>20.02</v>
      </c>
      <c r="S1488" s="37">
        <f>IFERROR(_xlfn.XLOOKUP(R1488,'1_Presupuesto'!$E:$E,'1_Presupuesto'!$D:$D),"")</f>
        <v>0</v>
      </c>
    </row>
    <row r="1489" spans="1:19" x14ac:dyDescent="0.35">
      <c r="A1489" s="31" t="s">
        <v>3485</v>
      </c>
      <c r="B1489" s="31" t="s">
        <v>478</v>
      </c>
      <c r="C1489" s="31" t="s">
        <v>498</v>
      </c>
      <c r="D1489" s="31" t="s">
        <v>3486</v>
      </c>
      <c r="E1489" s="31" t="s">
        <v>3487</v>
      </c>
      <c r="F1489" s="31" t="s">
        <v>481</v>
      </c>
      <c r="G1489" s="32">
        <v>1</v>
      </c>
      <c r="H1489" s="33">
        <v>0</v>
      </c>
      <c r="I1489" s="34">
        <v>59550</v>
      </c>
      <c r="J1489" s="34">
        <v>59550</v>
      </c>
      <c r="K1489" s="31" t="s">
        <v>3488</v>
      </c>
      <c r="L1489" s="31">
        <v>1</v>
      </c>
      <c r="M1489" s="31" t="s">
        <v>3489</v>
      </c>
      <c r="N1489" s="34">
        <v>1</v>
      </c>
      <c r="O1489" s="35">
        <v>0</v>
      </c>
      <c r="P1489" s="35">
        <v>50</v>
      </c>
      <c r="Q1489" s="35">
        <v>0</v>
      </c>
      <c r="R1489" s="36">
        <v>22.01</v>
      </c>
      <c r="S1489" s="37">
        <f>IFERROR(_xlfn.XLOOKUP(R1489,'1_Presupuesto'!$E:$E,'1_Presupuesto'!$D:$D),"")</f>
        <v>0</v>
      </c>
    </row>
    <row r="1490" spans="1:19" x14ac:dyDescent="0.35">
      <c r="A1490" s="31" t="s">
        <v>3490</v>
      </c>
      <c r="B1490" s="31" t="s">
        <v>497</v>
      </c>
      <c r="C1490" s="31" t="s">
        <v>498</v>
      </c>
      <c r="D1490" s="31" t="s">
        <v>3491</v>
      </c>
      <c r="E1490" s="31" t="s">
        <v>3492</v>
      </c>
      <c r="F1490" s="31" t="s">
        <v>261</v>
      </c>
      <c r="G1490" s="32">
        <v>0.5</v>
      </c>
      <c r="H1490" s="33">
        <v>0</v>
      </c>
      <c r="I1490" s="34">
        <v>15000</v>
      </c>
      <c r="J1490" s="34">
        <v>7500</v>
      </c>
      <c r="K1490" s="31" t="s">
        <v>3493</v>
      </c>
      <c r="L1490" s="31">
        <v>1</v>
      </c>
      <c r="M1490" s="31" t="s">
        <v>3494</v>
      </c>
      <c r="N1490" s="34">
        <v>1</v>
      </c>
      <c r="O1490" s="35">
        <v>0</v>
      </c>
      <c r="P1490" s="35">
        <v>8</v>
      </c>
      <c r="Q1490" s="35">
        <v>0</v>
      </c>
      <c r="R1490" s="36">
        <v>23.01</v>
      </c>
      <c r="S1490" s="37" t="str">
        <f>IFERROR(_xlfn.XLOOKUP(R1490,'1_Presupuesto'!$E:$E,'1_Presupuesto'!$D:$D),"")</f>
        <v>Albañilería MO</v>
      </c>
    </row>
    <row r="1491" spans="1:19" x14ac:dyDescent="0.35">
      <c r="A1491" s="31" t="s">
        <v>3490</v>
      </c>
      <c r="B1491" s="31" t="s">
        <v>497</v>
      </c>
      <c r="C1491" s="31" t="s">
        <v>498</v>
      </c>
      <c r="D1491" s="31" t="s">
        <v>597</v>
      </c>
      <c r="E1491" s="31" t="s">
        <v>598</v>
      </c>
      <c r="F1491" s="31" t="s">
        <v>218</v>
      </c>
      <c r="G1491" s="32">
        <v>7500</v>
      </c>
      <c r="H1491" s="33">
        <v>0</v>
      </c>
      <c r="I1491" s="34">
        <v>1</v>
      </c>
      <c r="J1491" s="34">
        <v>7500</v>
      </c>
      <c r="K1491" s="31" t="s">
        <v>3493</v>
      </c>
      <c r="L1491" s="31">
        <v>2</v>
      </c>
      <c r="M1491" s="31" t="s">
        <v>3495</v>
      </c>
      <c r="N1491" s="34">
        <v>1</v>
      </c>
      <c r="O1491" s="35">
        <v>0</v>
      </c>
      <c r="P1491" s="35">
        <v>8</v>
      </c>
      <c r="Q1491" s="35">
        <v>0</v>
      </c>
      <c r="R1491" s="36">
        <v>23.01</v>
      </c>
      <c r="S1491" s="37" t="str">
        <f>IFERROR(_xlfn.XLOOKUP(R1491,'1_Presupuesto'!$E:$E,'1_Presupuesto'!$D:$D),"")</f>
        <v>Albañilería MO</v>
      </c>
    </row>
    <row r="1492" spans="1:19" x14ac:dyDescent="0.35">
      <c r="A1492" s="31" t="s">
        <v>3490</v>
      </c>
      <c r="B1492" s="31" t="s">
        <v>478</v>
      </c>
      <c r="C1492" s="31" t="s">
        <v>479</v>
      </c>
      <c r="D1492" s="31" t="s">
        <v>480</v>
      </c>
      <c r="E1492" s="31" t="s">
        <v>183</v>
      </c>
      <c r="F1492" s="31" t="s">
        <v>481</v>
      </c>
      <c r="G1492" s="32">
        <v>0.75</v>
      </c>
      <c r="H1492" s="33">
        <v>0</v>
      </c>
      <c r="I1492" s="34">
        <v>94177.137883538904</v>
      </c>
      <c r="J1492" s="34">
        <v>70632.853412654207</v>
      </c>
      <c r="K1492" s="31" t="s">
        <v>3496</v>
      </c>
      <c r="L1492" s="31">
        <v>1</v>
      </c>
      <c r="M1492" s="31" t="s">
        <v>3497</v>
      </c>
      <c r="N1492" s="34">
        <v>1</v>
      </c>
      <c r="O1492" s="35">
        <v>0.75</v>
      </c>
      <c r="P1492" s="35">
        <v>8</v>
      </c>
      <c r="Q1492" s="35">
        <v>6</v>
      </c>
      <c r="R1492" s="36">
        <v>23.01</v>
      </c>
      <c r="S1492" s="37" t="str">
        <f>IFERROR(_xlfn.XLOOKUP(R1492,'1_Presupuesto'!$E:$E,'1_Presupuesto'!$D:$D),"")</f>
        <v>Albañilería MO</v>
      </c>
    </row>
    <row r="1493" spans="1:19" x14ac:dyDescent="0.35">
      <c r="A1493" s="31" t="s">
        <v>3490</v>
      </c>
      <c r="B1493" s="31" t="s">
        <v>478</v>
      </c>
      <c r="C1493" s="31" t="s">
        <v>479</v>
      </c>
      <c r="D1493" s="31" t="s">
        <v>1673</v>
      </c>
      <c r="E1493" s="31" t="s">
        <v>184</v>
      </c>
      <c r="F1493" s="31" t="s">
        <v>481</v>
      </c>
      <c r="G1493" s="32">
        <v>0.75</v>
      </c>
      <c r="H1493" s="33">
        <v>0</v>
      </c>
      <c r="I1493" s="34">
        <v>84612.512709566407</v>
      </c>
      <c r="J1493" s="34">
        <v>63459.384532174801</v>
      </c>
      <c r="K1493" s="31" t="s">
        <v>3496</v>
      </c>
      <c r="L1493" s="31">
        <v>2</v>
      </c>
      <c r="M1493" s="31" t="s">
        <v>3498</v>
      </c>
      <c r="N1493" s="34">
        <v>1</v>
      </c>
      <c r="O1493" s="35">
        <v>0.75</v>
      </c>
      <c r="P1493" s="35">
        <v>8</v>
      </c>
      <c r="Q1493" s="35">
        <v>6</v>
      </c>
      <c r="R1493" s="36">
        <v>23.01</v>
      </c>
      <c r="S1493" s="37" t="str">
        <f>IFERROR(_xlfn.XLOOKUP(R1493,'1_Presupuesto'!$E:$E,'1_Presupuesto'!$D:$D),"")</f>
        <v>Albañilería MO</v>
      </c>
    </row>
    <row r="1494" spans="1:19" x14ac:dyDescent="0.35">
      <c r="A1494" s="31" t="s">
        <v>3490</v>
      </c>
      <c r="B1494" s="31" t="s">
        <v>478</v>
      </c>
      <c r="C1494" s="31" t="s">
        <v>479</v>
      </c>
      <c r="D1494" s="31" t="s">
        <v>484</v>
      </c>
      <c r="E1494" s="31" t="s">
        <v>186</v>
      </c>
      <c r="F1494" s="31" t="s">
        <v>481</v>
      </c>
      <c r="G1494" s="32">
        <v>0.25</v>
      </c>
      <c r="H1494" s="33">
        <v>0</v>
      </c>
      <c r="I1494" s="34">
        <v>67240.498860267602</v>
      </c>
      <c r="J1494" s="34">
        <v>16810.124715066901</v>
      </c>
      <c r="K1494" s="31" t="s">
        <v>3496</v>
      </c>
      <c r="L1494" s="31">
        <v>3</v>
      </c>
      <c r="M1494" s="31" t="s">
        <v>3499</v>
      </c>
      <c r="N1494" s="34">
        <v>1</v>
      </c>
      <c r="O1494" s="35">
        <v>0.25</v>
      </c>
      <c r="P1494" s="35">
        <v>8</v>
      </c>
      <c r="Q1494" s="35">
        <v>2</v>
      </c>
      <c r="R1494" s="36">
        <v>23.01</v>
      </c>
      <c r="S1494" s="37" t="str">
        <f>IFERROR(_xlfn.XLOOKUP(R1494,'1_Presupuesto'!$E:$E,'1_Presupuesto'!$D:$D),"")</f>
        <v>Albañilería MO</v>
      </c>
    </row>
    <row r="1495" spans="1:19" x14ac:dyDescent="0.35">
      <c r="A1495" s="31" t="s">
        <v>3490</v>
      </c>
      <c r="B1495" s="31" t="s">
        <v>497</v>
      </c>
      <c r="C1495" s="31" t="s">
        <v>498</v>
      </c>
      <c r="D1495" s="31" t="s">
        <v>3500</v>
      </c>
      <c r="E1495" s="31" t="s">
        <v>3501</v>
      </c>
      <c r="F1495" s="31" t="s">
        <v>261</v>
      </c>
      <c r="G1495" s="32">
        <v>0.25</v>
      </c>
      <c r="H1495" s="33">
        <v>0</v>
      </c>
      <c r="I1495" s="34">
        <v>40000</v>
      </c>
      <c r="J1495" s="34">
        <v>10000</v>
      </c>
      <c r="K1495" s="31" t="s">
        <v>3493</v>
      </c>
      <c r="L1495" s="31">
        <v>3</v>
      </c>
      <c r="M1495" s="31" t="s">
        <v>3502</v>
      </c>
      <c r="N1495" s="34">
        <v>1</v>
      </c>
      <c r="O1495" s="35">
        <v>0</v>
      </c>
      <c r="P1495" s="35">
        <v>8</v>
      </c>
      <c r="Q1495" s="35">
        <v>0</v>
      </c>
      <c r="R1495" s="36">
        <v>23.01</v>
      </c>
      <c r="S1495" s="37" t="str">
        <f>IFERROR(_xlfn.XLOOKUP(R1495,'1_Presupuesto'!$E:$E,'1_Presupuesto'!$D:$D),"")</f>
        <v>Albañilería MO</v>
      </c>
    </row>
    <row r="1496" spans="1:19" x14ac:dyDescent="0.35">
      <c r="A1496" s="31" t="s">
        <v>3490</v>
      </c>
      <c r="B1496" s="31" t="s">
        <v>478</v>
      </c>
      <c r="C1496" s="31" t="s">
        <v>498</v>
      </c>
      <c r="D1496" s="31" t="s">
        <v>3503</v>
      </c>
      <c r="E1496" s="31" t="s">
        <v>3504</v>
      </c>
      <c r="F1496" s="31" t="s">
        <v>481</v>
      </c>
      <c r="G1496" s="32">
        <v>0.5</v>
      </c>
      <c r="H1496" s="33">
        <v>0</v>
      </c>
      <c r="I1496" s="34">
        <v>40000</v>
      </c>
      <c r="J1496" s="34">
        <v>20000</v>
      </c>
      <c r="K1496" s="31" t="s">
        <v>3496</v>
      </c>
      <c r="L1496" s="31">
        <v>4</v>
      </c>
      <c r="M1496" s="31" t="s">
        <v>3505</v>
      </c>
      <c r="N1496" s="34">
        <v>1</v>
      </c>
      <c r="O1496" s="35">
        <v>0</v>
      </c>
      <c r="P1496" s="35">
        <v>8</v>
      </c>
      <c r="Q1496" s="35">
        <v>0</v>
      </c>
      <c r="R1496" s="36">
        <v>23.01</v>
      </c>
      <c r="S1496" s="37" t="str">
        <f>IFERROR(_xlfn.XLOOKUP(R1496,'1_Presupuesto'!$E:$E,'1_Presupuesto'!$D:$D),"")</f>
        <v>Albañilería MO</v>
      </c>
    </row>
    <row r="1497" spans="1:19" x14ac:dyDescent="0.35">
      <c r="A1497" s="31" t="s">
        <v>3490</v>
      </c>
      <c r="B1497" s="31" t="s">
        <v>203</v>
      </c>
      <c r="C1497" s="31"/>
      <c r="D1497" s="31" t="s">
        <v>3506</v>
      </c>
      <c r="E1497" s="31" t="s">
        <v>3507</v>
      </c>
      <c r="F1497" s="31"/>
      <c r="G1497" s="32">
        <v>1</v>
      </c>
      <c r="H1497" s="33">
        <v>0</v>
      </c>
      <c r="I1497" s="34">
        <v>2938.53543989844</v>
      </c>
      <c r="J1497" s="34">
        <v>2938.53543989844</v>
      </c>
      <c r="K1497" s="31" t="s">
        <v>3508</v>
      </c>
      <c r="L1497" s="31">
        <v>1</v>
      </c>
      <c r="M1497" s="31" t="s">
        <v>3509</v>
      </c>
      <c r="N1497" s="34">
        <v>1</v>
      </c>
      <c r="O1497" s="35">
        <v>0</v>
      </c>
      <c r="P1497" s="35">
        <v>8</v>
      </c>
      <c r="Q1497" s="35">
        <v>0</v>
      </c>
      <c r="R1497" s="36">
        <v>23.01</v>
      </c>
      <c r="S1497" s="37" t="str">
        <f>IFERROR(_xlfn.XLOOKUP(R1497,'1_Presupuesto'!$E:$E,'1_Presupuesto'!$D:$D),"")</f>
        <v>Albañilería MO</v>
      </c>
    </row>
    <row r="1498" spans="1:19" x14ac:dyDescent="0.35">
      <c r="A1498" s="31" t="s">
        <v>3510</v>
      </c>
      <c r="B1498" s="31" t="s">
        <v>497</v>
      </c>
      <c r="C1498" s="31" t="s">
        <v>498</v>
      </c>
      <c r="D1498" s="31" t="s">
        <v>3511</v>
      </c>
      <c r="E1498" s="31" t="s">
        <v>3512</v>
      </c>
      <c r="F1498" s="31" t="s">
        <v>261</v>
      </c>
      <c r="G1498" s="32">
        <v>3</v>
      </c>
      <c r="H1498" s="33">
        <v>0</v>
      </c>
      <c r="I1498" s="34">
        <v>20000</v>
      </c>
      <c r="J1498" s="34">
        <v>60000</v>
      </c>
      <c r="K1498" s="31" t="s">
        <v>3513</v>
      </c>
      <c r="L1498" s="31">
        <v>1</v>
      </c>
      <c r="M1498" s="31" t="s">
        <v>3514</v>
      </c>
      <c r="N1498" s="34">
        <v>1</v>
      </c>
      <c r="O1498" s="35">
        <v>0</v>
      </c>
      <c r="P1498" s="35">
        <v>1</v>
      </c>
      <c r="Q1498" s="35">
        <v>0</v>
      </c>
      <c r="R1498" s="36">
        <v>23.02</v>
      </c>
      <c r="S1498" s="37" t="str">
        <f>IFERROR(_xlfn.XLOOKUP(R1498,'1_Presupuesto'!$E:$E,'1_Presupuesto'!$D:$D),"")</f>
        <v>Albañilería MO</v>
      </c>
    </row>
    <row r="1499" spans="1:19" x14ac:dyDescent="0.35">
      <c r="A1499" s="31" t="s">
        <v>3510</v>
      </c>
      <c r="B1499" s="31" t="s">
        <v>478</v>
      </c>
      <c r="C1499" s="31" t="s">
        <v>479</v>
      </c>
      <c r="D1499" s="31" t="s">
        <v>480</v>
      </c>
      <c r="E1499" s="31" t="s">
        <v>183</v>
      </c>
      <c r="F1499" s="31" t="s">
        <v>481</v>
      </c>
      <c r="G1499" s="32">
        <v>3</v>
      </c>
      <c r="H1499" s="33">
        <v>0</v>
      </c>
      <c r="I1499" s="34">
        <v>94177.137883538904</v>
      </c>
      <c r="J1499" s="34">
        <v>282531.413650617</v>
      </c>
      <c r="K1499" s="31" t="s">
        <v>3515</v>
      </c>
      <c r="L1499" s="31">
        <v>1</v>
      </c>
      <c r="M1499" s="31" t="s">
        <v>3516</v>
      </c>
      <c r="N1499" s="34">
        <v>1</v>
      </c>
      <c r="O1499" s="35">
        <v>3</v>
      </c>
      <c r="P1499" s="35">
        <v>1</v>
      </c>
      <c r="Q1499" s="35">
        <v>3</v>
      </c>
      <c r="R1499" s="36">
        <v>23.02</v>
      </c>
      <c r="S1499" s="37" t="str">
        <f>IFERROR(_xlfn.XLOOKUP(R1499,'1_Presupuesto'!$E:$E,'1_Presupuesto'!$D:$D),"")</f>
        <v>Albañilería MO</v>
      </c>
    </row>
    <row r="1500" spans="1:19" x14ac:dyDescent="0.35">
      <c r="A1500" s="31" t="s">
        <v>3510</v>
      </c>
      <c r="B1500" s="31" t="s">
        <v>478</v>
      </c>
      <c r="C1500" s="31" t="s">
        <v>479</v>
      </c>
      <c r="D1500" s="31" t="s">
        <v>484</v>
      </c>
      <c r="E1500" s="31" t="s">
        <v>186</v>
      </c>
      <c r="F1500" s="31" t="s">
        <v>481</v>
      </c>
      <c r="G1500" s="32">
        <v>1.5</v>
      </c>
      <c r="H1500" s="33">
        <v>0</v>
      </c>
      <c r="I1500" s="34">
        <v>67240.498860267602</v>
      </c>
      <c r="J1500" s="34">
        <v>100860.748290401</v>
      </c>
      <c r="K1500" s="31" t="s">
        <v>3515</v>
      </c>
      <c r="L1500" s="31">
        <v>2</v>
      </c>
      <c r="M1500" s="31" t="s">
        <v>3517</v>
      </c>
      <c r="N1500" s="34">
        <v>1</v>
      </c>
      <c r="O1500" s="35">
        <v>1.5</v>
      </c>
      <c r="P1500" s="35">
        <v>1</v>
      </c>
      <c r="Q1500" s="35">
        <v>1.5</v>
      </c>
      <c r="R1500" s="36">
        <v>23.02</v>
      </c>
      <c r="S1500" s="37" t="str">
        <f>IFERROR(_xlfn.XLOOKUP(R1500,'1_Presupuesto'!$E:$E,'1_Presupuesto'!$D:$D),"")</f>
        <v>Albañilería MO</v>
      </c>
    </row>
    <row r="1501" spans="1:19" x14ac:dyDescent="0.35">
      <c r="A1501" s="31" t="s">
        <v>3510</v>
      </c>
      <c r="B1501" s="31" t="s">
        <v>203</v>
      </c>
      <c r="C1501" s="31"/>
      <c r="D1501" s="31" t="s">
        <v>3518</v>
      </c>
      <c r="E1501" s="31" t="s">
        <v>3519</v>
      </c>
      <c r="F1501" s="31"/>
      <c r="G1501" s="32">
        <v>1</v>
      </c>
      <c r="H1501" s="33">
        <v>0</v>
      </c>
      <c r="I1501" s="34">
        <v>6650.8824291152696</v>
      </c>
      <c r="J1501" s="34">
        <v>6650.8824291152696</v>
      </c>
      <c r="K1501" s="31" t="s">
        <v>3520</v>
      </c>
      <c r="L1501" s="31">
        <v>1</v>
      </c>
      <c r="M1501" s="31" t="s">
        <v>3521</v>
      </c>
      <c r="N1501" s="34">
        <v>1</v>
      </c>
      <c r="O1501" s="35">
        <v>0</v>
      </c>
      <c r="P1501" s="35">
        <v>1</v>
      </c>
      <c r="Q1501" s="35">
        <v>0</v>
      </c>
      <c r="R1501" s="36">
        <v>23.02</v>
      </c>
      <c r="S1501" s="37" t="str">
        <f>IFERROR(_xlfn.XLOOKUP(R1501,'1_Presupuesto'!$E:$E,'1_Presupuesto'!$D:$D),"")</f>
        <v>Albañilería MO</v>
      </c>
    </row>
    <row r="1502" spans="1:19" x14ac:dyDescent="0.35">
      <c r="A1502" s="31" t="s">
        <v>3522</v>
      </c>
      <c r="B1502" s="31" t="s">
        <v>478</v>
      </c>
      <c r="C1502" s="31" t="s">
        <v>498</v>
      </c>
      <c r="D1502" s="31" t="s">
        <v>3523</v>
      </c>
      <c r="E1502" s="31" t="s">
        <v>3512</v>
      </c>
      <c r="F1502" s="31" t="s">
        <v>481</v>
      </c>
      <c r="G1502" s="32">
        <v>81</v>
      </c>
      <c r="H1502" s="33">
        <v>0</v>
      </c>
      <c r="I1502" s="34">
        <v>7500</v>
      </c>
      <c r="J1502" s="34">
        <v>607500</v>
      </c>
      <c r="K1502" s="31" t="s">
        <v>3524</v>
      </c>
      <c r="L1502" s="31">
        <v>1</v>
      </c>
      <c r="M1502" s="31" t="s">
        <v>3525</v>
      </c>
      <c r="N1502" s="34">
        <v>1</v>
      </c>
      <c r="O1502" s="35">
        <v>0</v>
      </c>
      <c r="P1502" s="35">
        <v>1</v>
      </c>
      <c r="Q1502" s="35">
        <v>0</v>
      </c>
      <c r="R1502" s="36">
        <v>23.03</v>
      </c>
      <c r="S1502" s="37">
        <f>IFERROR(_xlfn.XLOOKUP(R1502,'1_Presupuesto'!$E:$E,'1_Presupuesto'!$D:$D),"")</f>
        <v>0</v>
      </c>
    </row>
    <row r="1503" spans="1:19" x14ac:dyDescent="0.35">
      <c r="A1503" s="31" t="s">
        <v>3522</v>
      </c>
      <c r="B1503" s="31" t="s">
        <v>478</v>
      </c>
      <c r="C1503" s="31" t="s">
        <v>498</v>
      </c>
      <c r="D1503" s="31" t="s">
        <v>3526</v>
      </c>
      <c r="E1503" s="31" t="s">
        <v>3527</v>
      </c>
      <c r="F1503" s="31" t="s">
        <v>481</v>
      </c>
      <c r="G1503" s="32">
        <v>25</v>
      </c>
      <c r="H1503" s="33">
        <v>0</v>
      </c>
      <c r="I1503" s="34">
        <v>30000</v>
      </c>
      <c r="J1503" s="34">
        <v>750000</v>
      </c>
      <c r="K1503" s="31" t="s">
        <v>3524</v>
      </c>
      <c r="L1503" s="31">
        <v>2</v>
      </c>
      <c r="M1503" s="31" t="s">
        <v>3528</v>
      </c>
      <c r="N1503" s="34">
        <v>1</v>
      </c>
      <c r="O1503" s="35">
        <v>0</v>
      </c>
      <c r="P1503" s="35">
        <v>1</v>
      </c>
      <c r="Q1503" s="35">
        <v>0</v>
      </c>
      <c r="R1503" s="36">
        <v>23.03</v>
      </c>
      <c r="S1503" s="37">
        <f>IFERROR(_xlfn.XLOOKUP(R1503,'1_Presupuesto'!$E:$E,'1_Presupuesto'!$D:$D),"")</f>
        <v>0</v>
      </c>
    </row>
    <row r="1504" spans="1:19" x14ac:dyDescent="0.35">
      <c r="A1504" s="31" t="s">
        <v>3522</v>
      </c>
      <c r="B1504" s="31" t="s">
        <v>478</v>
      </c>
      <c r="C1504" s="31" t="s">
        <v>498</v>
      </c>
      <c r="D1504" s="31" t="s">
        <v>3529</v>
      </c>
      <c r="E1504" s="31" t="s">
        <v>3530</v>
      </c>
      <c r="F1504" s="31" t="s">
        <v>481</v>
      </c>
      <c r="G1504" s="32">
        <v>5</v>
      </c>
      <c r="H1504" s="33">
        <v>0</v>
      </c>
      <c r="I1504" s="34">
        <v>200000</v>
      </c>
      <c r="J1504" s="34">
        <v>1000000</v>
      </c>
      <c r="K1504" s="31" t="s">
        <v>3524</v>
      </c>
      <c r="L1504" s="31">
        <v>3</v>
      </c>
      <c r="M1504" s="31" t="s">
        <v>3531</v>
      </c>
      <c r="N1504" s="34">
        <v>1</v>
      </c>
      <c r="O1504" s="35">
        <v>0</v>
      </c>
      <c r="P1504" s="35">
        <v>1</v>
      </c>
      <c r="Q1504" s="35">
        <v>0</v>
      </c>
      <c r="R1504" s="36">
        <v>23.03</v>
      </c>
      <c r="S1504" s="37">
        <f>IFERROR(_xlfn.XLOOKUP(R1504,'1_Presupuesto'!$E:$E,'1_Presupuesto'!$D:$D),"")</f>
        <v>0</v>
      </c>
    </row>
    <row r="1505" spans="1:19" x14ac:dyDescent="0.35">
      <c r="A1505" s="31" t="s">
        <v>3522</v>
      </c>
      <c r="B1505" s="31" t="s">
        <v>203</v>
      </c>
      <c r="C1505" s="31"/>
      <c r="D1505" s="31" t="s">
        <v>3532</v>
      </c>
      <c r="E1505" s="31" t="s">
        <v>3533</v>
      </c>
      <c r="F1505" s="31"/>
      <c r="G1505" s="32">
        <v>1</v>
      </c>
      <c r="H1505" s="33">
        <v>0</v>
      </c>
      <c r="I1505" s="34">
        <v>35362.5</v>
      </c>
      <c r="J1505" s="34">
        <v>35362.5</v>
      </c>
      <c r="K1505" s="31" t="s">
        <v>3534</v>
      </c>
      <c r="L1505" s="31">
        <v>1</v>
      </c>
      <c r="M1505" s="31" t="s">
        <v>3535</v>
      </c>
      <c r="N1505" s="34">
        <v>1</v>
      </c>
      <c r="O1505" s="35">
        <v>0</v>
      </c>
      <c r="P1505" s="35">
        <v>1</v>
      </c>
      <c r="Q1505" s="35">
        <v>0</v>
      </c>
      <c r="R1505" s="36">
        <v>23.03</v>
      </c>
      <c r="S1505" s="37">
        <f>IFERROR(_xlfn.XLOOKUP(R1505,'1_Presupuesto'!$E:$E,'1_Presupuesto'!$D:$D),"")</f>
        <v>0</v>
      </c>
    </row>
    <row r="1506" spans="1:19" x14ac:dyDescent="0.35">
      <c r="A1506" s="31" t="s">
        <v>3536</v>
      </c>
      <c r="B1506" s="31" t="s">
        <v>478</v>
      </c>
      <c r="C1506" s="31" t="s">
        <v>498</v>
      </c>
      <c r="D1506" s="31" t="s">
        <v>3537</v>
      </c>
      <c r="E1506" s="31" t="s">
        <v>266</v>
      </c>
      <c r="F1506" s="31" t="s">
        <v>481</v>
      </c>
      <c r="G1506" s="32">
        <v>1</v>
      </c>
      <c r="H1506" s="33">
        <v>0</v>
      </c>
      <c r="I1506" s="34">
        <v>806885.98632321204</v>
      </c>
      <c r="J1506" s="34">
        <v>806885.98632321204</v>
      </c>
      <c r="K1506" s="31" t="s">
        <v>3538</v>
      </c>
      <c r="L1506" s="31">
        <v>1</v>
      </c>
      <c r="M1506" s="31" t="s">
        <v>3539</v>
      </c>
      <c r="N1506" s="34">
        <v>1</v>
      </c>
      <c r="O1506" s="35">
        <v>0</v>
      </c>
      <c r="P1506" s="35">
        <v>19</v>
      </c>
      <c r="Q1506" s="35">
        <v>0</v>
      </c>
      <c r="R1506" s="36">
        <v>24.01</v>
      </c>
      <c r="S1506" s="37">
        <f>IFERROR(_xlfn.XLOOKUP(R1506,'1_Presupuesto'!$E:$E,'1_Presupuesto'!$D:$D),"")</f>
        <v>0</v>
      </c>
    </row>
    <row r="1507" spans="1:19" x14ac:dyDescent="0.35">
      <c r="A1507" s="31" t="s">
        <v>3540</v>
      </c>
      <c r="B1507" s="31" t="s">
        <v>478</v>
      </c>
      <c r="C1507" s="31" t="s">
        <v>498</v>
      </c>
      <c r="D1507" s="31" t="s">
        <v>3541</v>
      </c>
      <c r="E1507" s="31" t="s">
        <v>267</v>
      </c>
      <c r="F1507" s="31" t="s">
        <v>481</v>
      </c>
      <c r="G1507" s="32">
        <v>1</v>
      </c>
      <c r="H1507" s="33">
        <v>0</v>
      </c>
      <c r="I1507" s="34">
        <v>1623254.46014153</v>
      </c>
      <c r="J1507" s="34">
        <v>1623254.46014153</v>
      </c>
      <c r="K1507" s="31" t="s">
        <v>3542</v>
      </c>
      <c r="L1507" s="31">
        <v>1</v>
      </c>
      <c r="M1507" s="31" t="s">
        <v>3543</v>
      </c>
      <c r="N1507" s="34">
        <v>1</v>
      </c>
      <c r="O1507" s="35">
        <v>0</v>
      </c>
      <c r="P1507" s="35">
        <v>1</v>
      </c>
      <c r="Q1507" s="35">
        <v>0</v>
      </c>
      <c r="R1507" s="36">
        <v>24.02</v>
      </c>
      <c r="S1507" s="37">
        <f>IFERROR(_xlfn.XLOOKUP(R1507,'1_Presupuesto'!$E:$E,'1_Presupuesto'!$D:$D),"")</f>
        <v>0</v>
      </c>
    </row>
    <row r="1508" spans="1:19" x14ac:dyDescent="0.35">
      <c r="A1508" s="31" t="s">
        <v>3544</v>
      </c>
      <c r="B1508" s="31" t="s">
        <v>478</v>
      </c>
      <c r="C1508" s="31" t="s">
        <v>498</v>
      </c>
      <c r="D1508" s="31" t="s">
        <v>3545</v>
      </c>
      <c r="E1508" s="31" t="s">
        <v>268</v>
      </c>
      <c r="F1508" s="31" t="s">
        <v>481</v>
      </c>
      <c r="G1508" s="32">
        <v>1</v>
      </c>
      <c r="H1508" s="33">
        <v>0</v>
      </c>
      <c r="I1508" s="34">
        <v>300000</v>
      </c>
      <c r="J1508" s="34">
        <v>300000</v>
      </c>
      <c r="K1508" s="31" t="s">
        <v>3546</v>
      </c>
      <c r="L1508" s="31">
        <v>1</v>
      </c>
      <c r="M1508" s="31" t="s">
        <v>3547</v>
      </c>
      <c r="N1508" s="34">
        <v>1</v>
      </c>
      <c r="O1508" s="35">
        <v>0</v>
      </c>
      <c r="P1508" s="35">
        <v>19</v>
      </c>
      <c r="Q1508" s="35">
        <v>0</v>
      </c>
      <c r="R1508" s="36">
        <v>24.03</v>
      </c>
      <c r="S1508" s="37">
        <f>IFERROR(_xlfn.XLOOKUP(R1508,'1_Presupuesto'!$E:$E,'1_Presupuesto'!$D:$D),"")</f>
        <v>0</v>
      </c>
    </row>
    <row r="1509" spans="1:19" x14ac:dyDescent="0.35">
      <c r="A1509" s="31" t="s">
        <v>3548</v>
      </c>
      <c r="B1509" s="31" t="s">
        <v>497</v>
      </c>
      <c r="C1509" s="31" t="s">
        <v>498</v>
      </c>
      <c r="D1509" s="31" t="s">
        <v>3549</v>
      </c>
      <c r="E1509" s="31" t="s">
        <v>3550</v>
      </c>
      <c r="F1509" s="31" t="s">
        <v>261</v>
      </c>
      <c r="G1509" s="32">
        <v>140</v>
      </c>
      <c r="H1509" s="33">
        <v>0</v>
      </c>
      <c r="I1509" s="34">
        <v>27437.106666666699</v>
      </c>
      <c r="J1509" s="34">
        <v>3841194.9333333401</v>
      </c>
      <c r="K1509" s="31" t="s">
        <v>3551</v>
      </c>
      <c r="L1509" s="31">
        <v>1</v>
      </c>
      <c r="M1509" s="31" t="s">
        <v>3552</v>
      </c>
      <c r="N1509" s="34">
        <v>1</v>
      </c>
      <c r="O1509" s="35">
        <v>0</v>
      </c>
      <c r="P1509" s="35">
        <v>1</v>
      </c>
      <c r="Q1509" s="35">
        <v>0</v>
      </c>
      <c r="R1509" s="36">
        <v>24.04</v>
      </c>
      <c r="S1509" s="37" t="str">
        <f>IFERROR(_xlfn.XLOOKUP(R1509,'1_Presupuesto'!$E:$E,'1_Presupuesto'!$D:$D),"")</f>
        <v>Homigón MO</v>
      </c>
    </row>
    <row r="1510" spans="1:19" x14ac:dyDescent="0.35">
      <c r="A1510" s="31" t="s">
        <v>3548</v>
      </c>
      <c r="B1510" s="31" t="s">
        <v>497</v>
      </c>
      <c r="C1510" s="31" t="s">
        <v>498</v>
      </c>
      <c r="D1510" s="31" t="s">
        <v>3553</v>
      </c>
      <c r="E1510" s="31" t="s">
        <v>3554</v>
      </c>
      <c r="F1510" s="31" t="s">
        <v>261</v>
      </c>
      <c r="G1510" s="32">
        <v>109</v>
      </c>
      <c r="H1510" s="33">
        <v>0</v>
      </c>
      <c r="I1510" s="34">
        <v>1109.3689999999999</v>
      </c>
      <c r="J1510" s="34">
        <v>120921.22100000001</v>
      </c>
      <c r="K1510" s="31" t="s">
        <v>3551</v>
      </c>
      <c r="L1510" s="31">
        <v>2</v>
      </c>
      <c r="M1510" s="31" t="s">
        <v>3555</v>
      </c>
      <c r="N1510" s="34">
        <v>1</v>
      </c>
      <c r="O1510" s="35">
        <v>0</v>
      </c>
      <c r="P1510" s="35">
        <v>1</v>
      </c>
      <c r="Q1510" s="35">
        <v>0</v>
      </c>
      <c r="R1510" s="36">
        <v>24.04</v>
      </c>
      <c r="S1510" s="37" t="str">
        <f>IFERROR(_xlfn.XLOOKUP(R1510,'1_Presupuesto'!$E:$E,'1_Presupuesto'!$D:$D),"")</f>
        <v>Homigón MO</v>
      </c>
    </row>
    <row r="1511" spans="1:19" x14ac:dyDescent="0.35">
      <c r="A1511" s="31" t="s">
        <v>3548</v>
      </c>
      <c r="B1511" s="31" t="s">
        <v>497</v>
      </c>
      <c r="C1511" s="31" t="s">
        <v>498</v>
      </c>
      <c r="D1511" s="31" t="s">
        <v>3556</v>
      </c>
      <c r="E1511" s="31" t="s">
        <v>3557</v>
      </c>
      <c r="F1511" s="31" t="s">
        <v>261</v>
      </c>
      <c r="G1511" s="32">
        <v>46</v>
      </c>
      <c r="H1511" s="33">
        <v>0</v>
      </c>
      <c r="I1511" s="34">
        <v>2496.0823333333301</v>
      </c>
      <c r="J1511" s="34">
        <v>114819.78733333301</v>
      </c>
      <c r="K1511" s="31" t="s">
        <v>3551</v>
      </c>
      <c r="L1511" s="31">
        <v>3</v>
      </c>
      <c r="M1511" s="31" t="s">
        <v>3558</v>
      </c>
      <c r="N1511" s="34">
        <v>1</v>
      </c>
      <c r="O1511" s="35">
        <v>0</v>
      </c>
      <c r="P1511" s="35">
        <v>1</v>
      </c>
      <c r="Q1511" s="35">
        <v>0</v>
      </c>
      <c r="R1511" s="36">
        <v>24.04</v>
      </c>
      <c r="S1511" s="37" t="str">
        <f>IFERROR(_xlfn.XLOOKUP(R1511,'1_Presupuesto'!$E:$E,'1_Presupuesto'!$D:$D),"")</f>
        <v>Homigón MO</v>
      </c>
    </row>
    <row r="1512" spans="1:19" x14ac:dyDescent="0.35">
      <c r="A1512" s="31" t="s">
        <v>3548</v>
      </c>
      <c r="B1512" s="31" t="s">
        <v>478</v>
      </c>
      <c r="C1512" s="31" t="s">
        <v>498</v>
      </c>
      <c r="D1512" s="31" t="s">
        <v>1756</v>
      </c>
      <c r="E1512" s="31" t="s">
        <v>1757</v>
      </c>
      <c r="F1512" s="31" t="s">
        <v>481</v>
      </c>
      <c r="G1512" s="32">
        <v>30</v>
      </c>
      <c r="H1512" s="33">
        <v>0</v>
      </c>
      <c r="I1512" s="34">
        <v>20000</v>
      </c>
      <c r="J1512" s="34">
        <v>600000</v>
      </c>
      <c r="K1512" s="31" t="s">
        <v>3559</v>
      </c>
      <c r="L1512" s="31">
        <v>1</v>
      </c>
      <c r="M1512" s="31" t="s">
        <v>3560</v>
      </c>
      <c r="N1512" s="34">
        <v>1</v>
      </c>
      <c r="O1512" s="35">
        <v>0</v>
      </c>
      <c r="P1512" s="35">
        <v>1</v>
      </c>
      <c r="Q1512" s="35">
        <v>0</v>
      </c>
      <c r="R1512" s="36">
        <v>24.04</v>
      </c>
      <c r="S1512" s="37" t="str">
        <f>IFERROR(_xlfn.XLOOKUP(R1512,'1_Presupuesto'!$E:$E,'1_Presupuesto'!$D:$D),"")</f>
        <v>Homigón MO</v>
      </c>
    </row>
    <row r="1513" spans="1:19" x14ac:dyDescent="0.35">
      <c r="A1513" s="31" t="s">
        <v>3548</v>
      </c>
      <c r="B1513" s="31" t="s">
        <v>478</v>
      </c>
      <c r="C1513" s="31" t="s">
        <v>479</v>
      </c>
      <c r="D1513" s="31" t="s">
        <v>480</v>
      </c>
      <c r="E1513" s="31" t="s">
        <v>183</v>
      </c>
      <c r="F1513" s="31" t="s">
        <v>481</v>
      </c>
      <c r="G1513" s="32">
        <v>16</v>
      </c>
      <c r="H1513" s="33">
        <v>0</v>
      </c>
      <c r="I1513" s="34">
        <v>94177.137883538904</v>
      </c>
      <c r="J1513" s="34">
        <v>1506834.2061366199</v>
      </c>
      <c r="K1513" s="31" t="s">
        <v>3559</v>
      </c>
      <c r="L1513" s="31">
        <v>2</v>
      </c>
      <c r="M1513" s="31" t="s">
        <v>3561</v>
      </c>
      <c r="N1513" s="34">
        <v>1</v>
      </c>
      <c r="O1513" s="35">
        <v>16</v>
      </c>
      <c r="P1513" s="35">
        <v>1</v>
      </c>
      <c r="Q1513" s="35">
        <v>16</v>
      </c>
      <c r="R1513" s="36">
        <v>24.04</v>
      </c>
      <c r="S1513" s="37" t="str">
        <f>IFERROR(_xlfn.XLOOKUP(R1513,'1_Presupuesto'!$E:$E,'1_Presupuesto'!$D:$D),"")</f>
        <v>Homigón MO</v>
      </c>
    </row>
    <row r="1514" spans="1:19" x14ac:dyDescent="0.35">
      <c r="A1514" s="31" t="s">
        <v>3548</v>
      </c>
      <c r="B1514" s="31" t="s">
        <v>478</v>
      </c>
      <c r="C1514" s="31" t="s">
        <v>479</v>
      </c>
      <c r="D1514" s="31" t="s">
        <v>1673</v>
      </c>
      <c r="E1514" s="31" t="s">
        <v>184</v>
      </c>
      <c r="F1514" s="31" t="s">
        <v>481</v>
      </c>
      <c r="G1514" s="32">
        <v>23</v>
      </c>
      <c r="H1514" s="33">
        <v>0</v>
      </c>
      <c r="I1514" s="34">
        <v>84612.512709566407</v>
      </c>
      <c r="J1514" s="34">
        <v>1946087.79232003</v>
      </c>
      <c r="K1514" s="31" t="s">
        <v>3559</v>
      </c>
      <c r="L1514" s="31">
        <v>3</v>
      </c>
      <c r="M1514" s="31" t="s">
        <v>3562</v>
      </c>
      <c r="N1514" s="34">
        <v>1</v>
      </c>
      <c r="O1514" s="35">
        <v>23</v>
      </c>
      <c r="P1514" s="35">
        <v>1</v>
      </c>
      <c r="Q1514" s="35">
        <v>23</v>
      </c>
      <c r="R1514" s="36">
        <v>24.04</v>
      </c>
      <c r="S1514" s="37" t="str">
        <f>IFERROR(_xlfn.XLOOKUP(R1514,'1_Presupuesto'!$E:$E,'1_Presupuesto'!$D:$D),"")</f>
        <v>Homigón MO</v>
      </c>
    </row>
    <row r="1515" spans="1:19" x14ac:dyDescent="0.35">
      <c r="A1515" s="31" t="s">
        <v>3548</v>
      </c>
      <c r="B1515" s="31" t="s">
        <v>478</v>
      </c>
      <c r="C1515" s="31" t="s">
        <v>479</v>
      </c>
      <c r="D1515" s="31" t="s">
        <v>484</v>
      </c>
      <c r="E1515" s="31" t="s">
        <v>186</v>
      </c>
      <c r="F1515" s="31" t="s">
        <v>481</v>
      </c>
      <c r="G1515" s="32">
        <v>23</v>
      </c>
      <c r="H1515" s="33">
        <v>0</v>
      </c>
      <c r="I1515" s="34">
        <v>67240.498860267602</v>
      </c>
      <c r="J1515" s="34">
        <v>1546531.4737861599</v>
      </c>
      <c r="K1515" s="31" t="s">
        <v>3559</v>
      </c>
      <c r="L1515" s="31">
        <v>4</v>
      </c>
      <c r="M1515" s="31" t="s">
        <v>3563</v>
      </c>
      <c r="N1515" s="34">
        <v>1</v>
      </c>
      <c r="O1515" s="35">
        <v>23</v>
      </c>
      <c r="P1515" s="35">
        <v>1</v>
      </c>
      <c r="Q1515" s="35">
        <v>23</v>
      </c>
      <c r="R1515" s="36">
        <v>24.04</v>
      </c>
      <c r="S1515" s="37" t="str">
        <f>IFERROR(_xlfn.XLOOKUP(R1515,'1_Presupuesto'!$E:$E,'1_Presupuesto'!$D:$D),"")</f>
        <v>Homigón MO</v>
      </c>
    </row>
    <row r="1516" spans="1:19" x14ac:dyDescent="0.35">
      <c r="A1516" s="31" t="s">
        <v>3548</v>
      </c>
      <c r="B1516" s="31" t="s">
        <v>203</v>
      </c>
      <c r="C1516" s="31"/>
      <c r="D1516" s="31" t="s">
        <v>3564</v>
      </c>
      <c r="E1516" s="31" t="s">
        <v>3565</v>
      </c>
      <c r="F1516" s="31"/>
      <c r="G1516" s="32">
        <v>1</v>
      </c>
      <c r="H1516" s="33">
        <v>0</v>
      </c>
      <c r="I1516" s="34">
        <v>145145.841208642</v>
      </c>
      <c r="J1516" s="34">
        <v>145145.841208642</v>
      </c>
      <c r="K1516" s="31" t="s">
        <v>3566</v>
      </c>
      <c r="L1516" s="31">
        <v>1</v>
      </c>
      <c r="M1516" s="31" t="s">
        <v>3567</v>
      </c>
      <c r="N1516" s="34">
        <v>1</v>
      </c>
      <c r="O1516" s="35">
        <v>0</v>
      </c>
      <c r="P1516" s="35">
        <v>1</v>
      </c>
      <c r="Q1516" s="35">
        <v>0</v>
      </c>
      <c r="R1516" s="36">
        <v>24.04</v>
      </c>
      <c r="S1516" s="37" t="str">
        <f>IFERROR(_xlfn.XLOOKUP(R1516,'1_Presupuesto'!$E:$E,'1_Presupuesto'!$D:$D),"")</f>
        <v>Homigón MO</v>
      </c>
    </row>
    <row r="1517" spans="1:19" x14ac:dyDescent="0.35">
      <c r="A1517" s="31" t="s">
        <v>3568</v>
      </c>
      <c r="B1517" s="31" t="s">
        <v>497</v>
      </c>
      <c r="C1517" s="31" t="s">
        <v>1706</v>
      </c>
      <c r="D1517" s="31" t="s">
        <v>3569</v>
      </c>
      <c r="E1517" s="31" t="s">
        <v>3570</v>
      </c>
      <c r="F1517" s="31" t="s">
        <v>261</v>
      </c>
      <c r="G1517" s="32">
        <v>1</v>
      </c>
      <c r="H1517" s="33">
        <v>0</v>
      </c>
      <c r="I1517" s="34">
        <v>50000</v>
      </c>
      <c r="J1517" s="34">
        <v>50000</v>
      </c>
      <c r="K1517" s="31" t="s">
        <v>3571</v>
      </c>
      <c r="L1517" s="31">
        <v>1</v>
      </c>
      <c r="M1517" s="31" t="s">
        <v>3572</v>
      </c>
      <c r="N1517" s="34">
        <v>1</v>
      </c>
      <c r="O1517" s="35">
        <v>0</v>
      </c>
      <c r="P1517" s="35">
        <v>19</v>
      </c>
      <c r="Q1517" s="35">
        <v>0</v>
      </c>
      <c r="R1517" s="36">
        <v>24.05</v>
      </c>
      <c r="S1517" s="37" t="str">
        <f>IFERROR(_xlfn.XLOOKUP(R1517,'1_Presupuesto'!$E:$E,'1_Presupuesto'!$D:$D),"")</f>
        <v>Albañilería MO</v>
      </c>
    </row>
    <row r="1518" spans="1:19" x14ac:dyDescent="0.35">
      <c r="A1518" s="31" t="s">
        <v>3568</v>
      </c>
      <c r="B1518" s="31" t="s">
        <v>478</v>
      </c>
      <c r="C1518" s="31" t="s">
        <v>479</v>
      </c>
      <c r="D1518" s="31" t="s">
        <v>1673</v>
      </c>
      <c r="E1518" s="31" t="s">
        <v>184</v>
      </c>
      <c r="F1518" s="31" t="s">
        <v>481</v>
      </c>
      <c r="G1518" s="32">
        <v>3</v>
      </c>
      <c r="H1518" s="33">
        <v>0</v>
      </c>
      <c r="I1518" s="34">
        <v>84612.512709566407</v>
      </c>
      <c r="J1518" s="34">
        <v>253837.538128699</v>
      </c>
      <c r="K1518" s="31" t="s">
        <v>3573</v>
      </c>
      <c r="L1518" s="31">
        <v>1</v>
      </c>
      <c r="M1518" s="31" t="s">
        <v>3574</v>
      </c>
      <c r="N1518" s="34">
        <v>1</v>
      </c>
      <c r="O1518" s="35">
        <v>3</v>
      </c>
      <c r="P1518" s="35">
        <v>19</v>
      </c>
      <c r="Q1518" s="35">
        <v>57</v>
      </c>
      <c r="R1518" s="36">
        <v>24.05</v>
      </c>
      <c r="S1518" s="37" t="str">
        <f>IFERROR(_xlfn.XLOOKUP(R1518,'1_Presupuesto'!$E:$E,'1_Presupuesto'!$D:$D),"")</f>
        <v>Albañilería MO</v>
      </c>
    </row>
    <row r="1519" spans="1:19" x14ac:dyDescent="0.35">
      <c r="A1519" s="31" t="s">
        <v>3568</v>
      </c>
      <c r="B1519" s="31" t="s">
        <v>478</v>
      </c>
      <c r="C1519" s="31" t="s">
        <v>479</v>
      </c>
      <c r="D1519" s="31" t="s">
        <v>484</v>
      </c>
      <c r="E1519" s="31" t="s">
        <v>186</v>
      </c>
      <c r="F1519" s="31" t="s">
        <v>481</v>
      </c>
      <c r="G1519" s="32">
        <v>6</v>
      </c>
      <c r="H1519" s="33">
        <v>0</v>
      </c>
      <c r="I1519" s="34">
        <v>67240.498860267602</v>
      </c>
      <c r="J1519" s="34">
        <v>403442.99316160602</v>
      </c>
      <c r="K1519" s="31" t="s">
        <v>3573</v>
      </c>
      <c r="L1519" s="31">
        <v>2</v>
      </c>
      <c r="M1519" s="31" t="s">
        <v>3575</v>
      </c>
      <c r="N1519" s="34">
        <v>1</v>
      </c>
      <c r="O1519" s="35">
        <v>6</v>
      </c>
      <c r="P1519" s="35">
        <v>19</v>
      </c>
      <c r="Q1519" s="35">
        <v>114</v>
      </c>
      <c r="R1519" s="36">
        <v>24.05</v>
      </c>
      <c r="S1519" s="37" t="str">
        <f>IFERROR(_xlfn.XLOOKUP(R1519,'1_Presupuesto'!$E:$E,'1_Presupuesto'!$D:$D),"")</f>
        <v>Albañilería MO</v>
      </c>
    </row>
    <row r="1520" spans="1:19" x14ac:dyDescent="0.35">
      <c r="A1520" s="31" t="s">
        <v>3568</v>
      </c>
      <c r="B1520" s="31" t="s">
        <v>203</v>
      </c>
      <c r="C1520" s="31"/>
      <c r="D1520" s="31" t="s">
        <v>3576</v>
      </c>
      <c r="E1520" s="31" t="s">
        <v>3577</v>
      </c>
      <c r="F1520" s="31"/>
      <c r="G1520" s="32">
        <v>1</v>
      </c>
      <c r="H1520" s="33">
        <v>0</v>
      </c>
      <c r="I1520" s="34">
        <v>10609.2079693546</v>
      </c>
      <c r="J1520" s="34">
        <v>10609.2079693546</v>
      </c>
      <c r="K1520" s="31" t="s">
        <v>3578</v>
      </c>
      <c r="L1520" s="31">
        <v>1</v>
      </c>
      <c r="M1520" s="31" t="s">
        <v>3579</v>
      </c>
      <c r="N1520" s="34">
        <v>1</v>
      </c>
      <c r="O1520" s="35">
        <v>0</v>
      </c>
      <c r="P1520" s="35">
        <v>19</v>
      </c>
      <c r="Q1520" s="35">
        <v>0</v>
      </c>
      <c r="R1520" s="36">
        <v>24.05</v>
      </c>
      <c r="S1520" s="37" t="str">
        <f>IFERROR(_xlfn.XLOOKUP(R1520,'1_Presupuesto'!$E:$E,'1_Presupuesto'!$D:$D),"")</f>
        <v>Albañilería MO</v>
      </c>
    </row>
    <row r="1521" spans="1:19" x14ac:dyDescent="0.35">
      <c r="A1521" s="31" t="s">
        <v>3580</v>
      </c>
      <c r="B1521" s="31" t="s">
        <v>497</v>
      </c>
      <c r="C1521" s="31" t="s">
        <v>1706</v>
      </c>
      <c r="D1521" s="31" t="s">
        <v>3569</v>
      </c>
      <c r="E1521" s="31" t="s">
        <v>3570</v>
      </c>
      <c r="F1521" s="31" t="s">
        <v>261</v>
      </c>
      <c r="G1521" s="32">
        <v>1</v>
      </c>
      <c r="H1521" s="33">
        <v>0</v>
      </c>
      <c r="I1521" s="34">
        <v>50000</v>
      </c>
      <c r="J1521" s="34">
        <v>50000</v>
      </c>
      <c r="K1521" s="31" t="s">
        <v>3581</v>
      </c>
      <c r="L1521" s="31">
        <v>1</v>
      </c>
      <c r="M1521" s="31" t="s">
        <v>3582</v>
      </c>
      <c r="N1521" s="34">
        <v>1</v>
      </c>
      <c r="O1521" s="35">
        <v>0</v>
      </c>
      <c r="P1521" s="35">
        <v>19</v>
      </c>
      <c r="Q1521" s="35">
        <v>0</v>
      </c>
      <c r="R1521" s="36">
        <v>24.06</v>
      </c>
      <c r="S1521" s="37" t="str">
        <f>IFERROR(_xlfn.XLOOKUP(R1521,'1_Presupuesto'!$E:$E,'1_Presupuesto'!$D:$D),"")</f>
        <v>Albañilería MO</v>
      </c>
    </row>
    <row r="1522" spans="1:19" x14ac:dyDescent="0.35">
      <c r="A1522" s="31" t="s">
        <v>3580</v>
      </c>
      <c r="B1522" s="31" t="s">
        <v>478</v>
      </c>
      <c r="C1522" s="31" t="s">
        <v>479</v>
      </c>
      <c r="D1522" s="31" t="s">
        <v>484</v>
      </c>
      <c r="E1522" s="31" t="s">
        <v>186</v>
      </c>
      <c r="F1522" s="31" t="s">
        <v>481</v>
      </c>
      <c r="G1522" s="32">
        <v>8.8000000000000007</v>
      </c>
      <c r="H1522" s="33">
        <v>0</v>
      </c>
      <c r="I1522" s="34">
        <v>67240.498860267602</v>
      </c>
      <c r="J1522" s="34">
        <v>591716.38997035497</v>
      </c>
      <c r="K1522" s="31" t="s">
        <v>3583</v>
      </c>
      <c r="L1522" s="31">
        <v>1</v>
      </c>
      <c r="M1522" s="31" t="s">
        <v>3584</v>
      </c>
      <c r="N1522" s="34">
        <v>1</v>
      </c>
      <c r="O1522" s="35">
        <v>8.8000000000000007</v>
      </c>
      <c r="P1522" s="35">
        <v>19</v>
      </c>
      <c r="Q1522" s="35">
        <v>167.2</v>
      </c>
      <c r="R1522" s="36">
        <v>24.06</v>
      </c>
      <c r="S1522" s="37" t="str">
        <f>IFERROR(_xlfn.XLOOKUP(R1522,'1_Presupuesto'!$E:$E,'1_Presupuesto'!$D:$D),"")</f>
        <v>Albañilería MO</v>
      </c>
    </row>
    <row r="1523" spans="1:19" x14ac:dyDescent="0.35">
      <c r="A1523" s="31" t="s">
        <v>3580</v>
      </c>
      <c r="B1523" s="31" t="s">
        <v>203</v>
      </c>
      <c r="C1523" s="31"/>
      <c r="D1523" s="31" t="s">
        <v>3585</v>
      </c>
      <c r="E1523" s="31" t="s">
        <v>3586</v>
      </c>
      <c r="F1523" s="31"/>
      <c r="G1523" s="32">
        <v>1</v>
      </c>
      <c r="H1523" s="33">
        <v>0</v>
      </c>
      <c r="I1523" s="34">
        <v>9625.7458495553292</v>
      </c>
      <c r="J1523" s="34">
        <v>9625.7458495553292</v>
      </c>
      <c r="K1523" s="31" t="s">
        <v>3587</v>
      </c>
      <c r="L1523" s="31">
        <v>1</v>
      </c>
      <c r="M1523" s="31" t="s">
        <v>3588</v>
      </c>
      <c r="N1523" s="34">
        <v>1</v>
      </c>
      <c r="O1523" s="35">
        <v>0</v>
      </c>
      <c r="P1523" s="35">
        <v>19</v>
      </c>
      <c r="Q1523" s="35">
        <v>0</v>
      </c>
      <c r="R1523" s="36">
        <v>24.06</v>
      </c>
      <c r="S1523" s="37" t="str">
        <f>IFERROR(_xlfn.XLOOKUP(R1523,'1_Presupuesto'!$E:$E,'1_Presupuesto'!$D:$D),"")</f>
        <v>Albañilería MO</v>
      </c>
    </row>
    <row r="1524" spans="1:19" x14ac:dyDescent="0.35">
      <c r="A1524" s="31" t="s">
        <v>3589</v>
      </c>
      <c r="B1524" s="31" t="s">
        <v>497</v>
      </c>
      <c r="C1524" s="31" t="s">
        <v>498</v>
      </c>
      <c r="D1524" s="31" t="s">
        <v>3590</v>
      </c>
      <c r="E1524" s="31" t="s">
        <v>3591</v>
      </c>
      <c r="F1524" s="31" t="s">
        <v>218</v>
      </c>
      <c r="G1524" s="32">
        <v>1</v>
      </c>
      <c r="H1524" s="33">
        <v>0</v>
      </c>
      <c r="I1524" s="34">
        <v>500000</v>
      </c>
      <c r="J1524" s="34">
        <v>500000</v>
      </c>
      <c r="K1524" s="31" t="s">
        <v>3592</v>
      </c>
      <c r="L1524" s="31">
        <v>1</v>
      </c>
      <c r="M1524" s="31" t="s">
        <v>3593</v>
      </c>
      <c r="N1524" s="34">
        <v>1</v>
      </c>
      <c r="O1524" s="35">
        <v>0</v>
      </c>
      <c r="P1524" s="35">
        <v>1</v>
      </c>
      <c r="Q1524" s="35">
        <v>0</v>
      </c>
      <c r="R1524" s="36">
        <v>24.07</v>
      </c>
      <c r="S1524" s="37" t="str">
        <f>IFERROR(_xlfn.XLOOKUP(R1524,'1_Presupuesto'!$E:$E,'1_Presupuesto'!$D:$D),"")</f>
        <v>Albañilería MO</v>
      </c>
    </row>
    <row r="1525" spans="1:19" x14ac:dyDescent="0.35">
      <c r="A1525" s="31" t="s">
        <v>3589</v>
      </c>
      <c r="B1525" s="31" t="s">
        <v>478</v>
      </c>
      <c r="C1525" s="31" t="s">
        <v>479</v>
      </c>
      <c r="D1525" s="31" t="s">
        <v>484</v>
      </c>
      <c r="E1525" s="31" t="s">
        <v>186</v>
      </c>
      <c r="F1525" s="31" t="s">
        <v>481</v>
      </c>
      <c r="G1525" s="32">
        <v>60</v>
      </c>
      <c r="H1525" s="33">
        <v>0</v>
      </c>
      <c r="I1525" s="34">
        <v>67240.498860267602</v>
      </c>
      <c r="J1525" s="34">
        <v>4034429.93161606</v>
      </c>
      <c r="K1525" s="31" t="s">
        <v>3594</v>
      </c>
      <c r="L1525" s="31">
        <v>1</v>
      </c>
      <c r="M1525" s="31" t="s">
        <v>3595</v>
      </c>
      <c r="N1525" s="34">
        <v>1</v>
      </c>
      <c r="O1525" s="35">
        <v>60</v>
      </c>
      <c r="P1525" s="35">
        <v>1</v>
      </c>
      <c r="Q1525" s="35">
        <v>60</v>
      </c>
      <c r="R1525" s="36">
        <v>24.07</v>
      </c>
      <c r="S1525" s="37" t="str">
        <f>IFERROR(_xlfn.XLOOKUP(R1525,'1_Presupuesto'!$E:$E,'1_Presupuesto'!$D:$D),"")</f>
        <v>Albañilería MO</v>
      </c>
    </row>
    <row r="1526" spans="1:19" x14ac:dyDescent="0.35">
      <c r="A1526" s="31" t="s">
        <v>3589</v>
      </c>
      <c r="B1526" s="31" t="s">
        <v>203</v>
      </c>
      <c r="C1526" s="31"/>
      <c r="D1526" s="31" t="s">
        <v>3596</v>
      </c>
      <c r="E1526" s="31" t="s">
        <v>3597</v>
      </c>
      <c r="F1526" s="31"/>
      <c r="G1526" s="32">
        <v>1</v>
      </c>
      <c r="H1526" s="33">
        <v>0</v>
      </c>
      <c r="I1526" s="34">
        <v>68016.448974240906</v>
      </c>
      <c r="J1526" s="34">
        <v>68016.448974240906</v>
      </c>
      <c r="K1526" s="31" t="s">
        <v>3598</v>
      </c>
      <c r="L1526" s="31">
        <v>1</v>
      </c>
      <c r="M1526" s="31" t="s">
        <v>3599</v>
      </c>
      <c r="N1526" s="34">
        <v>1</v>
      </c>
      <c r="O1526" s="35">
        <v>0</v>
      </c>
      <c r="P1526" s="35">
        <v>1</v>
      </c>
      <c r="Q1526" s="35">
        <v>0</v>
      </c>
      <c r="R1526" s="36">
        <v>24.07</v>
      </c>
      <c r="S1526" s="37" t="str">
        <f>IFERROR(_xlfn.XLOOKUP(R1526,'1_Presupuesto'!$E:$E,'1_Presupuesto'!$D:$D),"")</f>
        <v>Albañilería MO</v>
      </c>
    </row>
    <row r="1527" spans="1:19" x14ac:dyDescent="0.35">
      <c r="A1527" s="31" t="s">
        <v>3600</v>
      </c>
      <c r="B1527" s="31" t="s">
        <v>478</v>
      </c>
      <c r="C1527" s="31" t="s">
        <v>498</v>
      </c>
      <c r="D1527" s="31" t="s">
        <v>3601</v>
      </c>
      <c r="E1527" s="31" t="s">
        <v>3602</v>
      </c>
      <c r="F1527" s="31" t="s">
        <v>481</v>
      </c>
      <c r="G1527" s="32">
        <v>1</v>
      </c>
      <c r="H1527" s="33">
        <v>0</v>
      </c>
      <c r="I1527" s="34">
        <v>300000</v>
      </c>
      <c r="J1527" s="34">
        <v>300000</v>
      </c>
      <c r="K1527" s="31" t="s">
        <v>3603</v>
      </c>
      <c r="L1527" s="31">
        <v>1</v>
      </c>
      <c r="M1527" s="31" t="s">
        <v>3604</v>
      </c>
      <c r="N1527" s="34">
        <v>1</v>
      </c>
      <c r="O1527" s="35">
        <v>0</v>
      </c>
      <c r="P1527" s="35">
        <v>19</v>
      </c>
      <c r="Q1527" s="35">
        <v>0</v>
      </c>
      <c r="R1527" s="36">
        <v>24.08</v>
      </c>
      <c r="S1527" s="37">
        <f>IFERROR(_xlfn.XLOOKUP(R1527,'1_Presupuesto'!$E:$E,'1_Presupuesto'!$D:$D),"")</f>
        <v>0</v>
      </c>
    </row>
    <row r="1528" spans="1:19" x14ac:dyDescent="0.35">
      <c r="A1528" s="31" t="s">
        <v>3605</v>
      </c>
      <c r="B1528" s="31" t="s">
        <v>497</v>
      </c>
      <c r="C1528" s="31" t="s">
        <v>498</v>
      </c>
      <c r="D1528" s="31" t="s">
        <v>3606</v>
      </c>
      <c r="E1528" s="31" t="s">
        <v>3607</v>
      </c>
      <c r="F1528" s="31" t="s">
        <v>261</v>
      </c>
      <c r="G1528" s="32">
        <v>2</v>
      </c>
      <c r="H1528" s="33">
        <v>0</v>
      </c>
      <c r="I1528" s="34">
        <v>100000</v>
      </c>
      <c r="J1528" s="34">
        <v>200000</v>
      </c>
      <c r="K1528" s="31" t="s">
        <v>3608</v>
      </c>
      <c r="L1528" s="31">
        <v>1</v>
      </c>
      <c r="M1528" s="31" t="s">
        <v>3609</v>
      </c>
      <c r="N1528" s="34">
        <v>1</v>
      </c>
      <c r="O1528" s="35">
        <v>0</v>
      </c>
      <c r="P1528" s="35">
        <v>19</v>
      </c>
      <c r="Q1528" s="35">
        <v>0</v>
      </c>
      <c r="R1528" s="36">
        <v>24.09</v>
      </c>
      <c r="S1528" s="37" t="str">
        <f>IFERROR(_xlfn.XLOOKUP(R1528,'1_Presupuesto'!$E:$E,'1_Presupuesto'!$D:$D),"")</f>
        <v>Gastos Generales</v>
      </c>
    </row>
    <row r="1529" spans="1:19" x14ac:dyDescent="0.35">
      <c r="A1529" s="31" t="s">
        <v>3605</v>
      </c>
      <c r="B1529" s="31" t="s">
        <v>478</v>
      </c>
      <c r="C1529" s="31" t="s">
        <v>479</v>
      </c>
      <c r="D1529" s="31" t="s">
        <v>484</v>
      </c>
      <c r="E1529" s="31" t="s">
        <v>186</v>
      </c>
      <c r="F1529" s="31" t="s">
        <v>481</v>
      </c>
      <c r="G1529" s="32">
        <v>1</v>
      </c>
      <c r="H1529" s="33">
        <v>0</v>
      </c>
      <c r="I1529" s="34">
        <v>67240.498860267602</v>
      </c>
      <c r="J1529" s="34">
        <v>67240.498860267602</v>
      </c>
      <c r="K1529" s="31" t="s">
        <v>3610</v>
      </c>
      <c r="L1529" s="31">
        <v>1</v>
      </c>
      <c r="M1529" s="31" t="s">
        <v>3611</v>
      </c>
      <c r="N1529" s="34">
        <v>1</v>
      </c>
      <c r="O1529" s="35">
        <v>1</v>
      </c>
      <c r="P1529" s="35">
        <v>19</v>
      </c>
      <c r="Q1529" s="35">
        <v>19</v>
      </c>
      <c r="R1529" s="36">
        <v>24.09</v>
      </c>
      <c r="S1529" s="37" t="str">
        <f>IFERROR(_xlfn.XLOOKUP(R1529,'1_Presupuesto'!$E:$E,'1_Presupuesto'!$D:$D),"")</f>
        <v>Gastos Generales</v>
      </c>
    </row>
    <row r="1530" spans="1:19" x14ac:dyDescent="0.35">
      <c r="A1530" s="31" t="s">
        <v>3605</v>
      </c>
      <c r="B1530" s="31" t="s">
        <v>203</v>
      </c>
      <c r="C1530" s="31"/>
      <c r="D1530" s="31" t="s">
        <v>3612</v>
      </c>
      <c r="E1530" s="31" t="s">
        <v>3613</v>
      </c>
      <c r="F1530" s="31"/>
      <c r="G1530" s="32">
        <v>1</v>
      </c>
      <c r="H1530" s="33">
        <v>0</v>
      </c>
      <c r="I1530" s="34">
        <v>4008.6074829040099</v>
      </c>
      <c r="J1530" s="34">
        <v>4008.6074829040099</v>
      </c>
      <c r="K1530" s="31" t="s">
        <v>3614</v>
      </c>
      <c r="L1530" s="31">
        <v>1</v>
      </c>
      <c r="M1530" s="31" t="s">
        <v>3615</v>
      </c>
      <c r="N1530" s="34">
        <v>1</v>
      </c>
      <c r="O1530" s="35">
        <v>0</v>
      </c>
      <c r="P1530" s="35">
        <v>19</v>
      </c>
      <c r="Q1530" s="35">
        <v>0</v>
      </c>
      <c r="R1530" s="36">
        <v>24.09</v>
      </c>
      <c r="S1530" s="37" t="str">
        <f>IFERROR(_xlfn.XLOOKUP(R1530,'1_Presupuesto'!$E:$E,'1_Presupuesto'!$D:$D),"")</f>
        <v>Gastos Generales</v>
      </c>
    </row>
    <row r="1531" spans="1:19" x14ac:dyDescent="0.35">
      <c r="A1531" s="31" t="s">
        <v>3616</v>
      </c>
      <c r="B1531" s="31" t="s">
        <v>478</v>
      </c>
      <c r="C1531" s="31" t="s">
        <v>498</v>
      </c>
      <c r="D1531" s="31" t="s">
        <v>3617</v>
      </c>
      <c r="E1531" s="31" t="s">
        <v>277</v>
      </c>
      <c r="F1531" s="31" t="s">
        <v>481</v>
      </c>
      <c r="G1531" s="32">
        <v>1</v>
      </c>
      <c r="H1531" s="33">
        <v>0</v>
      </c>
      <c r="I1531" s="34">
        <v>3246508.9202830601</v>
      </c>
      <c r="J1531" s="34">
        <v>3246508.9202830601</v>
      </c>
      <c r="K1531" s="31" t="s">
        <v>3618</v>
      </c>
      <c r="L1531" s="31">
        <v>1</v>
      </c>
      <c r="M1531" s="31" t="s">
        <v>3619</v>
      </c>
      <c r="N1531" s="34">
        <v>1</v>
      </c>
      <c r="O1531" s="35">
        <v>0</v>
      </c>
      <c r="P1531" s="35">
        <v>19</v>
      </c>
      <c r="Q1531" s="35">
        <v>0</v>
      </c>
      <c r="R1531" s="36">
        <v>25.01</v>
      </c>
      <c r="S1531" s="37">
        <f>IFERROR(_xlfn.XLOOKUP(R1531,'1_Presupuesto'!$E:$E,'1_Presupuesto'!$D:$D),"")</f>
        <v>0</v>
      </c>
    </row>
    <row r="1532" spans="1:19" x14ac:dyDescent="0.35">
      <c r="A1532" s="31" t="s">
        <v>3620</v>
      </c>
      <c r="B1532" s="31" t="s">
        <v>478</v>
      </c>
      <c r="C1532" s="31" t="s">
        <v>498</v>
      </c>
      <c r="D1532" s="31" t="s">
        <v>3621</v>
      </c>
      <c r="E1532" s="31" t="s">
        <v>278</v>
      </c>
      <c r="F1532" s="31" t="s">
        <v>481</v>
      </c>
      <c r="G1532" s="32">
        <v>1</v>
      </c>
      <c r="H1532" s="33">
        <v>0</v>
      </c>
      <c r="I1532" s="34">
        <v>500000</v>
      </c>
      <c r="J1532" s="34">
        <v>500000</v>
      </c>
      <c r="K1532" s="31" t="s">
        <v>3622</v>
      </c>
      <c r="L1532" s="31">
        <v>1</v>
      </c>
      <c r="M1532" s="31" t="s">
        <v>3623</v>
      </c>
      <c r="N1532" s="34">
        <v>1</v>
      </c>
      <c r="O1532" s="35">
        <v>0</v>
      </c>
      <c r="P1532" s="35">
        <v>19</v>
      </c>
      <c r="Q1532" s="35">
        <v>0</v>
      </c>
      <c r="R1532" s="36">
        <v>25.02</v>
      </c>
      <c r="S1532" s="37">
        <f>IFERROR(_xlfn.XLOOKUP(R1532,'1_Presupuesto'!$E:$E,'1_Presupuesto'!$D:$D),"")</f>
        <v>0</v>
      </c>
    </row>
    <row r="1533" spans="1:19" x14ac:dyDescent="0.35">
      <c r="A1533" s="31" t="s">
        <v>3624</v>
      </c>
      <c r="B1533" s="31" t="s">
        <v>497</v>
      </c>
      <c r="C1533" s="31" t="s">
        <v>498</v>
      </c>
      <c r="D1533" s="31" t="s">
        <v>3625</v>
      </c>
      <c r="E1533" s="31" t="s">
        <v>3626</v>
      </c>
      <c r="F1533" s="31" t="s">
        <v>261</v>
      </c>
      <c r="G1533" s="32">
        <v>1</v>
      </c>
      <c r="H1533" s="33">
        <v>0</v>
      </c>
      <c r="I1533" s="34">
        <v>300000</v>
      </c>
      <c r="J1533" s="34">
        <v>300000</v>
      </c>
      <c r="K1533" s="31" t="s">
        <v>3627</v>
      </c>
      <c r="L1533" s="31">
        <v>1</v>
      </c>
      <c r="M1533" s="31" t="s">
        <v>3628</v>
      </c>
      <c r="N1533" s="34">
        <v>1</v>
      </c>
      <c r="O1533" s="35">
        <v>0</v>
      </c>
      <c r="P1533" s="35">
        <v>5</v>
      </c>
      <c r="Q1533" s="35">
        <v>0</v>
      </c>
      <c r="R1533" s="36">
        <v>26.03</v>
      </c>
      <c r="S1533" s="37" t="str">
        <f>IFERROR(_xlfn.XLOOKUP(R1533,'1_Presupuesto'!$E:$E,'1_Presupuesto'!$D:$D),"")</f>
        <v/>
      </c>
    </row>
    <row r="1534" spans="1:19" x14ac:dyDescent="0.35">
      <c r="A1534" s="31" t="s">
        <v>3629</v>
      </c>
      <c r="B1534" s="31" t="s">
        <v>497</v>
      </c>
      <c r="C1534" s="31" t="s">
        <v>498</v>
      </c>
      <c r="D1534" s="31" t="s">
        <v>3630</v>
      </c>
      <c r="E1534" s="31" t="s">
        <v>3631</v>
      </c>
      <c r="F1534" s="31" t="s">
        <v>261</v>
      </c>
      <c r="G1534" s="32">
        <v>1</v>
      </c>
      <c r="H1534" s="33">
        <v>0</v>
      </c>
      <c r="I1534" s="34">
        <v>228642</v>
      </c>
      <c r="J1534" s="34">
        <v>228642</v>
      </c>
      <c r="K1534" s="31" t="s">
        <v>3632</v>
      </c>
      <c r="L1534" s="31">
        <v>1</v>
      </c>
      <c r="M1534" s="31" t="s">
        <v>3633</v>
      </c>
      <c r="N1534" s="34">
        <v>1</v>
      </c>
      <c r="O1534" s="35">
        <v>0</v>
      </c>
      <c r="P1534" s="35">
        <v>1</v>
      </c>
      <c r="Q1534" s="35">
        <v>0</v>
      </c>
      <c r="R1534" s="36">
        <v>26.05</v>
      </c>
      <c r="S1534" s="37" t="str">
        <f>IFERROR(_xlfn.XLOOKUP(R1534,'1_Presupuesto'!$E:$E,'1_Presupuesto'!$D:$D),"")</f>
        <v/>
      </c>
    </row>
    <row r="1535" spans="1:19" x14ac:dyDescent="0.35">
      <c r="A1535" s="31" t="s">
        <v>3634</v>
      </c>
      <c r="B1535" s="31" t="s">
        <v>497</v>
      </c>
      <c r="C1535" s="31" t="s">
        <v>498</v>
      </c>
      <c r="D1535" s="31" t="s">
        <v>3635</v>
      </c>
      <c r="E1535" s="31" t="s">
        <v>3636</v>
      </c>
      <c r="F1535" s="31" t="s">
        <v>261</v>
      </c>
      <c r="G1535" s="32">
        <v>1</v>
      </c>
      <c r="H1535" s="33">
        <v>0</v>
      </c>
      <c r="I1535" s="34">
        <v>550000</v>
      </c>
      <c r="J1535" s="34">
        <v>550000</v>
      </c>
      <c r="K1535" s="31" t="s">
        <v>3637</v>
      </c>
      <c r="L1535" s="31">
        <v>1</v>
      </c>
      <c r="M1535" s="31" t="s">
        <v>3638</v>
      </c>
      <c r="N1535" s="34">
        <v>1</v>
      </c>
      <c r="O1535" s="35">
        <v>0</v>
      </c>
      <c r="P1535" s="35">
        <v>2</v>
      </c>
      <c r="Q1535" s="35">
        <v>0</v>
      </c>
      <c r="R1535" s="36">
        <v>27.01</v>
      </c>
      <c r="S1535" s="37" t="str">
        <f>IFERROR(_xlfn.XLOOKUP(R1535,'1_Presupuesto'!$E:$E,'1_Presupuesto'!$D:$D),"")</f>
        <v/>
      </c>
    </row>
    <row r="1536" spans="1:19" x14ac:dyDescent="0.35">
      <c r="A1536" s="31" t="s">
        <v>3639</v>
      </c>
      <c r="B1536" s="31" t="s">
        <v>497</v>
      </c>
      <c r="C1536" s="31" t="s">
        <v>498</v>
      </c>
      <c r="D1536" s="31" t="s">
        <v>3640</v>
      </c>
      <c r="E1536" s="31" t="s">
        <v>3641</v>
      </c>
      <c r="F1536" s="31" t="s">
        <v>261</v>
      </c>
      <c r="G1536" s="32">
        <v>1</v>
      </c>
      <c r="H1536" s="33">
        <v>0</v>
      </c>
      <c r="I1536" s="34">
        <v>550000</v>
      </c>
      <c r="J1536" s="34">
        <v>550000</v>
      </c>
      <c r="K1536" s="31" t="s">
        <v>3642</v>
      </c>
      <c r="L1536" s="31">
        <v>1</v>
      </c>
      <c r="M1536" s="31" t="s">
        <v>3643</v>
      </c>
      <c r="N1536" s="34">
        <v>1</v>
      </c>
      <c r="O1536" s="35">
        <v>0</v>
      </c>
      <c r="P1536" s="35">
        <v>2</v>
      </c>
      <c r="Q1536" s="35">
        <v>0</v>
      </c>
      <c r="R1536" s="36">
        <v>27.02</v>
      </c>
      <c r="S1536" s="37" t="str">
        <f>IFERROR(_xlfn.XLOOKUP(R1536,'1_Presupuesto'!$E:$E,'1_Presupuesto'!$D:$D),"")</f>
        <v/>
      </c>
    </row>
    <row r="1537" spans="1:19" x14ac:dyDescent="0.35">
      <c r="A1537" s="31" t="s">
        <v>3644</v>
      </c>
      <c r="B1537" s="31" t="s">
        <v>497</v>
      </c>
      <c r="C1537" s="31" t="s">
        <v>498</v>
      </c>
      <c r="D1537" s="31" t="s">
        <v>3645</v>
      </c>
      <c r="E1537" s="31" t="s">
        <v>3646</v>
      </c>
      <c r="F1537" s="31" t="s">
        <v>261</v>
      </c>
      <c r="G1537" s="32">
        <v>1</v>
      </c>
      <c r="H1537" s="33">
        <v>0</v>
      </c>
      <c r="I1537" s="34">
        <v>125000</v>
      </c>
      <c r="J1537" s="34">
        <v>125000</v>
      </c>
      <c r="K1537" s="31" t="s">
        <v>3647</v>
      </c>
      <c r="L1537" s="31">
        <v>1</v>
      </c>
      <c r="M1537" s="31" t="s">
        <v>3648</v>
      </c>
      <c r="N1537" s="34">
        <v>1</v>
      </c>
      <c r="O1537" s="35">
        <v>0</v>
      </c>
      <c r="P1537" s="35">
        <v>2</v>
      </c>
      <c r="Q1537" s="35">
        <v>0</v>
      </c>
      <c r="R1537" s="36">
        <v>27.03</v>
      </c>
      <c r="S1537" s="37" t="str">
        <f>IFERROR(_xlfn.XLOOKUP(R1537,'1_Presupuesto'!$E:$E,'1_Presupuesto'!$D:$D),"")</f>
        <v/>
      </c>
    </row>
    <row r="1538" spans="1:19" x14ac:dyDescent="0.35">
      <c r="A1538" s="31" t="s">
        <v>3649</v>
      </c>
      <c r="B1538" s="31" t="s">
        <v>497</v>
      </c>
      <c r="C1538" s="31" t="s">
        <v>498</v>
      </c>
      <c r="D1538" s="31" t="s">
        <v>3650</v>
      </c>
      <c r="E1538" s="31" t="s">
        <v>3651</v>
      </c>
      <c r="F1538" s="31" t="s">
        <v>261</v>
      </c>
      <c r="G1538" s="32">
        <v>1</v>
      </c>
      <c r="H1538" s="33">
        <v>0</v>
      </c>
      <c r="I1538" s="34">
        <v>135000</v>
      </c>
      <c r="J1538" s="34">
        <v>135000</v>
      </c>
      <c r="K1538" s="31" t="s">
        <v>3652</v>
      </c>
      <c r="L1538" s="31">
        <v>1</v>
      </c>
      <c r="M1538" s="31" t="s">
        <v>3653</v>
      </c>
      <c r="N1538" s="34">
        <v>1</v>
      </c>
      <c r="O1538" s="35">
        <v>0</v>
      </c>
      <c r="P1538" s="35">
        <v>2</v>
      </c>
      <c r="Q1538" s="35">
        <v>0</v>
      </c>
      <c r="R1538" s="36">
        <v>27.04</v>
      </c>
      <c r="S1538" s="37" t="str">
        <f>IFERROR(_xlfn.XLOOKUP(R1538,'1_Presupuesto'!$E:$E,'1_Presupuesto'!$D:$D),"")</f>
        <v/>
      </c>
    </row>
    <row r="1539" spans="1:19" x14ac:dyDescent="0.35">
      <c r="A1539" s="31" t="s">
        <v>3654</v>
      </c>
      <c r="B1539" s="31" t="s">
        <v>497</v>
      </c>
      <c r="C1539" s="31" t="s">
        <v>498</v>
      </c>
      <c r="D1539" s="31" t="s">
        <v>3655</v>
      </c>
      <c r="E1539" s="31" t="s">
        <v>3656</v>
      </c>
      <c r="F1539" s="31" t="s">
        <v>261</v>
      </c>
      <c r="G1539" s="32">
        <v>1</v>
      </c>
      <c r="H1539" s="33">
        <v>0</v>
      </c>
      <c r="I1539" s="34">
        <v>300000</v>
      </c>
      <c r="J1539" s="34">
        <v>300000</v>
      </c>
      <c r="K1539" s="31" t="s">
        <v>3657</v>
      </c>
      <c r="L1539" s="31">
        <v>1</v>
      </c>
      <c r="M1539" s="31" t="s">
        <v>3658</v>
      </c>
      <c r="N1539" s="34">
        <v>1</v>
      </c>
      <c r="O1539" s="35">
        <v>0</v>
      </c>
      <c r="P1539" s="35">
        <v>2</v>
      </c>
      <c r="Q1539" s="35">
        <v>0</v>
      </c>
      <c r="R1539" s="36">
        <v>27.05</v>
      </c>
      <c r="S1539" s="37" t="str">
        <f>IFERROR(_xlfn.XLOOKUP(R1539,'1_Presupuesto'!$E:$E,'1_Presupuesto'!$D:$D),"")</f>
        <v/>
      </c>
    </row>
    <row r="1540" spans="1:19" x14ac:dyDescent="0.35">
      <c r="A1540" s="31" t="s">
        <v>3659</v>
      </c>
      <c r="B1540" s="31" t="s">
        <v>497</v>
      </c>
      <c r="C1540" s="31" t="s">
        <v>498</v>
      </c>
      <c r="D1540" s="31" t="s">
        <v>3660</v>
      </c>
      <c r="E1540" s="31" t="s">
        <v>3661</v>
      </c>
      <c r="F1540" s="31" t="s">
        <v>261</v>
      </c>
      <c r="G1540" s="32">
        <v>1</v>
      </c>
      <c r="H1540" s="33">
        <v>0</v>
      </c>
      <c r="I1540" s="34">
        <v>700000</v>
      </c>
      <c r="J1540" s="34">
        <v>700000</v>
      </c>
      <c r="K1540" s="31" t="s">
        <v>3662</v>
      </c>
      <c r="L1540" s="31">
        <v>1</v>
      </c>
      <c r="M1540" s="31" t="s">
        <v>3663</v>
      </c>
      <c r="N1540" s="34">
        <v>1</v>
      </c>
      <c r="O1540" s="35">
        <v>0</v>
      </c>
      <c r="P1540" s="35">
        <v>1</v>
      </c>
      <c r="Q1540" s="35">
        <v>0</v>
      </c>
      <c r="R1540" s="36">
        <v>27.06</v>
      </c>
      <c r="S1540" s="37" t="str">
        <f>IFERROR(_xlfn.XLOOKUP(R1540,'1_Presupuesto'!$E:$E,'1_Presupuesto'!$D:$D),"")</f>
        <v/>
      </c>
    </row>
    <row r="1541" spans="1:19" x14ac:dyDescent="0.35">
      <c r="A1541" s="31" t="s">
        <v>3664</v>
      </c>
      <c r="B1541" s="31" t="s">
        <v>497</v>
      </c>
      <c r="C1541" s="31" t="s">
        <v>498</v>
      </c>
      <c r="D1541" s="31" t="s">
        <v>3665</v>
      </c>
      <c r="E1541" s="31" t="s">
        <v>3666</v>
      </c>
      <c r="F1541" s="31" t="s">
        <v>261</v>
      </c>
      <c r="G1541" s="32">
        <v>1</v>
      </c>
      <c r="H1541" s="33">
        <v>0</v>
      </c>
      <c r="I1541" s="34">
        <v>65000</v>
      </c>
      <c r="J1541" s="34">
        <v>65000</v>
      </c>
      <c r="K1541" s="31" t="s">
        <v>3667</v>
      </c>
      <c r="L1541" s="31">
        <v>1</v>
      </c>
      <c r="M1541" s="31" t="s">
        <v>3668</v>
      </c>
      <c r="N1541" s="34">
        <v>1</v>
      </c>
      <c r="O1541" s="35">
        <v>0</v>
      </c>
      <c r="P1541" s="35">
        <v>3</v>
      </c>
      <c r="Q1541" s="35">
        <v>0</v>
      </c>
      <c r="R1541" s="36">
        <v>27.07</v>
      </c>
      <c r="S1541" s="37" t="str">
        <f>IFERROR(_xlfn.XLOOKUP(R1541,'1_Presupuesto'!$E:$E,'1_Presupuesto'!$D:$D),"")</f>
        <v/>
      </c>
    </row>
    <row r="1542" spans="1:19" x14ac:dyDescent="0.35">
      <c r="A1542" s="31" t="s">
        <v>3669</v>
      </c>
      <c r="B1542" s="31" t="s">
        <v>497</v>
      </c>
      <c r="C1542" s="31" t="s">
        <v>498</v>
      </c>
      <c r="D1542" s="31" t="s">
        <v>3670</v>
      </c>
      <c r="E1542" s="31" t="s">
        <v>3671</v>
      </c>
      <c r="F1542" s="31" t="s">
        <v>261</v>
      </c>
      <c r="G1542" s="32">
        <v>1</v>
      </c>
      <c r="H1542" s="33">
        <v>0</v>
      </c>
      <c r="I1542" s="34">
        <v>51214.714802856899</v>
      </c>
      <c r="J1542" s="34">
        <v>51214.714802856899</v>
      </c>
      <c r="K1542" s="31" t="s">
        <v>3672</v>
      </c>
      <c r="L1542" s="31">
        <v>1</v>
      </c>
      <c r="M1542" s="31" t="s">
        <v>3673</v>
      </c>
      <c r="N1542" s="34">
        <v>1</v>
      </c>
      <c r="O1542" s="35">
        <v>0</v>
      </c>
      <c r="P1542" s="35">
        <v>4</v>
      </c>
      <c r="Q1542" s="35">
        <v>0</v>
      </c>
      <c r="R1542" s="36">
        <v>28.01</v>
      </c>
      <c r="S1542" s="37" t="str">
        <f>IFERROR(_xlfn.XLOOKUP(R1542,'1_Presupuesto'!$E:$E,'1_Presupuesto'!$D:$D),"")</f>
        <v/>
      </c>
    </row>
    <row r="1543" spans="1:19" x14ac:dyDescent="0.35">
      <c r="A1543" s="31" t="s">
        <v>3674</v>
      </c>
      <c r="B1543" s="31" t="s">
        <v>497</v>
      </c>
      <c r="C1543" s="31" t="s">
        <v>498</v>
      </c>
      <c r="D1543" s="31" t="s">
        <v>3675</v>
      </c>
      <c r="E1543" s="31" t="s">
        <v>3676</v>
      </c>
      <c r="F1543" s="31" t="s">
        <v>261</v>
      </c>
      <c r="G1543" s="32">
        <v>1</v>
      </c>
      <c r="H1543" s="33">
        <v>0</v>
      </c>
      <c r="I1543" s="34">
        <v>56938.712339646801</v>
      </c>
      <c r="J1543" s="34">
        <v>56938.712339646801</v>
      </c>
      <c r="K1543" s="31" t="s">
        <v>3677</v>
      </c>
      <c r="L1543" s="31">
        <v>1</v>
      </c>
      <c r="M1543" s="31" t="s">
        <v>3678</v>
      </c>
      <c r="N1543" s="34">
        <v>1</v>
      </c>
      <c r="O1543" s="35">
        <v>0</v>
      </c>
      <c r="P1543" s="35">
        <v>4</v>
      </c>
      <c r="Q1543" s="35">
        <v>0</v>
      </c>
      <c r="R1543" s="36">
        <v>28.02</v>
      </c>
      <c r="S1543" s="37" t="str">
        <f>IFERROR(_xlfn.XLOOKUP(R1543,'1_Presupuesto'!$E:$E,'1_Presupuesto'!$D:$D),"")</f>
        <v/>
      </c>
    </row>
    <row r="1544" spans="1:19" x14ac:dyDescent="0.35">
      <c r="A1544" s="31" t="s">
        <v>3679</v>
      </c>
      <c r="B1544" s="31" t="s">
        <v>497</v>
      </c>
      <c r="C1544" s="31" t="s">
        <v>498</v>
      </c>
      <c r="D1544" s="31" t="s">
        <v>3680</v>
      </c>
      <c r="E1544" s="31" t="s">
        <v>3681</v>
      </c>
      <c r="F1544" s="31" t="s">
        <v>261</v>
      </c>
      <c r="G1544" s="32">
        <v>1</v>
      </c>
      <c r="H1544" s="33">
        <v>0</v>
      </c>
      <c r="I1544" s="34">
        <v>286985.31259172299</v>
      </c>
      <c r="J1544" s="34">
        <v>286985.31259172299</v>
      </c>
      <c r="K1544" s="31" t="s">
        <v>3682</v>
      </c>
      <c r="L1544" s="31">
        <v>1</v>
      </c>
      <c r="M1544" s="31" t="s">
        <v>3683</v>
      </c>
      <c r="N1544" s="34">
        <v>1</v>
      </c>
      <c r="O1544" s="35">
        <v>0</v>
      </c>
      <c r="P1544" s="35">
        <v>4</v>
      </c>
      <c r="Q1544" s="35">
        <v>0</v>
      </c>
      <c r="R1544" s="36">
        <v>28.03</v>
      </c>
      <c r="S1544" s="37" t="str">
        <f>IFERROR(_xlfn.XLOOKUP(R1544,'1_Presupuesto'!$E:$E,'1_Presupuesto'!$D:$D),"")</f>
        <v/>
      </c>
    </row>
    <row r="1545" spans="1:19" x14ac:dyDescent="0.35">
      <c r="A1545" s="31" t="s">
        <v>3684</v>
      </c>
      <c r="B1545" s="31" t="s">
        <v>497</v>
      </c>
      <c r="C1545" s="31" t="s">
        <v>498</v>
      </c>
      <c r="D1545" s="31" t="s">
        <v>3685</v>
      </c>
      <c r="E1545" s="31" t="s">
        <v>3686</v>
      </c>
      <c r="F1545" s="31" t="s">
        <v>261</v>
      </c>
      <c r="G1545" s="32">
        <v>1</v>
      </c>
      <c r="H1545" s="33">
        <v>0</v>
      </c>
      <c r="I1545" s="34">
        <v>47125.768554935901</v>
      </c>
      <c r="J1545" s="34">
        <v>47125.768554935901</v>
      </c>
      <c r="K1545" s="31" t="s">
        <v>3687</v>
      </c>
      <c r="L1545" s="31">
        <v>1</v>
      </c>
      <c r="M1545" s="31" t="s">
        <v>3688</v>
      </c>
      <c r="N1545" s="34">
        <v>1</v>
      </c>
      <c r="O1545" s="35">
        <v>0</v>
      </c>
      <c r="P1545" s="35">
        <v>4</v>
      </c>
      <c r="Q1545" s="35">
        <v>0</v>
      </c>
      <c r="R1545" s="36">
        <v>28.04</v>
      </c>
      <c r="S1545" s="37" t="str">
        <f>IFERROR(_xlfn.XLOOKUP(R1545,'1_Presupuesto'!$E:$E,'1_Presupuesto'!$D:$D),"")</f>
        <v/>
      </c>
    </row>
    <row r="1546" spans="1:19" x14ac:dyDescent="0.35">
      <c r="A1546" s="31" t="s">
        <v>3689</v>
      </c>
      <c r="B1546" s="31" t="s">
        <v>497</v>
      </c>
      <c r="C1546" s="31" t="s">
        <v>498</v>
      </c>
      <c r="D1546" s="31" t="s">
        <v>3690</v>
      </c>
      <c r="E1546" s="31" t="s">
        <v>3691</v>
      </c>
      <c r="F1546" s="31" t="s">
        <v>261</v>
      </c>
      <c r="G1546" s="32">
        <v>1</v>
      </c>
      <c r="H1546" s="33">
        <v>0</v>
      </c>
      <c r="I1546" s="34">
        <v>137686.18800508801</v>
      </c>
      <c r="J1546" s="34">
        <v>137686.18800508801</v>
      </c>
      <c r="K1546" s="31" t="s">
        <v>3692</v>
      </c>
      <c r="L1546" s="31">
        <v>1</v>
      </c>
      <c r="M1546" s="31" t="s">
        <v>3693</v>
      </c>
      <c r="N1546" s="34">
        <v>1</v>
      </c>
      <c r="O1546" s="35">
        <v>0</v>
      </c>
      <c r="P1546" s="35">
        <v>1</v>
      </c>
      <c r="Q1546" s="35">
        <v>0</v>
      </c>
      <c r="R1546" s="36">
        <v>28.05</v>
      </c>
      <c r="S1546" s="37" t="str">
        <f>IFERROR(_xlfn.XLOOKUP(R1546,'1_Presupuesto'!$E:$E,'1_Presupuesto'!$D:$D),"")</f>
        <v/>
      </c>
    </row>
    <row r="1547" spans="1:19" x14ac:dyDescent="0.35">
      <c r="A1547" s="31" t="s">
        <v>3694</v>
      </c>
      <c r="B1547" s="31" t="s">
        <v>497</v>
      </c>
      <c r="C1547" s="31" t="s">
        <v>498</v>
      </c>
      <c r="D1547" s="31" t="s">
        <v>3695</v>
      </c>
      <c r="E1547" s="31" t="s">
        <v>3696</v>
      </c>
      <c r="F1547" s="31" t="s">
        <v>261</v>
      </c>
      <c r="G1547" s="32">
        <v>1</v>
      </c>
      <c r="H1547" s="33">
        <v>0</v>
      </c>
      <c r="I1547" s="34">
        <v>48000.991448977598</v>
      </c>
      <c r="J1547" s="34">
        <v>48000.991448977598</v>
      </c>
      <c r="K1547" s="31" t="s">
        <v>3697</v>
      </c>
      <c r="L1547" s="31">
        <v>1</v>
      </c>
      <c r="M1547" s="31" t="s">
        <v>3698</v>
      </c>
      <c r="N1547" s="34">
        <v>1</v>
      </c>
      <c r="O1547" s="35">
        <v>0</v>
      </c>
      <c r="P1547" s="35">
        <v>1</v>
      </c>
      <c r="Q1547" s="35">
        <v>0</v>
      </c>
      <c r="R1547" s="36">
        <v>28.06</v>
      </c>
      <c r="S1547" s="37" t="str">
        <f>IFERROR(_xlfn.XLOOKUP(R1547,'1_Presupuesto'!$E:$E,'1_Presupuesto'!$D:$D),"")</f>
        <v/>
      </c>
    </row>
    <row r="1548" spans="1:19" x14ac:dyDescent="0.35">
      <c r="A1548" s="31" t="s">
        <v>3699</v>
      </c>
      <c r="B1548" s="31" t="s">
        <v>497</v>
      </c>
      <c r="C1548" s="31" t="s">
        <v>498</v>
      </c>
      <c r="D1548" s="31" t="s">
        <v>3700</v>
      </c>
      <c r="E1548" s="31" t="s">
        <v>3701</v>
      </c>
      <c r="F1548" s="31" t="s">
        <v>261</v>
      </c>
      <c r="G1548" s="32">
        <v>1</v>
      </c>
      <c r="H1548" s="33">
        <v>0</v>
      </c>
      <c r="I1548" s="34">
        <v>63187.068936503303</v>
      </c>
      <c r="J1548" s="34">
        <v>63187.068936503303</v>
      </c>
      <c r="K1548" s="31" t="s">
        <v>3702</v>
      </c>
      <c r="L1548" s="31">
        <v>1</v>
      </c>
      <c r="M1548" s="31" t="s">
        <v>3703</v>
      </c>
      <c r="N1548" s="34">
        <v>1</v>
      </c>
      <c r="O1548" s="35">
        <v>0</v>
      </c>
      <c r="P1548" s="35">
        <v>7</v>
      </c>
      <c r="Q1548" s="35">
        <v>0</v>
      </c>
      <c r="R1548" s="36">
        <v>28.07</v>
      </c>
      <c r="S1548" s="37" t="str">
        <f>IFERROR(_xlfn.XLOOKUP(R1548,'1_Presupuesto'!$E:$E,'1_Presupuesto'!$D:$D),"")</f>
        <v/>
      </c>
    </row>
    <row r="1549" spans="1:19" x14ac:dyDescent="0.35">
      <c r="A1549" s="31" t="s">
        <v>3704</v>
      </c>
      <c r="B1549" s="31" t="s">
        <v>497</v>
      </c>
      <c r="C1549" s="31" t="s">
        <v>498</v>
      </c>
      <c r="D1549" s="31" t="s">
        <v>3705</v>
      </c>
      <c r="E1549" s="31" t="s">
        <v>3706</v>
      </c>
      <c r="F1549" s="31" t="s">
        <v>261</v>
      </c>
      <c r="G1549" s="32">
        <v>1</v>
      </c>
      <c r="H1549" s="33">
        <v>0</v>
      </c>
      <c r="I1549" s="34">
        <v>288770.79096623498</v>
      </c>
      <c r="J1549" s="34">
        <v>288770.79096623498</v>
      </c>
      <c r="K1549" s="31" t="s">
        <v>3707</v>
      </c>
      <c r="L1549" s="31">
        <v>1</v>
      </c>
      <c r="M1549" s="31" t="s">
        <v>3708</v>
      </c>
      <c r="N1549" s="34">
        <v>1</v>
      </c>
      <c r="O1549" s="35">
        <v>0</v>
      </c>
      <c r="P1549" s="35">
        <v>3</v>
      </c>
      <c r="Q1549" s="35">
        <v>0</v>
      </c>
      <c r="R1549" s="36">
        <v>28.08</v>
      </c>
      <c r="S1549" s="37" t="str">
        <f>IFERROR(_xlfn.XLOOKUP(R1549,'1_Presupuesto'!$E:$E,'1_Presupuesto'!$D:$D),"")</f>
        <v/>
      </c>
    </row>
    <row r="1550" spans="1:19" x14ac:dyDescent="0.35">
      <c r="A1550" s="31" t="s">
        <v>3709</v>
      </c>
      <c r="B1550" s="31" t="s">
        <v>497</v>
      </c>
      <c r="C1550" s="31" t="s">
        <v>498</v>
      </c>
      <c r="D1550" s="31" t="s">
        <v>3710</v>
      </c>
      <c r="E1550" s="31" t="s">
        <v>3711</v>
      </c>
      <c r="F1550" s="31" t="s">
        <v>261</v>
      </c>
      <c r="G1550" s="32">
        <v>1</v>
      </c>
      <c r="H1550" s="33">
        <v>0</v>
      </c>
      <c r="I1550" s="34">
        <v>285491.67201643699</v>
      </c>
      <c r="J1550" s="34">
        <v>285491.67201643699</v>
      </c>
      <c r="K1550" s="31" t="s">
        <v>3712</v>
      </c>
      <c r="L1550" s="31">
        <v>1</v>
      </c>
      <c r="M1550" s="31" t="s">
        <v>3713</v>
      </c>
      <c r="N1550" s="34">
        <v>1</v>
      </c>
      <c r="O1550" s="35">
        <v>0</v>
      </c>
      <c r="P1550" s="35">
        <v>1</v>
      </c>
      <c r="Q1550" s="35">
        <v>0</v>
      </c>
      <c r="R1550" s="36">
        <v>29.01</v>
      </c>
      <c r="S1550" s="37" t="str">
        <f>IFERROR(_xlfn.XLOOKUP(R1550,'1_Presupuesto'!$E:$E,'1_Presupuesto'!$D:$D),"")</f>
        <v/>
      </c>
    </row>
    <row r="1551" spans="1:19" x14ac:dyDescent="0.35">
      <c r="A1551" s="31" t="s">
        <v>3714</v>
      </c>
      <c r="B1551" s="31" t="s">
        <v>497</v>
      </c>
      <c r="C1551" s="31" t="s">
        <v>498</v>
      </c>
      <c r="D1551" s="31" t="s">
        <v>3715</v>
      </c>
      <c r="E1551" s="31" t="s">
        <v>3716</v>
      </c>
      <c r="F1551" s="31" t="s">
        <v>261</v>
      </c>
      <c r="G1551" s="32">
        <v>1</v>
      </c>
      <c r="H1551" s="33">
        <v>0</v>
      </c>
      <c r="I1551" s="34">
        <v>326160.39477108797</v>
      </c>
      <c r="J1551" s="34">
        <v>326160.39477108797</v>
      </c>
      <c r="K1551" s="31" t="s">
        <v>3717</v>
      </c>
      <c r="L1551" s="31">
        <v>1</v>
      </c>
      <c r="M1551" s="31" t="s">
        <v>3718</v>
      </c>
      <c r="N1551" s="34">
        <v>1</v>
      </c>
      <c r="O1551" s="35">
        <v>0</v>
      </c>
      <c r="P1551" s="35">
        <v>3</v>
      </c>
      <c r="Q1551" s="35">
        <v>0</v>
      </c>
      <c r="R1551" s="36">
        <v>29.02</v>
      </c>
      <c r="S1551" s="37" t="str">
        <f>IFERROR(_xlfn.XLOOKUP(R1551,'1_Presupuesto'!$E:$E,'1_Presupuesto'!$D:$D),"")</f>
        <v/>
      </c>
    </row>
    <row r="1552" spans="1:19" x14ac:dyDescent="0.35">
      <c r="A1552" s="31" t="s">
        <v>3719</v>
      </c>
      <c r="B1552" s="31" t="s">
        <v>497</v>
      </c>
      <c r="C1552" s="31" t="s">
        <v>498</v>
      </c>
      <c r="D1552" s="31" t="s">
        <v>3720</v>
      </c>
      <c r="E1552" s="31" t="s">
        <v>3721</v>
      </c>
      <c r="F1552" s="31" t="s">
        <v>261</v>
      </c>
      <c r="G1552" s="32">
        <v>1</v>
      </c>
      <c r="H1552" s="33">
        <v>0</v>
      </c>
      <c r="I1552" s="34">
        <v>78983.161018664003</v>
      </c>
      <c r="J1552" s="34">
        <v>78983.161018664003</v>
      </c>
      <c r="K1552" s="31" t="s">
        <v>3722</v>
      </c>
      <c r="L1552" s="31">
        <v>1</v>
      </c>
      <c r="M1552" s="31" t="s">
        <v>3723</v>
      </c>
      <c r="N1552" s="34">
        <v>1</v>
      </c>
      <c r="O1552" s="35">
        <v>0</v>
      </c>
      <c r="P1552" s="35">
        <v>1</v>
      </c>
      <c r="Q1552" s="35">
        <v>0</v>
      </c>
      <c r="R1552" s="36">
        <v>29.03</v>
      </c>
      <c r="S1552" s="37" t="str">
        <f>IFERROR(_xlfn.XLOOKUP(R1552,'1_Presupuesto'!$E:$E,'1_Presupuesto'!$D:$D),"")</f>
        <v/>
      </c>
    </row>
    <row r="1553" spans="1:19" x14ac:dyDescent="0.35">
      <c r="A1553" s="31" t="s">
        <v>3724</v>
      </c>
      <c r="B1553" s="31" t="s">
        <v>497</v>
      </c>
      <c r="C1553" s="31" t="s">
        <v>498</v>
      </c>
      <c r="D1553" s="31" t="s">
        <v>3725</v>
      </c>
      <c r="E1553" s="31" t="s">
        <v>3726</v>
      </c>
      <c r="F1553" s="31" t="s">
        <v>261</v>
      </c>
      <c r="G1553" s="32">
        <v>1</v>
      </c>
      <c r="H1553" s="33">
        <v>0</v>
      </c>
      <c r="I1553" s="34">
        <v>100197.178160304</v>
      </c>
      <c r="J1553" s="34">
        <v>100197.178160304</v>
      </c>
      <c r="K1553" s="31" t="s">
        <v>3727</v>
      </c>
      <c r="L1553" s="31">
        <v>1</v>
      </c>
      <c r="M1553" s="31" t="s">
        <v>3728</v>
      </c>
      <c r="N1553" s="34">
        <v>1</v>
      </c>
      <c r="O1553" s="35">
        <v>0</v>
      </c>
      <c r="P1553" s="35">
        <v>3</v>
      </c>
      <c r="Q1553" s="35">
        <v>0</v>
      </c>
      <c r="R1553" s="36">
        <v>29.04</v>
      </c>
      <c r="S1553" s="37" t="str">
        <f>IFERROR(_xlfn.XLOOKUP(R1553,'1_Presupuesto'!$E:$E,'1_Presupuesto'!$D:$D),"")</f>
        <v/>
      </c>
    </row>
    <row r="1554" spans="1:19" x14ac:dyDescent="0.35">
      <c r="A1554" s="31" t="s">
        <v>3729</v>
      </c>
      <c r="B1554" s="31" t="s">
        <v>497</v>
      </c>
      <c r="C1554" s="31" t="s">
        <v>498</v>
      </c>
      <c r="D1554" s="31" t="s">
        <v>3730</v>
      </c>
      <c r="E1554" s="31" t="s">
        <v>3731</v>
      </c>
      <c r="F1554" s="31" t="s">
        <v>261</v>
      </c>
      <c r="G1554" s="32">
        <v>1</v>
      </c>
      <c r="H1554" s="33">
        <v>0</v>
      </c>
      <c r="I1554" s="34">
        <v>30601.781958942702</v>
      </c>
      <c r="J1554" s="34">
        <v>30601.781958942702</v>
      </c>
      <c r="K1554" s="31" t="s">
        <v>3732</v>
      </c>
      <c r="L1554" s="31">
        <v>1</v>
      </c>
      <c r="M1554" s="31" t="s">
        <v>3733</v>
      </c>
      <c r="N1554" s="34">
        <v>1</v>
      </c>
      <c r="O1554" s="35">
        <v>0</v>
      </c>
      <c r="P1554" s="35">
        <v>4</v>
      </c>
      <c r="Q1554" s="35">
        <v>0</v>
      </c>
      <c r="R1554" s="36">
        <v>29.05</v>
      </c>
      <c r="S1554" s="37" t="str">
        <f>IFERROR(_xlfn.XLOOKUP(R1554,'1_Presupuesto'!$E:$E,'1_Presupuesto'!$D:$D),"")</f>
        <v/>
      </c>
    </row>
    <row r="1555" spans="1:19" x14ac:dyDescent="0.35">
      <c r="A1555" s="31" t="s">
        <v>3734</v>
      </c>
      <c r="B1555" s="31" t="s">
        <v>497</v>
      </c>
      <c r="C1555" s="31" t="s">
        <v>498</v>
      </c>
      <c r="D1555" s="31" t="s">
        <v>3735</v>
      </c>
      <c r="E1555" s="31" t="s">
        <v>3736</v>
      </c>
      <c r="F1555" s="31" t="s">
        <v>261</v>
      </c>
      <c r="G1555" s="32">
        <v>1</v>
      </c>
      <c r="H1555" s="33">
        <v>0</v>
      </c>
      <c r="I1555" s="34">
        <v>2020800</v>
      </c>
      <c r="J1555" s="34">
        <v>2020800</v>
      </c>
      <c r="K1555" s="31" t="s">
        <v>3737</v>
      </c>
      <c r="L1555" s="31">
        <v>1</v>
      </c>
      <c r="M1555" s="31" t="s">
        <v>3738</v>
      </c>
      <c r="N1555" s="34">
        <v>1</v>
      </c>
      <c r="O1555" s="35">
        <v>0</v>
      </c>
      <c r="P1555" s="35">
        <v>4</v>
      </c>
      <c r="Q1555" s="35">
        <v>0</v>
      </c>
      <c r="R1555" s="36">
        <v>29.06</v>
      </c>
      <c r="S1555" s="37" t="str">
        <f>IFERROR(_xlfn.XLOOKUP(R1555,'1_Presupuesto'!$E:$E,'1_Presupuesto'!$D:$D),"")</f>
        <v/>
      </c>
    </row>
    <row r="1556" spans="1:19" x14ac:dyDescent="0.35">
      <c r="A1556" s="31" t="s">
        <v>3739</v>
      </c>
      <c r="B1556" s="31" t="s">
        <v>497</v>
      </c>
      <c r="C1556" s="31" t="s">
        <v>498</v>
      </c>
      <c r="D1556" s="31" t="s">
        <v>3740</v>
      </c>
      <c r="E1556" s="31" t="s">
        <v>3741</v>
      </c>
      <c r="F1556" s="31" t="s">
        <v>261</v>
      </c>
      <c r="G1556" s="32">
        <v>1</v>
      </c>
      <c r="H1556" s="33">
        <v>0</v>
      </c>
      <c r="I1556" s="34">
        <v>66000</v>
      </c>
      <c r="J1556" s="34">
        <v>66000</v>
      </c>
      <c r="K1556" s="31" t="s">
        <v>3742</v>
      </c>
      <c r="L1556" s="31">
        <v>1</v>
      </c>
      <c r="M1556" s="31" t="s">
        <v>3743</v>
      </c>
      <c r="N1556" s="34">
        <v>1</v>
      </c>
      <c r="O1556" s="35">
        <v>0</v>
      </c>
      <c r="P1556" s="35">
        <v>12</v>
      </c>
      <c r="Q1556" s="35">
        <v>0</v>
      </c>
      <c r="R1556" s="36">
        <v>29.07</v>
      </c>
      <c r="S1556" s="37" t="str">
        <f>IFERROR(_xlfn.XLOOKUP(R1556,'1_Presupuesto'!$E:$E,'1_Presupuesto'!$D:$D),"")</f>
        <v/>
      </c>
    </row>
    <row r="1557" spans="1:19" x14ac:dyDescent="0.35">
      <c r="A1557" s="31" t="s">
        <v>3744</v>
      </c>
      <c r="B1557" s="31" t="s">
        <v>497</v>
      </c>
      <c r="C1557" s="31" t="s">
        <v>498</v>
      </c>
      <c r="D1557" s="31" t="s">
        <v>3745</v>
      </c>
      <c r="E1557" s="31" t="s">
        <v>3746</v>
      </c>
      <c r="F1557" s="31" t="s">
        <v>261</v>
      </c>
      <c r="G1557" s="32">
        <v>1</v>
      </c>
      <c r="H1557" s="33">
        <v>0</v>
      </c>
      <c r="I1557" s="34">
        <v>5892.0807877668303</v>
      </c>
      <c r="J1557" s="34">
        <v>5892.0807877668303</v>
      </c>
      <c r="K1557" s="31" t="s">
        <v>3747</v>
      </c>
      <c r="L1557" s="31">
        <v>1</v>
      </c>
      <c r="M1557" s="31" t="s">
        <v>3748</v>
      </c>
      <c r="N1557" s="34">
        <v>1</v>
      </c>
      <c r="O1557" s="35">
        <v>0</v>
      </c>
      <c r="P1557" s="35">
        <v>0</v>
      </c>
      <c r="Q1557" s="35">
        <v>0</v>
      </c>
      <c r="R1557" s="36">
        <v>30.01</v>
      </c>
      <c r="S1557" s="37" t="str">
        <f>IFERROR(_xlfn.XLOOKUP(R1557,'1_Presupuesto'!$E:$E,'1_Presupuesto'!$D:$D),"")</f>
        <v/>
      </c>
    </row>
    <row r="1558" spans="1:19" x14ac:dyDescent="0.35">
      <c r="A1558" s="31" t="s">
        <v>3749</v>
      </c>
      <c r="B1558" s="31" t="s">
        <v>497</v>
      </c>
      <c r="C1558" s="31" t="s">
        <v>498</v>
      </c>
      <c r="D1558" s="31" t="s">
        <v>3750</v>
      </c>
      <c r="E1558" s="31" t="s">
        <v>3751</v>
      </c>
      <c r="F1558" s="31" t="s">
        <v>261</v>
      </c>
      <c r="G1558" s="32">
        <v>1</v>
      </c>
      <c r="H1558" s="33">
        <v>0</v>
      </c>
      <c r="I1558" s="34">
        <v>1885.5105394124801</v>
      </c>
      <c r="J1558" s="34">
        <v>1885.5105394124801</v>
      </c>
      <c r="K1558" s="31" t="s">
        <v>3752</v>
      </c>
      <c r="L1558" s="31">
        <v>1</v>
      </c>
      <c r="M1558" s="31" t="s">
        <v>3753</v>
      </c>
      <c r="N1558" s="34">
        <v>1</v>
      </c>
      <c r="O1558" s="35">
        <v>0</v>
      </c>
      <c r="P1558" s="35">
        <v>0</v>
      </c>
      <c r="Q1558" s="35">
        <v>0</v>
      </c>
      <c r="R1558" s="36">
        <v>30.02</v>
      </c>
      <c r="S1558" s="37" t="str">
        <f>IFERROR(_xlfn.XLOOKUP(R1558,'1_Presupuesto'!$E:$E,'1_Presupuesto'!$D:$D),"")</f>
        <v/>
      </c>
    </row>
    <row r="1559" spans="1:19" x14ac:dyDescent="0.35">
      <c r="A1559" s="31" t="s">
        <v>3754</v>
      </c>
      <c r="B1559" s="31" t="s">
        <v>497</v>
      </c>
      <c r="C1559" s="31" t="s">
        <v>498</v>
      </c>
      <c r="D1559" s="31" t="s">
        <v>3755</v>
      </c>
      <c r="E1559" s="31" t="s">
        <v>3756</v>
      </c>
      <c r="F1559" s="31" t="s">
        <v>261</v>
      </c>
      <c r="G1559" s="32">
        <v>1</v>
      </c>
      <c r="H1559" s="33">
        <v>0</v>
      </c>
      <c r="I1559" s="34">
        <v>3839.53452028022</v>
      </c>
      <c r="J1559" s="34">
        <v>3839.53452028022</v>
      </c>
      <c r="K1559" s="31" t="s">
        <v>3757</v>
      </c>
      <c r="L1559" s="31">
        <v>1</v>
      </c>
      <c r="M1559" s="31" t="s">
        <v>3758</v>
      </c>
      <c r="N1559" s="34">
        <v>1</v>
      </c>
      <c r="O1559" s="35">
        <v>0</v>
      </c>
      <c r="P1559" s="35">
        <v>0</v>
      </c>
      <c r="Q1559" s="35">
        <v>0</v>
      </c>
      <c r="R1559" s="36">
        <v>30.03</v>
      </c>
      <c r="S1559" s="37" t="str">
        <f>IFERROR(_xlfn.XLOOKUP(R1559,'1_Presupuesto'!$E:$E,'1_Presupuesto'!$D:$D),"")</f>
        <v/>
      </c>
    </row>
    <row r="1560" spans="1:19" x14ac:dyDescent="0.35">
      <c r="A1560" s="31" t="s">
        <v>3759</v>
      </c>
      <c r="B1560" s="31" t="s">
        <v>497</v>
      </c>
      <c r="C1560" s="31" t="s">
        <v>498</v>
      </c>
      <c r="D1560" s="31" t="s">
        <v>3760</v>
      </c>
      <c r="E1560" s="31" t="s">
        <v>3761</v>
      </c>
      <c r="F1560" s="31" t="s">
        <v>261</v>
      </c>
      <c r="G1560" s="32">
        <v>1</v>
      </c>
      <c r="H1560" s="33">
        <v>0</v>
      </c>
      <c r="I1560" s="34">
        <v>6314.6459338307404</v>
      </c>
      <c r="J1560" s="34">
        <v>6314.6459338307404</v>
      </c>
      <c r="K1560" s="31" t="s">
        <v>3762</v>
      </c>
      <c r="L1560" s="31">
        <v>1</v>
      </c>
      <c r="M1560" s="31" t="s">
        <v>3763</v>
      </c>
      <c r="N1560" s="34">
        <v>1</v>
      </c>
      <c r="O1560" s="35">
        <v>0</v>
      </c>
      <c r="P1560" s="35">
        <v>0</v>
      </c>
      <c r="Q1560" s="35">
        <v>0</v>
      </c>
      <c r="R1560" s="36">
        <v>30.04</v>
      </c>
      <c r="S1560" s="37" t="str">
        <f>IFERROR(_xlfn.XLOOKUP(R1560,'1_Presupuesto'!$E:$E,'1_Presupuesto'!$D:$D),"")</f>
        <v/>
      </c>
    </row>
    <row r="1561" spans="1:19" x14ac:dyDescent="0.35">
      <c r="A1561" s="31" t="s">
        <v>3764</v>
      </c>
      <c r="B1561" s="31" t="s">
        <v>497</v>
      </c>
      <c r="C1561" s="31" t="s">
        <v>498</v>
      </c>
      <c r="D1561" s="31" t="s">
        <v>3765</v>
      </c>
      <c r="E1561" s="31" t="s">
        <v>3766</v>
      </c>
      <c r="F1561" s="31" t="s">
        <v>261</v>
      </c>
      <c r="G1561" s="32">
        <v>1</v>
      </c>
      <c r="H1561" s="33">
        <v>0</v>
      </c>
      <c r="I1561" s="34">
        <v>4996.5593136686502</v>
      </c>
      <c r="J1561" s="34">
        <v>4996.5593136686502</v>
      </c>
      <c r="K1561" s="31" t="s">
        <v>3767</v>
      </c>
      <c r="L1561" s="31">
        <v>1</v>
      </c>
      <c r="M1561" s="31" t="s">
        <v>3768</v>
      </c>
      <c r="N1561" s="34">
        <v>1</v>
      </c>
      <c r="O1561" s="35">
        <v>0</v>
      </c>
      <c r="P1561" s="35">
        <v>0</v>
      </c>
      <c r="Q1561" s="35">
        <v>0</v>
      </c>
      <c r="R1561" s="36">
        <v>30.05</v>
      </c>
      <c r="S1561" s="37" t="str">
        <f>IFERROR(_xlfn.XLOOKUP(R1561,'1_Presupuesto'!$E:$E,'1_Presupuesto'!$D:$D),"")</f>
        <v/>
      </c>
    </row>
    <row r="1562" spans="1:19" x14ac:dyDescent="0.35">
      <c r="A1562" s="31" t="s">
        <v>3769</v>
      </c>
      <c r="B1562" s="31" t="s">
        <v>497</v>
      </c>
      <c r="C1562" s="31" t="s">
        <v>498</v>
      </c>
      <c r="D1562" s="31" t="s">
        <v>3770</v>
      </c>
      <c r="E1562" s="31" t="s">
        <v>3771</v>
      </c>
      <c r="F1562" s="31" t="s">
        <v>261</v>
      </c>
      <c r="G1562" s="32">
        <v>1</v>
      </c>
      <c r="H1562" s="33">
        <v>0</v>
      </c>
      <c r="I1562" s="34">
        <v>12629.291867661501</v>
      </c>
      <c r="J1562" s="34">
        <v>12629.291867661501</v>
      </c>
      <c r="K1562" s="31" t="s">
        <v>3772</v>
      </c>
      <c r="L1562" s="31">
        <v>1</v>
      </c>
      <c r="M1562" s="31" t="s">
        <v>3773</v>
      </c>
      <c r="N1562" s="34">
        <v>1</v>
      </c>
      <c r="O1562" s="35">
        <v>0</v>
      </c>
      <c r="P1562" s="35">
        <v>0</v>
      </c>
      <c r="Q1562" s="35">
        <v>0</v>
      </c>
      <c r="R1562" s="36">
        <v>30.06</v>
      </c>
      <c r="S1562" s="37" t="str">
        <f>IFERROR(_xlfn.XLOOKUP(R1562,'1_Presupuesto'!$E:$E,'1_Presupuesto'!$D:$D),"")</f>
        <v/>
      </c>
    </row>
    <row r="1563" spans="1:19" x14ac:dyDescent="0.35">
      <c r="A1563" s="31" t="s">
        <v>3774</v>
      </c>
      <c r="B1563" s="31" t="s">
        <v>497</v>
      </c>
      <c r="C1563" s="31" t="s">
        <v>498</v>
      </c>
      <c r="D1563" s="31" t="s">
        <v>3775</v>
      </c>
      <c r="E1563" s="31" t="s">
        <v>3776</v>
      </c>
      <c r="F1563" s="31" t="s">
        <v>261</v>
      </c>
      <c r="G1563" s="32">
        <v>1</v>
      </c>
      <c r="H1563" s="33">
        <v>0</v>
      </c>
      <c r="I1563" s="34">
        <v>2203.1708839165899</v>
      </c>
      <c r="J1563" s="34">
        <v>2203.1708839165899</v>
      </c>
      <c r="K1563" s="31" t="s">
        <v>3777</v>
      </c>
      <c r="L1563" s="31">
        <v>1</v>
      </c>
      <c r="M1563" s="31" t="s">
        <v>3778</v>
      </c>
      <c r="N1563" s="34">
        <v>1</v>
      </c>
      <c r="O1563" s="35">
        <v>0</v>
      </c>
      <c r="P1563" s="35">
        <v>0</v>
      </c>
      <c r="Q1563" s="35">
        <v>0</v>
      </c>
      <c r="R1563" s="36">
        <v>30.07</v>
      </c>
      <c r="S1563" s="37" t="str">
        <f>IFERROR(_xlfn.XLOOKUP(R1563,'1_Presupuesto'!$E:$E,'1_Presupuesto'!$D:$D),"")</f>
        <v/>
      </c>
    </row>
    <row r="1564" spans="1:19" x14ac:dyDescent="0.35">
      <c r="A1564" s="31" t="s">
        <v>1432</v>
      </c>
      <c r="B1564" s="31" t="s">
        <v>497</v>
      </c>
      <c r="C1564" s="31" t="s">
        <v>498</v>
      </c>
      <c r="D1564" s="31" t="s">
        <v>3779</v>
      </c>
      <c r="E1564" s="31" t="s">
        <v>3780</v>
      </c>
      <c r="F1564" s="31" t="s">
        <v>261</v>
      </c>
      <c r="G1564" s="32">
        <v>0.02</v>
      </c>
      <c r="H1564" s="33">
        <v>0.05</v>
      </c>
      <c r="I1564" s="34">
        <v>15000</v>
      </c>
      <c r="J1564" s="34">
        <v>315</v>
      </c>
      <c r="K1564" s="31" t="s">
        <v>1433</v>
      </c>
      <c r="L1564" s="31">
        <v>8</v>
      </c>
      <c r="M1564" s="31" t="s">
        <v>3781</v>
      </c>
      <c r="N1564" s="34">
        <v>25</v>
      </c>
      <c r="O1564" s="35">
        <v>0</v>
      </c>
      <c r="P1564" s="35" t="s">
        <v>212</v>
      </c>
      <c r="Q1564" s="35">
        <v>0</v>
      </c>
      <c r="R1564" s="36" t="s">
        <v>212</v>
      </c>
      <c r="S1564" s="37" t="str">
        <f>IFERROR(_xlfn.XLOOKUP(R1564,'1_Presupuesto'!$E:$E,'1_Presupuesto'!$D:$D),"")</f>
        <v/>
      </c>
    </row>
    <row r="1565" spans="1:19" x14ac:dyDescent="0.35">
      <c r="A1565" s="31" t="s">
        <v>2211</v>
      </c>
      <c r="B1565" s="31" t="s">
        <v>497</v>
      </c>
      <c r="C1565" s="31" t="s">
        <v>498</v>
      </c>
      <c r="D1565" s="31" t="s">
        <v>512</v>
      </c>
      <c r="E1565" s="31" t="s">
        <v>513</v>
      </c>
      <c r="F1565" s="31">
        <v>0</v>
      </c>
      <c r="G1565" s="32">
        <v>0.02</v>
      </c>
      <c r="H1565" s="33">
        <v>0.05</v>
      </c>
      <c r="I1565" s="34">
        <v>1182.6446280991699</v>
      </c>
      <c r="J1565" s="34">
        <v>24.835537190082601</v>
      </c>
      <c r="K1565" s="31" t="s">
        <v>2212</v>
      </c>
      <c r="L1565" s="31">
        <v>6</v>
      </c>
      <c r="M1565" s="31" t="s">
        <v>3782</v>
      </c>
      <c r="N1565" s="34">
        <v>1</v>
      </c>
      <c r="O1565" s="35">
        <v>0</v>
      </c>
      <c r="P1565" s="35">
        <v>79</v>
      </c>
      <c r="Q1565" s="35">
        <v>0</v>
      </c>
      <c r="R1565" s="36">
        <v>5.01</v>
      </c>
      <c r="S1565" s="37" t="str">
        <f>IFERROR(_xlfn.XLOOKUP(R1565,'1_Presupuesto'!$E:$E,'1_Presupuesto'!$D:$D),"")</f>
        <v>Albañilería MO</v>
      </c>
    </row>
    <row r="1566" spans="1:19" x14ac:dyDescent="0.35">
      <c r="A1566" s="31" t="s">
        <v>2211</v>
      </c>
      <c r="B1566" s="31" t="s">
        <v>497</v>
      </c>
      <c r="C1566" s="31" t="s">
        <v>498</v>
      </c>
      <c r="D1566" s="31" t="s">
        <v>1440</v>
      </c>
      <c r="E1566" s="31" t="s">
        <v>1441</v>
      </c>
      <c r="F1566" s="31" t="s">
        <v>261</v>
      </c>
      <c r="G1566" s="32">
        <v>0.06</v>
      </c>
      <c r="H1566" s="33">
        <v>0.05</v>
      </c>
      <c r="I1566" s="34">
        <v>3600</v>
      </c>
      <c r="J1566" s="34">
        <v>226.8</v>
      </c>
      <c r="K1566" s="31" t="s">
        <v>2212</v>
      </c>
      <c r="L1566" s="31">
        <v>7</v>
      </c>
      <c r="M1566" s="31" t="s">
        <v>3783</v>
      </c>
      <c r="N1566" s="34">
        <v>1</v>
      </c>
      <c r="O1566" s="35">
        <v>0</v>
      </c>
      <c r="P1566" s="35">
        <v>79</v>
      </c>
      <c r="Q1566" s="35">
        <v>0</v>
      </c>
      <c r="R1566" s="36">
        <v>5.01</v>
      </c>
      <c r="S1566" s="37" t="str">
        <f>IFERROR(_xlfn.XLOOKUP(R1566,'1_Presupuesto'!$E:$E,'1_Presupuesto'!$D:$D),"")</f>
        <v>Albañilería MO</v>
      </c>
    </row>
    <row r="1567" spans="1:19" x14ac:dyDescent="0.35">
      <c r="A1567" s="31" t="s">
        <v>2211</v>
      </c>
      <c r="B1567" s="31" t="s">
        <v>497</v>
      </c>
      <c r="C1567" s="31" t="s">
        <v>498</v>
      </c>
      <c r="D1567" s="31" t="s">
        <v>3779</v>
      </c>
      <c r="E1567" s="31" t="s">
        <v>3780</v>
      </c>
      <c r="F1567" s="31" t="s">
        <v>261</v>
      </c>
      <c r="G1567" s="32">
        <v>0.02</v>
      </c>
      <c r="H1567" s="33">
        <v>0.05</v>
      </c>
      <c r="I1567" s="34">
        <v>15000</v>
      </c>
      <c r="J1567" s="34">
        <v>315</v>
      </c>
      <c r="K1567" s="31" t="s">
        <v>2212</v>
      </c>
      <c r="L1567" s="31">
        <v>8</v>
      </c>
      <c r="M1567" s="31" t="s">
        <v>3784</v>
      </c>
      <c r="N1567" s="34">
        <v>1</v>
      </c>
      <c r="O1567" s="35">
        <v>0</v>
      </c>
      <c r="P1567" s="35">
        <v>79</v>
      </c>
      <c r="Q1567" s="35">
        <v>0</v>
      </c>
      <c r="R1567" s="36">
        <v>5.01</v>
      </c>
      <c r="S1567" s="37" t="str">
        <f>IFERROR(_xlfn.XLOOKUP(R1567,'1_Presupuesto'!$E:$E,'1_Presupuesto'!$D:$D),"")</f>
        <v>Albañilería MO</v>
      </c>
    </row>
    <row r="1568" spans="1:19" x14ac:dyDescent="0.35">
      <c r="A1568" s="31" t="s">
        <v>2211</v>
      </c>
      <c r="B1568" s="31" t="s">
        <v>497</v>
      </c>
      <c r="C1568" s="31" t="s">
        <v>498</v>
      </c>
      <c r="D1568" s="31" t="s">
        <v>3785</v>
      </c>
      <c r="E1568" s="31" t="s">
        <v>3786</v>
      </c>
      <c r="F1568" s="31" t="s">
        <v>218</v>
      </c>
      <c r="G1568" s="32">
        <v>3050.8865484871399</v>
      </c>
      <c r="H1568" s="33">
        <v>0</v>
      </c>
      <c r="I1568" s="34">
        <v>1</v>
      </c>
      <c r="J1568" s="34">
        <v>3050.8865484871399</v>
      </c>
      <c r="K1568" s="31" t="s">
        <v>2212</v>
      </c>
      <c r="L1568" s="31">
        <v>9</v>
      </c>
      <c r="M1568" s="31" t="s">
        <v>3787</v>
      </c>
      <c r="N1568" s="34">
        <v>1</v>
      </c>
      <c r="O1568" s="35">
        <v>0</v>
      </c>
      <c r="P1568" s="35">
        <v>79</v>
      </c>
      <c r="Q1568" s="35">
        <v>0</v>
      </c>
      <c r="R1568" s="36">
        <v>5.01</v>
      </c>
      <c r="S1568" s="37" t="str">
        <f>IFERROR(_xlfn.XLOOKUP(R1568,'1_Presupuesto'!$E:$E,'1_Presupuesto'!$D:$D),"")</f>
        <v>Albañilería MO</v>
      </c>
    </row>
    <row r="1569" spans="1:19" x14ac:dyDescent="0.35">
      <c r="A1569" s="31" t="s">
        <v>2268</v>
      </c>
      <c r="B1569" s="31" t="s">
        <v>497</v>
      </c>
      <c r="C1569" s="31" t="s">
        <v>498</v>
      </c>
      <c r="D1569" s="31" t="s">
        <v>512</v>
      </c>
      <c r="E1569" s="31" t="s">
        <v>513</v>
      </c>
      <c r="F1569" s="31">
        <v>0</v>
      </c>
      <c r="G1569" s="32">
        <v>0.02</v>
      </c>
      <c r="H1569" s="33">
        <v>0.05</v>
      </c>
      <c r="I1569" s="34">
        <v>1182.6446280991699</v>
      </c>
      <c r="J1569" s="34">
        <v>24.835537190082601</v>
      </c>
      <c r="K1569" s="31" t="s">
        <v>2269</v>
      </c>
      <c r="L1569" s="31">
        <v>6</v>
      </c>
      <c r="M1569" s="31" t="s">
        <v>3788</v>
      </c>
      <c r="N1569" s="34">
        <v>1</v>
      </c>
      <c r="O1569" s="35">
        <v>0</v>
      </c>
      <c r="P1569" s="35">
        <v>274</v>
      </c>
      <c r="Q1569" s="35">
        <v>0</v>
      </c>
      <c r="R1569" s="36">
        <v>5.0599999999999996</v>
      </c>
      <c r="S1569" s="37" t="str">
        <f>IFERROR(_xlfn.XLOOKUP(R1569,'1_Presupuesto'!$E:$E,'1_Presupuesto'!$D:$D),"")</f>
        <v>Albañilería MO</v>
      </c>
    </row>
    <row r="1570" spans="1:19" x14ac:dyDescent="0.35">
      <c r="A1570" s="31" t="s">
        <v>2268</v>
      </c>
      <c r="B1570" s="31" t="s">
        <v>497</v>
      </c>
      <c r="C1570" s="31" t="s">
        <v>498</v>
      </c>
      <c r="D1570" s="31" t="s">
        <v>1440</v>
      </c>
      <c r="E1570" s="31" t="s">
        <v>1441</v>
      </c>
      <c r="F1570" s="31" t="s">
        <v>261</v>
      </c>
      <c r="G1570" s="32">
        <v>0.06</v>
      </c>
      <c r="H1570" s="33">
        <v>0.05</v>
      </c>
      <c r="I1570" s="34">
        <v>3600</v>
      </c>
      <c r="J1570" s="34">
        <v>226.8</v>
      </c>
      <c r="K1570" s="31" t="s">
        <v>2269</v>
      </c>
      <c r="L1570" s="31">
        <v>7</v>
      </c>
      <c r="M1570" s="31" t="s">
        <v>3789</v>
      </c>
      <c r="N1570" s="34">
        <v>1</v>
      </c>
      <c r="O1570" s="35">
        <v>0</v>
      </c>
      <c r="P1570" s="35">
        <v>274</v>
      </c>
      <c r="Q1570" s="35">
        <v>0</v>
      </c>
      <c r="R1570" s="36">
        <v>5.0599999999999996</v>
      </c>
      <c r="S1570" s="37" t="str">
        <f>IFERROR(_xlfn.XLOOKUP(R1570,'1_Presupuesto'!$E:$E,'1_Presupuesto'!$D:$D),"")</f>
        <v>Albañilería MO</v>
      </c>
    </row>
    <row r="1571" spans="1:19" x14ac:dyDescent="0.35">
      <c r="A1571" s="31" t="s">
        <v>2268</v>
      </c>
      <c r="B1571" s="31" t="s">
        <v>497</v>
      </c>
      <c r="C1571" s="31" t="s">
        <v>498</v>
      </c>
      <c r="D1571" s="31" t="s">
        <v>3779</v>
      </c>
      <c r="E1571" s="31" t="s">
        <v>3780</v>
      </c>
      <c r="F1571" s="31" t="s">
        <v>261</v>
      </c>
      <c r="G1571" s="32">
        <v>0.02</v>
      </c>
      <c r="H1571" s="33">
        <v>0.05</v>
      </c>
      <c r="I1571" s="34">
        <v>15000</v>
      </c>
      <c r="J1571" s="34">
        <v>315</v>
      </c>
      <c r="K1571" s="31" t="s">
        <v>2269</v>
      </c>
      <c r="L1571" s="31">
        <v>8</v>
      </c>
      <c r="M1571" s="31" t="s">
        <v>3790</v>
      </c>
      <c r="N1571" s="34">
        <v>1</v>
      </c>
      <c r="O1571" s="35">
        <v>0</v>
      </c>
      <c r="P1571" s="35">
        <v>274</v>
      </c>
      <c r="Q1571" s="35">
        <v>0</v>
      </c>
      <c r="R1571" s="36">
        <v>5.0599999999999996</v>
      </c>
      <c r="S1571" s="37" t="str">
        <f>IFERROR(_xlfn.XLOOKUP(R1571,'1_Presupuesto'!$E:$E,'1_Presupuesto'!$D:$D),"")</f>
        <v>Albañilería MO</v>
      </c>
    </row>
    <row r="1572" spans="1:19" x14ac:dyDescent="0.35">
      <c r="A1572" s="31" t="s">
        <v>2268</v>
      </c>
      <c r="B1572" s="31" t="s">
        <v>497</v>
      </c>
      <c r="C1572" s="31" t="s">
        <v>498</v>
      </c>
      <c r="D1572" s="31" t="s">
        <v>3791</v>
      </c>
      <c r="E1572" s="31" t="s">
        <v>3792</v>
      </c>
      <c r="F1572" s="31" t="s">
        <v>218</v>
      </c>
      <c r="G1572" s="32">
        <v>1743.3637419926499</v>
      </c>
      <c r="H1572" s="33">
        <v>0</v>
      </c>
      <c r="I1572" s="34">
        <v>1</v>
      </c>
      <c r="J1572" s="34">
        <v>1743.3637419926499</v>
      </c>
      <c r="K1572" s="31" t="s">
        <v>2269</v>
      </c>
      <c r="L1572" s="31">
        <v>9</v>
      </c>
      <c r="M1572" s="31" t="s">
        <v>3793</v>
      </c>
      <c r="N1572" s="34">
        <v>1</v>
      </c>
      <c r="O1572" s="35">
        <v>0</v>
      </c>
      <c r="P1572" s="35">
        <v>274</v>
      </c>
      <c r="Q1572" s="35">
        <v>0</v>
      </c>
      <c r="R1572" s="36">
        <v>5.0599999999999996</v>
      </c>
      <c r="S1572" s="37" t="str">
        <f>IFERROR(_xlfn.XLOOKUP(R1572,'1_Presupuesto'!$E:$E,'1_Presupuesto'!$D:$D),"")</f>
        <v>Albañilería MO</v>
      </c>
    </row>
    <row r="1573" spans="1:19" x14ac:dyDescent="0.35">
      <c r="A1573" s="31" t="s">
        <v>2560</v>
      </c>
      <c r="B1573" s="31" t="s">
        <v>203</v>
      </c>
      <c r="C1573" s="31"/>
      <c r="D1573" s="31" t="s">
        <v>3794</v>
      </c>
      <c r="E1573" s="31" t="s">
        <v>3795</v>
      </c>
      <c r="F1573" s="31"/>
      <c r="G1573" s="32">
        <v>1</v>
      </c>
      <c r="H1573" s="33">
        <v>0</v>
      </c>
      <c r="I1573" s="34">
        <v>324.35467767922802</v>
      </c>
      <c r="J1573" s="34">
        <v>324.35467767922802</v>
      </c>
      <c r="K1573" s="31" t="s">
        <v>2569</v>
      </c>
      <c r="L1573" s="31">
        <v>2</v>
      </c>
      <c r="M1573" s="31" t="s">
        <v>3796</v>
      </c>
      <c r="N1573" s="34">
        <v>13</v>
      </c>
      <c r="O1573" s="35">
        <v>0</v>
      </c>
      <c r="P1573" s="35">
        <v>101</v>
      </c>
      <c r="Q1573" s="35">
        <v>0</v>
      </c>
      <c r="R1573" s="36">
        <v>11.01</v>
      </c>
      <c r="S1573" s="37" t="str">
        <f>IFERROR(_xlfn.XLOOKUP(R1573,'1_Presupuesto'!$E:$E,'1_Presupuesto'!$D:$D),"")</f>
        <v>Revestimiento MO</v>
      </c>
    </row>
    <row r="1574" spans="1:19" x14ac:dyDescent="0.35">
      <c r="A1574" s="31" t="s">
        <v>2571</v>
      </c>
      <c r="B1574" s="31" t="s">
        <v>203</v>
      </c>
      <c r="C1574" s="31"/>
      <c r="D1574" s="31" t="s">
        <v>3794</v>
      </c>
      <c r="E1574" s="31" t="s">
        <v>3795</v>
      </c>
      <c r="F1574" s="31"/>
      <c r="G1574" s="32">
        <v>1</v>
      </c>
      <c r="H1574" s="33">
        <v>0</v>
      </c>
      <c r="I1574" s="34">
        <v>324.35467767922802</v>
      </c>
      <c r="J1574" s="34">
        <v>324.35467767922802</v>
      </c>
      <c r="K1574" s="31" t="s">
        <v>2580</v>
      </c>
      <c r="L1574" s="31">
        <v>2</v>
      </c>
      <c r="M1574" s="31" t="s">
        <v>3797</v>
      </c>
      <c r="N1574" s="34">
        <v>13</v>
      </c>
      <c r="O1574" s="35">
        <v>0</v>
      </c>
      <c r="P1574" s="35">
        <v>898</v>
      </c>
      <c r="Q1574" s="35">
        <v>0</v>
      </c>
      <c r="R1574" s="36">
        <v>11.02</v>
      </c>
      <c r="S1574" s="37" t="str">
        <f>IFERROR(_xlfn.XLOOKUP(R1574,'1_Presupuesto'!$E:$E,'1_Presupuesto'!$D:$D),"")</f>
        <v>Revestimiento MO</v>
      </c>
    </row>
    <row r="1575" spans="1:19" x14ac:dyDescent="0.35">
      <c r="A1575" s="31" t="s">
        <v>2582</v>
      </c>
      <c r="B1575" s="31" t="s">
        <v>203</v>
      </c>
      <c r="C1575" s="31"/>
      <c r="D1575" s="31" t="s">
        <v>3794</v>
      </c>
      <c r="E1575" s="31" t="s">
        <v>3795</v>
      </c>
      <c r="F1575" s="31"/>
      <c r="G1575" s="32">
        <v>1</v>
      </c>
      <c r="H1575" s="33">
        <v>0</v>
      </c>
      <c r="I1575" s="34">
        <v>324.35467767922802</v>
      </c>
      <c r="J1575" s="34">
        <v>324.35467767922802</v>
      </c>
      <c r="K1575" s="31" t="s">
        <v>2591</v>
      </c>
      <c r="L1575" s="31">
        <v>2</v>
      </c>
      <c r="M1575" s="31" t="s">
        <v>3798</v>
      </c>
      <c r="N1575" s="34">
        <v>10</v>
      </c>
      <c r="O1575" s="35">
        <v>0</v>
      </c>
      <c r="P1575" s="35">
        <v>88</v>
      </c>
      <c r="Q1575" s="35">
        <v>0</v>
      </c>
      <c r="R1575" s="36">
        <v>11.03</v>
      </c>
      <c r="S1575" s="37" t="str">
        <f>IFERROR(_xlfn.XLOOKUP(R1575,'1_Presupuesto'!$E:$E,'1_Presupuesto'!$D:$D),"")</f>
        <v>Revestimiento MO</v>
      </c>
    </row>
    <row r="1576" spans="1:19" x14ac:dyDescent="0.35">
      <c r="A1576" s="31" t="s">
        <v>2593</v>
      </c>
      <c r="B1576" s="31" t="s">
        <v>203</v>
      </c>
      <c r="C1576" s="31"/>
      <c r="D1576" s="31" t="s">
        <v>3794</v>
      </c>
      <c r="E1576" s="31" t="s">
        <v>3795</v>
      </c>
      <c r="F1576" s="31"/>
      <c r="G1576" s="32">
        <v>1</v>
      </c>
      <c r="H1576" s="33">
        <v>0</v>
      </c>
      <c r="I1576" s="34">
        <v>324.35467767922802</v>
      </c>
      <c r="J1576" s="34">
        <v>324.35467767922802</v>
      </c>
      <c r="K1576" s="31" t="s">
        <v>2602</v>
      </c>
      <c r="L1576" s="31">
        <v>2</v>
      </c>
      <c r="M1576" s="31" t="s">
        <v>3799</v>
      </c>
      <c r="N1576" s="34">
        <v>13</v>
      </c>
      <c r="O1576" s="35">
        <v>0</v>
      </c>
      <c r="P1576" s="35">
        <v>63</v>
      </c>
      <c r="Q1576" s="35">
        <v>0</v>
      </c>
      <c r="R1576" s="36">
        <v>11.04</v>
      </c>
      <c r="S1576" s="37" t="str">
        <f>IFERROR(_xlfn.XLOOKUP(R1576,'1_Presupuesto'!$E:$E,'1_Presupuesto'!$D:$D),"")</f>
        <v>Revestimiento MO</v>
      </c>
    </row>
    <row r="1577" spans="1:19" x14ac:dyDescent="0.35">
      <c r="A1577" s="31" t="s">
        <v>2614</v>
      </c>
      <c r="B1577" s="31" t="s">
        <v>203</v>
      </c>
      <c r="C1577" s="31"/>
      <c r="D1577" s="31" t="s">
        <v>3794</v>
      </c>
      <c r="E1577" s="31" t="s">
        <v>3795</v>
      </c>
      <c r="F1577" s="31"/>
      <c r="G1577" s="32">
        <v>1</v>
      </c>
      <c r="H1577" s="33">
        <v>0</v>
      </c>
      <c r="I1577" s="34">
        <v>324.35467767922802</v>
      </c>
      <c r="J1577" s="34">
        <v>324.35467767922802</v>
      </c>
      <c r="K1577" s="31" t="s">
        <v>2623</v>
      </c>
      <c r="L1577" s="31">
        <v>2</v>
      </c>
      <c r="M1577" s="31" t="s">
        <v>3800</v>
      </c>
      <c r="N1577" s="34">
        <v>13</v>
      </c>
      <c r="O1577" s="35">
        <v>0</v>
      </c>
      <c r="P1577" s="35">
        <v>180</v>
      </c>
      <c r="Q1577" s="35">
        <v>0</v>
      </c>
      <c r="R1577" s="36">
        <v>11.07</v>
      </c>
      <c r="S1577" s="37" t="str">
        <f>IFERROR(_xlfn.XLOOKUP(R1577,'1_Presupuesto'!$E:$E,'1_Presupuesto'!$D:$D),"")</f>
        <v>Revestimiento MO</v>
      </c>
    </row>
    <row r="1578" spans="1:19" x14ac:dyDescent="0.35">
      <c r="A1578" s="31" t="s">
        <v>2638</v>
      </c>
      <c r="B1578" s="31" t="s">
        <v>203</v>
      </c>
      <c r="C1578" s="31"/>
      <c r="D1578" s="31" t="s">
        <v>3794</v>
      </c>
      <c r="E1578" s="31" t="s">
        <v>3795</v>
      </c>
      <c r="F1578" s="31"/>
      <c r="G1578" s="32">
        <v>1</v>
      </c>
      <c r="H1578" s="33">
        <v>0</v>
      </c>
      <c r="I1578" s="34">
        <v>324.35467767922802</v>
      </c>
      <c r="J1578" s="34">
        <v>324.35467767922802</v>
      </c>
      <c r="K1578" s="31" t="s">
        <v>2647</v>
      </c>
      <c r="L1578" s="31">
        <v>2</v>
      </c>
      <c r="M1578" s="31" t="s">
        <v>3801</v>
      </c>
      <c r="N1578" s="34">
        <v>30</v>
      </c>
      <c r="O1578" s="35">
        <v>0</v>
      </c>
      <c r="P1578" s="35">
        <v>282</v>
      </c>
      <c r="Q1578" s="35">
        <v>0</v>
      </c>
      <c r="R1578" s="36">
        <v>12.02</v>
      </c>
      <c r="S1578" s="37" t="str">
        <f>IFERROR(_xlfn.XLOOKUP(R1578,'1_Presupuesto'!$E:$E,'1_Presupuesto'!$D:$D),"")</f>
        <v>Revestimiento MO</v>
      </c>
    </row>
    <row r="1579" spans="1:19" x14ac:dyDescent="0.35">
      <c r="A1579" s="31" t="s">
        <v>2649</v>
      </c>
      <c r="B1579" s="31" t="s">
        <v>203</v>
      </c>
      <c r="C1579" s="31"/>
      <c r="D1579" s="31" t="s">
        <v>3794</v>
      </c>
      <c r="E1579" s="31" t="s">
        <v>3795</v>
      </c>
      <c r="F1579" s="31"/>
      <c r="G1579" s="32">
        <v>1</v>
      </c>
      <c r="H1579" s="33">
        <v>0</v>
      </c>
      <c r="I1579" s="34">
        <v>324.35467767922802</v>
      </c>
      <c r="J1579" s="34">
        <v>324.35467767922802</v>
      </c>
      <c r="K1579" s="31" t="s">
        <v>2658</v>
      </c>
      <c r="L1579" s="31">
        <v>2</v>
      </c>
      <c r="M1579" s="31" t="s">
        <v>3802</v>
      </c>
      <c r="N1579" s="34">
        <v>30</v>
      </c>
      <c r="O1579" s="35">
        <v>0</v>
      </c>
      <c r="P1579" s="35">
        <v>263</v>
      </c>
      <c r="Q1579" s="35">
        <v>0</v>
      </c>
      <c r="R1579" s="36">
        <v>12.03</v>
      </c>
      <c r="S1579" s="37" t="str">
        <f>IFERROR(_xlfn.XLOOKUP(R1579,'1_Presupuesto'!$E:$E,'1_Presupuesto'!$D:$D),"")</f>
        <v>Revestimiento MO</v>
      </c>
    </row>
    <row r="1580" spans="1:19" x14ac:dyDescent="0.35">
      <c r="A1580" s="31" t="s">
        <v>2660</v>
      </c>
      <c r="B1580" s="31" t="s">
        <v>203</v>
      </c>
      <c r="C1580" s="31"/>
      <c r="D1580" s="31" t="s">
        <v>3794</v>
      </c>
      <c r="E1580" s="31" t="s">
        <v>3795</v>
      </c>
      <c r="F1580" s="31"/>
      <c r="G1580" s="32">
        <v>1</v>
      </c>
      <c r="H1580" s="33">
        <v>0</v>
      </c>
      <c r="I1580" s="34">
        <v>324.35467767922802</v>
      </c>
      <c r="J1580" s="34">
        <v>324.35467767922802</v>
      </c>
      <c r="K1580" s="31" t="s">
        <v>2669</v>
      </c>
      <c r="L1580" s="31">
        <v>2</v>
      </c>
      <c r="M1580" s="31" t="s">
        <v>3803</v>
      </c>
      <c r="N1580" s="34">
        <v>30</v>
      </c>
      <c r="O1580" s="35">
        <v>0</v>
      </c>
      <c r="P1580" s="35">
        <v>25</v>
      </c>
      <c r="Q1580" s="35">
        <v>0</v>
      </c>
      <c r="R1580" s="36">
        <v>12.04</v>
      </c>
      <c r="S1580" s="37" t="str">
        <f>IFERROR(_xlfn.XLOOKUP(R1580,'1_Presupuesto'!$E:$E,'1_Presupuesto'!$D:$D),"")</f>
        <v>Revestimiento MO</v>
      </c>
    </row>
    <row r="1581" spans="1:19" x14ac:dyDescent="0.35">
      <c r="A1581" s="31" t="s">
        <v>2671</v>
      </c>
      <c r="B1581" s="31" t="s">
        <v>203</v>
      </c>
      <c r="C1581" s="31"/>
      <c r="D1581" s="31" t="s">
        <v>3794</v>
      </c>
      <c r="E1581" s="31" t="s">
        <v>3795</v>
      </c>
      <c r="F1581" s="31"/>
      <c r="G1581" s="32">
        <v>1</v>
      </c>
      <c r="H1581" s="33">
        <v>0</v>
      </c>
      <c r="I1581" s="34">
        <v>324.35467767922802</v>
      </c>
      <c r="J1581" s="34">
        <v>324.35467767922802</v>
      </c>
      <c r="K1581" s="31" t="s">
        <v>2680</v>
      </c>
      <c r="L1581" s="31">
        <v>2</v>
      </c>
      <c r="M1581" s="31" t="s">
        <v>3804</v>
      </c>
      <c r="N1581" s="34">
        <v>10</v>
      </c>
      <c r="O1581" s="35">
        <v>0</v>
      </c>
      <c r="P1581" s="35">
        <v>493</v>
      </c>
      <c r="Q1581" s="35">
        <v>0</v>
      </c>
      <c r="R1581" s="36">
        <v>13.01</v>
      </c>
      <c r="S1581" s="37" t="str">
        <f>IFERROR(_xlfn.XLOOKUP(R1581,'1_Presupuesto'!$E:$E,'1_Presupuesto'!$D:$D),"")</f>
        <v>Revestimiento MO</v>
      </c>
    </row>
    <row r="1582" spans="1:19" x14ac:dyDescent="0.35">
      <c r="A1582" s="31" t="s">
        <v>2682</v>
      </c>
      <c r="B1582" s="31" t="s">
        <v>203</v>
      </c>
      <c r="C1582" s="31"/>
      <c r="D1582" s="31" t="s">
        <v>3794</v>
      </c>
      <c r="E1582" s="31" t="s">
        <v>3795</v>
      </c>
      <c r="F1582" s="31"/>
      <c r="G1582" s="32">
        <v>1</v>
      </c>
      <c r="H1582" s="33">
        <v>0</v>
      </c>
      <c r="I1582" s="34">
        <v>324.35467767922802</v>
      </c>
      <c r="J1582" s="34">
        <v>324.35467767922802</v>
      </c>
      <c r="K1582" s="31" t="s">
        <v>2691</v>
      </c>
      <c r="L1582" s="31">
        <v>2</v>
      </c>
      <c r="M1582" s="31" t="s">
        <v>3805</v>
      </c>
      <c r="N1582" s="34">
        <v>10</v>
      </c>
      <c r="O1582" s="35">
        <v>0</v>
      </c>
      <c r="P1582" s="35">
        <v>82</v>
      </c>
      <c r="Q1582" s="35">
        <v>0</v>
      </c>
      <c r="R1582" s="36">
        <v>13.02</v>
      </c>
      <c r="S1582" s="37" t="str">
        <f>IFERROR(_xlfn.XLOOKUP(R1582,'1_Presupuesto'!$E:$E,'1_Presupuesto'!$D:$D),"")</f>
        <v>Revestimiento MO</v>
      </c>
    </row>
    <row r="1583" spans="1:19" x14ac:dyDescent="0.35">
      <c r="A1583" s="31" t="s">
        <v>2693</v>
      </c>
      <c r="B1583" s="31" t="s">
        <v>203</v>
      </c>
      <c r="C1583" s="31"/>
      <c r="D1583" s="31" t="s">
        <v>3794</v>
      </c>
      <c r="E1583" s="31" t="s">
        <v>3795</v>
      </c>
      <c r="F1583" s="31"/>
      <c r="G1583" s="32">
        <v>1</v>
      </c>
      <c r="H1583" s="33">
        <v>0</v>
      </c>
      <c r="I1583" s="34">
        <v>324.35467767922802</v>
      </c>
      <c r="J1583" s="34">
        <v>324.35467767922802</v>
      </c>
      <c r="K1583" s="31" t="s">
        <v>2702</v>
      </c>
      <c r="L1583" s="31">
        <v>2</v>
      </c>
      <c r="M1583" s="31" t="s">
        <v>3806</v>
      </c>
      <c r="N1583" s="34">
        <v>30</v>
      </c>
      <c r="O1583" s="35">
        <v>0</v>
      </c>
      <c r="P1583" s="35">
        <v>152</v>
      </c>
      <c r="Q1583" s="35">
        <v>0</v>
      </c>
      <c r="R1583" s="36">
        <v>13.03</v>
      </c>
      <c r="S1583" s="37" t="str">
        <f>IFERROR(_xlfn.XLOOKUP(R1583,'1_Presupuesto'!$E:$E,'1_Presupuesto'!$D:$D),"")</f>
        <v>Revestimiento MO</v>
      </c>
    </row>
    <row r="1584" spans="1:19" x14ac:dyDescent="0.35">
      <c r="A1584" s="31" t="s">
        <v>2779</v>
      </c>
      <c r="B1584" s="31" t="s">
        <v>203</v>
      </c>
      <c r="C1584" s="31"/>
      <c r="D1584" s="31" t="s">
        <v>1126</v>
      </c>
      <c r="E1584" s="31" t="s">
        <v>1127</v>
      </c>
      <c r="F1584" s="31"/>
      <c r="G1584" s="32">
        <v>1</v>
      </c>
      <c r="H1584" s="33">
        <v>0</v>
      </c>
      <c r="I1584" s="34">
        <v>217.65359719478201</v>
      </c>
      <c r="J1584" s="34">
        <v>217.65359719478201</v>
      </c>
      <c r="K1584" s="31" t="s">
        <v>2791</v>
      </c>
      <c r="L1584" s="31">
        <v>2</v>
      </c>
      <c r="M1584" s="31" t="s">
        <v>3807</v>
      </c>
      <c r="N1584" s="34">
        <v>20</v>
      </c>
      <c r="O1584" s="35">
        <v>0</v>
      </c>
      <c r="P1584" s="35">
        <v>2180</v>
      </c>
      <c r="Q1584" s="35">
        <v>0</v>
      </c>
      <c r="R1584" s="36">
        <v>15.01</v>
      </c>
      <c r="S1584" s="37">
        <f>IFERROR(_xlfn.XLOOKUP(R1584,'1_Presupuesto'!$E:$E,'1_Presupuesto'!$D:$D),"")</f>
        <v>0</v>
      </c>
    </row>
    <row r="1585" spans="1:19" x14ac:dyDescent="0.35">
      <c r="A1585" s="31" t="s">
        <v>2793</v>
      </c>
      <c r="B1585" s="31" t="s">
        <v>203</v>
      </c>
      <c r="C1585" s="31"/>
      <c r="D1585" s="31" t="s">
        <v>1126</v>
      </c>
      <c r="E1585" s="31" t="s">
        <v>1127</v>
      </c>
      <c r="F1585" s="31"/>
      <c r="G1585" s="32">
        <v>1</v>
      </c>
      <c r="H1585" s="33">
        <v>0</v>
      </c>
      <c r="I1585" s="34">
        <v>217.65359719478201</v>
      </c>
      <c r="J1585" s="34">
        <v>217.65359719478201</v>
      </c>
      <c r="K1585" s="31" t="s">
        <v>2803</v>
      </c>
      <c r="L1585" s="31">
        <v>2</v>
      </c>
      <c r="M1585" s="31" t="s">
        <v>3808</v>
      </c>
      <c r="N1585" s="34">
        <v>25</v>
      </c>
      <c r="O1585" s="35">
        <v>0</v>
      </c>
      <c r="P1585" s="35">
        <v>525</v>
      </c>
      <c r="Q1585" s="35">
        <v>0</v>
      </c>
      <c r="R1585" s="36">
        <v>15.02</v>
      </c>
      <c r="S1585" s="37">
        <f>IFERROR(_xlfn.XLOOKUP(R1585,'1_Presupuesto'!$E:$E,'1_Presupuesto'!$D:$D),"")</f>
        <v>0</v>
      </c>
    </row>
    <row r="1586" spans="1:19" x14ac:dyDescent="0.35">
      <c r="A1586" s="31" t="s">
        <v>2805</v>
      </c>
      <c r="B1586" s="31" t="s">
        <v>203</v>
      </c>
      <c r="C1586" s="31"/>
      <c r="D1586" s="31" t="s">
        <v>1126</v>
      </c>
      <c r="E1586" s="31" t="s">
        <v>1127</v>
      </c>
      <c r="F1586" s="31"/>
      <c r="G1586" s="32">
        <v>1</v>
      </c>
      <c r="H1586" s="33">
        <v>0</v>
      </c>
      <c r="I1586" s="34">
        <v>217.65359719478201</v>
      </c>
      <c r="J1586" s="34">
        <v>217.65359719478201</v>
      </c>
      <c r="K1586" s="31" t="s">
        <v>2817</v>
      </c>
      <c r="L1586" s="31">
        <v>3</v>
      </c>
      <c r="M1586" s="31" t="s">
        <v>3809</v>
      </c>
      <c r="N1586" s="34">
        <v>17.5</v>
      </c>
      <c r="O1586" s="35">
        <v>0</v>
      </c>
      <c r="P1586" s="35">
        <v>136</v>
      </c>
      <c r="Q1586" s="35">
        <v>0</v>
      </c>
      <c r="R1586" s="36">
        <v>15.03</v>
      </c>
      <c r="S1586" s="37">
        <f>IFERROR(_xlfn.XLOOKUP(R1586,'1_Presupuesto'!$E:$E,'1_Presupuesto'!$D:$D),"")</f>
        <v>0</v>
      </c>
    </row>
    <row r="1587" spans="1:19" x14ac:dyDescent="0.35">
      <c r="A1587" s="31" t="s">
        <v>2820</v>
      </c>
      <c r="B1587" s="31" t="s">
        <v>203</v>
      </c>
      <c r="C1587" s="31"/>
      <c r="D1587" s="31" t="s">
        <v>1126</v>
      </c>
      <c r="E1587" s="31" t="s">
        <v>1127</v>
      </c>
      <c r="F1587" s="31"/>
      <c r="G1587" s="32">
        <v>1</v>
      </c>
      <c r="H1587" s="33">
        <v>0</v>
      </c>
      <c r="I1587" s="34">
        <v>217.65359719478201</v>
      </c>
      <c r="J1587" s="34">
        <v>217.65359719478201</v>
      </c>
      <c r="K1587" s="31" t="s">
        <v>2832</v>
      </c>
      <c r="L1587" s="31">
        <v>3</v>
      </c>
      <c r="M1587" s="31" t="s">
        <v>3810</v>
      </c>
      <c r="N1587" s="34">
        <v>17.5</v>
      </c>
      <c r="O1587" s="35">
        <v>0</v>
      </c>
      <c r="P1587" s="35">
        <v>296</v>
      </c>
      <c r="Q1587" s="35">
        <v>0</v>
      </c>
      <c r="R1587" s="36">
        <v>15.04</v>
      </c>
      <c r="S1587" s="37">
        <f>IFERROR(_xlfn.XLOOKUP(R1587,'1_Presupuesto'!$E:$E,'1_Presupuesto'!$D:$D),"")</f>
        <v>0</v>
      </c>
    </row>
    <row r="1588" spans="1:19" x14ac:dyDescent="0.35">
      <c r="A1588" s="31" t="s">
        <v>2835</v>
      </c>
      <c r="B1588" s="31" t="s">
        <v>203</v>
      </c>
      <c r="C1588" s="31"/>
      <c r="D1588" s="31" t="s">
        <v>1126</v>
      </c>
      <c r="E1588" s="31" t="s">
        <v>1127</v>
      </c>
      <c r="F1588" s="31"/>
      <c r="G1588" s="32">
        <v>1</v>
      </c>
      <c r="H1588" s="33">
        <v>0</v>
      </c>
      <c r="I1588" s="34">
        <v>217.65359719478201</v>
      </c>
      <c r="J1588" s="34">
        <v>217.65359719478201</v>
      </c>
      <c r="K1588" s="31" t="s">
        <v>2847</v>
      </c>
      <c r="L1588" s="31">
        <v>2</v>
      </c>
      <c r="M1588" s="31" t="s">
        <v>3811</v>
      </c>
      <c r="N1588" s="34">
        <v>20</v>
      </c>
      <c r="O1588" s="35">
        <v>0</v>
      </c>
      <c r="P1588" s="35">
        <v>668</v>
      </c>
      <c r="Q1588" s="35">
        <v>0</v>
      </c>
      <c r="R1588" s="36">
        <v>15.05</v>
      </c>
      <c r="S1588" s="37">
        <f>IFERROR(_xlfn.XLOOKUP(R1588,'1_Presupuesto'!$E:$E,'1_Presupuesto'!$D:$D),"")</f>
        <v>0</v>
      </c>
    </row>
    <row r="1589" spans="1:19" x14ac:dyDescent="0.35">
      <c r="A1589" s="31" t="s">
        <v>2849</v>
      </c>
      <c r="B1589" s="31" t="s">
        <v>203</v>
      </c>
      <c r="C1589" s="31"/>
      <c r="D1589" s="31" t="s">
        <v>1126</v>
      </c>
      <c r="E1589" s="31" t="s">
        <v>1127</v>
      </c>
      <c r="F1589" s="31"/>
      <c r="G1589" s="32">
        <v>1</v>
      </c>
      <c r="H1589" s="33">
        <v>0</v>
      </c>
      <c r="I1589" s="34">
        <v>217.65359719478201</v>
      </c>
      <c r="J1589" s="34">
        <v>217.65359719478201</v>
      </c>
      <c r="K1589" s="31" t="s">
        <v>2859</v>
      </c>
      <c r="L1589" s="31">
        <v>2</v>
      </c>
      <c r="M1589" s="31" t="s">
        <v>3812</v>
      </c>
      <c r="N1589" s="34">
        <v>25</v>
      </c>
      <c r="O1589" s="35">
        <v>0</v>
      </c>
      <c r="P1589" s="35">
        <v>281</v>
      </c>
      <c r="Q1589" s="35">
        <v>0</v>
      </c>
      <c r="R1589" s="36">
        <v>15.06</v>
      </c>
      <c r="S1589" s="37">
        <f>IFERROR(_xlfn.XLOOKUP(R1589,'1_Presupuesto'!$E:$E,'1_Presupuesto'!$D:$D),"")</f>
        <v>0</v>
      </c>
    </row>
    <row r="1590" spans="1:19" x14ac:dyDescent="0.35">
      <c r="A1590" s="31" t="s">
        <v>1190</v>
      </c>
      <c r="B1590" s="31" t="s">
        <v>497</v>
      </c>
      <c r="C1590" s="31" t="s">
        <v>498</v>
      </c>
      <c r="D1590" s="31" t="s">
        <v>1224</v>
      </c>
      <c r="E1590" s="31" t="s">
        <v>1225</v>
      </c>
      <c r="F1590" s="31" t="s">
        <v>739</v>
      </c>
      <c r="G1590" s="32">
        <v>0.2</v>
      </c>
      <c r="H1590" s="33">
        <v>0.05</v>
      </c>
      <c r="I1590" s="34">
        <v>3720.15</v>
      </c>
      <c r="J1590" s="34">
        <v>781.23149999999998</v>
      </c>
      <c r="K1590" s="31" t="s">
        <v>1193</v>
      </c>
      <c r="L1590" s="31">
        <v>5</v>
      </c>
      <c r="M1590" s="31" t="s">
        <v>3813</v>
      </c>
      <c r="N1590" s="34">
        <v>13</v>
      </c>
      <c r="O1590" s="35">
        <v>0</v>
      </c>
      <c r="P1590" s="35" t="s">
        <v>212</v>
      </c>
      <c r="Q1590" s="35">
        <v>0</v>
      </c>
      <c r="R1590" s="36" t="s">
        <v>212</v>
      </c>
      <c r="S1590" s="37" t="str">
        <f>IFERROR(_xlfn.XLOOKUP(R1590,'1_Presupuesto'!$E:$E,'1_Presupuesto'!$D:$D),"")</f>
        <v/>
      </c>
    </row>
    <row r="1591" spans="1:19" x14ac:dyDescent="0.35">
      <c r="A1591" s="31" t="s">
        <v>1209</v>
      </c>
      <c r="B1591" s="31" t="s">
        <v>497</v>
      </c>
      <c r="C1591" s="31" t="s">
        <v>498</v>
      </c>
      <c r="D1591" s="31" t="s">
        <v>1224</v>
      </c>
      <c r="E1591" s="31" t="s">
        <v>1225</v>
      </c>
      <c r="F1591" s="31" t="s">
        <v>739</v>
      </c>
      <c r="G1591" s="32">
        <v>0.2</v>
      </c>
      <c r="H1591" s="33">
        <v>0.05</v>
      </c>
      <c r="I1591" s="34">
        <v>3720.15</v>
      </c>
      <c r="J1591" s="34">
        <v>781.23149999999998</v>
      </c>
      <c r="K1591" s="31" t="s">
        <v>1210</v>
      </c>
      <c r="L1591" s="31">
        <v>5</v>
      </c>
      <c r="M1591" s="31" t="s">
        <v>3814</v>
      </c>
      <c r="N1591" s="34">
        <v>10</v>
      </c>
      <c r="O1591" s="35">
        <v>0</v>
      </c>
      <c r="P1591" s="35" t="s">
        <v>212</v>
      </c>
      <c r="Q1591" s="35">
        <v>0</v>
      </c>
      <c r="R1591" s="36" t="s">
        <v>212</v>
      </c>
      <c r="S1591" s="37" t="str">
        <f>IFERROR(_xlfn.XLOOKUP(R1591,'1_Presupuesto'!$E:$E,'1_Presupuesto'!$D:$D),"")</f>
        <v/>
      </c>
    </row>
    <row r="1592" spans="1:19" x14ac:dyDescent="0.35">
      <c r="A1592" s="31" t="s">
        <v>2560</v>
      </c>
      <c r="B1592" s="31" t="s">
        <v>497</v>
      </c>
      <c r="C1592" s="31" t="s">
        <v>498</v>
      </c>
      <c r="D1592" s="31" t="s">
        <v>1224</v>
      </c>
      <c r="E1592" s="31" t="s">
        <v>1225</v>
      </c>
      <c r="F1592" s="31" t="s">
        <v>739</v>
      </c>
      <c r="G1592" s="32">
        <v>0.2</v>
      </c>
      <c r="H1592" s="33">
        <v>0.05</v>
      </c>
      <c r="I1592" s="34">
        <v>3720.15</v>
      </c>
      <c r="J1592" s="34">
        <v>781.23149999999998</v>
      </c>
      <c r="K1592" s="31" t="s">
        <v>2561</v>
      </c>
      <c r="L1592" s="31">
        <v>5</v>
      </c>
      <c r="M1592" s="31" t="s">
        <v>3815</v>
      </c>
      <c r="N1592" s="34">
        <v>13</v>
      </c>
      <c r="O1592" s="35">
        <v>0</v>
      </c>
      <c r="P1592" s="35">
        <v>101</v>
      </c>
      <c r="Q1592" s="35">
        <v>0</v>
      </c>
      <c r="R1592" s="36">
        <v>11.01</v>
      </c>
      <c r="S1592" s="37" t="str">
        <f>IFERROR(_xlfn.XLOOKUP(R1592,'1_Presupuesto'!$E:$E,'1_Presupuesto'!$D:$D),"")</f>
        <v>Revestimiento MO</v>
      </c>
    </row>
    <row r="1593" spans="1:19" x14ac:dyDescent="0.35">
      <c r="A1593" s="31" t="s">
        <v>2571</v>
      </c>
      <c r="B1593" s="31" t="s">
        <v>497</v>
      </c>
      <c r="C1593" s="31" t="s">
        <v>498</v>
      </c>
      <c r="D1593" s="31" t="s">
        <v>1224</v>
      </c>
      <c r="E1593" s="31" t="s">
        <v>1225</v>
      </c>
      <c r="F1593" s="31" t="s">
        <v>739</v>
      </c>
      <c r="G1593" s="32">
        <v>0.2</v>
      </c>
      <c r="H1593" s="33">
        <v>0.05</v>
      </c>
      <c r="I1593" s="34">
        <v>3720.15</v>
      </c>
      <c r="J1593" s="34">
        <v>781.23149999999998</v>
      </c>
      <c r="K1593" s="31" t="s">
        <v>2572</v>
      </c>
      <c r="L1593" s="31">
        <v>5</v>
      </c>
      <c r="M1593" s="31" t="s">
        <v>3816</v>
      </c>
      <c r="N1593" s="34">
        <v>13</v>
      </c>
      <c r="O1593" s="35">
        <v>0</v>
      </c>
      <c r="P1593" s="35">
        <v>898</v>
      </c>
      <c r="Q1593" s="35">
        <v>0</v>
      </c>
      <c r="R1593" s="36">
        <v>11.02</v>
      </c>
      <c r="S1593" s="37" t="str">
        <f>IFERROR(_xlfn.XLOOKUP(R1593,'1_Presupuesto'!$E:$E,'1_Presupuesto'!$D:$D),"")</f>
        <v>Revestimiento MO</v>
      </c>
    </row>
    <row r="1594" spans="1:19" x14ac:dyDescent="0.35">
      <c r="A1594" s="31" t="s">
        <v>2582</v>
      </c>
      <c r="B1594" s="31" t="s">
        <v>497</v>
      </c>
      <c r="C1594" s="31" t="s">
        <v>498</v>
      </c>
      <c r="D1594" s="31" t="s">
        <v>1224</v>
      </c>
      <c r="E1594" s="31" t="s">
        <v>1225</v>
      </c>
      <c r="F1594" s="31" t="s">
        <v>739</v>
      </c>
      <c r="G1594" s="32">
        <v>0.2</v>
      </c>
      <c r="H1594" s="33">
        <v>0.05</v>
      </c>
      <c r="I1594" s="34">
        <v>3720.15</v>
      </c>
      <c r="J1594" s="34">
        <v>781.23149999999998</v>
      </c>
      <c r="K1594" s="31" t="s">
        <v>2583</v>
      </c>
      <c r="L1594" s="31">
        <v>5</v>
      </c>
      <c r="M1594" s="31" t="s">
        <v>3817</v>
      </c>
      <c r="N1594" s="34">
        <v>10</v>
      </c>
      <c r="O1594" s="35">
        <v>0</v>
      </c>
      <c r="P1594" s="35">
        <v>88</v>
      </c>
      <c r="Q1594" s="35">
        <v>0</v>
      </c>
      <c r="R1594" s="36">
        <v>11.03</v>
      </c>
      <c r="S1594" s="37" t="str">
        <f>IFERROR(_xlfn.XLOOKUP(R1594,'1_Presupuesto'!$E:$E,'1_Presupuesto'!$D:$D),"")</f>
        <v>Revestimiento MO</v>
      </c>
    </row>
    <row r="1595" spans="1:19" x14ac:dyDescent="0.35">
      <c r="A1595" s="31" t="s">
        <v>2593</v>
      </c>
      <c r="B1595" s="31" t="s">
        <v>497</v>
      </c>
      <c r="C1595" s="31" t="s">
        <v>498</v>
      </c>
      <c r="D1595" s="31" t="s">
        <v>1224</v>
      </c>
      <c r="E1595" s="31" t="s">
        <v>1225</v>
      </c>
      <c r="F1595" s="31" t="s">
        <v>739</v>
      </c>
      <c r="G1595" s="32">
        <v>0.2</v>
      </c>
      <c r="H1595" s="33">
        <v>0.05</v>
      </c>
      <c r="I1595" s="34">
        <v>3720.15</v>
      </c>
      <c r="J1595" s="34">
        <v>781.23149999999998</v>
      </c>
      <c r="K1595" s="31" t="s">
        <v>2594</v>
      </c>
      <c r="L1595" s="31">
        <v>5</v>
      </c>
      <c r="M1595" s="31" t="s">
        <v>3818</v>
      </c>
      <c r="N1595" s="34">
        <v>13</v>
      </c>
      <c r="O1595" s="35">
        <v>0</v>
      </c>
      <c r="P1595" s="35">
        <v>63</v>
      </c>
      <c r="Q1595" s="35">
        <v>0</v>
      </c>
      <c r="R1595" s="36">
        <v>11.04</v>
      </c>
      <c r="S1595" s="37" t="str">
        <f>IFERROR(_xlfn.XLOOKUP(R1595,'1_Presupuesto'!$E:$E,'1_Presupuesto'!$D:$D),"")</f>
        <v>Revestimiento MO</v>
      </c>
    </row>
    <row r="1596" spans="1:19" x14ac:dyDescent="0.35">
      <c r="A1596" s="31" t="s">
        <v>2614</v>
      </c>
      <c r="B1596" s="31" t="s">
        <v>497</v>
      </c>
      <c r="C1596" s="31" t="s">
        <v>498</v>
      </c>
      <c r="D1596" s="31" t="s">
        <v>1224</v>
      </c>
      <c r="E1596" s="31" t="s">
        <v>1225</v>
      </c>
      <c r="F1596" s="31" t="s">
        <v>739</v>
      </c>
      <c r="G1596" s="32">
        <v>0.2</v>
      </c>
      <c r="H1596" s="33">
        <v>0.05</v>
      </c>
      <c r="I1596" s="34">
        <v>3720.15</v>
      </c>
      <c r="J1596" s="34">
        <v>781.23149999999998</v>
      </c>
      <c r="K1596" s="31" t="s">
        <v>2615</v>
      </c>
      <c r="L1596" s="31">
        <v>5</v>
      </c>
      <c r="M1596" s="31" t="s">
        <v>3819</v>
      </c>
      <c r="N1596" s="34">
        <v>13</v>
      </c>
      <c r="O1596" s="35">
        <v>0</v>
      </c>
      <c r="P1596" s="35">
        <v>180</v>
      </c>
      <c r="Q1596" s="35">
        <v>0</v>
      </c>
      <c r="R1596" s="36">
        <v>11.07</v>
      </c>
      <c r="S1596" s="37" t="str">
        <f>IFERROR(_xlfn.XLOOKUP(R1596,'1_Presupuesto'!$E:$E,'1_Presupuesto'!$D:$D),"")</f>
        <v>Revestimiento MO</v>
      </c>
    </row>
    <row r="1597" spans="1:19" x14ac:dyDescent="0.35">
      <c r="A1597" s="31" t="s">
        <v>596</v>
      </c>
      <c r="B1597" s="31" t="s">
        <v>497</v>
      </c>
      <c r="C1597" s="31" t="s">
        <v>498</v>
      </c>
      <c r="D1597" s="31" t="s">
        <v>538</v>
      </c>
      <c r="E1597" s="31" t="s">
        <v>539</v>
      </c>
      <c r="F1597" s="31">
        <v>0</v>
      </c>
      <c r="G1597" s="32">
        <v>0.1</v>
      </c>
      <c r="H1597" s="33">
        <v>0.1</v>
      </c>
      <c r="I1597" s="34">
        <v>3927.28</v>
      </c>
      <c r="J1597" s="34">
        <v>432.00080000000003</v>
      </c>
      <c r="K1597" s="31" t="s">
        <v>599</v>
      </c>
      <c r="L1597" s="31">
        <v>6</v>
      </c>
      <c r="M1597" s="31" t="s">
        <v>3820</v>
      </c>
      <c r="N1597" s="34">
        <v>11.5</v>
      </c>
      <c r="O1597" s="35">
        <v>0</v>
      </c>
      <c r="P1597" s="35" t="s">
        <v>212</v>
      </c>
      <c r="Q1597" s="35">
        <v>0</v>
      </c>
      <c r="R1597" s="36" t="s">
        <v>212</v>
      </c>
      <c r="S1597" s="37" t="str">
        <f>IFERROR(_xlfn.XLOOKUP(R1597,'1_Presupuesto'!$E:$E,'1_Presupuesto'!$D:$D),"")</f>
        <v/>
      </c>
    </row>
    <row r="1598" spans="1:19" x14ac:dyDescent="0.35">
      <c r="A1598" s="31" t="s">
        <v>622</v>
      </c>
      <c r="B1598" s="31" t="s">
        <v>497</v>
      </c>
      <c r="C1598" s="31" t="s">
        <v>498</v>
      </c>
      <c r="D1598" s="31" t="s">
        <v>538</v>
      </c>
      <c r="E1598" s="31" t="s">
        <v>539</v>
      </c>
      <c r="F1598" s="31">
        <v>0</v>
      </c>
      <c r="G1598" s="32">
        <v>0.12</v>
      </c>
      <c r="H1598" s="33">
        <v>0.1</v>
      </c>
      <c r="I1598" s="34">
        <v>3927.28</v>
      </c>
      <c r="J1598" s="34">
        <v>518.40096000000005</v>
      </c>
      <c r="K1598" s="31" t="s">
        <v>623</v>
      </c>
      <c r="L1598" s="31">
        <v>6</v>
      </c>
      <c r="M1598" s="31" t="s">
        <v>3821</v>
      </c>
      <c r="N1598" s="34">
        <v>11.5</v>
      </c>
      <c r="O1598" s="35">
        <v>0</v>
      </c>
      <c r="P1598" s="35" t="s">
        <v>212</v>
      </c>
      <c r="Q1598" s="35">
        <v>0</v>
      </c>
      <c r="R1598" s="36" t="s">
        <v>212</v>
      </c>
      <c r="S1598" s="37" t="str">
        <f>IFERROR(_xlfn.XLOOKUP(R1598,'1_Presupuesto'!$E:$E,'1_Presupuesto'!$D:$D),"")</f>
        <v/>
      </c>
    </row>
    <row r="1599" spans="1:19" x14ac:dyDescent="0.35">
      <c r="A1599" s="31" t="s">
        <v>984</v>
      </c>
      <c r="B1599" s="31" t="s">
        <v>497</v>
      </c>
      <c r="C1599" s="31" t="s">
        <v>498</v>
      </c>
      <c r="D1599" s="31" t="s">
        <v>737</v>
      </c>
      <c r="E1599" s="31" t="s">
        <v>738</v>
      </c>
      <c r="F1599" s="31" t="s">
        <v>739</v>
      </c>
      <c r="G1599" s="32">
        <v>6.4000000000000001E-2</v>
      </c>
      <c r="H1599" s="33">
        <v>0.1</v>
      </c>
      <c r="I1599" s="34">
        <v>12798.14</v>
      </c>
      <c r="J1599" s="34">
        <v>900.98905600000001</v>
      </c>
      <c r="K1599" s="31" t="s">
        <v>985</v>
      </c>
      <c r="L1599" s="31">
        <v>4</v>
      </c>
      <c r="M1599" s="31" t="s">
        <v>3822</v>
      </c>
      <c r="N1599" s="34">
        <v>6</v>
      </c>
      <c r="O1599" s="35">
        <v>0</v>
      </c>
      <c r="P1599" s="35" t="s">
        <v>212</v>
      </c>
      <c r="Q1599" s="35">
        <v>0</v>
      </c>
      <c r="R1599" s="36" t="s">
        <v>212</v>
      </c>
      <c r="S1599" s="37" t="str">
        <f>IFERROR(_xlfn.XLOOKUP(R1599,'1_Presupuesto'!$E:$E,'1_Presupuesto'!$D:$D),"")</f>
        <v/>
      </c>
    </row>
    <row r="1600" spans="1:19" x14ac:dyDescent="0.35">
      <c r="A1600" s="31" t="s">
        <v>2328</v>
      </c>
      <c r="B1600" s="31" t="s">
        <v>497</v>
      </c>
      <c r="C1600" s="31" t="s">
        <v>498</v>
      </c>
      <c r="D1600" s="31" t="s">
        <v>737</v>
      </c>
      <c r="E1600" s="31" t="s">
        <v>738</v>
      </c>
      <c r="F1600" s="31" t="s">
        <v>739</v>
      </c>
      <c r="G1600" s="32">
        <v>6.4000000000000001E-2</v>
      </c>
      <c r="H1600" s="33">
        <v>0.1</v>
      </c>
      <c r="I1600" s="34">
        <v>12798.14</v>
      </c>
      <c r="J1600" s="34">
        <v>900.98905600000001</v>
      </c>
      <c r="K1600" s="31" t="s">
        <v>2329</v>
      </c>
      <c r="L1600" s="31">
        <v>4</v>
      </c>
      <c r="M1600" s="31" t="s">
        <v>3823</v>
      </c>
      <c r="N1600" s="34">
        <v>6</v>
      </c>
      <c r="O1600" s="35">
        <v>0</v>
      </c>
      <c r="P1600" s="35">
        <v>521</v>
      </c>
      <c r="Q1600" s="35">
        <v>0</v>
      </c>
      <c r="R1600" s="36">
        <v>7.04</v>
      </c>
      <c r="S1600" s="37" t="str">
        <f>IFERROR(_xlfn.XLOOKUP(R1600,'1_Presupuesto'!$E:$E,'1_Presupuesto'!$D:$D),"")</f>
        <v>Albañilería MO</v>
      </c>
    </row>
    <row r="1601" spans="1:19" x14ac:dyDescent="0.35">
      <c r="A1601" s="31" t="s">
        <v>1116</v>
      </c>
      <c r="B1601" s="31" t="s">
        <v>497</v>
      </c>
      <c r="C1601" s="31" t="s">
        <v>498</v>
      </c>
      <c r="D1601" s="31" t="s">
        <v>503</v>
      </c>
      <c r="E1601" s="31" t="s">
        <v>504</v>
      </c>
      <c r="F1601" s="31" t="s">
        <v>261</v>
      </c>
      <c r="G1601" s="32">
        <v>5.0000000000000001E-3</v>
      </c>
      <c r="H1601" s="33">
        <v>0.05</v>
      </c>
      <c r="I1601" s="34">
        <v>6442.15</v>
      </c>
      <c r="J1601" s="34">
        <v>33.821287499999997</v>
      </c>
      <c r="K1601" s="31" t="s">
        <v>1117</v>
      </c>
      <c r="L1601" s="31">
        <v>6</v>
      </c>
      <c r="M1601" s="31" t="s">
        <v>3824</v>
      </c>
      <c r="N1601" s="34">
        <v>15.5</v>
      </c>
      <c r="O1601" s="35">
        <v>0</v>
      </c>
      <c r="P1601" s="35" t="s">
        <v>212</v>
      </c>
      <c r="Q1601" s="35">
        <v>0</v>
      </c>
      <c r="R1601" s="36" t="s">
        <v>212</v>
      </c>
      <c r="S1601" s="37" t="str">
        <f>IFERROR(_xlfn.XLOOKUP(R1601,'1_Presupuesto'!$E:$E,'1_Presupuesto'!$D:$D),"")</f>
        <v/>
      </c>
    </row>
    <row r="1602" spans="1:19" x14ac:dyDescent="0.35">
      <c r="A1602" s="31" t="s">
        <v>1116</v>
      </c>
      <c r="B1602" s="31" t="s">
        <v>497</v>
      </c>
      <c r="C1602" s="31" t="s">
        <v>498</v>
      </c>
      <c r="D1602" s="31" t="s">
        <v>506</v>
      </c>
      <c r="E1602" s="31" t="s">
        <v>507</v>
      </c>
      <c r="F1602" s="31" t="s">
        <v>261</v>
      </c>
      <c r="G1602" s="32">
        <v>5.0000000000000001E-3</v>
      </c>
      <c r="H1602" s="33">
        <v>0.05</v>
      </c>
      <c r="I1602" s="34">
        <v>4418.1818181818198</v>
      </c>
      <c r="J1602" s="34">
        <v>23.195454545454599</v>
      </c>
      <c r="K1602" s="31" t="s">
        <v>1117</v>
      </c>
      <c r="L1602" s="31">
        <v>7</v>
      </c>
      <c r="M1602" s="31" t="s">
        <v>3825</v>
      </c>
      <c r="N1602" s="34">
        <v>15.5</v>
      </c>
      <c r="O1602" s="35">
        <v>0</v>
      </c>
      <c r="P1602" s="35" t="s">
        <v>212</v>
      </c>
      <c r="Q1602" s="35">
        <v>0</v>
      </c>
      <c r="R1602" s="36" t="s">
        <v>212</v>
      </c>
      <c r="S1602" s="37" t="str">
        <f>IFERROR(_xlfn.XLOOKUP(R1602,'1_Presupuesto'!$E:$E,'1_Presupuesto'!$D:$D),"")</f>
        <v/>
      </c>
    </row>
    <row r="1603" spans="1:19" x14ac:dyDescent="0.35">
      <c r="A1603" s="31" t="s">
        <v>1116</v>
      </c>
      <c r="B1603" s="31" t="s">
        <v>497</v>
      </c>
      <c r="C1603" s="31" t="s">
        <v>498</v>
      </c>
      <c r="D1603" s="31" t="s">
        <v>777</v>
      </c>
      <c r="E1603" s="31" t="s">
        <v>778</v>
      </c>
      <c r="F1603" s="31" t="s">
        <v>261</v>
      </c>
      <c r="G1603" s="32">
        <v>0.01</v>
      </c>
      <c r="H1603" s="33">
        <v>0.05</v>
      </c>
      <c r="I1603" s="34">
        <v>8173.5537190082696</v>
      </c>
      <c r="J1603" s="34">
        <v>85.822314049586794</v>
      </c>
      <c r="K1603" s="31" t="s">
        <v>1117</v>
      </c>
      <c r="L1603" s="31">
        <v>8</v>
      </c>
      <c r="M1603" s="31" t="s">
        <v>3826</v>
      </c>
      <c r="N1603" s="34">
        <v>15.5</v>
      </c>
      <c r="O1603" s="35">
        <v>0</v>
      </c>
      <c r="P1603" s="35" t="s">
        <v>212</v>
      </c>
      <c r="Q1603" s="35">
        <v>0</v>
      </c>
      <c r="R1603" s="36" t="s">
        <v>212</v>
      </c>
      <c r="S1603" s="37" t="str">
        <f>IFERROR(_xlfn.XLOOKUP(R1603,'1_Presupuesto'!$E:$E,'1_Presupuesto'!$D:$D),"")</f>
        <v/>
      </c>
    </row>
    <row r="1604" spans="1:19" x14ac:dyDescent="0.35">
      <c r="A1604" s="31" t="s">
        <v>2166</v>
      </c>
      <c r="B1604" s="31" t="s">
        <v>478</v>
      </c>
      <c r="C1604" s="31" t="s">
        <v>479</v>
      </c>
      <c r="D1604" s="31" t="s">
        <v>480</v>
      </c>
      <c r="E1604" s="31" t="s">
        <v>183</v>
      </c>
      <c r="F1604" s="31" t="s">
        <v>481</v>
      </c>
      <c r="G1604" s="32">
        <v>1</v>
      </c>
      <c r="H1604" s="33">
        <v>0</v>
      </c>
      <c r="I1604" s="34">
        <v>94177.137883538904</v>
      </c>
      <c r="J1604" s="34">
        <v>94177.137883538904</v>
      </c>
      <c r="K1604" s="31" t="s">
        <v>3827</v>
      </c>
      <c r="L1604" s="31">
        <v>1</v>
      </c>
      <c r="M1604" s="31" t="s">
        <v>3828</v>
      </c>
      <c r="N1604" s="34">
        <v>6</v>
      </c>
      <c r="O1604" s="35">
        <v>0.16666666666666699</v>
      </c>
      <c r="P1604" s="35">
        <v>34</v>
      </c>
      <c r="Q1604" s="35">
        <v>5.6666666666666696</v>
      </c>
      <c r="R1604" s="36">
        <v>4.05</v>
      </c>
      <c r="S1604" s="37">
        <f>IFERROR(_xlfn.XLOOKUP(R1604,'1_Presupuesto'!$E:$E,'1_Presupuesto'!$D:$D),"")</f>
        <v>0</v>
      </c>
    </row>
    <row r="1605" spans="1:19" x14ac:dyDescent="0.35">
      <c r="A1605" s="31" t="s">
        <v>2166</v>
      </c>
      <c r="B1605" s="31" t="s">
        <v>478</v>
      </c>
      <c r="C1605" s="31" t="s">
        <v>479</v>
      </c>
      <c r="D1605" s="31" t="s">
        <v>494</v>
      </c>
      <c r="E1605" s="31" t="s">
        <v>185</v>
      </c>
      <c r="F1605" s="31" t="s">
        <v>481</v>
      </c>
      <c r="G1605" s="32">
        <v>1</v>
      </c>
      <c r="H1605" s="33">
        <v>0</v>
      </c>
      <c r="I1605" s="34">
        <v>72132.138365590101</v>
      </c>
      <c r="J1605" s="34">
        <v>72132.138365590101</v>
      </c>
      <c r="K1605" s="31" t="s">
        <v>3827</v>
      </c>
      <c r="L1605" s="31">
        <v>2</v>
      </c>
      <c r="M1605" s="31" t="s">
        <v>3829</v>
      </c>
      <c r="N1605" s="34">
        <v>6</v>
      </c>
      <c r="O1605" s="35">
        <v>0.16666666666666699</v>
      </c>
      <c r="P1605" s="35">
        <v>34</v>
      </c>
      <c r="Q1605" s="35">
        <v>5.6666666666666696</v>
      </c>
      <c r="R1605" s="36">
        <v>4.05</v>
      </c>
      <c r="S1605" s="37">
        <f>IFERROR(_xlfn.XLOOKUP(R1605,'1_Presupuesto'!$E:$E,'1_Presupuesto'!$D:$D),"")</f>
        <v>0</v>
      </c>
    </row>
    <row r="1606" spans="1:19" x14ac:dyDescent="0.35">
      <c r="A1606" s="31" t="s">
        <v>2704</v>
      </c>
      <c r="B1606" s="31" t="s">
        <v>478</v>
      </c>
      <c r="C1606" s="31" t="s">
        <v>479</v>
      </c>
      <c r="D1606" s="31" t="s">
        <v>480</v>
      </c>
      <c r="E1606" s="31" t="s">
        <v>183</v>
      </c>
      <c r="F1606" s="31" t="s">
        <v>481</v>
      </c>
      <c r="G1606" s="32">
        <v>1</v>
      </c>
      <c r="H1606" s="33">
        <v>0</v>
      </c>
      <c r="I1606" s="34">
        <v>94177.137883538904</v>
      </c>
      <c r="J1606" s="34">
        <v>94177.137883538904</v>
      </c>
      <c r="K1606" s="31" t="s">
        <v>3830</v>
      </c>
      <c r="L1606" s="31">
        <v>1</v>
      </c>
      <c r="M1606" s="31" t="s">
        <v>3831</v>
      </c>
      <c r="N1606" s="34">
        <v>9.5</v>
      </c>
      <c r="O1606" s="35">
        <v>0.105263157894737</v>
      </c>
      <c r="P1606" s="35">
        <v>146</v>
      </c>
      <c r="Q1606" s="35">
        <v>15.3684210526316</v>
      </c>
      <c r="R1606" s="36">
        <v>14.01</v>
      </c>
      <c r="S1606" s="37">
        <f>IFERROR(_xlfn.XLOOKUP(R1606,'1_Presupuesto'!$E:$E,'1_Presupuesto'!$D:$D),"")</f>
        <v>0</v>
      </c>
    </row>
    <row r="1607" spans="1:19" x14ac:dyDescent="0.35">
      <c r="A1607" s="31" t="s">
        <v>2704</v>
      </c>
      <c r="B1607" s="31" t="s">
        <v>478</v>
      </c>
      <c r="C1607" s="31" t="s">
        <v>479</v>
      </c>
      <c r="D1607" s="31" t="s">
        <v>494</v>
      </c>
      <c r="E1607" s="31" t="s">
        <v>185</v>
      </c>
      <c r="F1607" s="31" t="s">
        <v>481</v>
      </c>
      <c r="G1607" s="32">
        <v>1</v>
      </c>
      <c r="H1607" s="33">
        <v>0</v>
      </c>
      <c r="I1607" s="34">
        <v>72132.138365590101</v>
      </c>
      <c r="J1607" s="34">
        <v>72132.138365590101</v>
      </c>
      <c r="K1607" s="31" t="s">
        <v>3830</v>
      </c>
      <c r="L1607" s="31">
        <v>2</v>
      </c>
      <c r="M1607" s="31" t="s">
        <v>3832</v>
      </c>
      <c r="N1607" s="34">
        <v>9.5</v>
      </c>
      <c r="O1607" s="35">
        <v>0.105263157894737</v>
      </c>
      <c r="P1607" s="35">
        <v>146</v>
      </c>
      <c r="Q1607" s="35">
        <v>15.3684210526316</v>
      </c>
      <c r="R1607" s="36">
        <v>14.01</v>
      </c>
      <c r="S1607" s="37">
        <f>IFERROR(_xlfn.XLOOKUP(R1607,'1_Presupuesto'!$E:$E,'1_Presupuesto'!$D:$D),"")</f>
        <v>0</v>
      </c>
    </row>
    <row r="1608" spans="1:19" x14ac:dyDescent="0.35">
      <c r="A1608" s="31" t="s">
        <v>2716</v>
      </c>
      <c r="B1608" s="31" t="s">
        <v>478</v>
      </c>
      <c r="C1608" s="31" t="s">
        <v>479</v>
      </c>
      <c r="D1608" s="31" t="s">
        <v>480</v>
      </c>
      <c r="E1608" s="31" t="s">
        <v>183</v>
      </c>
      <c r="F1608" s="31" t="s">
        <v>481</v>
      </c>
      <c r="G1608" s="32">
        <v>1</v>
      </c>
      <c r="H1608" s="33">
        <v>0</v>
      </c>
      <c r="I1608" s="34">
        <v>94177.137883538904</v>
      </c>
      <c r="J1608" s="34">
        <v>94177.137883538904</v>
      </c>
      <c r="K1608" s="31" t="s">
        <v>3833</v>
      </c>
      <c r="L1608" s="31">
        <v>1</v>
      </c>
      <c r="M1608" s="31" t="s">
        <v>3834</v>
      </c>
      <c r="N1608" s="34">
        <v>9.5</v>
      </c>
      <c r="O1608" s="35">
        <v>0.105263157894737</v>
      </c>
      <c r="P1608" s="35">
        <v>89</v>
      </c>
      <c r="Q1608" s="35">
        <v>9.3684210526315805</v>
      </c>
      <c r="R1608" s="36">
        <v>14.02</v>
      </c>
      <c r="S1608" s="37">
        <f>IFERROR(_xlfn.XLOOKUP(R1608,'1_Presupuesto'!$E:$E,'1_Presupuesto'!$D:$D),"")</f>
        <v>0</v>
      </c>
    </row>
    <row r="1609" spans="1:19" x14ac:dyDescent="0.35">
      <c r="A1609" s="31" t="s">
        <v>2716</v>
      </c>
      <c r="B1609" s="31" t="s">
        <v>478</v>
      </c>
      <c r="C1609" s="31" t="s">
        <v>479</v>
      </c>
      <c r="D1609" s="31" t="s">
        <v>494</v>
      </c>
      <c r="E1609" s="31" t="s">
        <v>185</v>
      </c>
      <c r="F1609" s="31" t="s">
        <v>481</v>
      </c>
      <c r="G1609" s="32">
        <v>1</v>
      </c>
      <c r="H1609" s="33">
        <v>0</v>
      </c>
      <c r="I1609" s="34">
        <v>72132.138365590101</v>
      </c>
      <c r="J1609" s="34">
        <v>72132.138365590101</v>
      </c>
      <c r="K1609" s="31" t="s">
        <v>3833</v>
      </c>
      <c r="L1609" s="31">
        <v>2</v>
      </c>
      <c r="M1609" s="31" t="s">
        <v>3835</v>
      </c>
      <c r="N1609" s="34">
        <v>9.5</v>
      </c>
      <c r="O1609" s="35">
        <v>0.105263157894737</v>
      </c>
      <c r="P1609" s="35">
        <v>89</v>
      </c>
      <c r="Q1609" s="35">
        <v>9.3684210526315805</v>
      </c>
      <c r="R1609" s="36">
        <v>14.02</v>
      </c>
      <c r="S1609" s="37">
        <f>IFERROR(_xlfn.XLOOKUP(R1609,'1_Presupuesto'!$E:$E,'1_Presupuesto'!$D:$D),"")</f>
        <v>0</v>
      </c>
    </row>
    <row r="1610" spans="1:19" x14ac:dyDescent="0.35">
      <c r="A1610" s="31" t="s">
        <v>1274</v>
      </c>
      <c r="B1610" s="31" t="s">
        <v>478</v>
      </c>
      <c r="C1610" s="31" t="s">
        <v>479</v>
      </c>
      <c r="D1610" s="31" t="s">
        <v>480</v>
      </c>
      <c r="E1610" s="31" t="s">
        <v>183</v>
      </c>
      <c r="F1610" s="31" t="s">
        <v>481</v>
      </c>
      <c r="G1610" s="32">
        <v>1</v>
      </c>
      <c r="H1610" s="33">
        <v>0</v>
      </c>
      <c r="I1610" s="34">
        <v>94177.137883538904</v>
      </c>
      <c r="J1610" s="34">
        <v>94177.137883538904</v>
      </c>
      <c r="K1610" s="31" t="s">
        <v>3836</v>
      </c>
      <c r="L1610" s="31">
        <v>1</v>
      </c>
      <c r="M1610" s="31" t="s">
        <v>3837</v>
      </c>
      <c r="N1610" s="34">
        <v>9.5</v>
      </c>
      <c r="O1610" s="35">
        <v>0.105263157894737</v>
      </c>
      <c r="P1610" s="35">
        <v>62</v>
      </c>
      <c r="Q1610" s="35">
        <v>6.5263157894736796</v>
      </c>
      <c r="R1610" s="36">
        <v>14.03</v>
      </c>
      <c r="S1610" s="37" t="str">
        <f>IFERROR(_xlfn.XLOOKUP(R1610,'1_Presupuesto'!$E:$E,'1_Presupuesto'!$D:$D),"")</f>
        <v>Durlock MO</v>
      </c>
    </row>
    <row r="1611" spans="1:19" x14ac:dyDescent="0.35">
      <c r="A1611" s="31" t="s">
        <v>1274</v>
      </c>
      <c r="B1611" s="31" t="s">
        <v>478</v>
      </c>
      <c r="C1611" s="31" t="s">
        <v>479</v>
      </c>
      <c r="D1611" s="31" t="s">
        <v>480</v>
      </c>
      <c r="E1611" s="31" t="s">
        <v>183</v>
      </c>
      <c r="F1611" s="31" t="s">
        <v>481</v>
      </c>
      <c r="G1611" s="32">
        <v>1</v>
      </c>
      <c r="H1611" s="33">
        <v>0</v>
      </c>
      <c r="I1611" s="34">
        <v>94177.137883538904</v>
      </c>
      <c r="J1611" s="34">
        <v>94177.137883538904</v>
      </c>
      <c r="K1611" s="31" t="s">
        <v>3836</v>
      </c>
      <c r="L1611" s="31">
        <v>2</v>
      </c>
      <c r="M1611" s="31" t="s">
        <v>3838</v>
      </c>
      <c r="N1611" s="34">
        <v>9.5</v>
      </c>
      <c r="O1611" s="35">
        <v>0.105263157894737</v>
      </c>
      <c r="P1611" s="35">
        <v>62</v>
      </c>
      <c r="Q1611" s="35">
        <v>6.5263157894736796</v>
      </c>
      <c r="R1611" s="36">
        <v>14.03</v>
      </c>
      <c r="S1611" s="37" t="str">
        <f>IFERROR(_xlfn.XLOOKUP(R1611,'1_Presupuesto'!$E:$E,'1_Presupuesto'!$D:$D),"")</f>
        <v>Durlock MO</v>
      </c>
    </row>
    <row r="1612" spans="1:19" x14ac:dyDescent="0.35">
      <c r="A1612" s="31" t="s">
        <v>1274</v>
      </c>
      <c r="B1612" s="31" t="s">
        <v>478</v>
      </c>
      <c r="C1612" s="31" t="s">
        <v>479</v>
      </c>
      <c r="D1612" s="31" t="s">
        <v>494</v>
      </c>
      <c r="E1612" s="31" t="s">
        <v>185</v>
      </c>
      <c r="F1612" s="31" t="s">
        <v>481</v>
      </c>
      <c r="G1612" s="32">
        <v>1</v>
      </c>
      <c r="H1612" s="33">
        <v>0</v>
      </c>
      <c r="I1612" s="34">
        <v>72132.138365590101</v>
      </c>
      <c r="J1612" s="34">
        <v>72132.138365590101</v>
      </c>
      <c r="K1612" s="31" t="s">
        <v>3836</v>
      </c>
      <c r="L1612" s="31">
        <v>3</v>
      </c>
      <c r="M1612" s="31" t="s">
        <v>3839</v>
      </c>
      <c r="N1612" s="34">
        <v>9.5</v>
      </c>
      <c r="O1612" s="35">
        <v>0.105263157894737</v>
      </c>
      <c r="P1612" s="35">
        <v>62</v>
      </c>
      <c r="Q1612" s="35">
        <v>6.5263157894736796</v>
      </c>
      <c r="R1612" s="36">
        <v>14.03</v>
      </c>
      <c r="S1612" s="37" t="str">
        <f>IFERROR(_xlfn.XLOOKUP(R1612,'1_Presupuesto'!$E:$E,'1_Presupuesto'!$D:$D),"")</f>
        <v>Durlock MO</v>
      </c>
    </row>
    <row r="1613" spans="1:19" x14ac:dyDescent="0.35">
      <c r="A1613" s="31" t="s">
        <v>2740</v>
      </c>
      <c r="B1613" s="31" t="s">
        <v>478</v>
      </c>
      <c r="C1613" s="31" t="s">
        <v>479</v>
      </c>
      <c r="D1613" s="31" t="s">
        <v>480</v>
      </c>
      <c r="E1613" s="31" t="s">
        <v>183</v>
      </c>
      <c r="F1613" s="31" t="s">
        <v>481</v>
      </c>
      <c r="G1613" s="32">
        <v>1</v>
      </c>
      <c r="H1613" s="33">
        <v>0</v>
      </c>
      <c r="I1613" s="34">
        <v>94177.137883538904</v>
      </c>
      <c r="J1613" s="34">
        <v>94177.137883538904</v>
      </c>
      <c r="K1613" s="31" t="s">
        <v>3840</v>
      </c>
      <c r="L1613" s="31">
        <v>1</v>
      </c>
      <c r="M1613" s="31" t="s">
        <v>3841</v>
      </c>
      <c r="N1613" s="34">
        <v>15</v>
      </c>
      <c r="O1613" s="35">
        <v>6.6666666666666693E-2</v>
      </c>
      <c r="P1613" s="35">
        <v>689</v>
      </c>
      <c r="Q1613" s="35">
        <v>45.933333333333302</v>
      </c>
      <c r="R1613" s="36">
        <v>14.04</v>
      </c>
      <c r="S1613" s="37">
        <f>IFERROR(_xlfn.XLOOKUP(R1613,'1_Presupuesto'!$E:$E,'1_Presupuesto'!$D:$D),"")</f>
        <v>0</v>
      </c>
    </row>
    <row r="1614" spans="1:19" x14ac:dyDescent="0.35">
      <c r="A1614" s="31" t="s">
        <v>2779</v>
      </c>
      <c r="B1614" s="31" t="s">
        <v>478</v>
      </c>
      <c r="C1614" s="31" t="s">
        <v>479</v>
      </c>
      <c r="D1614" s="31" t="s">
        <v>480</v>
      </c>
      <c r="E1614" s="31" t="s">
        <v>183</v>
      </c>
      <c r="F1614" s="31" t="s">
        <v>481</v>
      </c>
      <c r="G1614" s="32">
        <v>1</v>
      </c>
      <c r="H1614" s="33">
        <v>0</v>
      </c>
      <c r="I1614" s="34">
        <v>94177.137883538904</v>
      </c>
      <c r="J1614" s="34">
        <v>94177.137883538904</v>
      </c>
      <c r="K1614" s="31" t="s">
        <v>3842</v>
      </c>
      <c r="L1614" s="31">
        <v>1</v>
      </c>
      <c r="M1614" s="31" t="s">
        <v>3843</v>
      </c>
      <c r="N1614" s="34">
        <v>20</v>
      </c>
      <c r="O1614" s="35">
        <v>0.05</v>
      </c>
      <c r="P1614" s="35">
        <v>2180</v>
      </c>
      <c r="Q1614" s="35">
        <v>109</v>
      </c>
      <c r="R1614" s="36">
        <v>15.01</v>
      </c>
      <c r="S1614" s="37">
        <f>IFERROR(_xlfn.XLOOKUP(R1614,'1_Presupuesto'!$E:$E,'1_Presupuesto'!$D:$D),"")</f>
        <v>0</v>
      </c>
    </row>
    <row r="1615" spans="1:19" x14ac:dyDescent="0.35">
      <c r="A1615" s="31" t="s">
        <v>2793</v>
      </c>
      <c r="B1615" s="31" t="s">
        <v>478</v>
      </c>
      <c r="C1615" s="31" t="s">
        <v>479</v>
      </c>
      <c r="D1615" s="31" t="s">
        <v>480</v>
      </c>
      <c r="E1615" s="31" t="s">
        <v>183</v>
      </c>
      <c r="F1615" s="31" t="s">
        <v>481</v>
      </c>
      <c r="G1615" s="32">
        <v>1</v>
      </c>
      <c r="H1615" s="33">
        <v>0</v>
      </c>
      <c r="I1615" s="34">
        <v>94177.137883538904</v>
      </c>
      <c r="J1615" s="34">
        <v>94177.137883538904</v>
      </c>
      <c r="K1615" s="31" t="s">
        <v>3844</v>
      </c>
      <c r="L1615" s="31">
        <v>1</v>
      </c>
      <c r="M1615" s="31" t="s">
        <v>3845</v>
      </c>
      <c r="N1615" s="34">
        <v>25</v>
      </c>
      <c r="O1615" s="35">
        <v>0.04</v>
      </c>
      <c r="P1615" s="35">
        <v>525</v>
      </c>
      <c r="Q1615" s="35">
        <v>21</v>
      </c>
      <c r="R1615" s="36">
        <v>15.02</v>
      </c>
      <c r="S1615" s="37">
        <f>IFERROR(_xlfn.XLOOKUP(R1615,'1_Presupuesto'!$E:$E,'1_Presupuesto'!$D:$D),"")</f>
        <v>0</v>
      </c>
    </row>
    <row r="1616" spans="1:19" x14ac:dyDescent="0.35">
      <c r="A1616" s="31" t="s">
        <v>2805</v>
      </c>
      <c r="B1616" s="31" t="s">
        <v>478</v>
      </c>
      <c r="C1616" s="31" t="s">
        <v>479</v>
      </c>
      <c r="D1616" s="31" t="s">
        <v>494</v>
      </c>
      <c r="E1616" s="31" t="s">
        <v>185</v>
      </c>
      <c r="F1616" s="31" t="s">
        <v>481</v>
      </c>
      <c r="G1616" s="32">
        <v>1</v>
      </c>
      <c r="H1616" s="33">
        <v>0</v>
      </c>
      <c r="I1616" s="34">
        <v>72132.138365590101</v>
      </c>
      <c r="J1616" s="34">
        <v>72132.138365590101</v>
      </c>
      <c r="K1616" s="31" t="s">
        <v>3846</v>
      </c>
      <c r="L1616" s="31">
        <v>1</v>
      </c>
      <c r="M1616" s="31" t="s">
        <v>3847</v>
      </c>
      <c r="N1616" s="34">
        <v>17.5</v>
      </c>
      <c r="O1616" s="35">
        <v>5.7142857142857099E-2</v>
      </c>
      <c r="P1616" s="35">
        <v>136</v>
      </c>
      <c r="Q1616" s="35">
        <v>7.7714285714285696</v>
      </c>
      <c r="R1616" s="36">
        <v>15.03</v>
      </c>
      <c r="S1616" s="37">
        <f>IFERROR(_xlfn.XLOOKUP(R1616,'1_Presupuesto'!$E:$E,'1_Presupuesto'!$D:$D),"")</f>
        <v>0</v>
      </c>
    </row>
    <row r="1617" spans="1:19" x14ac:dyDescent="0.35">
      <c r="A1617" s="31" t="s">
        <v>2805</v>
      </c>
      <c r="B1617" s="31" t="s">
        <v>478</v>
      </c>
      <c r="C1617" s="31" t="s">
        <v>479</v>
      </c>
      <c r="D1617" s="31" t="s">
        <v>480</v>
      </c>
      <c r="E1617" s="31" t="s">
        <v>183</v>
      </c>
      <c r="F1617" s="31" t="s">
        <v>481</v>
      </c>
      <c r="G1617" s="32">
        <v>1</v>
      </c>
      <c r="H1617" s="33">
        <v>0</v>
      </c>
      <c r="I1617" s="34">
        <v>94177.137883538904</v>
      </c>
      <c r="J1617" s="34">
        <v>94177.137883538904</v>
      </c>
      <c r="K1617" s="31" t="s">
        <v>3846</v>
      </c>
      <c r="L1617" s="31">
        <v>2</v>
      </c>
      <c r="M1617" s="31" t="s">
        <v>3848</v>
      </c>
      <c r="N1617" s="34">
        <v>17.5</v>
      </c>
      <c r="O1617" s="35">
        <v>5.7142857142857099E-2</v>
      </c>
      <c r="P1617" s="35">
        <v>136</v>
      </c>
      <c r="Q1617" s="35">
        <v>7.7714285714285696</v>
      </c>
      <c r="R1617" s="36">
        <v>15.03</v>
      </c>
      <c r="S1617" s="37">
        <f>IFERROR(_xlfn.XLOOKUP(R1617,'1_Presupuesto'!$E:$E,'1_Presupuesto'!$D:$D),"")</f>
        <v>0</v>
      </c>
    </row>
    <row r="1618" spans="1:19" x14ac:dyDescent="0.35">
      <c r="A1618" s="31" t="s">
        <v>2820</v>
      </c>
      <c r="B1618" s="31" t="s">
        <v>478</v>
      </c>
      <c r="C1618" s="31" t="s">
        <v>479</v>
      </c>
      <c r="D1618" s="31" t="s">
        <v>494</v>
      </c>
      <c r="E1618" s="31" t="s">
        <v>185</v>
      </c>
      <c r="F1618" s="31" t="s">
        <v>481</v>
      </c>
      <c r="G1618" s="32">
        <v>1</v>
      </c>
      <c r="H1618" s="33">
        <v>0</v>
      </c>
      <c r="I1618" s="34">
        <v>72132.138365590101</v>
      </c>
      <c r="J1618" s="34">
        <v>72132.138365590101</v>
      </c>
      <c r="K1618" s="31" t="s">
        <v>3849</v>
      </c>
      <c r="L1618" s="31">
        <v>1</v>
      </c>
      <c r="M1618" s="31" t="s">
        <v>3850</v>
      </c>
      <c r="N1618" s="34">
        <v>17.5</v>
      </c>
      <c r="O1618" s="35">
        <v>5.7142857142857099E-2</v>
      </c>
      <c r="P1618" s="35">
        <v>296</v>
      </c>
      <c r="Q1618" s="35">
        <v>16.9142857142857</v>
      </c>
      <c r="R1618" s="36">
        <v>15.04</v>
      </c>
      <c r="S1618" s="37">
        <f>IFERROR(_xlfn.XLOOKUP(R1618,'1_Presupuesto'!$E:$E,'1_Presupuesto'!$D:$D),"")</f>
        <v>0</v>
      </c>
    </row>
    <row r="1619" spans="1:19" x14ac:dyDescent="0.35">
      <c r="A1619" s="31" t="s">
        <v>2820</v>
      </c>
      <c r="B1619" s="31" t="s">
        <v>478</v>
      </c>
      <c r="C1619" s="31" t="s">
        <v>479</v>
      </c>
      <c r="D1619" s="31" t="s">
        <v>480</v>
      </c>
      <c r="E1619" s="31" t="s">
        <v>183</v>
      </c>
      <c r="F1619" s="31" t="s">
        <v>481</v>
      </c>
      <c r="G1619" s="32">
        <v>1</v>
      </c>
      <c r="H1619" s="33">
        <v>0</v>
      </c>
      <c r="I1619" s="34">
        <v>94177.137883538904</v>
      </c>
      <c r="J1619" s="34">
        <v>94177.137883538904</v>
      </c>
      <c r="K1619" s="31" t="s">
        <v>3849</v>
      </c>
      <c r="L1619" s="31">
        <v>2</v>
      </c>
      <c r="M1619" s="31" t="s">
        <v>3851</v>
      </c>
      <c r="N1619" s="34">
        <v>17.5</v>
      </c>
      <c r="O1619" s="35">
        <v>5.7142857142857099E-2</v>
      </c>
      <c r="P1619" s="35">
        <v>296</v>
      </c>
      <c r="Q1619" s="35">
        <v>16.9142857142857</v>
      </c>
      <c r="R1619" s="36">
        <v>15.04</v>
      </c>
      <c r="S1619" s="37">
        <f>IFERROR(_xlfn.XLOOKUP(R1619,'1_Presupuesto'!$E:$E,'1_Presupuesto'!$D:$D),"")</f>
        <v>0</v>
      </c>
    </row>
    <row r="1620" spans="1:19" x14ac:dyDescent="0.35">
      <c r="A1620" s="31" t="s">
        <v>2835</v>
      </c>
      <c r="B1620" s="31" t="s">
        <v>478</v>
      </c>
      <c r="C1620" s="31" t="s">
        <v>479</v>
      </c>
      <c r="D1620" s="31" t="s">
        <v>480</v>
      </c>
      <c r="E1620" s="31" t="s">
        <v>183</v>
      </c>
      <c r="F1620" s="31" t="s">
        <v>481</v>
      </c>
      <c r="G1620" s="32">
        <v>1</v>
      </c>
      <c r="H1620" s="33">
        <v>0</v>
      </c>
      <c r="I1620" s="34">
        <v>94177.137883538904</v>
      </c>
      <c r="J1620" s="34">
        <v>94177.137883538904</v>
      </c>
      <c r="K1620" s="31" t="s">
        <v>3852</v>
      </c>
      <c r="L1620" s="31">
        <v>1</v>
      </c>
      <c r="M1620" s="31" t="s">
        <v>3853</v>
      </c>
      <c r="N1620" s="34">
        <v>20</v>
      </c>
      <c r="O1620" s="35">
        <v>0.05</v>
      </c>
      <c r="P1620" s="35">
        <v>668</v>
      </c>
      <c r="Q1620" s="35">
        <v>33.4</v>
      </c>
      <c r="R1620" s="36">
        <v>15.05</v>
      </c>
      <c r="S1620" s="37">
        <f>IFERROR(_xlfn.XLOOKUP(R1620,'1_Presupuesto'!$E:$E,'1_Presupuesto'!$D:$D),"")</f>
        <v>0</v>
      </c>
    </row>
    <row r="1621" spans="1:19" x14ac:dyDescent="0.35">
      <c r="A1621" s="31" t="s">
        <v>2849</v>
      </c>
      <c r="B1621" s="31" t="s">
        <v>478</v>
      </c>
      <c r="C1621" s="31" t="s">
        <v>479</v>
      </c>
      <c r="D1621" s="31" t="s">
        <v>480</v>
      </c>
      <c r="E1621" s="31" t="s">
        <v>183</v>
      </c>
      <c r="F1621" s="31" t="s">
        <v>481</v>
      </c>
      <c r="G1621" s="32">
        <v>1</v>
      </c>
      <c r="H1621" s="33">
        <v>0</v>
      </c>
      <c r="I1621" s="34">
        <v>94177.137883538904</v>
      </c>
      <c r="J1621" s="34">
        <v>94177.137883538904</v>
      </c>
      <c r="K1621" s="31" t="s">
        <v>3854</v>
      </c>
      <c r="L1621" s="31">
        <v>1</v>
      </c>
      <c r="M1621" s="31" t="s">
        <v>3855</v>
      </c>
      <c r="N1621" s="34">
        <v>25</v>
      </c>
      <c r="O1621" s="35">
        <v>0.04</v>
      </c>
      <c r="P1621" s="35">
        <v>281</v>
      </c>
      <c r="Q1621" s="35">
        <v>11.24</v>
      </c>
      <c r="R1621" s="36">
        <v>15.06</v>
      </c>
      <c r="S1621" s="37">
        <f>IFERROR(_xlfn.XLOOKUP(R1621,'1_Presupuesto'!$E:$E,'1_Presupuesto'!$D:$D),"")</f>
        <v>0</v>
      </c>
    </row>
    <row r="1622" spans="1:19" x14ac:dyDescent="0.35">
      <c r="A1622" s="31" t="s">
        <v>2861</v>
      </c>
      <c r="B1622" s="31" t="s">
        <v>478</v>
      </c>
      <c r="C1622" s="31" t="s">
        <v>479</v>
      </c>
      <c r="D1622" s="31" t="s">
        <v>494</v>
      </c>
      <c r="E1622" s="31" t="s">
        <v>185</v>
      </c>
      <c r="F1622" s="31" t="s">
        <v>481</v>
      </c>
      <c r="G1622" s="32">
        <v>1</v>
      </c>
      <c r="H1622" s="33">
        <v>0</v>
      </c>
      <c r="I1622" s="34">
        <v>72132.138365590101</v>
      </c>
      <c r="J1622" s="34">
        <v>72132.138365590101</v>
      </c>
      <c r="K1622" s="31" t="s">
        <v>3856</v>
      </c>
      <c r="L1622" s="31">
        <v>1</v>
      </c>
      <c r="M1622" s="31" t="s">
        <v>3857</v>
      </c>
      <c r="N1622" s="34">
        <v>20</v>
      </c>
      <c r="O1622" s="35">
        <v>0.05</v>
      </c>
      <c r="P1622" s="35">
        <v>752</v>
      </c>
      <c r="Q1622" s="35">
        <v>37.6</v>
      </c>
      <c r="R1622" s="36">
        <v>15.07</v>
      </c>
      <c r="S1622" s="37">
        <f>IFERROR(_xlfn.XLOOKUP(R1622,'1_Presupuesto'!$E:$E,'1_Presupuesto'!$D:$D),"")</f>
        <v>0</v>
      </c>
    </row>
    <row r="1623" spans="1:19" x14ac:dyDescent="0.35">
      <c r="A1623" s="31" t="s">
        <v>2861</v>
      </c>
      <c r="B1623" s="31" t="s">
        <v>478</v>
      </c>
      <c r="C1623" s="31" t="s">
        <v>479</v>
      </c>
      <c r="D1623" s="31" t="s">
        <v>480</v>
      </c>
      <c r="E1623" s="31" t="s">
        <v>183</v>
      </c>
      <c r="F1623" s="31" t="s">
        <v>481</v>
      </c>
      <c r="G1623" s="32">
        <v>1.5</v>
      </c>
      <c r="H1623" s="33">
        <v>0</v>
      </c>
      <c r="I1623" s="34">
        <v>94177.137883538904</v>
      </c>
      <c r="J1623" s="34">
        <v>141265.70682530801</v>
      </c>
      <c r="K1623" s="31" t="s">
        <v>3856</v>
      </c>
      <c r="L1623" s="31">
        <v>2</v>
      </c>
      <c r="M1623" s="31" t="s">
        <v>3858</v>
      </c>
      <c r="N1623" s="34">
        <v>20</v>
      </c>
      <c r="O1623" s="35">
        <v>7.4999999999999997E-2</v>
      </c>
      <c r="P1623" s="35">
        <v>752</v>
      </c>
      <c r="Q1623" s="35">
        <v>56.4</v>
      </c>
      <c r="R1623" s="36">
        <v>15.07</v>
      </c>
      <c r="S1623" s="37">
        <f>IFERROR(_xlfn.XLOOKUP(R1623,'1_Presupuesto'!$E:$E,'1_Presupuesto'!$D:$D),"")</f>
        <v>0</v>
      </c>
    </row>
    <row r="1624" spans="1:19" x14ac:dyDescent="0.35">
      <c r="A1624" s="31" t="s">
        <v>2861</v>
      </c>
      <c r="B1624" s="31" t="s">
        <v>478</v>
      </c>
      <c r="C1624" s="31" t="s">
        <v>479</v>
      </c>
      <c r="D1624" s="31" t="s">
        <v>484</v>
      </c>
      <c r="E1624" s="31" t="s">
        <v>186</v>
      </c>
      <c r="F1624" s="31" t="s">
        <v>481</v>
      </c>
      <c r="G1624" s="32">
        <v>0.5</v>
      </c>
      <c r="H1624" s="33">
        <v>0</v>
      </c>
      <c r="I1624" s="34">
        <v>67240.498860267602</v>
      </c>
      <c r="J1624" s="34">
        <v>33620.249430133801</v>
      </c>
      <c r="K1624" s="31" t="s">
        <v>3856</v>
      </c>
      <c r="L1624" s="31">
        <v>3</v>
      </c>
      <c r="M1624" s="31" t="s">
        <v>3859</v>
      </c>
      <c r="N1624" s="34">
        <v>20</v>
      </c>
      <c r="O1624" s="35">
        <v>2.5000000000000001E-2</v>
      </c>
      <c r="P1624" s="35">
        <v>752</v>
      </c>
      <c r="Q1624" s="35">
        <v>18.8</v>
      </c>
      <c r="R1624" s="36">
        <v>15.07</v>
      </c>
      <c r="S1624" s="37">
        <f>IFERROR(_xlfn.XLOOKUP(R1624,'1_Presupuesto'!$E:$E,'1_Presupuesto'!$D:$D),"")</f>
        <v>0</v>
      </c>
    </row>
    <row r="1625" spans="1:19" x14ac:dyDescent="0.35">
      <c r="A1625" s="31" t="s">
        <v>2880</v>
      </c>
      <c r="B1625" s="31" t="s">
        <v>478</v>
      </c>
      <c r="C1625" s="31" t="s">
        <v>479</v>
      </c>
      <c r="D1625" s="31" t="s">
        <v>494</v>
      </c>
      <c r="E1625" s="31" t="s">
        <v>185</v>
      </c>
      <c r="F1625" s="31" t="s">
        <v>481</v>
      </c>
      <c r="G1625" s="32">
        <v>1</v>
      </c>
      <c r="H1625" s="33">
        <v>0</v>
      </c>
      <c r="I1625" s="34">
        <v>72132.138365590101</v>
      </c>
      <c r="J1625" s="34">
        <v>72132.138365590101</v>
      </c>
      <c r="K1625" s="31" t="s">
        <v>3860</v>
      </c>
      <c r="L1625" s="31">
        <v>1</v>
      </c>
      <c r="M1625" s="31" t="s">
        <v>3861</v>
      </c>
      <c r="N1625" s="34">
        <v>20</v>
      </c>
      <c r="O1625" s="35">
        <v>0.05</v>
      </c>
      <c r="P1625" s="35">
        <v>433</v>
      </c>
      <c r="Q1625" s="35">
        <v>21.65</v>
      </c>
      <c r="R1625" s="36">
        <v>15.08</v>
      </c>
      <c r="S1625" s="37" t="str">
        <f>IFERROR(_xlfn.XLOOKUP(R1625,'1_Presupuesto'!$E:$E,'1_Presupuesto'!$D:$D),"")</f>
        <v>Pintura MO</v>
      </c>
    </row>
    <row r="1626" spans="1:19" x14ac:dyDescent="0.35">
      <c r="A1626" s="31" t="s">
        <v>2880</v>
      </c>
      <c r="B1626" s="31" t="s">
        <v>478</v>
      </c>
      <c r="C1626" s="31" t="s">
        <v>479</v>
      </c>
      <c r="D1626" s="31" t="s">
        <v>480</v>
      </c>
      <c r="E1626" s="31" t="s">
        <v>183</v>
      </c>
      <c r="F1626" s="31" t="s">
        <v>481</v>
      </c>
      <c r="G1626" s="32">
        <v>1.5</v>
      </c>
      <c r="H1626" s="33">
        <v>0</v>
      </c>
      <c r="I1626" s="34">
        <v>94177.137883538904</v>
      </c>
      <c r="J1626" s="34">
        <v>141265.70682530801</v>
      </c>
      <c r="K1626" s="31" t="s">
        <v>3860</v>
      </c>
      <c r="L1626" s="31">
        <v>2</v>
      </c>
      <c r="M1626" s="31" t="s">
        <v>3862</v>
      </c>
      <c r="N1626" s="34">
        <v>20</v>
      </c>
      <c r="O1626" s="35">
        <v>7.4999999999999997E-2</v>
      </c>
      <c r="P1626" s="35">
        <v>433</v>
      </c>
      <c r="Q1626" s="35">
        <v>32.475000000000001</v>
      </c>
      <c r="R1626" s="36">
        <v>15.08</v>
      </c>
      <c r="S1626" s="37" t="str">
        <f>IFERROR(_xlfn.XLOOKUP(R1626,'1_Presupuesto'!$E:$E,'1_Presupuesto'!$D:$D),"")</f>
        <v>Pintura MO</v>
      </c>
    </row>
    <row r="1627" spans="1:19" x14ac:dyDescent="0.35">
      <c r="A1627" s="31" t="s">
        <v>2880</v>
      </c>
      <c r="B1627" s="31" t="s">
        <v>478</v>
      </c>
      <c r="C1627" s="31" t="s">
        <v>479</v>
      </c>
      <c r="D1627" s="31" t="s">
        <v>484</v>
      </c>
      <c r="E1627" s="31" t="s">
        <v>186</v>
      </c>
      <c r="F1627" s="31" t="s">
        <v>481</v>
      </c>
      <c r="G1627" s="32">
        <v>0.5</v>
      </c>
      <c r="H1627" s="33">
        <v>0</v>
      </c>
      <c r="I1627" s="34">
        <v>67240.498860267602</v>
      </c>
      <c r="J1627" s="34">
        <v>33620.249430133801</v>
      </c>
      <c r="K1627" s="31" t="s">
        <v>3860</v>
      </c>
      <c r="L1627" s="31">
        <v>3</v>
      </c>
      <c r="M1627" s="31" t="s">
        <v>3863</v>
      </c>
      <c r="N1627" s="34">
        <v>20</v>
      </c>
      <c r="O1627" s="35">
        <v>2.5000000000000001E-2</v>
      </c>
      <c r="P1627" s="35">
        <v>433</v>
      </c>
      <c r="Q1627" s="35">
        <v>10.824999999999999</v>
      </c>
      <c r="R1627" s="36">
        <v>15.08</v>
      </c>
      <c r="S1627" s="37" t="str">
        <f>IFERROR(_xlfn.XLOOKUP(R1627,'1_Presupuesto'!$E:$E,'1_Presupuesto'!$D:$D),"")</f>
        <v>Pintura MO</v>
      </c>
    </row>
    <row r="1628" spans="1:19" x14ac:dyDescent="0.35">
      <c r="A1628" s="31" t="s">
        <v>2995</v>
      </c>
      <c r="B1628" s="31" t="s">
        <v>478</v>
      </c>
      <c r="C1628" s="31" t="s">
        <v>479</v>
      </c>
      <c r="D1628" s="31" t="s">
        <v>480</v>
      </c>
      <c r="E1628" s="31" t="s">
        <v>183</v>
      </c>
      <c r="F1628" s="31" t="s">
        <v>481</v>
      </c>
      <c r="G1628" s="32">
        <v>1</v>
      </c>
      <c r="H1628" s="33">
        <v>0</v>
      </c>
      <c r="I1628" s="34">
        <v>94177.137883538904</v>
      </c>
      <c r="J1628" s="34">
        <v>94177.137883538904</v>
      </c>
      <c r="K1628" s="31" t="s">
        <v>3864</v>
      </c>
      <c r="L1628" s="31">
        <v>1</v>
      </c>
      <c r="M1628" s="31" t="s">
        <v>3865</v>
      </c>
      <c r="N1628" s="34">
        <v>3.25</v>
      </c>
      <c r="O1628" s="35">
        <v>0.30769230769230799</v>
      </c>
      <c r="P1628" s="35">
        <v>222</v>
      </c>
      <c r="Q1628" s="35">
        <v>68.307692307692307</v>
      </c>
      <c r="R1628" s="36">
        <v>18.010000000000002</v>
      </c>
      <c r="S1628" s="37">
        <f>IFERROR(_xlfn.XLOOKUP(R1628,'1_Presupuesto'!$E:$E,'1_Presupuesto'!$D:$D),"")</f>
        <v>0</v>
      </c>
    </row>
    <row r="1629" spans="1:19" x14ac:dyDescent="0.35">
      <c r="A1629" s="31" t="s">
        <v>2995</v>
      </c>
      <c r="B1629" s="31" t="s">
        <v>478</v>
      </c>
      <c r="C1629" s="31" t="s">
        <v>479</v>
      </c>
      <c r="D1629" s="31" t="s">
        <v>484</v>
      </c>
      <c r="E1629" s="31" t="s">
        <v>186</v>
      </c>
      <c r="F1629" s="31" t="s">
        <v>481</v>
      </c>
      <c r="G1629" s="32">
        <v>1</v>
      </c>
      <c r="H1629" s="33">
        <v>0</v>
      </c>
      <c r="I1629" s="34">
        <v>67240.498860267602</v>
      </c>
      <c r="J1629" s="34">
        <v>67240.498860267602</v>
      </c>
      <c r="K1629" s="31" t="s">
        <v>3864</v>
      </c>
      <c r="L1629" s="31">
        <v>2</v>
      </c>
      <c r="M1629" s="31" t="s">
        <v>3866</v>
      </c>
      <c r="N1629" s="34">
        <v>3.25</v>
      </c>
      <c r="O1629" s="35">
        <v>0.30769230769230799</v>
      </c>
      <c r="P1629" s="35">
        <v>222</v>
      </c>
      <c r="Q1629" s="35">
        <v>68.307692307692307</v>
      </c>
      <c r="R1629" s="36">
        <v>18.010000000000002</v>
      </c>
      <c r="S1629" s="37">
        <f>IFERROR(_xlfn.XLOOKUP(R1629,'1_Presupuesto'!$E:$E,'1_Presupuesto'!$D:$D),"")</f>
        <v>0</v>
      </c>
    </row>
    <row r="1630" spans="1:19" x14ac:dyDescent="0.35">
      <c r="A1630" s="31" t="s">
        <v>3012</v>
      </c>
      <c r="B1630" s="31" t="s">
        <v>478</v>
      </c>
      <c r="C1630" s="31" t="s">
        <v>479</v>
      </c>
      <c r="D1630" s="31" t="s">
        <v>480</v>
      </c>
      <c r="E1630" s="31" t="s">
        <v>183</v>
      </c>
      <c r="F1630" s="31" t="s">
        <v>481</v>
      </c>
      <c r="G1630" s="32">
        <v>1</v>
      </c>
      <c r="H1630" s="33">
        <v>0</v>
      </c>
      <c r="I1630" s="34">
        <v>94177.137883538904</v>
      </c>
      <c r="J1630" s="34">
        <v>94177.137883538904</v>
      </c>
      <c r="K1630" s="31" t="s">
        <v>3867</v>
      </c>
      <c r="L1630" s="31">
        <v>1</v>
      </c>
      <c r="M1630" s="31" t="s">
        <v>3868</v>
      </c>
      <c r="N1630" s="34">
        <v>3.25</v>
      </c>
      <c r="O1630" s="35">
        <v>0.30769230769230799</v>
      </c>
      <c r="P1630" s="35">
        <v>67</v>
      </c>
      <c r="Q1630" s="35">
        <v>20.615384615384599</v>
      </c>
      <c r="R1630" s="36">
        <v>18.02</v>
      </c>
      <c r="S1630" s="37">
        <f>IFERROR(_xlfn.XLOOKUP(R1630,'1_Presupuesto'!$E:$E,'1_Presupuesto'!$D:$D),"")</f>
        <v>0</v>
      </c>
    </row>
    <row r="1631" spans="1:19" x14ac:dyDescent="0.35">
      <c r="A1631" s="31" t="s">
        <v>3012</v>
      </c>
      <c r="B1631" s="31" t="s">
        <v>478</v>
      </c>
      <c r="C1631" s="31" t="s">
        <v>479</v>
      </c>
      <c r="D1631" s="31" t="s">
        <v>484</v>
      </c>
      <c r="E1631" s="31" t="s">
        <v>186</v>
      </c>
      <c r="F1631" s="31" t="s">
        <v>481</v>
      </c>
      <c r="G1631" s="32">
        <v>1</v>
      </c>
      <c r="H1631" s="33">
        <v>0</v>
      </c>
      <c r="I1631" s="34">
        <v>67240.498860267602</v>
      </c>
      <c r="J1631" s="34">
        <v>67240.498860267602</v>
      </c>
      <c r="K1631" s="31" t="s">
        <v>3867</v>
      </c>
      <c r="L1631" s="31">
        <v>2</v>
      </c>
      <c r="M1631" s="31" t="s">
        <v>3869</v>
      </c>
      <c r="N1631" s="34">
        <v>3.25</v>
      </c>
      <c r="O1631" s="35">
        <v>0.30769230769230799</v>
      </c>
      <c r="P1631" s="35">
        <v>67</v>
      </c>
      <c r="Q1631" s="35">
        <v>20.615384615384599</v>
      </c>
      <c r="R1631" s="36">
        <v>18.02</v>
      </c>
      <c r="S1631" s="37">
        <f>IFERROR(_xlfn.XLOOKUP(R1631,'1_Presupuesto'!$E:$E,'1_Presupuesto'!$D:$D),"")</f>
        <v>0</v>
      </c>
    </row>
    <row r="1632" spans="1:19" x14ac:dyDescent="0.35">
      <c r="A1632" s="31" t="s">
        <v>3027</v>
      </c>
      <c r="B1632" s="31" t="s">
        <v>478</v>
      </c>
      <c r="C1632" s="31" t="s">
        <v>479</v>
      </c>
      <c r="D1632" s="31" t="s">
        <v>480</v>
      </c>
      <c r="E1632" s="31" t="s">
        <v>183</v>
      </c>
      <c r="F1632" s="31" t="s">
        <v>481</v>
      </c>
      <c r="G1632" s="32">
        <v>1</v>
      </c>
      <c r="H1632" s="33">
        <v>0</v>
      </c>
      <c r="I1632" s="34">
        <v>94177.137883538904</v>
      </c>
      <c r="J1632" s="34">
        <v>94177.137883538904</v>
      </c>
      <c r="K1632" s="31" t="s">
        <v>3870</v>
      </c>
      <c r="L1632" s="31">
        <v>1</v>
      </c>
      <c r="M1632" s="31" t="s">
        <v>3871</v>
      </c>
      <c r="N1632" s="34">
        <v>3.25</v>
      </c>
      <c r="O1632" s="35">
        <v>0.30769230769230799</v>
      </c>
      <c r="P1632" s="35">
        <v>23</v>
      </c>
      <c r="Q1632" s="35">
        <v>7.0769230769230802</v>
      </c>
      <c r="R1632" s="36">
        <v>18.03</v>
      </c>
      <c r="S1632" s="37">
        <f>IFERROR(_xlfn.XLOOKUP(R1632,'1_Presupuesto'!$E:$E,'1_Presupuesto'!$D:$D),"")</f>
        <v>0</v>
      </c>
    </row>
    <row r="1633" spans="1:19" x14ac:dyDescent="0.35">
      <c r="A1633" s="31" t="s">
        <v>3027</v>
      </c>
      <c r="B1633" s="31" t="s">
        <v>478</v>
      </c>
      <c r="C1633" s="31" t="s">
        <v>479</v>
      </c>
      <c r="D1633" s="31" t="s">
        <v>484</v>
      </c>
      <c r="E1633" s="31" t="s">
        <v>186</v>
      </c>
      <c r="F1633" s="31" t="s">
        <v>481</v>
      </c>
      <c r="G1633" s="32">
        <v>1</v>
      </c>
      <c r="H1633" s="33">
        <v>0</v>
      </c>
      <c r="I1633" s="34">
        <v>67240.498860267602</v>
      </c>
      <c r="J1633" s="34">
        <v>67240.498860267602</v>
      </c>
      <c r="K1633" s="31" t="s">
        <v>3870</v>
      </c>
      <c r="L1633" s="31">
        <v>2</v>
      </c>
      <c r="M1633" s="31" t="s">
        <v>3872</v>
      </c>
      <c r="N1633" s="34">
        <v>3.25</v>
      </c>
      <c r="O1633" s="35">
        <v>0.30769230769230799</v>
      </c>
      <c r="P1633" s="35">
        <v>23</v>
      </c>
      <c r="Q1633" s="35">
        <v>7.0769230769230802</v>
      </c>
      <c r="R1633" s="36">
        <v>18.03</v>
      </c>
      <c r="S1633" s="37">
        <f>IFERROR(_xlfn.XLOOKUP(R1633,'1_Presupuesto'!$E:$E,'1_Presupuesto'!$D:$D),"")</f>
        <v>0</v>
      </c>
    </row>
    <row r="1634" spans="1:19" x14ac:dyDescent="0.35">
      <c r="A1634" s="31" t="s">
        <v>3042</v>
      </c>
      <c r="B1634" s="31" t="s">
        <v>478</v>
      </c>
      <c r="C1634" s="31" t="s">
        <v>479</v>
      </c>
      <c r="D1634" s="31" t="s">
        <v>480</v>
      </c>
      <c r="E1634" s="31" t="s">
        <v>183</v>
      </c>
      <c r="F1634" s="31" t="s">
        <v>481</v>
      </c>
      <c r="G1634" s="32">
        <v>1</v>
      </c>
      <c r="H1634" s="33">
        <v>0</v>
      </c>
      <c r="I1634" s="34">
        <v>94177.137883538904</v>
      </c>
      <c r="J1634" s="34">
        <v>94177.137883538904</v>
      </c>
      <c r="K1634" s="31" t="s">
        <v>3873</v>
      </c>
      <c r="L1634" s="31">
        <v>1</v>
      </c>
      <c r="M1634" s="31" t="s">
        <v>3874</v>
      </c>
      <c r="N1634" s="34">
        <v>3.25</v>
      </c>
      <c r="O1634" s="35">
        <v>0.30769230769230799</v>
      </c>
      <c r="P1634" s="35">
        <v>11</v>
      </c>
      <c r="Q1634" s="35">
        <v>3.3846153846153899</v>
      </c>
      <c r="R1634" s="36">
        <v>18.04</v>
      </c>
      <c r="S1634" s="37">
        <f>IFERROR(_xlfn.XLOOKUP(R1634,'1_Presupuesto'!$E:$E,'1_Presupuesto'!$D:$D),"")</f>
        <v>0</v>
      </c>
    </row>
    <row r="1635" spans="1:19" x14ac:dyDescent="0.35">
      <c r="A1635" s="31" t="s">
        <v>3042</v>
      </c>
      <c r="B1635" s="31" t="s">
        <v>478</v>
      </c>
      <c r="C1635" s="31" t="s">
        <v>479</v>
      </c>
      <c r="D1635" s="31" t="s">
        <v>484</v>
      </c>
      <c r="E1635" s="31" t="s">
        <v>186</v>
      </c>
      <c r="F1635" s="31" t="s">
        <v>481</v>
      </c>
      <c r="G1635" s="32">
        <v>1</v>
      </c>
      <c r="H1635" s="33">
        <v>0</v>
      </c>
      <c r="I1635" s="34">
        <v>67240.498860267602</v>
      </c>
      <c r="J1635" s="34">
        <v>67240.498860267602</v>
      </c>
      <c r="K1635" s="31" t="s">
        <v>3873</v>
      </c>
      <c r="L1635" s="31">
        <v>2</v>
      </c>
      <c r="M1635" s="31" t="s">
        <v>3875</v>
      </c>
      <c r="N1635" s="34">
        <v>3.25</v>
      </c>
      <c r="O1635" s="35">
        <v>0.30769230769230799</v>
      </c>
      <c r="P1635" s="35">
        <v>11</v>
      </c>
      <c r="Q1635" s="35">
        <v>3.3846153846153899</v>
      </c>
      <c r="R1635" s="36">
        <v>18.04</v>
      </c>
      <c r="S1635" s="37">
        <f>IFERROR(_xlfn.XLOOKUP(R1635,'1_Presupuesto'!$E:$E,'1_Presupuesto'!$D:$D),"")</f>
        <v>0</v>
      </c>
    </row>
    <row r="1636" spans="1:19" x14ac:dyDescent="0.35">
      <c r="A1636" s="31" t="s">
        <v>3057</v>
      </c>
      <c r="B1636" s="31" t="s">
        <v>478</v>
      </c>
      <c r="C1636" s="31" t="s">
        <v>479</v>
      </c>
      <c r="D1636" s="31" t="s">
        <v>480</v>
      </c>
      <c r="E1636" s="31" t="s">
        <v>183</v>
      </c>
      <c r="F1636" s="31" t="s">
        <v>481</v>
      </c>
      <c r="G1636" s="32">
        <v>1</v>
      </c>
      <c r="H1636" s="33">
        <v>0</v>
      </c>
      <c r="I1636" s="34">
        <v>94177.137883538904</v>
      </c>
      <c r="J1636" s="34">
        <v>94177.137883538904</v>
      </c>
      <c r="K1636" s="31" t="s">
        <v>3876</v>
      </c>
      <c r="L1636" s="31">
        <v>1</v>
      </c>
      <c r="M1636" s="31" t="s">
        <v>3877</v>
      </c>
      <c r="N1636" s="34">
        <v>3.25</v>
      </c>
      <c r="O1636" s="35">
        <v>0.30769230769230799</v>
      </c>
      <c r="P1636" s="35">
        <v>313</v>
      </c>
      <c r="Q1636" s="35">
        <v>96.307692307692307</v>
      </c>
      <c r="R1636" s="36">
        <v>18.05</v>
      </c>
      <c r="S1636" s="37">
        <f>IFERROR(_xlfn.XLOOKUP(R1636,'1_Presupuesto'!$E:$E,'1_Presupuesto'!$D:$D),"")</f>
        <v>0</v>
      </c>
    </row>
    <row r="1637" spans="1:19" x14ac:dyDescent="0.35">
      <c r="A1637" s="31" t="s">
        <v>3057</v>
      </c>
      <c r="B1637" s="31" t="s">
        <v>478</v>
      </c>
      <c r="C1637" s="31" t="s">
        <v>479</v>
      </c>
      <c r="D1637" s="31" t="s">
        <v>484</v>
      </c>
      <c r="E1637" s="31" t="s">
        <v>186</v>
      </c>
      <c r="F1637" s="31" t="s">
        <v>481</v>
      </c>
      <c r="G1637" s="32">
        <v>1</v>
      </c>
      <c r="H1637" s="33">
        <v>0</v>
      </c>
      <c r="I1637" s="34">
        <v>67240.498860267602</v>
      </c>
      <c r="J1637" s="34">
        <v>67240.498860267602</v>
      </c>
      <c r="K1637" s="31" t="s">
        <v>3876</v>
      </c>
      <c r="L1637" s="31">
        <v>2</v>
      </c>
      <c r="M1637" s="31" t="s">
        <v>3878</v>
      </c>
      <c r="N1637" s="34">
        <v>3.25</v>
      </c>
      <c r="O1637" s="35">
        <v>0.30769230769230799</v>
      </c>
      <c r="P1637" s="35">
        <v>313</v>
      </c>
      <c r="Q1637" s="35">
        <v>96.307692307692307</v>
      </c>
      <c r="R1637" s="36">
        <v>18.05</v>
      </c>
      <c r="S1637" s="37">
        <f>IFERROR(_xlfn.XLOOKUP(R1637,'1_Presupuesto'!$E:$E,'1_Presupuesto'!$D:$D),"")</f>
        <v>0</v>
      </c>
    </row>
    <row r="1638" spans="1:19" x14ac:dyDescent="0.35">
      <c r="A1638" s="31" t="s">
        <v>3070</v>
      </c>
      <c r="B1638" s="31" t="s">
        <v>478</v>
      </c>
      <c r="C1638" s="31" t="s">
        <v>479</v>
      </c>
      <c r="D1638" s="31" t="s">
        <v>480</v>
      </c>
      <c r="E1638" s="31" t="s">
        <v>183</v>
      </c>
      <c r="F1638" s="31" t="s">
        <v>481</v>
      </c>
      <c r="G1638" s="32">
        <v>1</v>
      </c>
      <c r="H1638" s="33">
        <v>0</v>
      </c>
      <c r="I1638" s="34">
        <v>94177.137883538904</v>
      </c>
      <c r="J1638" s="34">
        <v>94177.137883538904</v>
      </c>
      <c r="K1638" s="31" t="s">
        <v>3879</v>
      </c>
      <c r="L1638" s="31">
        <v>1</v>
      </c>
      <c r="M1638" s="31" t="s">
        <v>3880</v>
      </c>
      <c r="N1638" s="34">
        <v>3.25</v>
      </c>
      <c r="O1638" s="35">
        <v>0.30769230769230799</v>
      </c>
      <c r="P1638" s="35">
        <v>40</v>
      </c>
      <c r="Q1638" s="35">
        <v>12.307692307692299</v>
      </c>
      <c r="R1638" s="36">
        <v>18.059999999999999</v>
      </c>
      <c r="S1638" s="37">
        <f>IFERROR(_xlfn.XLOOKUP(R1638,'1_Presupuesto'!$E:$E,'1_Presupuesto'!$D:$D),"")</f>
        <v>0</v>
      </c>
    </row>
    <row r="1639" spans="1:19" x14ac:dyDescent="0.35">
      <c r="A1639" s="31" t="s">
        <v>3070</v>
      </c>
      <c r="B1639" s="31" t="s">
        <v>478</v>
      </c>
      <c r="C1639" s="31" t="s">
        <v>479</v>
      </c>
      <c r="D1639" s="31" t="s">
        <v>484</v>
      </c>
      <c r="E1639" s="31" t="s">
        <v>186</v>
      </c>
      <c r="F1639" s="31" t="s">
        <v>481</v>
      </c>
      <c r="G1639" s="32">
        <v>1</v>
      </c>
      <c r="H1639" s="33">
        <v>0</v>
      </c>
      <c r="I1639" s="34">
        <v>67240.498860267602</v>
      </c>
      <c r="J1639" s="34">
        <v>67240.498860267602</v>
      </c>
      <c r="K1639" s="31" t="s">
        <v>3879</v>
      </c>
      <c r="L1639" s="31">
        <v>2</v>
      </c>
      <c r="M1639" s="31" t="s">
        <v>3881</v>
      </c>
      <c r="N1639" s="34">
        <v>3.25</v>
      </c>
      <c r="O1639" s="35">
        <v>0.30769230769230799</v>
      </c>
      <c r="P1639" s="35">
        <v>40</v>
      </c>
      <c r="Q1639" s="35">
        <v>12.307692307692299</v>
      </c>
      <c r="R1639" s="36">
        <v>18.059999999999999</v>
      </c>
      <c r="S1639" s="37">
        <f>IFERROR(_xlfn.XLOOKUP(R1639,'1_Presupuesto'!$E:$E,'1_Presupuesto'!$D:$D),"")</f>
        <v>0</v>
      </c>
    </row>
    <row r="1640" spans="1:19" x14ac:dyDescent="0.35">
      <c r="A1640" s="31" t="s">
        <v>3091</v>
      </c>
      <c r="B1640" s="31" t="s">
        <v>478</v>
      </c>
      <c r="C1640" s="31" t="s">
        <v>479</v>
      </c>
      <c r="D1640" s="31" t="s">
        <v>480</v>
      </c>
      <c r="E1640" s="31" t="s">
        <v>183</v>
      </c>
      <c r="F1640" s="31" t="s">
        <v>481</v>
      </c>
      <c r="G1640" s="32">
        <v>1</v>
      </c>
      <c r="H1640" s="33">
        <v>0</v>
      </c>
      <c r="I1640" s="34">
        <v>94177.137883538904</v>
      </c>
      <c r="J1640" s="34">
        <v>94177.137883538904</v>
      </c>
      <c r="K1640" s="31" t="s">
        <v>3882</v>
      </c>
      <c r="L1640" s="31">
        <v>1</v>
      </c>
      <c r="M1640" s="31" t="s">
        <v>3883</v>
      </c>
      <c r="N1640" s="34">
        <v>3.25</v>
      </c>
      <c r="O1640" s="35">
        <v>0.30769230769230799</v>
      </c>
      <c r="P1640" s="35">
        <v>50</v>
      </c>
      <c r="Q1640" s="35">
        <v>15.384615384615399</v>
      </c>
      <c r="R1640" s="36">
        <v>18.07</v>
      </c>
      <c r="S1640" s="37">
        <f>IFERROR(_xlfn.XLOOKUP(R1640,'1_Presupuesto'!$E:$E,'1_Presupuesto'!$D:$D),"")</f>
        <v>0</v>
      </c>
    </row>
    <row r="1641" spans="1:19" x14ac:dyDescent="0.35">
      <c r="A1641" s="31" t="s">
        <v>3091</v>
      </c>
      <c r="B1641" s="31" t="s">
        <v>478</v>
      </c>
      <c r="C1641" s="31" t="s">
        <v>479</v>
      </c>
      <c r="D1641" s="31" t="s">
        <v>484</v>
      </c>
      <c r="E1641" s="31" t="s">
        <v>186</v>
      </c>
      <c r="F1641" s="31" t="s">
        <v>481</v>
      </c>
      <c r="G1641" s="32">
        <v>1</v>
      </c>
      <c r="H1641" s="33">
        <v>0</v>
      </c>
      <c r="I1641" s="34">
        <v>67240.498860267602</v>
      </c>
      <c r="J1641" s="34">
        <v>67240.498860267602</v>
      </c>
      <c r="K1641" s="31" t="s">
        <v>3882</v>
      </c>
      <c r="L1641" s="31">
        <v>2</v>
      </c>
      <c r="M1641" s="31" t="s">
        <v>3884</v>
      </c>
      <c r="N1641" s="34">
        <v>3.25</v>
      </c>
      <c r="O1641" s="35">
        <v>0.30769230769230799</v>
      </c>
      <c r="P1641" s="35">
        <v>50</v>
      </c>
      <c r="Q1641" s="35">
        <v>15.384615384615399</v>
      </c>
      <c r="R1641" s="36">
        <v>18.07</v>
      </c>
      <c r="S1641" s="37">
        <f>IFERROR(_xlfn.XLOOKUP(R1641,'1_Presupuesto'!$E:$E,'1_Presupuesto'!$D:$D),"")</f>
        <v>0</v>
      </c>
    </row>
    <row r="1642" spans="1:19" x14ac:dyDescent="0.35">
      <c r="A1642" s="31" t="s">
        <v>3104</v>
      </c>
      <c r="B1642" s="31" t="s">
        <v>478</v>
      </c>
      <c r="C1642" s="31" t="s">
        <v>479</v>
      </c>
      <c r="D1642" s="31" t="s">
        <v>480</v>
      </c>
      <c r="E1642" s="31" t="s">
        <v>183</v>
      </c>
      <c r="F1642" s="31" t="s">
        <v>481</v>
      </c>
      <c r="G1642" s="32">
        <v>1</v>
      </c>
      <c r="H1642" s="33">
        <v>0</v>
      </c>
      <c r="I1642" s="34">
        <v>94177.137883538904</v>
      </c>
      <c r="J1642" s="34">
        <v>94177.137883538904</v>
      </c>
      <c r="K1642" s="31" t="s">
        <v>3885</v>
      </c>
      <c r="L1642" s="31">
        <v>1</v>
      </c>
      <c r="M1642" s="31" t="s">
        <v>3886</v>
      </c>
      <c r="N1642" s="34">
        <v>3.25</v>
      </c>
      <c r="O1642" s="35">
        <v>0.30769230769230799</v>
      </c>
      <c r="P1642" s="35">
        <v>0</v>
      </c>
      <c r="Q1642" s="35">
        <v>0</v>
      </c>
      <c r="R1642" s="36">
        <v>18.079999999999998</v>
      </c>
      <c r="S1642" s="37">
        <f>IFERROR(_xlfn.XLOOKUP(R1642,'1_Presupuesto'!$E:$E,'1_Presupuesto'!$D:$D),"")</f>
        <v>0</v>
      </c>
    </row>
    <row r="1643" spans="1:19" x14ac:dyDescent="0.35">
      <c r="A1643" s="31" t="s">
        <v>3104</v>
      </c>
      <c r="B1643" s="31" t="s">
        <v>478</v>
      </c>
      <c r="C1643" s="31" t="s">
        <v>479</v>
      </c>
      <c r="D1643" s="31" t="s">
        <v>484</v>
      </c>
      <c r="E1643" s="31" t="s">
        <v>186</v>
      </c>
      <c r="F1643" s="31" t="s">
        <v>481</v>
      </c>
      <c r="G1643" s="32">
        <v>1</v>
      </c>
      <c r="H1643" s="33">
        <v>0</v>
      </c>
      <c r="I1643" s="34">
        <v>67240.498860267602</v>
      </c>
      <c r="J1643" s="34">
        <v>67240.498860267602</v>
      </c>
      <c r="K1643" s="31" t="s">
        <v>3885</v>
      </c>
      <c r="L1643" s="31">
        <v>2</v>
      </c>
      <c r="M1643" s="31" t="s">
        <v>3887</v>
      </c>
      <c r="N1643" s="34">
        <v>3.25</v>
      </c>
      <c r="O1643" s="35">
        <v>0.30769230769230799</v>
      </c>
      <c r="P1643" s="35">
        <v>0</v>
      </c>
      <c r="Q1643" s="35">
        <v>0</v>
      </c>
      <c r="R1643" s="36">
        <v>18.079999999999998</v>
      </c>
      <c r="S1643" s="37">
        <f>IFERROR(_xlfn.XLOOKUP(R1643,'1_Presupuesto'!$E:$E,'1_Presupuesto'!$D:$D),"")</f>
        <v>0</v>
      </c>
    </row>
    <row r="1644" spans="1:19" x14ac:dyDescent="0.35">
      <c r="A1644" s="31" t="s">
        <v>3117</v>
      </c>
      <c r="B1644" s="31" t="s">
        <v>478</v>
      </c>
      <c r="C1644" s="31" t="s">
        <v>479</v>
      </c>
      <c r="D1644" s="31" t="s">
        <v>480</v>
      </c>
      <c r="E1644" s="31" t="s">
        <v>183</v>
      </c>
      <c r="F1644" s="31" t="s">
        <v>481</v>
      </c>
      <c r="G1644" s="32">
        <v>1</v>
      </c>
      <c r="H1644" s="33">
        <v>0</v>
      </c>
      <c r="I1644" s="34">
        <v>94177.137883538904</v>
      </c>
      <c r="J1644" s="34">
        <v>94177.137883538904</v>
      </c>
      <c r="K1644" s="31" t="s">
        <v>3888</v>
      </c>
      <c r="L1644" s="31">
        <v>1</v>
      </c>
      <c r="M1644" s="31" t="s">
        <v>3889</v>
      </c>
      <c r="N1644" s="34">
        <v>5</v>
      </c>
      <c r="O1644" s="35">
        <v>0.2</v>
      </c>
      <c r="P1644" s="35">
        <v>40</v>
      </c>
      <c r="Q1644" s="35">
        <v>8</v>
      </c>
      <c r="R1644" s="36">
        <v>18.09</v>
      </c>
      <c r="S1644" s="37">
        <f>IFERROR(_xlfn.XLOOKUP(R1644,'1_Presupuesto'!$E:$E,'1_Presupuesto'!$D:$D),"")</f>
        <v>0</v>
      </c>
    </row>
    <row r="1645" spans="1:19" x14ac:dyDescent="0.35">
      <c r="A1645" s="31" t="s">
        <v>3117</v>
      </c>
      <c r="B1645" s="31" t="s">
        <v>478</v>
      </c>
      <c r="C1645" s="31" t="s">
        <v>479</v>
      </c>
      <c r="D1645" s="31" t="s">
        <v>484</v>
      </c>
      <c r="E1645" s="31" t="s">
        <v>186</v>
      </c>
      <c r="F1645" s="31" t="s">
        <v>481</v>
      </c>
      <c r="G1645" s="32">
        <v>1</v>
      </c>
      <c r="H1645" s="33">
        <v>0</v>
      </c>
      <c r="I1645" s="34">
        <v>67240.498860267602</v>
      </c>
      <c r="J1645" s="34">
        <v>67240.498860267602</v>
      </c>
      <c r="K1645" s="31" t="s">
        <v>3888</v>
      </c>
      <c r="L1645" s="31">
        <v>2</v>
      </c>
      <c r="M1645" s="31" t="s">
        <v>3890</v>
      </c>
      <c r="N1645" s="34">
        <v>5</v>
      </c>
      <c r="O1645" s="35">
        <v>0.2</v>
      </c>
      <c r="P1645" s="35">
        <v>40</v>
      </c>
      <c r="Q1645" s="35">
        <v>8</v>
      </c>
      <c r="R1645" s="36">
        <v>18.09</v>
      </c>
      <c r="S1645" s="37">
        <f>IFERROR(_xlfn.XLOOKUP(R1645,'1_Presupuesto'!$E:$E,'1_Presupuesto'!$D:$D),"")</f>
        <v>0</v>
      </c>
    </row>
    <row r="1646" spans="1:19" x14ac:dyDescent="0.35">
      <c r="A1646" s="31" t="s">
        <v>3129</v>
      </c>
      <c r="B1646" s="31" t="s">
        <v>478</v>
      </c>
      <c r="C1646" s="31" t="s">
        <v>479</v>
      </c>
      <c r="D1646" s="31" t="s">
        <v>480</v>
      </c>
      <c r="E1646" s="31" t="s">
        <v>183</v>
      </c>
      <c r="F1646" s="31" t="s">
        <v>481</v>
      </c>
      <c r="G1646" s="32">
        <v>1</v>
      </c>
      <c r="H1646" s="33">
        <v>0</v>
      </c>
      <c r="I1646" s="34">
        <v>94177.137883538904</v>
      </c>
      <c r="J1646" s="34">
        <v>94177.137883538904</v>
      </c>
      <c r="K1646" s="31" t="s">
        <v>3891</v>
      </c>
      <c r="L1646" s="31">
        <v>1</v>
      </c>
      <c r="M1646" s="31" t="s">
        <v>3892</v>
      </c>
      <c r="N1646" s="34">
        <v>3.25</v>
      </c>
      <c r="O1646" s="35">
        <v>0.30769230769230799</v>
      </c>
      <c r="P1646" s="35">
        <v>0</v>
      </c>
      <c r="Q1646" s="35">
        <v>0</v>
      </c>
      <c r="R1646" s="36">
        <v>18.100000000000001</v>
      </c>
      <c r="S1646" s="37">
        <f>IFERROR(_xlfn.XLOOKUP(R1646,'1_Presupuesto'!$E:$E,'1_Presupuesto'!$D:$D),"")</f>
        <v>0</v>
      </c>
    </row>
    <row r="1647" spans="1:19" x14ac:dyDescent="0.35">
      <c r="A1647" s="31" t="s">
        <v>3129</v>
      </c>
      <c r="B1647" s="31" t="s">
        <v>478</v>
      </c>
      <c r="C1647" s="31" t="s">
        <v>479</v>
      </c>
      <c r="D1647" s="31" t="s">
        <v>484</v>
      </c>
      <c r="E1647" s="31" t="s">
        <v>186</v>
      </c>
      <c r="F1647" s="31" t="s">
        <v>481</v>
      </c>
      <c r="G1647" s="32">
        <v>1</v>
      </c>
      <c r="H1647" s="33">
        <v>0</v>
      </c>
      <c r="I1647" s="34">
        <v>67240.498860267602</v>
      </c>
      <c r="J1647" s="34">
        <v>67240.498860267602</v>
      </c>
      <c r="K1647" s="31" t="s">
        <v>3891</v>
      </c>
      <c r="L1647" s="31">
        <v>2</v>
      </c>
      <c r="M1647" s="31" t="s">
        <v>3893</v>
      </c>
      <c r="N1647" s="34">
        <v>3.25</v>
      </c>
      <c r="O1647" s="35">
        <v>0.30769230769230799</v>
      </c>
      <c r="P1647" s="35">
        <v>0</v>
      </c>
      <c r="Q1647" s="35">
        <v>0</v>
      </c>
      <c r="R1647" s="36">
        <v>18.100000000000001</v>
      </c>
      <c r="S1647" s="37">
        <f>IFERROR(_xlfn.XLOOKUP(R1647,'1_Presupuesto'!$E:$E,'1_Presupuesto'!$D:$D),"")</f>
        <v>0</v>
      </c>
    </row>
    <row r="1648" spans="1:19" x14ac:dyDescent="0.35">
      <c r="A1648" s="31" t="s">
        <v>3320</v>
      </c>
      <c r="B1648" s="31" t="s">
        <v>478</v>
      </c>
      <c r="C1648" s="31" t="s">
        <v>498</v>
      </c>
      <c r="D1648" s="31" t="s">
        <v>3894</v>
      </c>
      <c r="E1648" s="31" t="s">
        <v>3895</v>
      </c>
      <c r="F1648" s="31" t="s">
        <v>481</v>
      </c>
      <c r="G1648" s="32">
        <v>1</v>
      </c>
      <c r="H1648" s="33">
        <v>0</v>
      </c>
      <c r="I1648" s="34">
        <v>931720.65894092806</v>
      </c>
      <c r="J1648" s="34">
        <v>931720.65894092806</v>
      </c>
      <c r="K1648" s="31" t="s">
        <v>3896</v>
      </c>
      <c r="L1648" s="31">
        <v>1</v>
      </c>
      <c r="M1648" s="31" t="s">
        <v>3897</v>
      </c>
      <c r="N1648" s="34">
        <v>1</v>
      </c>
      <c r="O1648" s="35">
        <v>0</v>
      </c>
      <c r="P1648" s="35">
        <v>1</v>
      </c>
      <c r="Q1648" s="35">
        <v>0</v>
      </c>
      <c r="R1648" s="36">
        <v>19.010000000000002</v>
      </c>
      <c r="S1648" s="37">
        <f>IFERROR(_xlfn.XLOOKUP(R1648,'1_Presupuesto'!$E:$E,'1_Presupuesto'!$D:$D),"")</f>
        <v>0</v>
      </c>
    </row>
    <row r="1649" spans="1:19" x14ac:dyDescent="0.35">
      <c r="A1649" s="31" t="s">
        <v>3329</v>
      </c>
      <c r="B1649" s="31" t="s">
        <v>478</v>
      </c>
      <c r="C1649" s="31" t="s">
        <v>498</v>
      </c>
      <c r="D1649" s="31" t="s">
        <v>3898</v>
      </c>
      <c r="E1649" s="31" t="s">
        <v>3899</v>
      </c>
      <c r="F1649" s="31" t="s">
        <v>481</v>
      </c>
      <c r="G1649" s="32">
        <v>1</v>
      </c>
      <c r="H1649" s="33">
        <v>0</v>
      </c>
      <c r="I1649" s="34">
        <v>7439542.8720526099</v>
      </c>
      <c r="J1649" s="34">
        <v>7439542.8720526099</v>
      </c>
      <c r="K1649" s="31" t="s">
        <v>3900</v>
      </c>
      <c r="L1649" s="31">
        <v>1</v>
      </c>
      <c r="M1649" s="31" t="s">
        <v>3901</v>
      </c>
      <c r="N1649" s="34">
        <v>1</v>
      </c>
      <c r="O1649" s="35">
        <v>0</v>
      </c>
      <c r="P1649" s="35">
        <v>1</v>
      </c>
      <c r="Q1649" s="35">
        <v>0</v>
      </c>
      <c r="R1649" s="36">
        <v>19.02</v>
      </c>
      <c r="S1649" s="37">
        <f>IFERROR(_xlfn.XLOOKUP(R1649,'1_Presupuesto'!$E:$E,'1_Presupuesto'!$D:$D),"")</f>
        <v>0</v>
      </c>
    </row>
    <row r="1650" spans="1:19" x14ac:dyDescent="0.35">
      <c r="A1650" s="31" t="s">
        <v>3336</v>
      </c>
      <c r="B1650" s="31" t="s">
        <v>478</v>
      </c>
      <c r="C1650" s="31" t="s">
        <v>498</v>
      </c>
      <c r="D1650" s="31" t="s">
        <v>3902</v>
      </c>
      <c r="E1650" s="31" t="s">
        <v>3903</v>
      </c>
      <c r="F1650" s="31" t="s">
        <v>481</v>
      </c>
      <c r="G1650" s="32">
        <v>1</v>
      </c>
      <c r="H1650" s="33">
        <v>0</v>
      </c>
      <c r="I1650" s="34">
        <v>2179040.2308093999</v>
      </c>
      <c r="J1650" s="34">
        <v>2179040.2308093999</v>
      </c>
      <c r="K1650" s="31" t="s">
        <v>3904</v>
      </c>
      <c r="L1650" s="31">
        <v>1</v>
      </c>
      <c r="M1650" s="31" t="s">
        <v>3905</v>
      </c>
      <c r="N1650" s="34">
        <v>1</v>
      </c>
      <c r="O1650" s="35">
        <v>0</v>
      </c>
      <c r="P1650" s="35">
        <v>1</v>
      </c>
      <c r="Q1650" s="35">
        <v>0</v>
      </c>
      <c r="R1650" s="36">
        <v>19.03</v>
      </c>
      <c r="S1650" s="37">
        <f>IFERROR(_xlfn.XLOOKUP(R1650,'1_Presupuesto'!$E:$E,'1_Presupuesto'!$D:$D),"")</f>
        <v>0</v>
      </c>
    </row>
    <row r="1651" spans="1:19" x14ac:dyDescent="0.35">
      <c r="A1651" s="31" t="s">
        <v>3345</v>
      </c>
      <c r="B1651" s="31" t="s">
        <v>478</v>
      </c>
      <c r="C1651" s="31" t="s">
        <v>498</v>
      </c>
      <c r="D1651" s="31" t="s">
        <v>3906</v>
      </c>
      <c r="E1651" s="31" t="s">
        <v>3907</v>
      </c>
      <c r="F1651" s="31" t="s">
        <v>481</v>
      </c>
      <c r="G1651" s="32">
        <v>1</v>
      </c>
      <c r="H1651" s="33">
        <v>0</v>
      </c>
      <c r="I1651" s="34">
        <v>931720.65894092806</v>
      </c>
      <c r="J1651" s="34">
        <v>931720.65894092806</v>
      </c>
      <c r="K1651" s="31" t="s">
        <v>3908</v>
      </c>
      <c r="L1651" s="31">
        <v>1</v>
      </c>
      <c r="M1651" s="31" t="s">
        <v>3909</v>
      </c>
      <c r="N1651" s="34">
        <v>1</v>
      </c>
      <c r="O1651" s="35">
        <v>0</v>
      </c>
      <c r="P1651" s="35">
        <v>1</v>
      </c>
      <c r="Q1651" s="35">
        <v>0</v>
      </c>
      <c r="R1651" s="36">
        <v>19.04</v>
      </c>
      <c r="S1651" s="37">
        <f>IFERROR(_xlfn.XLOOKUP(R1651,'1_Presupuesto'!$E:$E,'1_Presupuesto'!$D:$D),"")</f>
        <v>0</v>
      </c>
    </row>
    <row r="1652" spans="1:19" x14ac:dyDescent="0.35">
      <c r="A1652" s="31" t="s">
        <v>3352</v>
      </c>
      <c r="B1652" s="31" t="s">
        <v>478</v>
      </c>
      <c r="C1652" s="31" t="s">
        <v>498</v>
      </c>
      <c r="D1652" s="31" t="s">
        <v>3910</v>
      </c>
      <c r="E1652" s="31" t="s">
        <v>3911</v>
      </c>
      <c r="F1652" s="31" t="s">
        <v>481</v>
      </c>
      <c r="G1652" s="32">
        <v>1</v>
      </c>
      <c r="H1652" s="33">
        <v>0</v>
      </c>
      <c r="I1652" s="34">
        <v>3537598.1952882898</v>
      </c>
      <c r="J1652" s="34">
        <v>3537598.1952882898</v>
      </c>
      <c r="K1652" s="31" t="s">
        <v>3912</v>
      </c>
      <c r="L1652" s="31">
        <v>1</v>
      </c>
      <c r="M1652" s="31" t="s">
        <v>3913</v>
      </c>
      <c r="N1652" s="34">
        <v>1</v>
      </c>
      <c r="O1652" s="35">
        <v>0</v>
      </c>
      <c r="P1652" s="35">
        <v>1</v>
      </c>
      <c r="Q1652" s="35">
        <v>0</v>
      </c>
      <c r="R1652" s="36">
        <v>19.05</v>
      </c>
      <c r="S1652" s="37">
        <f>IFERROR(_xlfn.XLOOKUP(R1652,'1_Presupuesto'!$E:$E,'1_Presupuesto'!$D:$D),"")</f>
        <v>0</v>
      </c>
    </row>
    <row r="1653" spans="1:19" x14ac:dyDescent="0.35">
      <c r="A1653" s="31" t="s">
        <v>3361</v>
      </c>
      <c r="B1653" s="31" t="s">
        <v>478</v>
      </c>
      <c r="C1653" s="31" t="s">
        <v>498</v>
      </c>
      <c r="D1653" s="31" t="s">
        <v>3914</v>
      </c>
      <c r="E1653" s="31" t="s">
        <v>3915</v>
      </c>
      <c r="F1653" s="31" t="s">
        <v>481</v>
      </c>
      <c r="G1653" s="32">
        <v>1</v>
      </c>
      <c r="H1653" s="33">
        <v>0</v>
      </c>
      <c r="I1653" s="34">
        <v>1746247.40061585</v>
      </c>
      <c r="J1653" s="34">
        <v>1746247.40061585</v>
      </c>
      <c r="K1653" s="31" t="s">
        <v>3916</v>
      </c>
      <c r="L1653" s="31">
        <v>1</v>
      </c>
      <c r="M1653" s="31" t="s">
        <v>3917</v>
      </c>
      <c r="N1653" s="34">
        <v>1</v>
      </c>
      <c r="O1653" s="35">
        <v>0</v>
      </c>
      <c r="P1653" s="35">
        <v>1</v>
      </c>
      <c r="Q1653" s="35">
        <v>0</v>
      </c>
      <c r="R1653" s="36">
        <v>19.059999999999999</v>
      </c>
      <c r="S1653" s="37">
        <f>IFERROR(_xlfn.XLOOKUP(R1653,'1_Presupuesto'!$E:$E,'1_Presupuesto'!$D:$D),"")</f>
        <v>0</v>
      </c>
    </row>
    <row r="1654" spans="1:19" x14ac:dyDescent="0.35">
      <c r="A1654" s="31" t="s">
        <v>3370</v>
      </c>
      <c r="B1654" s="31" t="s">
        <v>478</v>
      </c>
      <c r="C1654" s="31" t="s">
        <v>498</v>
      </c>
      <c r="D1654" s="31" t="s">
        <v>3918</v>
      </c>
      <c r="E1654" s="31" t="s">
        <v>3919</v>
      </c>
      <c r="F1654" s="31" t="s">
        <v>481</v>
      </c>
      <c r="G1654" s="32">
        <v>1</v>
      </c>
      <c r="H1654" s="33">
        <v>0</v>
      </c>
      <c r="I1654" s="34">
        <v>3598731.4622267298</v>
      </c>
      <c r="J1654" s="34">
        <v>3598731.4622267298</v>
      </c>
      <c r="K1654" s="31" t="s">
        <v>3920</v>
      </c>
      <c r="L1654" s="31">
        <v>1</v>
      </c>
      <c r="M1654" s="31" t="s">
        <v>3921</v>
      </c>
      <c r="N1654" s="34">
        <v>1</v>
      </c>
      <c r="O1654" s="35">
        <v>0</v>
      </c>
      <c r="P1654" s="35">
        <v>1</v>
      </c>
      <c r="Q1654" s="35">
        <v>0</v>
      </c>
      <c r="R1654" s="36">
        <v>19.07</v>
      </c>
      <c r="S1654" s="37">
        <f>IFERROR(_xlfn.XLOOKUP(R1654,'1_Presupuesto'!$E:$E,'1_Presupuesto'!$D:$D),"")</f>
        <v>0</v>
      </c>
    </row>
    <row r="1655" spans="1:19" x14ac:dyDescent="0.35">
      <c r="A1655" s="31" t="s">
        <v>3379</v>
      </c>
      <c r="B1655" s="31" t="s">
        <v>478</v>
      </c>
      <c r="C1655" s="31" t="s">
        <v>498</v>
      </c>
      <c r="D1655" s="31" t="s">
        <v>3922</v>
      </c>
      <c r="E1655" s="31" t="s">
        <v>3923</v>
      </c>
      <c r="F1655" s="31" t="s">
        <v>481</v>
      </c>
      <c r="G1655" s="32">
        <v>1</v>
      </c>
      <c r="H1655" s="33">
        <v>0</v>
      </c>
      <c r="I1655" s="34">
        <v>2500015.0564415599</v>
      </c>
      <c r="J1655" s="34">
        <v>2500015.0564415599</v>
      </c>
      <c r="K1655" s="31" t="s">
        <v>3924</v>
      </c>
      <c r="L1655" s="31">
        <v>1</v>
      </c>
      <c r="M1655" s="31" t="s">
        <v>3925</v>
      </c>
      <c r="N1655" s="34">
        <v>1</v>
      </c>
      <c r="O1655" s="35">
        <v>0</v>
      </c>
      <c r="P1655" s="35">
        <v>1</v>
      </c>
      <c r="Q1655" s="35">
        <v>0</v>
      </c>
      <c r="R1655" s="36">
        <v>19.079999999999998</v>
      </c>
      <c r="S1655" s="37">
        <f>IFERROR(_xlfn.XLOOKUP(R1655,'1_Presupuesto'!$E:$E,'1_Presupuesto'!$D:$D),"")</f>
        <v>0</v>
      </c>
    </row>
    <row r="1656" spans="1:19" x14ac:dyDescent="0.35">
      <c r="A1656" s="31" t="s">
        <v>3388</v>
      </c>
      <c r="B1656" s="31" t="s">
        <v>478</v>
      </c>
      <c r="C1656" s="31" t="s">
        <v>498</v>
      </c>
      <c r="D1656" s="31" t="s">
        <v>3926</v>
      </c>
      <c r="E1656" s="31" t="s">
        <v>3927</v>
      </c>
      <c r="F1656" s="31" t="s">
        <v>481</v>
      </c>
      <c r="G1656" s="32">
        <v>1</v>
      </c>
      <c r="H1656" s="33">
        <v>0</v>
      </c>
      <c r="I1656" s="34">
        <v>1199577.15407558</v>
      </c>
      <c r="J1656" s="34">
        <v>1199577.15407558</v>
      </c>
      <c r="K1656" s="31" t="s">
        <v>3928</v>
      </c>
      <c r="L1656" s="31">
        <v>1</v>
      </c>
      <c r="M1656" s="31" t="s">
        <v>3929</v>
      </c>
      <c r="N1656" s="34">
        <v>1</v>
      </c>
      <c r="O1656" s="35">
        <v>0</v>
      </c>
      <c r="P1656" s="35">
        <v>1</v>
      </c>
      <c r="Q1656" s="35">
        <v>0</v>
      </c>
      <c r="R1656" s="36">
        <v>19.09</v>
      </c>
      <c r="S1656" s="37">
        <f>IFERROR(_xlfn.XLOOKUP(R1656,'1_Presupuesto'!$E:$E,'1_Presupuesto'!$D:$D),"")</f>
        <v>0</v>
      </c>
    </row>
    <row r="1657" spans="1:19" x14ac:dyDescent="0.35">
      <c r="A1657" s="31" t="s">
        <v>3397</v>
      </c>
      <c r="B1657" s="31" t="s">
        <v>478</v>
      </c>
      <c r="C1657" s="31" t="s">
        <v>498</v>
      </c>
      <c r="D1657" s="31" t="s">
        <v>3930</v>
      </c>
      <c r="E1657" s="31" t="s">
        <v>3931</v>
      </c>
      <c r="F1657" s="31" t="s">
        <v>481</v>
      </c>
      <c r="G1657" s="32">
        <v>1</v>
      </c>
      <c r="H1657" s="33">
        <v>0</v>
      </c>
      <c r="I1657" s="34">
        <v>9188039.2000978701</v>
      </c>
      <c r="J1657" s="34">
        <v>9188039.2000978701</v>
      </c>
      <c r="K1657" s="31" t="s">
        <v>3932</v>
      </c>
      <c r="L1657" s="31">
        <v>1</v>
      </c>
      <c r="M1657" s="31" t="s">
        <v>3933</v>
      </c>
      <c r="N1657" s="34">
        <v>1</v>
      </c>
      <c r="O1657" s="35">
        <v>0</v>
      </c>
      <c r="P1657" s="35">
        <v>1</v>
      </c>
      <c r="Q1657" s="35">
        <v>0</v>
      </c>
      <c r="R1657" s="36">
        <v>19.100000000000001</v>
      </c>
      <c r="S1657" s="37">
        <f>IFERROR(_xlfn.XLOOKUP(R1657,'1_Presupuesto'!$E:$E,'1_Presupuesto'!$D:$D),"")</f>
        <v>0</v>
      </c>
    </row>
    <row r="1658" spans="1:19" x14ac:dyDescent="0.35">
      <c r="A1658" s="31" t="s">
        <v>3406</v>
      </c>
      <c r="B1658" s="31" t="s">
        <v>478</v>
      </c>
      <c r="C1658" s="31" t="s">
        <v>498</v>
      </c>
      <c r="D1658" s="31" t="s">
        <v>3934</v>
      </c>
      <c r="E1658" s="31" t="s">
        <v>3935</v>
      </c>
      <c r="F1658" s="31" t="s">
        <v>481</v>
      </c>
      <c r="G1658" s="32">
        <v>1</v>
      </c>
      <c r="H1658" s="33">
        <v>0</v>
      </c>
      <c r="I1658" s="34">
        <v>5079485.0755870203</v>
      </c>
      <c r="J1658" s="34">
        <v>5079485.0755870203</v>
      </c>
      <c r="K1658" s="31" t="s">
        <v>3936</v>
      </c>
      <c r="L1658" s="31">
        <v>1</v>
      </c>
      <c r="M1658" s="31" t="s">
        <v>3937</v>
      </c>
      <c r="N1658" s="34">
        <v>1</v>
      </c>
      <c r="O1658" s="35">
        <v>0</v>
      </c>
      <c r="P1658" s="35">
        <v>1</v>
      </c>
      <c r="Q1658" s="35">
        <v>0</v>
      </c>
      <c r="R1658" s="36">
        <v>19.12</v>
      </c>
      <c r="S1658" s="37">
        <f>IFERROR(_xlfn.XLOOKUP(R1658,'1_Presupuesto'!$E:$E,'1_Presupuesto'!$D:$D),"")</f>
        <v>0</v>
      </c>
    </row>
    <row r="1659" spans="1:19" x14ac:dyDescent="0.35">
      <c r="A1659" s="31" t="s">
        <v>3428</v>
      </c>
      <c r="B1659" s="31" t="s">
        <v>478</v>
      </c>
      <c r="C1659" s="31" t="s">
        <v>498</v>
      </c>
      <c r="D1659" s="31" t="s">
        <v>3938</v>
      </c>
      <c r="E1659" s="31" t="s">
        <v>3939</v>
      </c>
      <c r="F1659" s="31" t="s">
        <v>481</v>
      </c>
      <c r="G1659" s="32">
        <v>1</v>
      </c>
      <c r="H1659" s="33">
        <v>0</v>
      </c>
      <c r="I1659" s="34">
        <v>1746247.40061585</v>
      </c>
      <c r="J1659" s="34">
        <v>1746247.40061585</v>
      </c>
      <c r="K1659" s="31" t="s">
        <v>3940</v>
      </c>
      <c r="L1659" s="31">
        <v>1</v>
      </c>
      <c r="M1659" s="31" t="s">
        <v>3941</v>
      </c>
      <c r="N1659" s="34">
        <v>1</v>
      </c>
      <c r="O1659" s="35">
        <v>0</v>
      </c>
      <c r="P1659" s="35">
        <v>1</v>
      </c>
      <c r="Q1659" s="35">
        <v>0</v>
      </c>
      <c r="R1659" s="36">
        <v>19.14</v>
      </c>
      <c r="S1659" s="37">
        <f>IFERROR(_xlfn.XLOOKUP(R1659,'1_Presupuesto'!$E:$E,'1_Presupuesto'!$D:$D),"")</f>
        <v>0</v>
      </c>
    </row>
    <row r="1660" spans="1:19" x14ac:dyDescent="0.35">
      <c r="A1660" s="31" t="s">
        <v>3437</v>
      </c>
      <c r="B1660" s="31" t="s">
        <v>478</v>
      </c>
      <c r="C1660" s="31" t="s">
        <v>498</v>
      </c>
      <c r="D1660" s="31" t="s">
        <v>3942</v>
      </c>
      <c r="E1660" s="31" t="s">
        <v>3943</v>
      </c>
      <c r="F1660" s="31" t="s">
        <v>481</v>
      </c>
      <c r="G1660" s="32">
        <v>1</v>
      </c>
      <c r="H1660" s="33">
        <v>0</v>
      </c>
      <c r="I1660" s="34">
        <v>3490533.2546783499</v>
      </c>
      <c r="J1660" s="34">
        <v>3490533.2546783499</v>
      </c>
      <c r="K1660" s="31" t="s">
        <v>3944</v>
      </c>
      <c r="L1660" s="31">
        <v>1</v>
      </c>
      <c r="M1660" s="31" t="s">
        <v>3945</v>
      </c>
      <c r="N1660" s="34">
        <v>1</v>
      </c>
      <c r="O1660" s="35">
        <v>0</v>
      </c>
      <c r="P1660" s="35">
        <v>1</v>
      </c>
      <c r="Q1660" s="35">
        <v>0</v>
      </c>
      <c r="R1660" s="36">
        <v>19.149999999999999</v>
      </c>
      <c r="S1660" s="37">
        <f>IFERROR(_xlfn.XLOOKUP(R1660,'1_Presupuesto'!$E:$E,'1_Presupuesto'!$D:$D),"")</f>
        <v>0</v>
      </c>
    </row>
    <row r="1661" spans="1:19" x14ac:dyDescent="0.35">
      <c r="A1661" s="31" t="s">
        <v>3446</v>
      </c>
      <c r="B1661" s="31" t="s">
        <v>478</v>
      </c>
      <c r="C1661" s="31" t="s">
        <v>498</v>
      </c>
      <c r="D1661" s="31" t="s">
        <v>3946</v>
      </c>
      <c r="E1661" s="31" t="s">
        <v>3947</v>
      </c>
      <c r="F1661" s="31" t="s">
        <v>481</v>
      </c>
      <c r="G1661" s="32">
        <v>1</v>
      </c>
      <c r="H1661" s="33">
        <v>0</v>
      </c>
      <c r="I1661" s="34">
        <v>4970416.6359473299</v>
      </c>
      <c r="J1661" s="34">
        <v>4970416.6359473299</v>
      </c>
      <c r="K1661" s="31" t="s">
        <v>3948</v>
      </c>
      <c r="L1661" s="31">
        <v>1</v>
      </c>
      <c r="M1661" s="31" t="s">
        <v>3949</v>
      </c>
      <c r="N1661" s="34">
        <v>1</v>
      </c>
      <c r="O1661" s="35">
        <v>0</v>
      </c>
      <c r="P1661" s="35">
        <v>1</v>
      </c>
      <c r="Q1661" s="35">
        <v>0</v>
      </c>
      <c r="R1661" s="36">
        <v>19.16</v>
      </c>
      <c r="S1661" s="37">
        <f>IFERROR(_xlfn.XLOOKUP(R1661,'1_Presupuesto'!$E:$E,'1_Presupuesto'!$D:$D),"")</f>
        <v>0</v>
      </c>
    </row>
    <row r="1662" spans="1:19" x14ac:dyDescent="0.35">
      <c r="A1662" s="31" t="s">
        <v>3456</v>
      </c>
      <c r="B1662" s="31" t="s">
        <v>478</v>
      </c>
      <c r="C1662" s="31" t="s">
        <v>498</v>
      </c>
      <c r="D1662" s="31" t="s">
        <v>3950</v>
      </c>
      <c r="E1662" s="31" t="s">
        <v>3951</v>
      </c>
      <c r="F1662" s="31" t="s">
        <v>481</v>
      </c>
      <c r="G1662" s="32">
        <v>1</v>
      </c>
      <c r="H1662" s="33">
        <v>0</v>
      </c>
      <c r="I1662" s="34">
        <v>498927.82874738699</v>
      </c>
      <c r="J1662" s="34">
        <v>498927.82874738699</v>
      </c>
      <c r="K1662" s="31" t="s">
        <v>3952</v>
      </c>
      <c r="L1662" s="31">
        <v>1</v>
      </c>
      <c r="M1662" s="31" t="s">
        <v>3953</v>
      </c>
      <c r="N1662" s="34">
        <v>1</v>
      </c>
      <c r="O1662" s="35">
        <v>0</v>
      </c>
      <c r="P1662" s="35">
        <v>1</v>
      </c>
      <c r="Q1662" s="35">
        <v>0</v>
      </c>
      <c r="R1662" s="36">
        <v>19.170000000000002</v>
      </c>
      <c r="S1662" s="37">
        <f>IFERROR(_xlfn.XLOOKUP(R1662,'1_Presupuesto'!$E:$E,'1_Presupuesto'!$D:$D),"")</f>
        <v>0</v>
      </c>
    </row>
    <row r="1663" spans="1:19" x14ac:dyDescent="0.35">
      <c r="A1663" s="31" t="s">
        <v>825</v>
      </c>
      <c r="B1663" s="31" t="s">
        <v>203</v>
      </c>
      <c r="C1663" s="31"/>
      <c r="D1663" s="31" t="s">
        <v>3954</v>
      </c>
      <c r="E1663" s="31" t="s">
        <v>3955</v>
      </c>
      <c r="F1663" s="31"/>
      <c r="G1663" s="32">
        <v>1</v>
      </c>
      <c r="H1663" s="33">
        <v>0</v>
      </c>
      <c r="I1663" s="34">
        <v>1004999.99196</v>
      </c>
      <c r="J1663" s="34">
        <v>1004999.99196</v>
      </c>
      <c r="K1663" s="31" t="s">
        <v>3956</v>
      </c>
      <c r="L1663" s="31">
        <v>1</v>
      </c>
      <c r="M1663" s="31" t="s">
        <v>3957</v>
      </c>
      <c r="N1663" s="34">
        <v>25</v>
      </c>
      <c r="O1663" s="35">
        <v>0</v>
      </c>
      <c r="P1663" s="35" t="s">
        <v>212</v>
      </c>
      <c r="Q1663" s="35">
        <v>0</v>
      </c>
      <c r="R1663" s="36" t="s">
        <v>212</v>
      </c>
      <c r="S1663" s="37" t="str">
        <f>IFERROR(_xlfn.XLOOKUP(R1663,'1_Presupuesto'!$E:$E,'1_Presupuesto'!$D:$D),"")</f>
        <v/>
      </c>
    </row>
    <row r="1664" spans="1:19" x14ac:dyDescent="0.35">
      <c r="A1664" s="31" t="s">
        <v>3475</v>
      </c>
      <c r="B1664" s="31" t="s">
        <v>497</v>
      </c>
      <c r="C1664" s="31" t="s">
        <v>498</v>
      </c>
      <c r="D1664" s="31" t="s">
        <v>3958</v>
      </c>
      <c r="E1664" s="31" t="s">
        <v>3959</v>
      </c>
      <c r="F1664" s="31" t="s">
        <v>3959</v>
      </c>
      <c r="G1664" s="32">
        <v>1</v>
      </c>
      <c r="H1664" s="33">
        <v>0</v>
      </c>
      <c r="I1664" s="34">
        <v>0</v>
      </c>
      <c r="J1664" s="34">
        <v>0</v>
      </c>
      <c r="K1664" s="31" t="s">
        <v>3960</v>
      </c>
      <c r="L1664" s="31">
        <v>1</v>
      </c>
      <c r="M1664" s="31" t="s">
        <v>3961</v>
      </c>
      <c r="N1664" s="34">
        <v>1</v>
      </c>
      <c r="O1664" s="35">
        <v>0</v>
      </c>
      <c r="P1664" s="35">
        <v>40</v>
      </c>
      <c r="Q1664" s="35">
        <v>0</v>
      </c>
      <c r="R1664" s="36">
        <v>20.010000000000002</v>
      </c>
      <c r="S1664" s="37">
        <f>IFERROR(_xlfn.XLOOKUP(R1664,'1_Presupuesto'!$E:$E,'1_Presupuesto'!$D:$D),"")</f>
        <v>0</v>
      </c>
    </row>
    <row r="1665" spans="1:19" x14ac:dyDescent="0.35">
      <c r="A1665" s="31" t="s">
        <v>2003</v>
      </c>
      <c r="B1665" s="31" t="s">
        <v>478</v>
      </c>
      <c r="C1665" s="31" t="s">
        <v>479</v>
      </c>
      <c r="D1665" s="31" t="s">
        <v>3962</v>
      </c>
      <c r="E1665" s="31" t="s">
        <v>3963</v>
      </c>
      <c r="F1665" s="31" t="s">
        <v>481</v>
      </c>
      <c r="G1665" s="32">
        <v>1</v>
      </c>
      <c r="H1665" s="33">
        <v>0</v>
      </c>
      <c r="I1665" s="34">
        <v>157396.08904101301</v>
      </c>
      <c r="J1665" s="34">
        <v>157396.08904101301</v>
      </c>
      <c r="K1665" s="31" t="s">
        <v>2006</v>
      </c>
      <c r="L1665" s="31">
        <v>2</v>
      </c>
      <c r="M1665" s="31" t="s">
        <v>3964</v>
      </c>
      <c r="N1665" s="34">
        <v>1</v>
      </c>
      <c r="O1665" s="35">
        <v>1</v>
      </c>
      <c r="P1665" s="35">
        <v>7</v>
      </c>
      <c r="Q1665" s="35">
        <v>7</v>
      </c>
      <c r="R1665" s="36">
        <v>3.12</v>
      </c>
      <c r="S1665" s="37" t="str">
        <f>IFERROR(_xlfn.XLOOKUP(R1665,'1_Presupuesto'!$E:$E,'1_Presupuesto'!$D:$D),"")</f>
        <v>Homigón MO</v>
      </c>
    </row>
    <row r="1666" spans="1:19" x14ac:dyDescent="0.35">
      <c r="A1666" s="31" t="s">
        <v>2014</v>
      </c>
      <c r="B1666" s="31" t="s">
        <v>478</v>
      </c>
      <c r="C1666" s="31" t="s">
        <v>479</v>
      </c>
      <c r="D1666" s="31" t="s">
        <v>3962</v>
      </c>
      <c r="E1666" s="31" t="s">
        <v>3963</v>
      </c>
      <c r="F1666" s="31" t="s">
        <v>481</v>
      </c>
      <c r="G1666" s="32">
        <v>1</v>
      </c>
      <c r="H1666" s="33">
        <v>0</v>
      </c>
      <c r="I1666" s="34">
        <v>157396.08904101301</v>
      </c>
      <c r="J1666" s="34">
        <v>157396.08904101301</v>
      </c>
      <c r="K1666" s="31" t="s">
        <v>2017</v>
      </c>
      <c r="L1666" s="31">
        <v>2</v>
      </c>
      <c r="M1666" s="31" t="s">
        <v>3965</v>
      </c>
      <c r="N1666" s="34">
        <v>1</v>
      </c>
      <c r="O1666" s="35">
        <v>1</v>
      </c>
      <c r="P1666" s="35">
        <v>12</v>
      </c>
      <c r="Q1666" s="35">
        <v>12</v>
      </c>
      <c r="R1666" s="36">
        <v>3.13</v>
      </c>
      <c r="S1666" s="37" t="str">
        <f>IFERROR(_xlfn.XLOOKUP(R1666,'1_Presupuesto'!$E:$E,'1_Presupuesto'!$D:$D),"")</f>
        <v>Homigón MO</v>
      </c>
    </row>
    <row r="1667" spans="1:19" x14ac:dyDescent="0.35">
      <c r="A1667" s="31" t="s">
        <v>2047</v>
      </c>
      <c r="B1667" s="31" t="s">
        <v>478</v>
      </c>
      <c r="C1667" s="31" t="s">
        <v>479</v>
      </c>
      <c r="D1667" s="31" t="s">
        <v>3966</v>
      </c>
      <c r="E1667" s="31" t="s">
        <v>3967</v>
      </c>
      <c r="F1667" s="31" t="s">
        <v>481</v>
      </c>
      <c r="G1667" s="32">
        <v>1</v>
      </c>
      <c r="H1667" s="33">
        <v>0</v>
      </c>
      <c r="I1667" s="34">
        <v>63408.112649279799</v>
      </c>
      <c r="J1667" s="34">
        <v>63408.112649279799</v>
      </c>
      <c r="K1667" s="31" t="s">
        <v>2050</v>
      </c>
      <c r="L1667" s="31">
        <v>2</v>
      </c>
      <c r="M1667" s="31" t="s">
        <v>3968</v>
      </c>
      <c r="N1667" s="34">
        <v>1</v>
      </c>
      <c r="O1667" s="35">
        <v>1</v>
      </c>
      <c r="P1667" s="35">
        <v>13</v>
      </c>
      <c r="Q1667" s="35">
        <v>13</v>
      </c>
      <c r="R1667" s="36">
        <v>3.16</v>
      </c>
      <c r="S1667" s="37" t="str">
        <f>IFERROR(_xlfn.XLOOKUP(R1667,'1_Presupuesto'!$E:$E,'1_Presupuesto'!$D:$D),"")</f>
        <v>Homigón MO</v>
      </c>
    </row>
    <row r="1668" spans="1:19" x14ac:dyDescent="0.35">
      <c r="A1668" s="31" t="s">
        <v>2069</v>
      </c>
      <c r="B1668" s="31" t="s">
        <v>478</v>
      </c>
      <c r="C1668" s="31" t="s">
        <v>479</v>
      </c>
      <c r="D1668" s="31" t="s">
        <v>3962</v>
      </c>
      <c r="E1668" s="31" t="s">
        <v>3963</v>
      </c>
      <c r="F1668" s="31" t="s">
        <v>481</v>
      </c>
      <c r="G1668" s="32">
        <v>1</v>
      </c>
      <c r="H1668" s="33">
        <v>0</v>
      </c>
      <c r="I1668" s="34">
        <v>157396.08904101301</v>
      </c>
      <c r="J1668" s="34">
        <v>157396.08904101301</v>
      </c>
      <c r="K1668" s="31" t="s">
        <v>2072</v>
      </c>
      <c r="L1668" s="31">
        <v>2</v>
      </c>
      <c r="M1668" s="31" t="s">
        <v>3969</v>
      </c>
      <c r="N1668" s="34">
        <v>1</v>
      </c>
      <c r="O1668" s="35">
        <v>1</v>
      </c>
      <c r="P1668" s="35">
        <v>2</v>
      </c>
      <c r="Q1668" s="35">
        <v>2</v>
      </c>
      <c r="R1668" s="36">
        <v>3.18</v>
      </c>
      <c r="S1668" s="37" t="str">
        <f>IFERROR(_xlfn.XLOOKUP(R1668,'1_Presupuesto'!$E:$E,'1_Presupuesto'!$D:$D),"")</f>
        <v>Homigón MO</v>
      </c>
    </row>
    <row r="1669" spans="1:19" x14ac:dyDescent="0.35">
      <c r="A1669" s="31" t="s">
        <v>582</v>
      </c>
      <c r="B1669" s="31" t="s">
        <v>203</v>
      </c>
      <c r="C1669" s="31"/>
      <c r="D1669" s="31" t="s">
        <v>572</v>
      </c>
      <c r="E1669" s="31" t="s">
        <v>573</v>
      </c>
      <c r="F1669" s="31"/>
      <c r="G1669" s="32">
        <v>1</v>
      </c>
      <c r="H1669" s="33">
        <v>0</v>
      </c>
      <c r="I1669" s="34">
        <v>152.380274273738</v>
      </c>
      <c r="J1669" s="34">
        <v>152.380274273738</v>
      </c>
      <c r="K1669" s="31" t="s">
        <v>3970</v>
      </c>
      <c r="L1669" s="31">
        <v>1</v>
      </c>
      <c r="M1669" s="31" t="s">
        <v>3971</v>
      </c>
      <c r="N1669" s="34">
        <v>15</v>
      </c>
      <c r="O1669" s="35">
        <v>0</v>
      </c>
      <c r="P1669" s="35" t="s">
        <v>212</v>
      </c>
      <c r="Q1669" s="35">
        <v>0</v>
      </c>
      <c r="R1669" s="36" t="s">
        <v>212</v>
      </c>
      <c r="S1669" s="37" t="str">
        <f>IFERROR(_xlfn.XLOOKUP(R1669,'1_Presupuesto'!$E:$E,'1_Presupuesto'!$D:$D),"")</f>
        <v/>
      </c>
    </row>
    <row r="1670" spans="1:19" x14ac:dyDescent="0.35">
      <c r="A1670" s="31" t="s">
        <v>1280</v>
      </c>
      <c r="B1670" s="31" t="s">
        <v>203</v>
      </c>
      <c r="C1670" s="31"/>
      <c r="D1670" s="31" t="s">
        <v>576</v>
      </c>
      <c r="E1670" s="31" t="s">
        <v>577</v>
      </c>
      <c r="F1670" s="31"/>
      <c r="G1670" s="32">
        <v>1</v>
      </c>
      <c r="H1670" s="33">
        <v>0</v>
      </c>
      <c r="I1670" s="34">
        <v>2570.7599166666701</v>
      </c>
      <c r="J1670" s="34">
        <v>2570.7599166666701</v>
      </c>
      <c r="K1670" s="31" t="s">
        <v>1296</v>
      </c>
      <c r="L1670" s="31">
        <v>2</v>
      </c>
      <c r="M1670" s="31" t="s">
        <v>3972</v>
      </c>
      <c r="N1670" s="34">
        <v>9.5</v>
      </c>
      <c r="O1670" s="35">
        <v>0</v>
      </c>
      <c r="P1670" s="35" t="s">
        <v>212</v>
      </c>
      <c r="Q1670" s="35">
        <v>0</v>
      </c>
      <c r="R1670" s="36" t="s">
        <v>212</v>
      </c>
      <c r="S1670" s="37" t="str">
        <f>IFERROR(_xlfn.XLOOKUP(R1670,'1_Presupuesto'!$E:$E,'1_Presupuesto'!$D:$D),"")</f>
        <v/>
      </c>
    </row>
    <row r="1671" spans="1:19" x14ac:dyDescent="0.35">
      <c r="A1671" s="31" t="s">
        <v>1319</v>
      </c>
      <c r="B1671" s="31" t="s">
        <v>203</v>
      </c>
      <c r="C1671" s="31"/>
      <c r="D1671" s="31" t="s">
        <v>576</v>
      </c>
      <c r="E1671" s="31" t="s">
        <v>577</v>
      </c>
      <c r="F1671" s="31"/>
      <c r="G1671" s="32">
        <v>1</v>
      </c>
      <c r="H1671" s="33">
        <v>0</v>
      </c>
      <c r="I1671" s="34">
        <v>2570.7599166666701</v>
      </c>
      <c r="J1671" s="34">
        <v>2570.7599166666701</v>
      </c>
      <c r="K1671" s="31" t="s">
        <v>1326</v>
      </c>
      <c r="L1671" s="31">
        <v>2</v>
      </c>
      <c r="M1671" s="31" t="s">
        <v>3973</v>
      </c>
      <c r="N1671" s="34">
        <v>10</v>
      </c>
      <c r="O1671" s="35">
        <v>0</v>
      </c>
      <c r="P1671" s="35" t="s">
        <v>212</v>
      </c>
      <c r="Q1671" s="35">
        <v>0</v>
      </c>
      <c r="R1671" s="36" t="s">
        <v>212</v>
      </c>
      <c r="S1671" s="37" t="str">
        <f>IFERROR(_xlfn.XLOOKUP(R1671,'1_Presupuesto'!$E:$E,'1_Presupuesto'!$D:$D),"")</f>
        <v/>
      </c>
    </row>
    <row r="1672" spans="1:19" x14ac:dyDescent="0.35">
      <c r="A1672" s="31" t="s">
        <v>2704</v>
      </c>
      <c r="B1672" s="31" t="s">
        <v>203</v>
      </c>
      <c r="C1672" s="31"/>
      <c r="D1672" s="31" t="s">
        <v>576</v>
      </c>
      <c r="E1672" s="31" t="s">
        <v>577</v>
      </c>
      <c r="F1672" s="31"/>
      <c r="G1672" s="32">
        <v>1</v>
      </c>
      <c r="H1672" s="33">
        <v>0</v>
      </c>
      <c r="I1672" s="34">
        <v>2570.7599166666701</v>
      </c>
      <c r="J1672" s="34">
        <v>2570.7599166666701</v>
      </c>
      <c r="K1672" s="31" t="s">
        <v>2714</v>
      </c>
      <c r="L1672" s="31">
        <v>2</v>
      </c>
      <c r="M1672" s="31" t="s">
        <v>3974</v>
      </c>
      <c r="N1672" s="34">
        <v>9.5</v>
      </c>
      <c r="O1672" s="35">
        <v>0</v>
      </c>
      <c r="P1672" s="35">
        <v>146</v>
      </c>
      <c r="Q1672" s="35">
        <v>0</v>
      </c>
      <c r="R1672" s="36">
        <v>14.01</v>
      </c>
      <c r="S1672" s="37">
        <f>IFERROR(_xlfn.XLOOKUP(R1672,'1_Presupuesto'!$E:$E,'1_Presupuesto'!$D:$D),"")</f>
        <v>0</v>
      </c>
    </row>
    <row r="1673" spans="1:19" x14ac:dyDescent="0.35">
      <c r="A1673" s="31" t="s">
        <v>2716</v>
      </c>
      <c r="B1673" s="31" t="s">
        <v>203</v>
      </c>
      <c r="C1673" s="31"/>
      <c r="D1673" s="31" t="s">
        <v>576</v>
      </c>
      <c r="E1673" s="31" t="s">
        <v>577</v>
      </c>
      <c r="F1673" s="31"/>
      <c r="G1673" s="32">
        <v>1</v>
      </c>
      <c r="H1673" s="33">
        <v>0</v>
      </c>
      <c r="I1673" s="34">
        <v>2570.7599166666701</v>
      </c>
      <c r="J1673" s="34">
        <v>2570.7599166666701</v>
      </c>
      <c r="K1673" s="31" t="s">
        <v>2726</v>
      </c>
      <c r="L1673" s="31">
        <v>2</v>
      </c>
      <c r="M1673" s="31" t="s">
        <v>3975</v>
      </c>
      <c r="N1673" s="34">
        <v>9.5</v>
      </c>
      <c r="O1673" s="35">
        <v>0</v>
      </c>
      <c r="P1673" s="35">
        <v>89</v>
      </c>
      <c r="Q1673" s="35">
        <v>0</v>
      </c>
      <c r="R1673" s="36">
        <v>14.02</v>
      </c>
      <c r="S1673" s="37">
        <f>IFERROR(_xlfn.XLOOKUP(R1673,'1_Presupuesto'!$E:$E,'1_Presupuesto'!$D:$D),"")</f>
        <v>0</v>
      </c>
    </row>
    <row r="1674" spans="1:19" x14ac:dyDescent="0.35">
      <c r="A1674" s="31" t="s">
        <v>582</v>
      </c>
      <c r="B1674" s="31" t="s">
        <v>203</v>
      </c>
      <c r="C1674" s="31"/>
      <c r="D1674" s="31" t="s">
        <v>576</v>
      </c>
      <c r="E1674" s="31" t="s">
        <v>577</v>
      </c>
      <c r="F1674" s="31"/>
      <c r="G1674" s="32">
        <v>1</v>
      </c>
      <c r="H1674" s="33">
        <v>0</v>
      </c>
      <c r="I1674" s="34">
        <v>2570.7599166666701</v>
      </c>
      <c r="J1674" s="34">
        <v>2570.7599166666701</v>
      </c>
      <c r="K1674" s="31" t="s">
        <v>3970</v>
      </c>
      <c r="L1674" s="31">
        <v>2</v>
      </c>
      <c r="M1674" s="31" t="s">
        <v>3976</v>
      </c>
      <c r="N1674" s="34">
        <v>15</v>
      </c>
      <c r="O1674" s="35">
        <v>0</v>
      </c>
      <c r="P1674" s="35" t="s">
        <v>212</v>
      </c>
      <c r="Q1674" s="35">
        <v>0</v>
      </c>
      <c r="R1674" s="36" t="s">
        <v>212</v>
      </c>
      <c r="S1674" s="37" t="str">
        <f>IFERROR(_xlfn.XLOOKUP(R1674,'1_Presupuesto'!$E:$E,'1_Presupuesto'!$D:$D),"")</f>
        <v/>
      </c>
    </row>
    <row r="1675" spans="1:19" x14ac:dyDescent="0.35">
      <c r="A1675" s="31" t="s">
        <v>2671</v>
      </c>
      <c r="B1675" s="31" t="s">
        <v>497</v>
      </c>
      <c r="C1675" s="31" t="s">
        <v>498</v>
      </c>
      <c r="D1675" s="31" t="s">
        <v>1198</v>
      </c>
      <c r="E1675" s="31" t="s">
        <v>1199</v>
      </c>
      <c r="F1675" s="31" t="s">
        <v>739</v>
      </c>
      <c r="G1675" s="32">
        <v>0.04</v>
      </c>
      <c r="H1675" s="33">
        <v>0.05</v>
      </c>
      <c r="I1675" s="34">
        <v>47272.727272727301</v>
      </c>
      <c r="J1675" s="34">
        <v>1985.45454545455</v>
      </c>
      <c r="K1675" s="31" t="s">
        <v>2672</v>
      </c>
      <c r="L1675" s="31">
        <v>5</v>
      </c>
      <c r="M1675" s="31" t="s">
        <v>3977</v>
      </c>
      <c r="N1675" s="34">
        <v>10</v>
      </c>
      <c r="O1675" s="35">
        <v>0</v>
      </c>
      <c r="P1675" s="35">
        <v>493</v>
      </c>
      <c r="Q1675" s="35">
        <v>0</v>
      </c>
      <c r="R1675" s="36">
        <v>13.01</v>
      </c>
      <c r="S1675" s="37" t="str">
        <f>IFERROR(_xlfn.XLOOKUP(R1675,'1_Presupuesto'!$E:$E,'1_Presupuesto'!$D:$D),"")</f>
        <v>Revestimiento MO</v>
      </c>
    </row>
    <row r="1676" spans="1:19" x14ac:dyDescent="0.35">
      <c r="A1676" s="31" t="s">
        <v>2671</v>
      </c>
      <c r="B1676" s="31" t="s">
        <v>497</v>
      </c>
      <c r="C1676" s="31" t="s">
        <v>498</v>
      </c>
      <c r="D1676" s="31" t="s">
        <v>3978</v>
      </c>
      <c r="E1676" s="31" t="s">
        <v>3979</v>
      </c>
      <c r="F1676" s="31" t="s">
        <v>739</v>
      </c>
      <c r="G1676" s="32">
        <v>0</v>
      </c>
      <c r="H1676" s="33">
        <v>0.05</v>
      </c>
      <c r="I1676" s="34">
        <v>47272.73</v>
      </c>
      <c r="J1676" s="34">
        <v>0</v>
      </c>
      <c r="K1676" s="31" t="s">
        <v>2672</v>
      </c>
      <c r="L1676" s="31">
        <v>6</v>
      </c>
      <c r="M1676" s="31" t="s">
        <v>3980</v>
      </c>
      <c r="N1676" s="34">
        <v>10</v>
      </c>
      <c r="O1676" s="35">
        <v>0</v>
      </c>
      <c r="P1676" s="35">
        <v>493</v>
      </c>
      <c r="Q1676" s="35">
        <v>0</v>
      </c>
      <c r="R1676" s="36">
        <v>13.01</v>
      </c>
      <c r="S1676" s="37" t="str">
        <f>IFERROR(_xlfn.XLOOKUP(R1676,'1_Presupuesto'!$E:$E,'1_Presupuesto'!$D:$D),"")</f>
        <v>Revestimiento MO</v>
      </c>
    </row>
    <row r="1677" spans="1:19" x14ac:dyDescent="0.35">
      <c r="A1677" s="31" t="s">
        <v>2682</v>
      </c>
      <c r="B1677" s="31" t="s">
        <v>497</v>
      </c>
      <c r="C1677" s="31" t="s">
        <v>498</v>
      </c>
      <c r="D1677" s="31" t="s">
        <v>1198</v>
      </c>
      <c r="E1677" s="31" t="s">
        <v>1199</v>
      </c>
      <c r="F1677" s="31" t="s">
        <v>739</v>
      </c>
      <c r="G1677" s="32">
        <v>0.04</v>
      </c>
      <c r="H1677" s="33">
        <v>0.05</v>
      </c>
      <c r="I1677" s="34">
        <v>47272.727272727301</v>
      </c>
      <c r="J1677" s="34">
        <v>1985.45454545455</v>
      </c>
      <c r="K1677" s="31" t="s">
        <v>2683</v>
      </c>
      <c r="L1677" s="31">
        <v>5</v>
      </c>
      <c r="M1677" s="31" t="s">
        <v>3981</v>
      </c>
      <c r="N1677" s="34">
        <v>10</v>
      </c>
      <c r="O1677" s="35">
        <v>0</v>
      </c>
      <c r="P1677" s="35">
        <v>82</v>
      </c>
      <c r="Q1677" s="35">
        <v>0</v>
      </c>
      <c r="R1677" s="36">
        <v>13.02</v>
      </c>
      <c r="S1677" s="37" t="str">
        <f>IFERROR(_xlfn.XLOOKUP(R1677,'1_Presupuesto'!$E:$E,'1_Presupuesto'!$D:$D),"")</f>
        <v>Revestimiento MO</v>
      </c>
    </row>
    <row r="1678" spans="1:19" x14ac:dyDescent="0.35">
      <c r="A1678" s="31" t="s">
        <v>2682</v>
      </c>
      <c r="B1678" s="31" t="s">
        <v>497</v>
      </c>
      <c r="C1678" s="31" t="s">
        <v>498</v>
      </c>
      <c r="D1678" s="31" t="s">
        <v>3978</v>
      </c>
      <c r="E1678" s="31" t="s">
        <v>3979</v>
      </c>
      <c r="F1678" s="31" t="s">
        <v>739</v>
      </c>
      <c r="G1678" s="32">
        <v>0</v>
      </c>
      <c r="H1678" s="33">
        <v>0.05</v>
      </c>
      <c r="I1678" s="34">
        <v>47272.73</v>
      </c>
      <c r="J1678" s="34">
        <v>0</v>
      </c>
      <c r="K1678" s="31" t="s">
        <v>2683</v>
      </c>
      <c r="L1678" s="31">
        <v>6</v>
      </c>
      <c r="M1678" s="31" t="s">
        <v>3982</v>
      </c>
      <c r="N1678" s="34">
        <v>10</v>
      </c>
      <c r="O1678" s="35">
        <v>0</v>
      </c>
      <c r="P1678" s="35">
        <v>82</v>
      </c>
      <c r="Q1678" s="35">
        <v>0</v>
      </c>
      <c r="R1678" s="36">
        <v>13.02</v>
      </c>
      <c r="S1678" s="37" t="str">
        <f>IFERROR(_xlfn.XLOOKUP(R1678,'1_Presupuesto'!$E:$E,'1_Presupuesto'!$D:$D),"")</f>
        <v>Revestimiento MO</v>
      </c>
    </row>
    <row r="1679" spans="1:19" x14ac:dyDescent="0.35">
      <c r="A1679" s="31" t="s">
        <v>1209</v>
      </c>
      <c r="B1679" s="31" t="s">
        <v>203</v>
      </c>
      <c r="C1679" s="31"/>
      <c r="D1679" s="31" t="s">
        <v>3794</v>
      </c>
      <c r="E1679" s="31" t="s">
        <v>3795</v>
      </c>
      <c r="F1679" s="31"/>
      <c r="G1679" s="32">
        <v>1</v>
      </c>
      <c r="H1679" s="33">
        <v>0</v>
      </c>
      <c r="I1679" s="34">
        <v>324.35467767922802</v>
      </c>
      <c r="J1679" s="34">
        <v>324.35467767922802</v>
      </c>
      <c r="K1679" s="31" t="s">
        <v>1215</v>
      </c>
      <c r="L1679" s="31">
        <v>2</v>
      </c>
      <c r="M1679" s="31" t="s">
        <v>3983</v>
      </c>
      <c r="N1679" s="34">
        <v>10</v>
      </c>
      <c r="O1679" s="35">
        <v>0</v>
      </c>
      <c r="P1679" s="35" t="s">
        <v>212</v>
      </c>
      <c r="Q1679" s="35">
        <v>0</v>
      </c>
      <c r="R1679" s="36" t="s">
        <v>212</v>
      </c>
      <c r="S1679" s="37" t="str">
        <f>IFERROR(_xlfn.XLOOKUP(R1679,'1_Presupuesto'!$E:$E,'1_Presupuesto'!$D:$D),"")</f>
        <v/>
      </c>
    </row>
    <row r="1680" spans="1:19" x14ac:dyDescent="0.35">
      <c r="A1680" s="31" t="s">
        <v>3465</v>
      </c>
      <c r="B1680" s="31" t="s">
        <v>478</v>
      </c>
      <c r="C1680" s="31" t="s">
        <v>498</v>
      </c>
      <c r="D1680" s="31" t="s">
        <v>3984</v>
      </c>
      <c r="E1680" s="31" t="s">
        <v>3985</v>
      </c>
      <c r="F1680" s="31" t="s">
        <v>481</v>
      </c>
      <c r="G1680" s="32">
        <v>1</v>
      </c>
      <c r="H1680" s="33">
        <v>0</v>
      </c>
      <c r="I1680" s="34">
        <v>550000</v>
      </c>
      <c r="J1680" s="34">
        <v>550000</v>
      </c>
      <c r="K1680" s="31" t="s">
        <v>3468</v>
      </c>
      <c r="L1680" s="31">
        <v>2</v>
      </c>
      <c r="M1680" s="31" t="s">
        <v>3986</v>
      </c>
      <c r="N1680" s="34">
        <v>1</v>
      </c>
      <c r="O1680" s="35">
        <v>0</v>
      </c>
      <c r="P1680" s="35">
        <v>1</v>
      </c>
      <c r="Q1680" s="35">
        <v>0</v>
      </c>
      <c r="R1680" s="36">
        <v>19.18</v>
      </c>
      <c r="S1680" s="37">
        <f>IFERROR(_xlfn.XLOOKUP(R1680,'1_Presupuesto'!$E:$E,'1_Presupuesto'!$D:$D),"")</f>
        <v>0</v>
      </c>
    </row>
    <row r="1681" spans="1:19" x14ac:dyDescent="0.35">
      <c r="A1681" s="31" t="s">
        <v>3465</v>
      </c>
      <c r="B1681" s="31" t="s">
        <v>478</v>
      </c>
      <c r="C1681" s="31" t="s">
        <v>498</v>
      </c>
      <c r="D1681" s="31" t="s">
        <v>3987</v>
      </c>
      <c r="E1681" s="31" t="s">
        <v>3988</v>
      </c>
      <c r="F1681" s="31" t="s">
        <v>481</v>
      </c>
      <c r="G1681" s="32">
        <v>1</v>
      </c>
      <c r="H1681" s="33">
        <v>0</v>
      </c>
      <c r="I1681" s="34">
        <v>400000</v>
      </c>
      <c r="J1681" s="34">
        <v>400000</v>
      </c>
      <c r="K1681" s="31" t="s">
        <v>3468</v>
      </c>
      <c r="L1681" s="31">
        <v>3</v>
      </c>
      <c r="M1681" s="31" t="s">
        <v>3989</v>
      </c>
      <c r="N1681" s="34">
        <v>1</v>
      </c>
      <c r="O1681" s="35">
        <v>0</v>
      </c>
      <c r="P1681" s="35">
        <v>1</v>
      </c>
      <c r="Q1681" s="35">
        <v>0</v>
      </c>
      <c r="R1681" s="36">
        <v>19.18</v>
      </c>
      <c r="S1681" s="37">
        <f>IFERROR(_xlfn.XLOOKUP(R1681,'1_Presupuesto'!$E:$E,'1_Presupuesto'!$D:$D),"")</f>
        <v>0</v>
      </c>
    </row>
    <row r="1682" spans="1:19" x14ac:dyDescent="0.35">
      <c r="A1682" s="31" t="s">
        <v>760</v>
      </c>
      <c r="B1682" s="31" t="s">
        <v>203</v>
      </c>
      <c r="C1682" s="31"/>
      <c r="D1682" s="31" t="s">
        <v>1126</v>
      </c>
      <c r="E1682" s="31" t="s">
        <v>1127</v>
      </c>
      <c r="F1682" s="31"/>
      <c r="G1682" s="32">
        <v>1</v>
      </c>
      <c r="H1682" s="33">
        <v>0</v>
      </c>
      <c r="I1682" s="34">
        <v>217.65359719478201</v>
      </c>
      <c r="J1682" s="34">
        <v>217.65359719478201</v>
      </c>
      <c r="K1682" s="31" t="s">
        <v>788</v>
      </c>
      <c r="L1682" s="31">
        <v>2</v>
      </c>
      <c r="M1682" s="31" t="s">
        <v>3990</v>
      </c>
      <c r="N1682" s="34">
        <v>20</v>
      </c>
      <c r="O1682" s="35">
        <v>0</v>
      </c>
      <c r="P1682" s="35" t="s">
        <v>212</v>
      </c>
      <c r="Q1682" s="35">
        <v>0</v>
      </c>
      <c r="R1682" s="36" t="s">
        <v>212</v>
      </c>
      <c r="S1682" s="37" t="str">
        <f>IFERROR(_xlfn.XLOOKUP(R1682,'1_Presupuesto'!$E:$E,'1_Presupuesto'!$D:$D),"")</f>
        <v/>
      </c>
    </row>
    <row r="1683" spans="1:19" x14ac:dyDescent="0.35">
      <c r="A1683" s="31" t="s">
        <v>793</v>
      </c>
      <c r="B1683" s="31" t="s">
        <v>203</v>
      </c>
      <c r="C1683" s="31"/>
      <c r="D1683" s="31" t="s">
        <v>1126</v>
      </c>
      <c r="E1683" s="31" t="s">
        <v>1127</v>
      </c>
      <c r="F1683" s="31"/>
      <c r="G1683" s="32">
        <v>1</v>
      </c>
      <c r="H1683" s="33">
        <v>0</v>
      </c>
      <c r="I1683" s="34">
        <v>217.65359719478201</v>
      </c>
      <c r="J1683" s="34">
        <v>217.65359719478201</v>
      </c>
      <c r="K1683" s="31" t="s">
        <v>803</v>
      </c>
      <c r="L1683" s="31">
        <v>2</v>
      </c>
      <c r="M1683" s="31" t="s">
        <v>3991</v>
      </c>
      <c r="N1683" s="34">
        <v>25</v>
      </c>
      <c r="O1683" s="35">
        <v>0</v>
      </c>
      <c r="P1683" s="35" t="s">
        <v>212</v>
      </c>
      <c r="Q1683" s="35">
        <v>0</v>
      </c>
      <c r="R1683" s="36" t="s">
        <v>212</v>
      </c>
      <c r="S1683" s="37" t="str">
        <f>IFERROR(_xlfn.XLOOKUP(R1683,'1_Presupuesto'!$E:$E,'1_Presupuesto'!$D:$D),"")</f>
        <v/>
      </c>
    </row>
    <row r="1684" spans="1:19" x14ac:dyDescent="0.35">
      <c r="A1684" s="31" t="s">
        <v>1100</v>
      </c>
      <c r="B1684" s="31" t="s">
        <v>203</v>
      </c>
      <c r="C1684" s="31"/>
      <c r="D1684" s="31" t="s">
        <v>1126</v>
      </c>
      <c r="E1684" s="31" t="s">
        <v>1127</v>
      </c>
      <c r="F1684" s="31"/>
      <c r="G1684" s="32">
        <v>1</v>
      </c>
      <c r="H1684" s="33">
        <v>0</v>
      </c>
      <c r="I1684" s="34">
        <v>217.65359719478201</v>
      </c>
      <c r="J1684" s="34">
        <v>217.65359719478201</v>
      </c>
      <c r="K1684" s="31" t="s">
        <v>1110</v>
      </c>
      <c r="L1684" s="31">
        <v>3</v>
      </c>
      <c r="M1684" s="31" t="s">
        <v>3992</v>
      </c>
      <c r="N1684" s="34">
        <v>17.5</v>
      </c>
      <c r="O1684" s="35">
        <v>0</v>
      </c>
      <c r="P1684" s="35" t="s">
        <v>212</v>
      </c>
      <c r="Q1684" s="35">
        <v>0</v>
      </c>
      <c r="R1684" s="36" t="s">
        <v>212</v>
      </c>
      <c r="S1684" s="37" t="str">
        <f>IFERROR(_xlfn.XLOOKUP(R1684,'1_Presupuesto'!$E:$E,'1_Presupuesto'!$D:$D),"")</f>
        <v/>
      </c>
    </row>
    <row r="1685" spans="1:19" x14ac:dyDescent="0.35">
      <c r="A1685" s="31" t="s">
        <v>1190</v>
      </c>
      <c r="B1685" s="31" t="s">
        <v>203</v>
      </c>
      <c r="C1685" s="31"/>
      <c r="D1685" s="31" t="s">
        <v>3794</v>
      </c>
      <c r="E1685" s="31" t="s">
        <v>3795</v>
      </c>
      <c r="F1685" s="31"/>
      <c r="G1685" s="32">
        <v>1</v>
      </c>
      <c r="H1685" s="33">
        <v>0</v>
      </c>
      <c r="I1685" s="34">
        <v>324.35467767922802</v>
      </c>
      <c r="J1685" s="34">
        <v>324.35467767922802</v>
      </c>
      <c r="K1685" s="31" t="s">
        <v>1204</v>
      </c>
      <c r="L1685" s="31">
        <v>2</v>
      </c>
      <c r="M1685" s="31" t="s">
        <v>3993</v>
      </c>
      <c r="N1685" s="34">
        <v>13</v>
      </c>
      <c r="O1685" s="35">
        <v>0</v>
      </c>
      <c r="P1685" s="35" t="s">
        <v>212</v>
      </c>
      <c r="Q1685" s="35">
        <v>0</v>
      </c>
      <c r="R1685" s="36" t="s">
        <v>212</v>
      </c>
      <c r="S1685" s="37" t="str">
        <f>IFERROR(_xlfn.XLOOKUP(R1685,'1_Presupuesto'!$E:$E,'1_Presupuesto'!$D:$D),"")</f>
        <v/>
      </c>
    </row>
    <row r="1686" spans="1:19" x14ac:dyDescent="0.35">
      <c r="A1686" s="31" t="s">
        <v>1220</v>
      </c>
      <c r="B1686" s="31" t="s">
        <v>203</v>
      </c>
      <c r="C1686" s="31"/>
      <c r="D1686" s="31" t="s">
        <v>3794</v>
      </c>
      <c r="E1686" s="31" t="s">
        <v>3795</v>
      </c>
      <c r="F1686" s="31"/>
      <c r="G1686" s="32">
        <v>1</v>
      </c>
      <c r="H1686" s="33">
        <v>0</v>
      </c>
      <c r="I1686" s="34">
        <v>324.35467767922802</v>
      </c>
      <c r="J1686" s="34">
        <v>324.35467767922802</v>
      </c>
      <c r="K1686" s="31" t="s">
        <v>1228</v>
      </c>
      <c r="L1686" s="31">
        <v>2</v>
      </c>
      <c r="M1686" s="31" t="s">
        <v>3994</v>
      </c>
      <c r="N1686" s="34">
        <v>30</v>
      </c>
      <c r="O1686" s="35">
        <v>0</v>
      </c>
      <c r="P1686" s="35" t="s">
        <v>212</v>
      </c>
      <c r="Q1686" s="35">
        <v>0</v>
      </c>
      <c r="R1686" s="36" t="s">
        <v>212</v>
      </c>
      <c r="S1686" s="37" t="str">
        <f>IFERROR(_xlfn.XLOOKUP(R1686,'1_Presupuesto'!$E:$E,'1_Presupuesto'!$D:$D),"")</f>
        <v/>
      </c>
    </row>
    <row r="1687" spans="1:19" x14ac:dyDescent="0.35">
      <c r="A1687" s="31" t="s">
        <v>1085</v>
      </c>
      <c r="B1687" s="31" t="s">
        <v>203</v>
      </c>
      <c r="C1687" s="31"/>
      <c r="D1687" s="31" t="s">
        <v>1126</v>
      </c>
      <c r="E1687" s="31" t="s">
        <v>1127</v>
      </c>
      <c r="F1687" s="31"/>
      <c r="G1687" s="32">
        <v>2</v>
      </c>
      <c r="H1687" s="33">
        <v>0</v>
      </c>
      <c r="I1687" s="34">
        <v>217.65359719478201</v>
      </c>
      <c r="J1687" s="34">
        <v>435.30719438956402</v>
      </c>
      <c r="K1687" s="31" t="s">
        <v>1095</v>
      </c>
      <c r="L1687" s="31">
        <v>2</v>
      </c>
      <c r="M1687" s="31" t="s">
        <v>3995</v>
      </c>
      <c r="N1687" s="34">
        <v>22</v>
      </c>
      <c r="O1687" s="35">
        <v>0</v>
      </c>
      <c r="P1687" s="35" t="s">
        <v>212</v>
      </c>
      <c r="Q1687" s="35">
        <v>0</v>
      </c>
      <c r="R1687" s="36" t="s">
        <v>212</v>
      </c>
      <c r="S1687" s="37" t="str">
        <f>IFERROR(_xlfn.XLOOKUP(R1687,'1_Presupuesto'!$E:$E,'1_Presupuesto'!$D:$D),"")</f>
        <v/>
      </c>
    </row>
    <row r="1688" spans="1:19" x14ac:dyDescent="0.35">
      <c r="A1688" s="31" t="s">
        <v>1085</v>
      </c>
      <c r="B1688" s="31" t="s">
        <v>497</v>
      </c>
      <c r="C1688" s="31" t="s">
        <v>498</v>
      </c>
      <c r="D1688" s="31" t="s">
        <v>506</v>
      </c>
      <c r="E1688" s="31" t="s">
        <v>507</v>
      </c>
      <c r="F1688" s="31" t="s">
        <v>261</v>
      </c>
      <c r="G1688" s="32">
        <v>5.0000000000000001E-3</v>
      </c>
      <c r="H1688" s="33">
        <v>0.05</v>
      </c>
      <c r="I1688" s="34">
        <v>4418.1818181818198</v>
      </c>
      <c r="J1688" s="34">
        <v>23.195454545454599</v>
      </c>
      <c r="K1688" s="31" t="s">
        <v>1086</v>
      </c>
      <c r="L1688" s="31">
        <v>9</v>
      </c>
      <c r="M1688" s="31" t="s">
        <v>3996</v>
      </c>
      <c r="N1688" s="34">
        <v>22</v>
      </c>
      <c r="O1688" s="35">
        <v>0</v>
      </c>
      <c r="P1688" s="35" t="s">
        <v>212</v>
      </c>
      <c r="Q1688" s="35">
        <v>0</v>
      </c>
      <c r="R1688" s="36" t="s">
        <v>212</v>
      </c>
      <c r="S1688" s="37" t="str">
        <f>IFERROR(_xlfn.XLOOKUP(R1688,'1_Presupuesto'!$E:$E,'1_Presupuesto'!$D:$D),"")</f>
        <v/>
      </c>
    </row>
    <row r="1689" spans="1:19" x14ac:dyDescent="0.35">
      <c r="A1689" s="31" t="s">
        <v>1085</v>
      </c>
      <c r="B1689" s="31" t="s">
        <v>497</v>
      </c>
      <c r="C1689" s="31" t="s">
        <v>498</v>
      </c>
      <c r="D1689" s="31" t="s">
        <v>777</v>
      </c>
      <c r="E1689" s="31" t="s">
        <v>778</v>
      </c>
      <c r="F1689" s="31" t="s">
        <v>261</v>
      </c>
      <c r="G1689" s="32">
        <v>0.01</v>
      </c>
      <c r="H1689" s="33">
        <v>0.05</v>
      </c>
      <c r="I1689" s="34">
        <v>8173.5537190082696</v>
      </c>
      <c r="J1689" s="34">
        <v>85.822314049586794</v>
      </c>
      <c r="K1689" s="31" t="s">
        <v>1086</v>
      </c>
      <c r="L1689" s="31">
        <v>10</v>
      </c>
      <c r="M1689" s="31" t="s">
        <v>3997</v>
      </c>
      <c r="N1689" s="34">
        <v>22</v>
      </c>
      <c r="O1689" s="35">
        <v>0</v>
      </c>
      <c r="P1689" s="35" t="s">
        <v>212</v>
      </c>
      <c r="Q1689" s="35">
        <v>0</v>
      </c>
      <c r="R1689" s="36" t="s">
        <v>212</v>
      </c>
      <c r="S1689" s="37" t="str">
        <f>IFERROR(_xlfn.XLOOKUP(R1689,'1_Presupuesto'!$E:$E,'1_Presupuesto'!$D:$D),"")</f>
        <v/>
      </c>
    </row>
    <row r="1690" spans="1:19" x14ac:dyDescent="0.35">
      <c r="A1690" s="31" t="s">
        <v>1100</v>
      </c>
      <c r="B1690" s="31" t="s">
        <v>497</v>
      </c>
      <c r="C1690" s="31" t="s">
        <v>498</v>
      </c>
      <c r="D1690" s="31" t="s">
        <v>506</v>
      </c>
      <c r="E1690" s="31" t="s">
        <v>507</v>
      </c>
      <c r="F1690" s="31" t="s">
        <v>261</v>
      </c>
      <c r="G1690" s="32">
        <v>5.0000000000000001E-3</v>
      </c>
      <c r="H1690" s="33">
        <v>0.05</v>
      </c>
      <c r="I1690" s="34">
        <v>4418.1818181818198</v>
      </c>
      <c r="J1690" s="34">
        <v>23.195454545454599</v>
      </c>
      <c r="K1690" s="31" t="s">
        <v>1101</v>
      </c>
      <c r="L1690" s="31">
        <v>9</v>
      </c>
      <c r="M1690" s="31" t="s">
        <v>3998</v>
      </c>
      <c r="N1690" s="34">
        <v>17.5</v>
      </c>
      <c r="O1690" s="35">
        <v>0</v>
      </c>
      <c r="P1690" s="35" t="s">
        <v>212</v>
      </c>
      <c r="Q1690" s="35">
        <v>0</v>
      </c>
      <c r="R1690" s="36" t="s">
        <v>212</v>
      </c>
      <c r="S1690" s="37" t="str">
        <f>IFERROR(_xlfn.XLOOKUP(R1690,'1_Presupuesto'!$E:$E,'1_Presupuesto'!$D:$D),"")</f>
        <v/>
      </c>
    </row>
    <row r="1691" spans="1:19" x14ac:dyDescent="0.35">
      <c r="A1691" s="31" t="s">
        <v>1100</v>
      </c>
      <c r="B1691" s="31" t="s">
        <v>497</v>
      </c>
      <c r="C1691" s="31" t="s">
        <v>498</v>
      </c>
      <c r="D1691" s="31" t="s">
        <v>777</v>
      </c>
      <c r="E1691" s="31" t="s">
        <v>778</v>
      </c>
      <c r="F1691" s="31" t="s">
        <v>261</v>
      </c>
      <c r="G1691" s="32">
        <v>0.01</v>
      </c>
      <c r="H1691" s="33">
        <v>0.05</v>
      </c>
      <c r="I1691" s="34">
        <v>8173.5537190082696</v>
      </c>
      <c r="J1691" s="34">
        <v>85.822314049586794</v>
      </c>
      <c r="K1691" s="31" t="s">
        <v>1101</v>
      </c>
      <c r="L1691" s="31">
        <v>10</v>
      </c>
      <c r="M1691" s="31" t="s">
        <v>3999</v>
      </c>
      <c r="N1691" s="34">
        <v>17.5</v>
      </c>
      <c r="O1691" s="35">
        <v>0</v>
      </c>
      <c r="P1691" s="35" t="s">
        <v>212</v>
      </c>
      <c r="Q1691" s="35">
        <v>0</v>
      </c>
      <c r="R1691" s="36" t="s">
        <v>212</v>
      </c>
      <c r="S1691" s="37" t="str">
        <f>IFERROR(_xlfn.XLOOKUP(R1691,'1_Presupuesto'!$E:$E,'1_Presupuesto'!$D:$D),"")</f>
        <v/>
      </c>
    </row>
    <row r="1692" spans="1:19" x14ac:dyDescent="0.35">
      <c r="A1692" s="31" t="s">
        <v>1152</v>
      </c>
      <c r="B1692" s="31" t="s">
        <v>497</v>
      </c>
      <c r="C1692" s="31" t="s">
        <v>498</v>
      </c>
      <c r="D1692" s="31" t="s">
        <v>506</v>
      </c>
      <c r="E1692" s="31" t="s">
        <v>507</v>
      </c>
      <c r="F1692" s="31" t="s">
        <v>261</v>
      </c>
      <c r="G1692" s="32">
        <v>0.01</v>
      </c>
      <c r="H1692" s="33">
        <v>0.05</v>
      </c>
      <c r="I1692" s="34">
        <v>4418.1818181818198</v>
      </c>
      <c r="J1692" s="34">
        <v>46.390909090909098</v>
      </c>
      <c r="K1692" s="31" t="s">
        <v>1155</v>
      </c>
      <c r="L1692" s="31">
        <v>7</v>
      </c>
      <c r="M1692" s="31" t="s">
        <v>4000</v>
      </c>
      <c r="N1692" s="34">
        <v>8</v>
      </c>
      <c r="O1692" s="35">
        <v>0</v>
      </c>
      <c r="P1692" s="35" t="s">
        <v>212</v>
      </c>
      <c r="Q1692" s="35">
        <v>0</v>
      </c>
      <c r="R1692" s="36" t="s">
        <v>212</v>
      </c>
      <c r="S1692" s="37" t="str">
        <f>IFERROR(_xlfn.XLOOKUP(R1692,'1_Presupuesto'!$E:$E,'1_Presupuesto'!$D:$D),"")</f>
        <v/>
      </c>
    </row>
    <row r="1693" spans="1:19" x14ac:dyDescent="0.35">
      <c r="A1693" s="31" t="s">
        <v>1152</v>
      </c>
      <c r="B1693" s="31" t="s">
        <v>497</v>
      </c>
      <c r="C1693" s="31" t="s">
        <v>498</v>
      </c>
      <c r="D1693" s="31" t="s">
        <v>777</v>
      </c>
      <c r="E1693" s="31" t="s">
        <v>778</v>
      </c>
      <c r="F1693" s="31" t="s">
        <v>261</v>
      </c>
      <c r="G1693" s="32">
        <v>0.01</v>
      </c>
      <c r="H1693" s="33">
        <v>0.05</v>
      </c>
      <c r="I1693" s="34">
        <v>8173.5537190082696</v>
      </c>
      <c r="J1693" s="34">
        <v>85.822314049586794</v>
      </c>
      <c r="K1693" s="31" t="s">
        <v>1155</v>
      </c>
      <c r="L1693" s="31">
        <v>8</v>
      </c>
      <c r="M1693" s="31" t="s">
        <v>4001</v>
      </c>
      <c r="N1693" s="34">
        <v>8</v>
      </c>
      <c r="O1693" s="35">
        <v>0</v>
      </c>
      <c r="P1693" s="35" t="s">
        <v>212</v>
      </c>
      <c r="Q1693" s="35">
        <v>0</v>
      </c>
      <c r="R1693" s="36" t="s">
        <v>212</v>
      </c>
      <c r="S1693" s="37" t="str">
        <f>IFERROR(_xlfn.XLOOKUP(R1693,'1_Presupuesto'!$E:$E,'1_Presupuesto'!$D:$D),"")</f>
        <v/>
      </c>
    </row>
    <row r="1694" spans="1:19" x14ac:dyDescent="0.35">
      <c r="A1694" s="31" t="s">
        <v>2880</v>
      </c>
      <c r="B1694" s="31" t="s">
        <v>478</v>
      </c>
      <c r="C1694" s="31" t="s">
        <v>498</v>
      </c>
      <c r="D1694" s="31" t="s">
        <v>4002</v>
      </c>
      <c r="E1694" s="31" t="s">
        <v>4003</v>
      </c>
      <c r="F1694" s="31" t="s">
        <v>481</v>
      </c>
      <c r="G1694" s="32">
        <v>20</v>
      </c>
      <c r="H1694" s="33">
        <v>0</v>
      </c>
      <c r="I1694" s="34">
        <v>4940.3618924206503</v>
      </c>
      <c r="J1694" s="34">
        <v>98807.237848413002</v>
      </c>
      <c r="K1694" s="31" t="s">
        <v>3860</v>
      </c>
      <c r="L1694" s="31">
        <v>4</v>
      </c>
      <c r="M1694" s="31" t="s">
        <v>4004</v>
      </c>
      <c r="N1694" s="34">
        <v>20</v>
      </c>
      <c r="O1694" s="35">
        <v>0</v>
      </c>
      <c r="P1694" s="35">
        <v>433</v>
      </c>
      <c r="Q1694" s="35">
        <v>0</v>
      </c>
      <c r="R1694" s="36">
        <v>15.08</v>
      </c>
      <c r="S1694" s="37" t="str">
        <f>IFERROR(_xlfn.XLOOKUP(R1694,'1_Presupuesto'!$E:$E,'1_Presupuesto'!$D:$D),"")</f>
        <v>Pintura MO</v>
      </c>
    </row>
    <row r="1695" spans="1:19" x14ac:dyDescent="0.35">
      <c r="A1695" s="31" t="s">
        <v>3144</v>
      </c>
      <c r="B1695" s="31" t="s">
        <v>497</v>
      </c>
      <c r="C1695" s="31" t="s">
        <v>498</v>
      </c>
      <c r="D1695" s="31" t="s">
        <v>3149</v>
      </c>
      <c r="E1695" s="31" t="s">
        <v>3150</v>
      </c>
      <c r="F1695" s="31" t="s">
        <v>261</v>
      </c>
      <c r="G1695" s="32">
        <v>1</v>
      </c>
      <c r="H1695" s="33">
        <v>0</v>
      </c>
      <c r="I1695" s="34">
        <v>20196.092406751999</v>
      </c>
      <c r="J1695" s="34">
        <v>20196.092406751999</v>
      </c>
      <c r="K1695" s="31" t="s">
        <v>3151</v>
      </c>
      <c r="L1695" s="31">
        <v>2</v>
      </c>
      <c r="M1695" s="31" t="s">
        <v>4005</v>
      </c>
      <c r="N1695" s="34">
        <v>1</v>
      </c>
      <c r="O1695" s="35">
        <v>0</v>
      </c>
      <c r="P1695" s="35">
        <v>1</v>
      </c>
      <c r="Q1695" s="35">
        <v>0</v>
      </c>
      <c r="R1695" s="36">
        <v>18.11</v>
      </c>
      <c r="S1695" s="37">
        <f>IFERROR(_xlfn.XLOOKUP(R1695,'1_Presupuesto'!$E:$E,'1_Presupuesto'!$D:$D),"")</f>
        <v>0</v>
      </c>
    </row>
    <row r="1696" spans="1:19" x14ac:dyDescent="0.35">
      <c r="A1696" s="31" t="s">
        <v>3144</v>
      </c>
      <c r="B1696" s="31" t="s">
        <v>497</v>
      </c>
      <c r="C1696" s="31" t="s">
        <v>498</v>
      </c>
      <c r="D1696" s="31" t="s">
        <v>3204</v>
      </c>
      <c r="E1696" s="31" t="s">
        <v>3205</v>
      </c>
      <c r="F1696" s="31" t="s">
        <v>261</v>
      </c>
      <c r="G1696" s="32">
        <v>2</v>
      </c>
      <c r="H1696" s="33">
        <v>0</v>
      </c>
      <c r="I1696" s="34">
        <v>38605.985559603403</v>
      </c>
      <c r="J1696" s="34">
        <v>77211.971119206806</v>
      </c>
      <c r="K1696" s="31" t="s">
        <v>3151</v>
      </c>
      <c r="L1696" s="31">
        <v>3</v>
      </c>
      <c r="M1696" s="31" t="s">
        <v>4006</v>
      </c>
      <c r="N1696" s="34">
        <v>1</v>
      </c>
      <c r="O1696" s="35">
        <v>0</v>
      </c>
      <c r="P1696" s="35">
        <v>1</v>
      </c>
      <c r="Q1696" s="35">
        <v>0</v>
      </c>
      <c r="R1696" s="36">
        <v>18.11</v>
      </c>
      <c r="S1696" s="37">
        <f>IFERROR(_xlfn.XLOOKUP(R1696,'1_Presupuesto'!$E:$E,'1_Presupuesto'!$D:$D),"")</f>
        <v>0</v>
      </c>
    </row>
    <row r="1697" spans="1:19" x14ac:dyDescent="0.35">
      <c r="A1697" s="31" t="s">
        <v>3144</v>
      </c>
      <c r="B1697" s="31" t="s">
        <v>497</v>
      </c>
      <c r="C1697" s="31" t="s">
        <v>498</v>
      </c>
      <c r="D1697" s="31" t="s">
        <v>4007</v>
      </c>
      <c r="E1697" s="31" t="s">
        <v>4008</v>
      </c>
      <c r="F1697" s="31" t="s">
        <v>261</v>
      </c>
      <c r="G1697" s="32">
        <v>1</v>
      </c>
      <c r="H1697" s="33">
        <v>0</v>
      </c>
      <c r="I1697" s="34">
        <v>46757.409946534499</v>
      </c>
      <c r="J1697" s="34">
        <v>46757.409946534499</v>
      </c>
      <c r="K1697" s="31" t="s">
        <v>3151</v>
      </c>
      <c r="L1697" s="31">
        <v>4</v>
      </c>
      <c r="M1697" s="31" t="s">
        <v>4009</v>
      </c>
      <c r="N1697" s="34">
        <v>1</v>
      </c>
      <c r="O1697" s="35">
        <v>0</v>
      </c>
      <c r="P1697" s="35">
        <v>1</v>
      </c>
      <c r="Q1697" s="35">
        <v>0</v>
      </c>
      <c r="R1697" s="36">
        <v>18.11</v>
      </c>
      <c r="S1697" s="37">
        <f>IFERROR(_xlfn.XLOOKUP(R1697,'1_Presupuesto'!$E:$E,'1_Presupuesto'!$D:$D),"")</f>
        <v>0</v>
      </c>
    </row>
    <row r="1698" spans="1:19" x14ac:dyDescent="0.35">
      <c r="A1698" s="31" t="s">
        <v>3144</v>
      </c>
      <c r="B1698" s="31" t="s">
        <v>497</v>
      </c>
      <c r="C1698" s="31" t="s">
        <v>498</v>
      </c>
      <c r="D1698" s="31" t="s">
        <v>3193</v>
      </c>
      <c r="E1698" s="31" t="s">
        <v>3194</v>
      </c>
      <c r="F1698" s="31" t="s">
        <v>261</v>
      </c>
      <c r="G1698" s="32">
        <v>5</v>
      </c>
      <c r="H1698" s="33">
        <v>0</v>
      </c>
      <c r="I1698" s="34">
        <v>5688.7390030904999</v>
      </c>
      <c r="J1698" s="34">
        <v>28443.6950154525</v>
      </c>
      <c r="K1698" s="31" t="s">
        <v>3151</v>
      </c>
      <c r="L1698" s="31">
        <v>5</v>
      </c>
      <c r="M1698" s="31" t="s">
        <v>4010</v>
      </c>
      <c r="N1698" s="34">
        <v>1</v>
      </c>
      <c r="O1698" s="35">
        <v>0</v>
      </c>
      <c r="P1698" s="35">
        <v>1</v>
      </c>
      <c r="Q1698" s="35">
        <v>0</v>
      </c>
      <c r="R1698" s="36">
        <v>18.11</v>
      </c>
      <c r="S1698" s="37">
        <f>IFERROR(_xlfn.XLOOKUP(R1698,'1_Presupuesto'!$E:$E,'1_Presupuesto'!$D:$D),"")</f>
        <v>0</v>
      </c>
    </row>
    <row r="1699" spans="1:19" x14ac:dyDescent="0.35">
      <c r="A1699" s="31" t="s">
        <v>3144</v>
      </c>
      <c r="B1699" s="31" t="s">
        <v>497</v>
      </c>
      <c r="C1699" s="31" t="s">
        <v>498</v>
      </c>
      <c r="D1699" s="31" t="s">
        <v>3182</v>
      </c>
      <c r="E1699" s="31" t="s">
        <v>3183</v>
      </c>
      <c r="F1699" s="31" t="s">
        <v>261</v>
      </c>
      <c r="G1699" s="32">
        <v>4</v>
      </c>
      <c r="H1699" s="33">
        <v>0</v>
      </c>
      <c r="I1699" s="34">
        <v>5688.7390030904999</v>
      </c>
      <c r="J1699" s="34">
        <v>22754.956012361999</v>
      </c>
      <c r="K1699" s="31" t="s">
        <v>3151</v>
      </c>
      <c r="L1699" s="31">
        <v>6</v>
      </c>
      <c r="M1699" s="31" t="s">
        <v>4011</v>
      </c>
      <c r="N1699" s="34">
        <v>1</v>
      </c>
      <c r="O1699" s="35">
        <v>0</v>
      </c>
      <c r="P1699" s="35">
        <v>1</v>
      </c>
      <c r="Q1699" s="35">
        <v>0</v>
      </c>
      <c r="R1699" s="36">
        <v>18.11</v>
      </c>
      <c r="S1699" s="37">
        <f>IFERROR(_xlfn.XLOOKUP(R1699,'1_Presupuesto'!$E:$E,'1_Presupuesto'!$D:$D),"")</f>
        <v>0</v>
      </c>
    </row>
    <row r="1700" spans="1:19" x14ac:dyDescent="0.35">
      <c r="A1700" s="31" t="s">
        <v>3144</v>
      </c>
      <c r="B1700" s="31" t="s">
        <v>497</v>
      </c>
      <c r="C1700" s="31" t="s">
        <v>498</v>
      </c>
      <c r="D1700" s="31" t="s">
        <v>3182</v>
      </c>
      <c r="E1700" s="31" t="s">
        <v>3183</v>
      </c>
      <c r="F1700" s="31" t="s">
        <v>261</v>
      </c>
      <c r="G1700" s="32">
        <v>1</v>
      </c>
      <c r="H1700" s="33">
        <v>0</v>
      </c>
      <c r="I1700" s="34">
        <v>5688.7390030904999</v>
      </c>
      <c r="J1700" s="34">
        <v>5688.7390030904999</v>
      </c>
      <c r="K1700" s="31" t="s">
        <v>3151</v>
      </c>
      <c r="L1700" s="31">
        <v>7</v>
      </c>
      <c r="M1700" s="31" t="s">
        <v>4012</v>
      </c>
      <c r="N1700" s="34">
        <v>1</v>
      </c>
      <c r="O1700" s="35">
        <v>0</v>
      </c>
      <c r="P1700" s="35">
        <v>1</v>
      </c>
      <c r="Q1700" s="35">
        <v>0</v>
      </c>
      <c r="R1700" s="36">
        <v>18.11</v>
      </c>
      <c r="S1700" s="37">
        <f>IFERROR(_xlfn.XLOOKUP(R1700,'1_Presupuesto'!$E:$E,'1_Presupuesto'!$D:$D),"")</f>
        <v>0</v>
      </c>
    </row>
    <row r="1701" spans="1:19" x14ac:dyDescent="0.35">
      <c r="A1701" s="31" t="s">
        <v>3144</v>
      </c>
      <c r="B1701" s="31" t="s">
        <v>497</v>
      </c>
      <c r="C1701" s="31" t="s">
        <v>498</v>
      </c>
      <c r="D1701" s="31" t="s">
        <v>3182</v>
      </c>
      <c r="E1701" s="31" t="s">
        <v>3183</v>
      </c>
      <c r="F1701" s="31" t="s">
        <v>261</v>
      </c>
      <c r="G1701" s="32">
        <v>1</v>
      </c>
      <c r="H1701" s="33">
        <v>0</v>
      </c>
      <c r="I1701" s="34">
        <v>5688.7390030904999</v>
      </c>
      <c r="J1701" s="34">
        <v>5688.7390030904999</v>
      </c>
      <c r="K1701" s="31" t="s">
        <v>3151</v>
      </c>
      <c r="L1701" s="31">
        <v>8</v>
      </c>
      <c r="M1701" s="31" t="s">
        <v>4013</v>
      </c>
      <c r="N1701" s="34">
        <v>1</v>
      </c>
      <c r="O1701" s="35">
        <v>0</v>
      </c>
      <c r="P1701" s="35">
        <v>1</v>
      </c>
      <c r="Q1701" s="35">
        <v>0</v>
      </c>
      <c r="R1701" s="36">
        <v>18.11</v>
      </c>
      <c r="S1701" s="37">
        <f>IFERROR(_xlfn.XLOOKUP(R1701,'1_Presupuesto'!$E:$E,'1_Presupuesto'!$D:$D),"")</f>
        <v>0</v>
      </c>
    </row>
    <row r="1702" spans="1:19" x14ac:dyDescent="0.35">
      <c r="A1702" s="31" t="s">
        <v>3144</v>
      </c>
      <c r="B1702" s="31" t="s">
        <v>497</v>
      </c>
      <c r="C1702" s="31" t="s">
        <v>498</v>
      </c>
      <c r="D1702" s="31" t="s">
        <v>3182</v>
      </c>
      <c r="E1702" s="31" t="s">
        <v>3183</v>
      </c>
      <c r="F1702" s="31" t="s">
        <v>261</v>
      </c>
      <c r="G1702" s="32">
        <v>1</v>
      </c>
      <c r="H1702" s="33">
        <v>0</v>
      </c>
      <c r="I1702" s="34">
        <v>5688.7390030904999</v>
      </c>
      <c r="J1702" s="34">
        <v>5688.7390030904999</v>
      </c>
      <c r="K1702" s="31" t="s">
        <v>3151</v>
      </c>
      <c r="L1702" s="31">
        <v>9</v>
      </c>
      <c r="M1702" s="31" t="s">
        <v>4014</v>
      </c>
      <c r="N1702" s="34">
        <v>1</v>
      </c>
      <c r="O1702" s="35">
        <v>0</v>
      </c>
      <c r="P1702" s="35">
        <v>1</v>
      </c>
      <c r="Q1702" s="35">
        <v>0</v>
      </c>
      <c r="R1702" s="36">
        <v>18.11</v>
      </c>
      <c r="S1702" s="37">
        <f>IFERROR(_xlfn.XLOOKUP(R1702,'1_Presupuesto'!$E:$E,'1_Presupuesto'!$D:$D),"")</f>
        <v>0</v>
      </c>
    </row>
    <row r="1703" spans="1:19" x14ac:dyDescent="0.35">
      <c r="A1703" s="31" t="s">
        <v>3144</v>
      </c>
      <c r="B1703" s="31" t="s">
        <v>497</v>
      </c>
      <c r="C1703" s="31" t="s">
        <v>498</v>
      </c>
      <c r="D1703" s="31" t="s">
        <v>3182</v>
      </c>
      <c r="E1703" s="31" t="s">
        <v>3183</v>
      </c>
      <c r="F1703" s="31" t="s">
        <v>261</v>
      </c>
      <c r="G1703" s="32">
        <v>1</v>
      </c>
      <c r="H1703" s="33">
        <v>0</v>
      </c>
      <c r="I1703" s="34">
        <v>5688.7390030904999</v>
      </c>
      <c r="J1703" s="34">
        <v>5688.7390030904999</v>
      </c>
      <c r="K1703" s="31" t="s">
        <v>3151</v>
      </c>
      <c r="L1703" s="31">
        <v>10</v>
      </c>
      <c r="M1703" s="31" t="s">
        <v>4015</v>
      </c>
      <c r="N1703" s="34">
        <v>1</v>
      </c>
      <c r="O1703" s="35">
        <v>0</v>
      </c>
      <c r="P1703" s="35">
        <v>1</v>
      </c>
      <c r="Q1703" s="35">
        <v>0</v>
      </c>
      <c r="R1703" s="36">
        <v>18.11</v>
      </c>
      <c r="S1703" s="37">
        <f>IFERROR(_xlfn.XLOOKUP(R1703,'1_Presupuesto'!$E:$E,'1_Presupuesto'!$D:$D),"")</f>
        <v>0</v>
      </c>
    </row>
    <row r="1704" spans="1:19" x14ac:dyDescent="0.35">
      <c r="A1704" s="31" t="s">
        <v>3144</v>
      </c>
      <c r="B1704" s="31" t="s">
        <v>497</v>
      </c>
      <c r="C1704" s="31" t="s">
        <v>498</v>
      </c>
      <c r="D1704" s="31" t="s">
        <v>3171</v>
      </c>
      <c r="E1704" s="31" t="s">
        <v>3172</v>
      </c>
      <c r="F1704" s="31" t="s">
        <v>261</v>
      </c>
      <c r="G1704" s="32">
        <v>1</v>
      </c>
      <c r="H1704" s="33">
        <v>0</v>
      </c>
      <c r="I1704" s="34">
        <v>12011.3461770173</v>
      </c>
      <c r="J1704" s="34">
        <v>12011.3461770173</v>
      </c>
      <c r="K1704" s="31" t="s">
        <v>3151</v>
      </c>
      <c r="L1704" s="31">
        <v>11</v>
      </c>
      <c r="M1704" s="31" t="s">
        <v>4016</v>
      </c>
      <c r="N1704" s="34">
        <v>1</v>
      </c>
      <c r="O1704" s="35">
        <v>0</v>
      </c>
      <c r="P1704" s="35">
        <v>1</v>
      </c>
      <c r="Q1704" s="35">
        <v>0</v>
      </c>
      <c r="R1704" s="36">
        <v>18.11</v>
      </c>
      <c r="S1704" s="37">
        <f>IFERROR(_xlfn.XLOOKUP(R1704,'1_Presupuesto'!$E:$E,'1_Presupuesto'!$D:$D),"")</f>
        <v>0</v>
      </c>
    </row>
    <row r="1705" spans="1:19" x14ac:dyDescent="0.35">
      <c r="A1705" s="31" t="s">
        <v>3144</v>
      </c>
      <c r="B1705" s="31" t="s">
        <v>497</v>
      </c>
      <c r="C1705" s="31" t="s">
        <v>498</v>
      </c>
      <c r="D1705" s="31" t="s">
        <v>3182</v>
      </c>
      <c r="E1705" s="31" t="s">
        <v>3183</v>
      </c>
      <c r="F1705" s="31" t="s">
        <v>261</v>
      </c>
      <c r="G1705" s="32">
        <v>1</v>
      </c>
      <c r="H1705" s="33">
        <v>0</v>
      </c>
      <c r="I1705" s="34">
        <v>5688.7390030904999</v>
      </c>
      <c r="J1705" s="34">
        <v>5688.7390030904999</v>
      </c>
      <c r="K1705" s="31" t="s">
        <v>3151</v>
      </c>
      <c r="L1705" s="31">
        <v>12</v>
      </c>
      <c r="M1705" s="31" t="s">
        <v>4017</v>
      </c>
      <c r="N1705" s="34">
        <v>1</v>
      </c>
      <c r="O1705" s="35">
        <v>0</v>
      </c>
      <c r="P1705" s="35">
        <v>1</v>
      </c>
      <c r="Q1705" s="35">
        <v>0</v>
      </c>
      <c r="R1705" s="36">
        <v>18.11</v>
      </c>
      <c r="S1705" s="37">
        <f>IFERROR(_xlfn.XLOOKUP(R1705,'1_Presupuesto'!$E:$E,'1_Presupuesto'!$D:$D),"")</f>
        <v>0</v>
      </c>
    </row>
    <row r="1706" spans="1:19" x14ac:dyDescent="0.35">
      <c r="A1706" s="31" t="s">
        <v>3144</v>
      </c>
      <c r="B1706" s="31" t="s">
        <v>497</v>
      </c>
      <c r="C1706" s="31" t="s">
        <v>498</v>
      </c>
      <c r="D1706" s="31" t="s">
        <v>3171</v>
      </c>
      <c r="E1706" s="31" t="s">
        <v>3172</v>
      </c>
      <c r="F1706" s="31" t="s">
        <v>261</v>
      </c>
      <c r="G1706" s="32">
        <v>2</v>
      </c>
      <c r="H1706" s="33">
        <v>0</v>
      </c>
      <c r="I1706" s="34">
        <v>12011.3461770173</v>
      </c>
      <c r="J1706" s="34">
        <v>24022.6923540346</v>
      </c>
      <c r="K1706" s="31" t="s">
        <v>3151</v>
      </c>
      <c r="L1706" s="31">
        <v>13</v>
      </c>
      <c r="M1706" s="31" t="s">
        <v>4018</v>
      </c>
      <c r="N1706" s="34">
        <v>1</v>
      </c>
      <c r="O1706" s="35">
        <v>0</v>
      </c>
      <c r="P1706" s="35">
        <v>1</v>
      </c>
      <c r="Q1706" s="35">
        <v>0</v>
      </c>
      <c r="R1706" s="36">
        <v>18.11</v>
      </c>
      <c r="S1706" s="37">
        <f>IFERROR(_xlfn.XLOOKUP(R1706,'1_Presupuesto'!$E:$E,'1_Presupuesto'!$D:$D),"")</f>
        <v>0</v>
      </c>
    </row>
    <row r="1707" spans="1:19" x14ac:dyDescent="0.35">
      <c r="A1707" s="31" t="s">
        <v>3144</v>
      </c>
      <c r="B1707" s="31" t="s">
        <v>497</v>
      </c>
      <c r="C1707" s="31" t="s">
        <v>498</v>
      </c>
      <c r="D1707" s="31" t="s">
        <v>4019</v>
      </c>
      <c r="E1707" s="31" t="s">
        <v>4020</v>
      </c>
      <c r="F1707" s="31" t="s">
        <v>261</v>
      </c>
      <c r="G1707" s="32">
        <v>1</v>
      </c>
      <c r="H1707" s="33">
        <v>0</v>
      </c>
      <c r="I1707" s="34">
        <v>12869.106574814299</v>
      </c>
      <c r="J1707" s="34">
        <v>12869.106574814299</v>
      </c>
      <c r="K1707" s="31" t="s">
        <v>3151</v>
      </c>
      <c r="L1707" s="31">
        <v>14</v>
      </c>
      <c r="M1707" s="31" t="s">
        <v>4021</v>
      </c>
      <c r="N1707" s="34">
        <v>1</v>
      </c>
      <c r="O1707" s="35">
        <v>0</v>
      </c>
      <c r="P1707" s="35">
        <v>1</v>
      </c>
      <c r="Q1707" s="35">
        <v>0</v>
      </c>
      <c r="R1707" s="36">
        <v>18.11</v>
      </c>
      <c r="S1707" s="37">
        <f>IFERROR(_xlfn.XLOOKUP(R1707,'1_Presupuesto'!$E:$E,'1_Presupuesto'!$D:$D),"")</f>
        <v>0</v>
      </c>
    </row>
    <row r="1708" spans="1:19" x14ac:dyDescent="0.35">
      <c r="A1708" s="31" t="s">
        <v>3144</v>
      </c>
      <c r="B1708" s="31" t="s">
        <v>497</v>
      </c>
      <c r="C1708" s="31" t="s">
        <v>498</v>
      </c>
      <c r="D1708" s="31" t="s">
        <v>4022</v>
      </c>
      <c r="E1708" s="31" t="s">
        <v>4023</v>
      </c>
      <c r="F1708" s="31" t="s">
        <v>261</v>
      </c>
      <c r="G1708" s="32">
        <v>1</v>
      </c>
      <c r="H1708" s="33">
        <v>0</v>
      </c>
      <c r="I1708" s="34">
        <v>287817.56246666302</v>
      </c>
      <c r="J1708" s="34">
        <v>287817.56246666302</v>
      </c>
      <c r="K1708" s="31" t="s">
        <v>3151</v>
      </c>
      <c r="L1708" s="31">
        <v>15</v>
      </c>
      <c r="M1708" s="31" t="s">
        <v>4024</v>
      </c>
      <c r="N1708" s="34">
        <v>1</v>
      </c>
      <c r="O1708" s="35">
        <v>0</v>
      </c>
      <c r="P1708" s="35">
        <v>1</v>
      </c>
      <c r="Q1708" s="35">
        <v>0</v>
      </c>
      <c r="R1708" s="36">
        <v>18.11</v>
      </c>
      <c r="S1708" s="37">
        <f>IFERROR(_xlfn.XLOOKUP(R1708,'1_Presupuesto'!$E:$E,'1_Presupuesto'!$D:$D),"")</f>
        <v>0</v>
      </c>
    </row>
    <row r="1709" spans="1:19" x14ac:dyDescent="0.35">
      <c r="A1709" s="31" t="s">
        <v>3144</v>
      </c>
      <c r="B1709" s="31" t="s">
        <v>497</v>
      </c>
      <c r="C1709" s="31" t="s">
        <v>498</v>
      </c>
      <c r="D1709" s="31" t="s">
        <v>4025</v>
      </c>
      <c r="E1709" s="31" t="s">
        <v>4026</v>
      </c>
      <c r="F1709" s="31" t="s">
        <v>261</v>
      </c>
      <c r="G1709" s="32">
        <v>1</v>
      </c>
      <c r="H1709" s="33">
        <v>0</v>
      </c>
      <c r="I1709" s="34">
        <v>103423.565320764</v>
      </c>
      <c r="J1709" s="34">
        <v>103423.565320764</v>
      </c>
      <c r="K1709" s="31" t="s">
        <v>3151</v>
      </c>
      <c r="L1709" s="31">
        <v>16</v>
      </c>
      <c r="M1709" s="31" t="s">
        <v>4027</v>
      </c>
      <c r="N1709" s="34">
        <v>1</v>
      </c>
      <c r="O1709" s="35">
        <v>0</v>
      </c>
      <c r="P1709" s="35">
        <v>1</v>
      </c>
      <c r="Q1709" s="35">
        <v>0</v>
      </c>
      <c r="R1709" s="36">
        <v>18.11</v>
      </c>
      <c r="S1709" s="37">
        <f>IFERROR(_xlfn.XLOOKUP(R1709,'1_Presupuesto'!$E:$E,'1_Presupuesto'!$D:$D),"")</f>
        <v>0</v>
      </c>
    </row>
    <row r="1710" spans="1:19" x14ac:dyDescent="0.35">
      <c r="A1710" s="31" t="s">
        <v>3144</v>
      </c>
      <c r="B1710" s="31" t="s">
        <v>497</v>
      </c>
      <c r="C1710" s="31" t="s">
        <v>498</v>
      </c>
      <c r="D1710" s="31" t="s">
        <v>4028</v>
      </c>
      <c r="E1710" s="31" t="s">
        <v>4029</v>
      </c>
      <c r="F1710" s="31" t="s">
        <v>261</v>
      </c>
      <c r="G1710" s="32">
        <v>4</v>
      </c>
      <c r="H1710" s="33">
        <v>0</v>
      </c>
      <c r="I1710" s="34">
        <v>5486.8604959800005</v>
      </c>
      <c r="J1710" s="34">
        <v>21947.441983920002</v>
      </c>
      <c r="K1710" s="31" t="s">
        <v>3151</v>
      </c>
      <c r="L1710" s="31">
        <v>17</v>
      </c>
      <c r="M1710" s="31" t="s">
        <v>4030</v>
      </c>
      <c r="N1710" s="34">
        <v>1</v>
      </c>
      <c r="O1710" s="35">
        <v>0</v>
      </c>
      <c r="P1710" s="35">
        <v>1</v>
      </c>
      <c r="Q1710" s="35">
        <v>0</v>
      </c>
      <c r="R1710" s="36">
        <v>18.11</v>
      </c>
      <c r="S1710" s="37">
        <f>IFERROR(_xlfn.XLOOKUP(R1710,'1_Presupuesto'!$E:$E,'1_Presupuesto'!$D:$D),"")</f>
        <v>0</v>
      </c>
    </row>
    <row r="1711" spans="1:19" x14ac:dyDescent="0.35">
      <c r="A1711" s="31" t="s">
        <v>3144</v>
      </c>
      <c r="B1711" s="31" t="s">
        <v>497</v>
      </c>
      <c r="C1711" s="31" t="s">
        <v>498</v>
      </c>
      <c r="D1711" s="31" t="s">
        <v>4031</v>
      </c>
      <c r="E1711" s="31" t="s">
        <v>4032</v>
      </c>
      <c r="F1711" s="31" t="s">
        <v>261</v>
      </c>
      <c r="G1711" s="32">
        <v>4</v>
      </c>
      <c r="H1711" s="33">
        <v>0</v>
      </c>
      <c r="I1711" s="34">
        <v>15819.5260420012</v>
      </c>
      <c r="J1711" s="34">
        <v>63278.1041680048</v>
      </c>
      <c r="K1711" s="31" t="s">
        <v>3151</v>
      </c>
      <c r="L1711" s="31">
        <v>18</v>
      </c>
      <c r="M1711" s="31" t="s">
        <v>4033</v>
      </c>
      <c r="N1711" s="34">
        <v>1</v>
      </c>
      <c r="O1711" s="35">
        <v>0</v>
      </c>
      <c r="P1711" s="35">
        <v>1</v>
      </c>
      <c r="Q1711" s="35">
        <v>0</v>
      </c>
      <c r="R1711" s="36">
        <v>18.11</v>
      </c>
      <c r="S1711" s="37">
        <f>IFERROR(_xlfn.XLOOKUP(R1711,'1_Presupuesto'!$E:$E,'1_Presupuesto'!$D:$D),"")</f>
        <v>0</v>
      </c>
    </row>
    <row r="1712" spans="1:19" x14ac:dyDescent="0.35">
      <c r="A1712" s="31" t="s">
        <v>3144</v>
      </c>
      <c r="B1712" s="31" t="s">
        <v>497</v>
      </c>
      <c r="C1712" s="31" t="s">
        <v>498</v>
      </c>
      <c r="D1712" s="31" t="s">
        <v>4034</v>
      </c>
      <c r="E1712" s="31" t="s">
        <v>4035</v>
      </c>
      <c r="F1712" s="31" t="s">
        <v>261</v>
      </c>
      <c r="G1712" s="32">
        <v>12</v>
      </c>
      <c r="H1712" s="33">
        <v>0</v>
      </c>
      <c r="I1712" s="34">
        <v>10003.040755537901</v>
      </c>
      <c r="J1712" s="34">
        <v>120036.489066455</v>
      </c>
      <c r="K1712" s="31" t="s">
        <v>3151</v>
      </c>
      <c r="L1712" s="31">
        <v>19</v>
      </c>
      <c r="M1712" s="31" t="s">
        <v>4036</v>
      </c>
      <c r="N1712" s="34">
        <v>1</v>
      </c>
      <c r="O1712" s="35">
        <v>0</v>
      </c>
      <c r="P1712" s="35">
        <v>1</v>
      </c>
      <c r="Q1712" s="35">
        <v>0</v>
      </c>
      <c r="R1712" s="36">
        <v>18.11</v>
      </c>
      <c r="S1712" s="37">
        <f>IFERROR(_xlfn.XLOOKUP(R1712,'1_Presupuesto'!$E:$E,'1_Presupuesto'!$D:$D),"")</f>
        <v>0</v>
      </c>
    </row>
    <row r="1713" spans="1:19" x14ac:dyDescent="0.35">
      <c r="A1713" s="31" t="s">
        <v>3144</v>
      </c>
      <c r="B1713" s="31" t="s">
        <v>497</v>
      </c>
      <c r="C1713" s="31" t="s">
        <v>498</v>
      </c>
      <c r="D1713" s="31" t="s">
        <v>4037</v>
      </c>
      <c r="E1713" s="31" t="s">
        <v>4038</v>
      </c>
      <c r="F1713" s="31" t="s">
        <v>261</v>
      </c>
      <c r="G1713" s="32">
        <v>1</v>
      </c>
      <c r="H1713" s="33">
        <v>0</v>
      </c>
      <c r="I1713" s="34">
        <v>130403.91821405799</v>
      </c>
      <c r="J1713" s="34">
        <v>130403.91821405799</v>
      </c>
      <c r="K1713" s="31" t="s">
        <v>3151</v>
      </c>
      <c r="L1713" s="31">
        <v>20</v>
      </c>
      <c r="M1713" s="31" t="s">
        <v>4039</v>
      </c>
      <c r="N1713" s="34">
        <v>1</v>
      </c>
      <c r="O1713" s="35">
        <v>0</v>
      </c>
      <c r="P1713" s="35">
        <v>1</v>
      </c>
      <c r="Q1713" s="35">
        <v>0</v>
      </c>
      <c r="R1713" s="36">
        <v>18.11</v>
      </c>
      <c r="S1713" s="37">
        <f>IFERROR(_xlfn.XLOOKUP(R1713,'1_Presupuesto'!$E:$E,'1_Presupuesto'!$D:$D),"")</f>
        <v>0</v>
      </c>
    </row>
    <row r="1714" spans="1:19" x14ac:dyDescent="0.35">
      <c r="A1714" s="31" t="s">
        <v>3144</v>
      </c>
      <c r="B1714" s="31" t="s">
        <v>497</v>
      </c>
      <c r="C1714" s="31" t="s">
        <v>498</v>
      </c>
      <c r="D1714" s="31" t="s">
        <v>4040</v>
      </c>
      <c r="E1714" s="31" t="s">
        <v>4041</v>
      </c>
      <c r="F1714" s="31" t="s">
        <v>261</v>
      </c>
      <c r="G1714" s="32">
        <v>1</v>
      </c>
      <c r="H1714" s="33">
        <v>0</v>
      </c>
      <c r="I1714" s="34">
        <v>122237.774976318</v>
      </c>
      <c r="J1714" s="34">
        <v>122237.774976318</v>
      </c>
      <c r="K1714" s="31" t="s">
        <v>3151</v>
      </c>
      <c r="L1714" s="31">
        <v>21</v>
      </c>
      <c r="M1714" s="31" t="s">
        <v>4042</v>
      </c>
      <c r="N1714" s="34">
        <v>1</v>
      </c>
      <c r="O1714" s="35">
        <v>0</v>
      </c>
      <c r="P1714" s="35">
        <v>1</v>
      </c>
      <c r="Q1714" s="35">
        <v>0</v>
      </c>
      <c r="R1714" s="36">
        <v>18.11</v>
      </c>
      <c r="S1714" s="37">
        <f>IFERROR(_xlfn.XLOOKUP(R1714,'1_Presupuesto'!$E:$E,'1_Presupuesto'!$D:$D),"")</f>
        <v>0</v>
      </c>
    </row>
    <row r="1715" spans="1:19" x14ac:dyDescent="0.35">
      <c r="A1715" s="31" t="s">
        <v>3144</v>
      </c>
      <c r="B1715" s="31" t="s">
        <v>497</v>
      </c>
      <c r="C1715" s="31" t="s">
        <v>498</v>
      </c>
      <c r="D1715" s="31" t="s">
        <v>4043</v>
      </c>
      <c r="E1715" s="31" t="s">
        <v>4044</v>
      </c>
      <c r="F1715" s="31" t="s">
        <v>261</v>
      </c>
      <c r="G1715" s="32">
        <v>10</v>
      </c>
      <c r="H1715" s="33">
        <v>0</v>
      </c>
      <c r="I1715" s="34">
        <v>5542.2928931783999</v>
      </c>
      <c r="J1715" s="34">
        <v>55422.928931784001</v>
      </c>
      <c r="K1715" s="31" t="s">
        <v>3151</v>
      </c>
      <c r="L1715" s="31">
        <v>22</v>
      </c>
      <c r="M1715" s="31" t="s">
        <v>4045</v>
      </c>
      <c r="N1715" s="34">
        <v>1</v>
      </c>
      <c r="O1715" s="35">
        <v>0</v>
      </c>
      <c r="P1715" s="35">
        <v>1</v>
      </c>
      <c r="Q1715" s="35">
        <v>0</v>
      </c>
      <c r="R1715" s="36">
        <v>18.11</v>
      </c>
      <c r="S1715" s="37">
        <f>IFERROR(_xlfn.XLOOKUP(R1715,'1_Presupuesto'!$E:$E,'1_Presupuesto'!$D:$D),"")</f>
        <v>0</v>
      </c>
    </row>
    <row r="1716" spans="1:19" x14ac:dyDescent="0.35">
      <c r="A1716" s="31" t="s">
        <v>3144</v>
      </c>
      <c r="B1716" s="31" t="s">
        <v>497</v>
      </c>
      <c r="C1716" s="31" t="s">
        <v>498</v>
      </c>
      <c r="D1716" s="31" t="s">
        <v>4046</v>
      </c>
      <c r="E1716" s="31" t="s">
        <v>4047</v>
      </c>
      <c r="F1716" s="31" t="s">
        <v>261</v>
      </c>
      <c r="G1716" s="32">
        <v>3</v>
      </c>
      <c r="H1716" s="33">
        <v>0</v>
      </c>
      <c r="I1716" s="34">
        <v>3933.8478069282</v>
      </c>
      <c r="J1716" s="34">
        <v>11801.543420784599</v>
      </c>
      <c r="K1716" s="31" t="s">
        <v>3151</v>
      </c>
      <c r="L1716" s="31">
        <v>23</v>
      </c>
      <c r="M1716" s="31" t="s">
        <v>4048</v>
      </c>
      <c r="N1716" s="34">
        <v>1</v>
      </c>
      <c r="O1716" s="35">
        <v>0</v>
      </c>
      <c r="P1716" s="35">
        <v>1</v>
      </c>
      <c r="Q1716" s="35">
        <v>0</v>
      </c>
      <c r="R1716" s="36">
        <v>18.11</v>
      </c>
      <c r="S1716" s="37">
        <f>IFERROR(_xlfn.XLOOKUP(R1716,'1_Presupuesto'!$E:$E,'1_Presupuesto'!$D:$D),"")</f>
        <v>0</v>
      </c>
    </row>
    <row r="1717" spans="1:19" x14ac:dyDescent="0.35">
      <c r="A1717" s="31" t="s">
        <v>3144</v>
      </c>
      <c r="B1717" s="31" t="s">
        <v>497</v>
      </c>
      <c r="C1717" s="31" t="s">
        <v>498</v>
      </c>
      <c r="D1717" s="31" t="s">
        <v>4049</v>
      </c>
      <c r="E1717" s="31" t="s">
        <v>4050</v>
      </c>
      <c r="F1717" s="31" t="s">
        <v>261</v>
      </c>
      <c r="G1717" s="32">
        <v>0.5</v>
      </c>
      <c r="H1717" s="33">
        <v>0</v>
      </c>
      <c r="I1717" s="34">
        <v>103147.908138263</v>
      </c>
      <c r="J1717" s="34">
        <v>51573.954069131498</v>
      </c>
      <c r="K1717" s="31" t="s">
        <v>3151</v>
      </c>
      <c r="L1717" s="31">
        <v>24</v>
      </c>
      <c r="M1717" s="31" t="s">
        <v>4051</v>
      </c>
      <c r="N1717" s="34">
        <v>1</v>
      </c>
      <c r="O1717" s="35">
        <v>0</v>
      </c>
      <c r="P1717" s="35">
        <v>1</v>
      </c>
      <c r="Q1717" s="35">
        <v>0</v>
      </c>
      <c r="R1717" s="36">
        <v>18.11</v>
      </c>
      <c r="S1717" s="37">
        <f>IFERROR(_xlfn.XLOOKUP(R1717,'1_Presupuesto'!$E:$E,'1_Presupuesto'!$D:$D),"")</f>
        <v>0</v>
      </c>
    </row>
    <row r="1718" spans="1:19" x14ac:dyDescent="0.35">
      <c r="A1718" s="31" t="s">
        <v>3144</v>
      </c>
      <c r="B1718" s="31" t="s">
        <v>497</v>
      </c>
      <c r="C1718" s="31" t="s">
        <v>498</v>
      </c>
      <c r="D1718" s="31" t="s">
        <v>597</v>
      </c>
      <c r="E1718" s="31" t="s">
        <v>598</v>
      </c>
      <c r="F1718" s="31" t="s">
        <v>218</v>
      </c>
      <c r="G1718" s="32">
        <v>128104.64</v>
      </c>
      <c r="H1718" s="33">
        <v>0</v>
      </c>
      <c r="I1718" s="34">
        <v>1</v>
      </c>
      <c r="J1718" s="34">
        <v>128104.64</v>
      </c>
      <c r="K1718" s="31" t="s">
        <v>3151</v>
      </c>
      <c r="L1718" s="31">
        <v>25</v>
      </c>
      <c r="M1718" s="31" t="s">
        <v>4052</v>
      </c>
      <c r="N1718" s="34">
        <v>1</v>
      </c>
      <c r="O1718" s="35">
        <v>0</v>
      </c>
      <c r="P1718" s="35">
        <v>1</v>
      </c>
      <c r="Q1718" s="35">
        <v>0</v>
      </c>
      <c r="R1718" s="36">
        <v>18.11</v>
      </c>
      <c r="S1718" s="37">
        <f>IFERROR(_xlfn.XLOOKUP(R1718,'1_Presupuesto'!$E:$E,'1_Presupuesto'!$D:$D),"")</f>
        <v>0</v>
      </c>
    </row>
    <row r="1719" spans="1:19" x14ac:dyDescent="0.35">
      <c r="A1719" s="31" t="s">
        <v>3157</v>
      </c>
      <c r="B1719" s="31" t="s">
        <v>497</v>
      </c>
      <c r="C1719" s="31" t="s">
        <v>498</v>
      </c>
      <c r="D1719" s="31" t="s">
        <v>3182</v>
      </c>
      <c r="E1719" s="31" t="s">
        <v>3183</v>
      </c>
      <c r="F1719" s="31" t="s">
        <v>261</v>
      </c>
      <c r="G1719" s="32">
        <v>2</v>
      </c>
      <c r="H1719" s="33">
        <v>0</v>
      </c>
      <c r="I1719" s="34">
        <v>5688.7390030904999</v>
      </c>
      <c r="J1719" s="34">
        <v>11377.478006181</v>
      </c>
      <c r="K1719" s="31" t="s">
        <v>3162</v>
      </c>
      <c r="L1719" s="31">
        <v>2</v>
      </c>
      <c r="M1719" s="31" t="s">
        <v>4053</v>
      </c>
      <c r="N1719" s="34">
        <v>1</v>
      </c>
      <c r="O1719" s="35">
        <v>0</v>
      </c>
      <c r="P1719" s="35">
        <v>1</v>
      </c>
      <c r="Q1719" s="35">
        <v>0</v>
      </c>
      <c r="R1719" s="36">
        <v>18.12</v>
      </c>
      <c r="S1719" s="37">
        <f>IFERROR(_xlfn.XLOOKUP(R1719,'1_Presupuesto'!$E:$E,'1_Presupuesto'!$D:$D),"")</f>
        <v>0</v>
      </c>
    </row>
    <row r="1720" spans="1:19" x14ac:dyDescent="0.35">
      <c r="A1720" s="31" t="s">
        <v>3157</v>
      </c>
      <c r="B1720" s="31" t="s">
        <v>497</v>
      </c>
      <c r="C1720" s="31" t="s">
        <v>498</v>
      </c>
      <c r="D1720" s="31" t="s">
        <v>3193</v>
      </c>
      <c r="E1720" s="31" t="s">
        <v>3194</v>
      </c>
      <c r="F1720" s="31" t="s">
        <v>261</v>
      </c>
      <c r="G1720" s="32">
        <v>1</v>
      </c>
      <c r="H1720" s="33">
        <v>0</v>
      </c>
      <c r="I1720" s="34">
        <v>5688.7390030904999</v>
      </c>
      <c r="J1720" s="34">
        <v>5688.7390030904999</v>
      </c>
      <c r="K1720" s="31" t="s">
        <v>3162</v>
      </c>
      <c r="L1720" s="31">
        <v>3</v>
      </c>
      <c r="M1720" s="31" t="s">
        <v>4054</v>
      </c>
      <c r="N1720" s="34">
        <v>1</v>
      </c>
      <c r="O1720" s="35">
        <v>0</v>
      </c>
      <c r="P1720" s="35">
        <v>1</v>
      </c>
      <c r="Q1720" s="35">
        <v>0</v>
      </c>
      <c r="R1720" s="36">
        <v>18.12</v>
      </c>
      <c r="S1720" s="37">
        <f>IFERROR(_xlfn.XLOOKUP(R1720,'1_Presupuesto'!$E:$E,'1_Presupuesto'!$D:$D),"")</f>
        <v>0</v>
      </c>
    </row>
    <row r="1721" spans="1:19" x14ac:dyDescent="0.35">
      <c r="A1721" s="31" t="s">
        <v>3157</v>
      </c>
      <c r="B1721" s="31" t="s">
        <v>497</v>
      </c>
      <c r="C1721" s="31" t="s">
        <v>498</v>
      </c>
      <c r="D1721" s="31" t="s">
        <v>4055</v>
      </c>
      <c r="E1721" s="31" t="s">
        <v>4056</v>
      </c>
      <c r="F1721" s="31" t="s">
        <v>261</v>
      </c>
      <c r="G1721" s="32">
        <v>2</v>
      </c>
      <c r="H1721" s="33">
        <v>0</v>
      </c>
      <c r="I1721" s="34">
        <v>92416.985139936805</v>
      </c>
      <c r="J1721" s="34">
        <v>184833.97027987399</v>
      </c>
      <c r="K1721" s="31" t="s">
        <v>3162</v>
      </c>
      <c r="L1721" s="31">
        <v>4</v>
      </c>
      <c r="M1721" s="31" t="s">
        <v>4057</v>
      </c>
      <c r="N1721" s="34">
        <v>1</v>
      </c>
      <c r="O1721" s="35">
        <v>0</v>
      </c>
      <c r="P1721" s="35">
        <v>1</v>
      </c>
      <c r="Q1721" s="35">
        <v>0</v>
      </c>
      <c r="R1721" s="36">
        <v>18.12</v>
      </c>
      <c r="S1721" s="37">
        <f>IFERROR(_xlfn.XLOOKUP(R1721,'1_Presupuesto'!$E:$E,'1_Presupuesto'!$D:$D),"")</f>
        <v>0</v>
      </c>
    </row>
    <row r="1722" spans="1:19" x14ac:dyDescent="0.35">
      <c r="A1722" s="31" t="s">
        <v>3157</v>
      </c>
      <c r="B1722" s="31" t="s">
        <v>497</v>
      </c>
      <c r="C1722" s="31" t="s">
        <v>498</v>
      </c>
      <c r="D1722" s="31" t="s">
        <v>4058</v>
      </c>
      <c r="E1722" s="31" t="s">
        <v>4059</v>
      </c>
      <c r="F1722" s="31" t="s">
        <v>261</v>
      </c>
      <c r="G1722" s="32">
        <v>1</v>
      </c>
      <c r="H1722" s="33">
        <v>0</v>
      </c>
      <c r="I1722" s="34">
        <v>139000.404928262</v>
      </c>
      <c r="J1722" s="34">
        <v>139000.404928262</v>
      </c>
      <c r="K1722" s="31" t="s">
        <v>3162</v>
      </c>
      <c r="L1722" s="31">
        <v>5</v>
      </c>
      <c r="M1722" s="31" t="s">
        <v>4060</v>
      </c>
      <c r="N1722" s="34">
        <v>1</v>
      </c>
      <c r="O1722" s="35">
        <v>0</v>
      </c>
      <c r="P1722" s="35">
        <v>1</v>
      </c>
      <c r="Q1722" s="35">
        <v>0</v>
      </c>
      <c r="R1722" s="36">
        <v>18.12</v>
      </c>
      <c r="S1722" s="37">
        <f>IFERROR(_xlfn.XLOOKUP(R1722,'1_Presupuesto'!$E:$E,'1_Presupuesto'!$D:$D),"")</f>
        <v>0</v>
      </c>
    </row>
    <row r="1723" spans="1:19" x14ac:dyDescent="0.35">
      <c r="A1723" s="31" t="s">
        <v>3157</v>
      </c>
      <c r="B1723" s="31" t="s">
        <v>497</v>
      </c>
      <c r="C1723" s="31" t="s">
        <v>498</v>
      </c>
      <c r="D1723" s="31" t="s">
        <v>4046</v>
      </c>
      <c r="E1723" s="31" t="s">
        <v>4047</v>
      </c>
      <c r="F1723" s="31" t="s">
        <v>261</v>
      </c>
      <c r="G1723" s="32">
        <v>1</v>
      </c>
      <c r="H1723" s="33">
        <v>0</v>
      </c>
      <c r="I1723" s="34">
        <v>3933.8478069282</v>
      </c>
      <c r="J1723" s="34">
        <v>3933.8478069282</v>
      </c>
      <c r="K1723" s="31" t="s">
        <v>3162</v>
      </c>
      <c r="L1723" s="31">
        <v>6</v>
      </c>
      <c r="M1723" s="31" t="s">
        <v>4061</v>
      </c>
      <c r="N1723" s="34">
        <v>1</v>
      </c>
      <c r="O1723" s="35">
        <v>0</v>
      </c>
      <c r="P1723" s="35">
        <v>1</v>
      </c>
      <c r="Q1723" s="35">
        <v>0</v>
      </c>
      <c r="R1723" s="36">
        <v>18.12</v>
      </c>
      <c r="S1723" s="37">
        <f>IFERROR(_xlfn.XLOOKUP(R1723,'1_Presupuesto'!$E:$E,'1_Presupuesto'!$D:$D),"")</f>
        <v>0</v>
      </c>
    </row>
    <row r="1724" spans="1:19" x14ac:dyDescent="0.35">
      <c r="A1724" s="31" t="s">
        <v>3157</v>
      </c>
      <c r="B1724" s="31" t="s">
        <v>497</v>
      </c>
      <c r="C1724" s="31" t="s">
        <v>498</v>
      </c>
      <c r="D1724" s="31" t="s">
        <v>4062</v>
      </c>
      <c r="E1724" s="31" t="s">
        <v>4063</v>
      </c>
      <c r="F1724" s="31" t="s">
        <v>261</v>
      </c>
      <c r="G1724" s="32">
        <v>1</v>
      </c>
      <c r="H1724" s="33">
        <v>0</v>
      </c>
      <c r="I1724" s="34">
        <v>127056.057496849</v>
      </c>
      <c r="J1724" s="34">
        <v>127056.057496849</v>
      </c>
      <c r="K1724" s="31" t="s">
        <v>3162</v>
      </c>
      <c r="L1724" s="31">
        <v>7</v>
      </c>
      <c r="M1724" s="31" t="s">
        <v>4064</v>
      </c>
      <c r="N1724" s="34">
        <v>1</v>
      </c>
      <c r="O1724" s="35">
        <v>0</v>
      </c>
      <c r="P1724" s="35">
        <v>1</v>
      </c>
      <c r="Q1724" s="35">
        <v>0</v>
      </c>
      <c r="R1724" s="36">
        <v>18.12</v>
      </c>
      <c r="S1724" s="37">
        <f>IFERROR(_xlfn.XLOOKUP(R1724,'1_Presupuesto'!$E:$E,'1_Presupuesto'!$D:$D),"")</f>
        <v>0</v>
      </c>
    </row>
    <row r="1725" spans="1:19" x14ac:dyDescent="0.35">
      <c r="A1725" s="31" t="s">
        <v>3157</v>
      </c>
      <c r="B1725" s="31" t="s">
        <v>497</v>
      </c>
      <c r="C1725" s="31" t="s">
        <v>498</v>
      </c>
      <c r="D1725" s="31" t="s">
        <v>4065</v>
      </c>
      <c r="E1725" s="31" t="s">
        <v>4066</v>
      </c>
      <c r="F1725" s="31" t="s">
        <v>261</v>
      </c>
      <c r="G1725" s="32">
        <v>1</v>
      </c>
      <c r="H1725" s="33">
        <v>0</v>
      </c>
      <c r="I1725" s="34">
        <v>62950.082527207502</v>
      </c>
      <c r="J1725" s="34">
        <v>62950.082527207502</v>
      </c>
      <c r="K1725" s="31" t="s">
        <v>3162</v>
      </c>
      <c r="L1725" s="31">
        <v>8</v>
      </c>
      <c r="M1725" s="31" t="s">
        <v>4067</v>
      </c>
      <c r="N1725" s="34">
        <v>1</v>
      </c>
      <c r="O1725" s="35">
        <v>0</v>
      </c>
      <c r="P1725" s="35">
        <v>1</v>
      </c>
      <c r="Q1725" s="35">
        <v>0</v>
      </c>
      <c r="R1725" s="36">
        <v>18.12</v>
      </c>
      <c r="S1725" s="37">
        <f>IFERROR(_xlfn.XLOOKUP(R1725,'1_Presupuesto'!$E:$E,'1_Presupuesto'!$D:$D),"")</f>
        <v>0</v>
      </c>
    </row>
    <row r="1726" spans="1:19" x14ac:dyDescent="0.35">
      <c r="A1726" s="31" t="s">
        <v>3157</v>
      </c>
      <c r="B1726" s="31" t="s">
        <v>497</v>
      </c>
      <c r="C1726" s="31" t="s">
        <v>498</v>
      </c>
      <c r="D1726" s="31" t="s">
        <v>597</v>
      </c>
      <c r="E1726" s="31" t="s">
        <v>598</v>
      </c>
      <c r="F1726" s="31" t="s">
        <v>218</v>
      </c>
      <c r="G1726" s="32">
        <v>55503.67</v>
      </c>
      <c r="H1726" s="33">
        <v>0</v>
      </c>
      <c r="I1726" s="34">
        <v>1</v>
      </c>
      <c r="J1726" s="34">
        <v>55503.67</v>
      </c>
      <c r="K1726" s="31" t="s">
        <v>3162</v>
      </c>
      <c r="L1726" s="31">
        <v>9</v>
      </c>
      <c r="M1726" s="31" t="s">
        <v>4068</v>
      </c>
      <c r="N1726" s="34">
        <v>1</v>
      </c>
      <c r="O1726" s="35">
        <v>0</v>
      </c>
      <c r="P1726" s="35">
        <v>1</v>
      </c>
      <c r="Q1726" s="35">
        <v>0</v>
      </c>
      <c r="R1726" s="36">
        <v>18.12</v>
      </c>
      <c r="S1726" s="37">
        <f>IFERROR(_xlfn.XLOOKUP(R1726,'1_Presupuesto'!$E:$E,'1_Presupuesto'!$D:$D),"")</f>
        <v>0</v>
      </c>
    </row>
    <row r="1727" spans="1:19" x14ac:dyDescent="0.35">
      <c r="A1727" s="31" t="s">
        <v>3168</v>
      </c>
      <c r="B1727" s="31" t="s">
        <v>497</v>
      </c>
      <c r="C1727" s="31" t="s">
        <v>498</v>
      </c>
      <c r="D1727" s="31" t="s">
        <v>3204</v>
      </c>
      <c r="E1727" s="31" t="s">
        <v>3205</v>
      </c>
      <c r="F1727" s="31" t="s">
        <v>261</v>
      </c>
      <c r="G1727" s="32">
        <v>1</v>
      </c>
      <c r="H1727" s="33">
        <v>0</v>
      </c>
      <c r="I1727" s="34">
        <v>38605.985559603403</v>
      </c>
      <c r="J1727" s="34">
        <v>38605.985559603403</v>
      </c>
      <c r="K1727" s="31" t="s">
        <v>3173</v>
      </c>
      <c r="L1727" s="31">
        <v>2</v>
      </c>
      <c r="M1727" s="31" t="s">
        <v>4069</v>
      </c>
      <c r="N1727" s="34">
        <v>1</v>
      </c>
      <c r="O1727" s="35">
        <v>0</v>
      </c>
      <c r="P1727" s="35">
        <v>1</v>
      </c>
      <c r="Q1727" s="35">
        <v>0</v>
      </c>
      <c r="R1727" s="36">
        <v>18.13</v>
      </c>
      <c r="S1727" s="37">
        <f>IFERROR(_xlfn.XLOOKUP(R1727,'1_Presupuesto'!$E:$E,'1_Presupuesto'!$D:$D),"")</f>
        <v>0</v>
      </c>
    </row>
    <row r="1728" spans="1:19" x14ac:dyDescent="0.35">
      <c r="A1728" s="31" t="s">
        <v>3168</v>
      </c>
      <c r="B1728" s="31" t="s">
        <v>497</v>
      </c>
      <c r="C1728" s="31" t="s">
        <v>498</v>
      </c>
      <c r="D1728" s="31" t="s">
        <v>4046</v>
      </c>
      <c r="E1728" s="31" t="s">
        <v>4047</v>
      </c>
      <c r="F1728" s="31" t="s">
        <v>261</v>
      </c>
      <c r="G1728" s="32">
        <v>3</v>
      </c>
      <c r="H1728" s="33">
        <v>0</v>
      </c>
      <c r="I1728" s="34">
        <v>3933.8478069282</v>
      </c>
      <c r="J1728" s="34">
        <v>11801.543420784599</v>
      </c>
      <c r="K1728" s="31" t="s">
        <v>3173</v>
      </c>
      <c r="L1728" s="31">
        <v>3</v>
      </c>
      <c r="M1728" s="31" t="s">
        <v>4070</v>
      </c>
      <c r="N1728" s="34">
        <v>1</v>
      </c>
      <c r="O1728" s="35">
        <v>0</v>
      </c>
      <c r="P1728" s="35">
        <v>1</v>
      </c>
      <c r="Q1728" s="35">
        <v>0</v>
      </c>
      <c r="R1728" s="36">
        <v>18.13</v>
      </c>
      <c r="S1728" s="37">
        <f>IFERROR(_xlfn.XLOOKUP(R1728,'1_Presupuesto'!$E:$E,'1_Presupuesto'!$D:$D),"")</f>
        <v>0</v>
      </c>
    </row>
    <row r="1729" spans="1:19" x14ac:dyDescent="0.35">
      <c r="A1729" s="31" t="s">
        <v>3168</v>
      </c>
      <c r="B1729" s="31" t="s">
        <v>497</v>
      </c>
      <c r="C1729" s="31" t="s">
        <v>498</v>
      </c>
      <c r="D1729" s="31" t="s">
        <v>4062</v>
      </c>
      <c r="E1729" s="31" t="s">
        <v>4063</v>
      </c>
      <c r="F1729" s="31" t="s">
        <v>261</v>
      </c>
      <c r="G1729" s="32">
        <v>1</v>
      </c>
      <c r="H1729" s="33">
        <v>0</v>
      </c>
      <c r="I1729" s="34">
        <v>127056.057496849</v>
      </c>
      <c r="J1729" s="34">
        <v>127056.057496849</v>
      </c>
      <c r="K1729" s="31" t="s">
        <v>3173</v>
      </c>
      <c r="L1729" s="31">
        <v>4</v>
      </c>
      <c r="M1729" s="31" t="s">
        <v>4071</v>
      </c>
      <c r="N1729" s="34">
        <v>1</v>
      </c>
      <c r="O1729" s="35">
        <v>0</v>
      </c>
      <c r="P1729" s="35">
        <v>1</v>
      </c>
      <c r="Q1729" s="35">
        <v>0</v>
      </c>
      <c r="R1729" s="36">
        <v>18.13</v>
      </c>
      <c r="S1729" s="37">
        <f>IFERROR(_xlfn.XLOOKUP(R1729,'1_Presupuesto'!$E:$E,'1_Presupuesto'!$D:$D),"")</f>
        <v>0</v>
      </c>
    </row>
    <row r="1730" spans="1:19" x14ac:dyDescent="0.35">
      <c r="A1730" s="31" t="s">
        <v>3168</v>
      </c>
      <c r="B1730" s="31" t="s">
        <v>497</v>
      </c>
      <c r="C1730" s="31" t="s">
        <v>498</v>
      </c>
      <c r="D1730" s="31" t="s">
        <v>4065</v>
      </c>
      <c r="E1730" s="31" t="s">
        <v>4066</v>
      </c>
      <c r="F1730" s="31" t="s">
        <v>261</v>
      </c>
      <c r="G1730" s="32">
        <v>1</v>
      </c>
      <c r="H1730" s="33">
        <v>0</v>
      </c>
      <c r="I1730" s="34">
        <v>62950.082527207502</v>
      </c>
      <c r="J1730" s="34">
        <v>62950.082527207502</v>
      </c>
      <c r="K1730" s="31" t="s">
        <v>3173</v>
      </c>
      <c r="L1730" s="31">
        <v>5</v>
      </c>
      <c r="M1730" s="31" t="s">
        <v>4072</v>
      </c>
      <c r="N1730" s="34">
        <v>1</v>
      </c>
      <c r="O1730" s="35">
        <v>0</v>
      </c>
      <c r="P1730" s="35">
        <v>1</v>
      </c>
      <c r="Q1730" s="35">
        <v>0</v>
      </c>
      <c r="R1730" s="36">
        <v>18.13</v>
      </c>
      <c r="S1730" s="37">
        <f>IFERROR(_xlfn.XLOOKUP(R1730,'1_Presupuesto'!$E:$E,'1_Presupuesto'!$D:$D),"")</f>
        <v>0</v>
      </c>
    </row>
    <row r="1731" spans="1:19" x14ac:dyDescent="0.35">
      <c r="A1731" s="31" t="s">
        <v>3168</v>
      </c>
      <c r="B1731" s="31" t="s">
        <v>497</v>
      </c>
      <c r="C1731" s="31" t="s">
        <v>498</v>
      </c>
      <c r="D1731" s="31" t="s">
        <v>597</v>
      </c>
      <c r="E1731" s="31" t="s">
        <v>598</v>
      </c>
      <c r="F1731" s="31" t="s">
        <v>218</v>
      </c>
      <c r="G1731" s="32">
        <v>26443.64</v>
      </c>
      <c r="H1731" s="33">
        <v>0</v>
      </c>
      <c r="I1731" s="34">
        <v>1</v>
      </c>
      <c r="J1731" s="34">
        <v>26443.64</v>
      </c>
      <c r="K1731" s="31" t="s">
        <v>3173</v>
      </c>
      <c r="L1731" s="31">
        <v>6</v>
      </c>
      <c r="M1731" s="31" t="s">
        <v>4073</v>
      </c>
      <c r="N1731" s="34">
        <v>1</v>
      </c>
      <c r="O1731" s="35">
        <v>0</v>
      </c>
      <c r="P1731" s="35">
        <v>1</v>
      </c>
      <c r="Q1731" s="35">
        <v>0</v>
      </c>
      <c r="R1731" s="36">
        <v>18.13</v>
      </c>
      <c r="S1731" s="37">
        <f>IFERROR(_xlfn.XLOOKUP(R1731,'1_Presupuesto'!$E:$E,'1_Presupuesto'!$D:$D),"")</f>
        <v>0</v>
      </c>
    </row>
    <row r="1732" spans="1:19" x14ac:dyDescent="0.35">
      <c r="A1732" s="31" t="s">
        <v>3179</v>
      </c>
      <c r="B1732" s="31" t="s">
        <v>497</v>
      </c>
      <c r="C1732" s="31" t="s">
        <v>498</v>
      </c>
      <c r="D1732" s="31" t="s">
        <v>3193</v>
      </c>
      <c r="E1732" s="31" t="s">
        <v>3194</v>
      </c>
      <c r="F1732" s="31" t="s">
        <v>261</v>
      </c>
      <c r="G1732" s="32">
        <v>1</v>
      </c>
      <c r="H1732" s="33">
        <v>0</v>
      </c>
      <c r="I1732" s="34">
        <v>5688.7390030904999</v>
      </c>
      <c r="J1732" s="34">
        <v>5688.7390030904999</v>
      </c>
      <c r="K1732" s="31" t="s">
        <v>3184</v>
      </c>
      <c r="L1732" s="31">
        <v>2</v>
      </c>
      <c r="M1732" s="31" t="s">
        <v>4074</v>
      </c>
      <c r="N1732" s="34">
        <v>1</v>
      </c>
      <c r="O1732" s="35">
        <v>0</v>
      </c>
      <c r="P1732" s="35">
        <v>1</v>
      </c>
      <c r="Q1732" s="35">
        <v>0</v>
      </c>
      <c r="R1732" s="36">
        <v>18.14</v>
      </c>
      <c r="S1732" s="37">
        <f>IFERROR(_xlfn.XLOOKUP(R1732,'1_Presupuesto'!$E:$E,'1_Presupuesto'!$D:$D),"")</f>
        <v>0</v>
      </c>
    </row>
    <row r="1733" spans="1:19" x14ac:dyDescent="0.35">
      <c r="A1733" s="31" t="s">
        <v>3179</v>
      </c>
      <c r="B1733" s="31" t="s">
        <v>497</v>
      </c>
      <c r="C1733" s="31" t="s">
        <v>498</v>
      </c>
      <c r="D1733" s="31" t="s">
        <v>3149</v>
      </c>
      <c r="E1733" s="31" t="s">
        <v>3150</v>
      </c>
      <c r="F1733" s="31" t="s">
        <v>261</v>
      </c>
      <c r="G1733" s="32">
        <v>1</v>
      </c>
      <c r="H1733" s="33">
        <v>0</v>
      </c>
      <c r="I1733" s="34">
        <v>20196.092406751999</v>
      </c>
      <c r="J1733" s="34">
        <v>20196.092406751999</v>
      </c>
      <c r="K1733" s="31" t="s">
        <v>3184</v>
      </c>
      <c r="L1733" s="31">
        <v>3</v>
      </c>
      <c r="M1733" s="31" t="s">
        <v>4075</v>
      </c>
      <c r="N1733" s="34">
        <v>1</v>
      </c>
      <c r="O1733" s="35">
        <v>0</v>
      </c>
      <c r="P1733" s="35">
        <v>1</v>
      </c>
      <c r="Q1733" s="35">
        <v>0</v>
      </c>
      <c r="R1733" s="36">
        <v>18.14</v>
      </c>
      <c r="S1733" s="37">
        <f>IFERROR(_xlfn.XLOOKUP(R1733,'1_Presupuesto'!$E:$E,'1_Presupuesto'!$D:$D),"")</f>
        <v>0</v>
      </c>
    </row>
    <row r="1734" spans="1:19" x14ac:dyDescent="0.35">
      <c r="A1734" s="31" t="s">
        <v>3179</v>
      </c>
      <c r="B1734" s="31" t="s">
        <v>497</v>
      </c>
      <c r="C1734" s="31" t="s">
        <v>498</v>
      </c>
      <c r="D1734" s="31" t="s">
        <v>4046</v>
      </c>
      <c r="E1734" s="31" t="s">
        <v>4047</v>
      </c>
      <c r="F1734" s="31" t="s">
        <v>261</v>
      </c>
      <c r="G1734" s="32">
        <v>1</v>
      </c>
      <c r="H1734" s="33">
        <v>0</v>
      </c>
      <c r="I1734" s="34">
        <v>3933.8478069282</v>
      </c>
      <c r="J1734" s="34">
        <v>3933.8478069282</v>
      </c>
      <c r="K1734" s="31" t="s">
        <v>3184</v>
      </c>
      <c r="L1734" s="31">
        <v>4</v>
      </c>
      <c r="M1734" s="31" t="s">
        <v>4076</v>
      </c>
      <c r="N1734" s="34">
        <v>1</v>
      </c>
      <c r="O1734" s="35">
        <v>0</v>
      </c>
      <c r="P1734" s="35">
        <v>1</v>
      </c>
      <c r="Q1734" s="35">
        <v>0</v>
      </c>
      <c r="R1734" s="36">
        <v>18.14</v>
      </c>
      <c r="S1734" s="37">
        <f>IFERROR(_xlfn.XLOOKUP(R1734,'1_Presupuesto'!$E:$E,'1_Presupuesto'!$D:$D),"")</f>
        <v>0</v>
      </c>
    </row>
    <row r="1735" spans="1:19" x14ac:dyDescent="0.35">
      <c r="A1735" s="31" t="s">
        <v>3179</v>
      </c>
      <c r="B1735" s="31" t="s">
        <v>497</v>
      </c>
      <c r="C1735" s="31" t="s">
        <v>498</v>
      </c>
      <c r="D1735" s="31" t="s">
        <v>4055</v>
      </c>
      <c r="E1735" s="31" t="s">
        <v>4056</v>
      </c>
      <c r="F1735" s="31" t="s">
        <v>261</v>
      </c>
      <c r="G1735" s="32">
        <v>2</v>
      </c>
      <c r="H1735" s="33">
        <v>0</v>
      </c>
      <c r="I1735" s="34">
        <v>92416.985139936805</v>
      </c>
      <c r="J1735" s="34">
        <v>184833.97027987399</v>
      </c>
      <c r="K1735" s="31" t="s">
        <v>3184</v>
      </c>
      <c r="L1735" s="31">
        <v>5</v>
      </c>
      <c r="M1735" s="31" t="s">
        <v>4077</v>
      </c>
      <c r="N1735" s="34">
        <v>1</v>
      </c>
      <c r="O1735" s="35">
        <v>0</v>
      </c>
      <c r="P1735" s="35">
        <v>1</v>
      </c>
      <c r="Q1735" s="35">
        <v>0</v>
      </c>
      <c r="R1735" s="36">
        <v>18.14</v>
      </c>
      <c r="S1735" s="37">
        <f>IFERROR(_xlfn.XLOOKUP(R1735,'1_Presupuesto'!$E:$E,'1_Presupuesto'!$D:$D),"")</f>
        <v>0</v>
      </c>
    </row>
    <row r="1736" spans="1:19" x14ac:dyDescent="0.35">
      <c r="A1736" s="31" t="s">
        <v>3179</v>
      </c>
      <c r="B1736" s="31" t="s">
        <v>497</v>
      </c>
      <c r="C1736" s="31" t="s">
        <v>498</v>
      </c>
      <c r="D1736" s="31" t="s">
        <v>4058</v>
      </c>
      <c r="E1736" s="31" t="s">
        <v>4059</v>
      </c>
      <c r="F1736" s="31" t="s">
        <v>261</v>
      </c>
      <c r="G1736" s="32">
        <v>1</v>
      </c>
      <c r="H1736" s="33">
        <v>0</v>
      </c>
      <c r="I1736" s="34">
        <v>139000.404928262</v>
      </c>
      <c r="J1736" s="34">
        <v>139000.404928262</v>
      </c>
      <c r="K1736" s="31" t="s">
        <v>3184</v>
      </c>
      <c r="L1736" s="31">
        <v>6</v>
      </c>
      <c r="M1736" s="31" t="s">
        <v>4078</v>
      </c>
      <c r="N1736" s="34">
        <v>1</v>
      </c>
      <c r="O1736" s="35">
        <v>0</v>
      </c>
      <c r="P1736" s="35">
        <v>1</v>
      </c>
      <c r="Q1736" s="35">
        <v>0</v>
      </c>
      <c r="R1736" s="36">
        <v>18.14</v>
      </c>
      <c r="S1736" s="37">
        <f>IFERROR(_xlfn.XLOOKUP(R1736,'1_Presupuesto'!$E:$E,'1_Presupuesto'!$D:$D),"")</f>
        <v>0</v>
      </c>
    </row>
    <row r="1737" spans="1:19" x14ac:dyDescent="0.35">
      <c r="A1737" s="31" t="s">
        <v>3179</v>
      </c>
      <c r="B1737" s="31" t="s">
        <v>497</v>
      </c>
      <c r="C1737" s="31" t="s">
        <v>498</v>
      </c>
      <c r="D1737" s="31" t="s">
        <v>4079</v>
      </c>
      <c r="E1737" s="31" t="s">
        <v>4080</v>
      </c>
      <c r="F1737" s="31" t="s">
        <v>261</v>
      </c>
      <c r="G1737" s="32">
        <v>1</v>
      </c>
      <c r="H1737" s="33">
        <v>0</v>
      </c>
      <c r="I1737" s="34">
        <v>55782.002183278899</v>
      </c>
      <c r="J1737" s="34">
        <v>55782.002183278899</v>
      </c>
      <c r="K1737" s="31" t="s">
        <v>3184</v>
      </c>
      <c r="L1737" s="31">
        <v>7</v>
      </c>
      <c r="M1737" s="31" t="s">
        <v>4081</v>
      </c>
      <c r="N1737" s="34">
        <v>1</v>
      </c>
      <c r="O1737" s="35">
        <v>0</v>
      </c>
      <c r="P1737" s="35">
        <v>1</v>
      </c>
      <c r="Q1737" s="35">
        <v>0</v>
      </c>
      <c r="R1737" s="36">
        <v>18.14</v>
      </c>
      <c r="S1737" s="37">
        <f>IFERROR(_xlfn.XLOOKUP(R1737,'1_Presupuesto'!$E:$E,'1_Presupuesto'!$D:$D),"")</f>
        <v>0</v>
      </c>
    </row>
    <row r="1738" spans="1:19" x14ac:dyDescent="0.35">
      <c r="A1738" s="31" t="s">
        <v>3179</v>
      </c>
      <c r="B1738" s="31" t="s">
        <v>497</v>
      </c>
      <c r="C1738" s="31" t="s">
        <v>498</v>
      </c>
      <c r="D1738" s="31" t="s">
        <v>4082</v>
      </c>
      <c r="E1738" s="31" t="s">
        <v>4083</v>
      </c>
      <c r="F1738" s="31" t="s">
        <v>261</v>
      </c>
      <c r="G1738" s="32">
        <v>1</v>
      </c>
      <c r="H1738" s="33">
        <v>0</v>
      </c>
      <c r="I1738" s="34">
        <v>36421.710251443103</v>
      </c>
      <c r="J1738" s="34">
        <v>36421.710251443103</v>
      </c>
      <c r="K1738" s="31" t="s">
        <v>3184</v>
      </c>
      <c r="L1738" s="31">
        <v>8</v>
      </c>
      <c r="M1738" s="31" t="s">
        <v>4084</v>
      </c>
      <c r="N1738" s="34">
        <v>1</v>
      </c>
      <c r="O1738" s="35">
        <v>0</v>
      </c>
      <c r="P1738" s="35">
        <v>1</v>
      </c>
      <c r="Q1738" s="35">
        <v>0</v>
      </c>
      <c r="R1738" s="36">
        <v>18.14</v>
      </c>
      <c r="S1738" s="37">
        <f>IFERROR(_xlfn.XLOOKUP(R1738,'1_Presupuesto'!$E:$E,'1_Presupuesto'!$D:$D),"")</f>
        <v>0</v>
      </c>
    </row>
    <row r="1739" spans="1:19" x14ac:dyDescent="0.35">
      <c r="A1739" s="31" t="s">
        <v>3179</v>
      </c>
      <c r="B1739" s="31" t="s">
        <v>497</v>
      </c>
      <c r="C1739" s="31" t="s">
        <v>498</v>
      </c>
      <c r="D1739" s="31" t="s">
        <v>597</v>
      </c>
      <c r="E1739" s="31" t="s">
        <v>598</v>
      </c>
      <c r="F1739" s="31" t="s">
        <v>218</v>
      </c>
      <c r="G1739" s="32">
        <v>45723.42</v>
      </c>
      <c r="H1739" s="33">
        <v>0</v>
      </c>
      <c r="I1739" s="34">
        <v>1</v>
      </c>
      <c r="J1739" s="34">
        <v>45723.42</v>
      </c>
      <c r="K1739" s="31" t="s">
        <v>3184</v>
      </c>
      <c r="L1739" s="31">
        <v>9</v>
      </c>
      <c r="M1739" s="31" t="s">
        <v>4085</v>
      </c>
      <c r="N1739" s="34">
        <v>1</v>
      </c>
      <c r="O1739" s="35">
        <v>0</v>
      </c>
      <c r="P1739" s="35">
        <v>1</v>
      </c>
      <c r="Q1739" s="35">
        <v>0</v>
      </c>
      <c r="R1739" s="36">
        <v>18.14</v>
      </c>
      <c r="S1739" s="37">
        <f>IFERROR(_xlfn.XLOOKUP(R1739,'1_Presupuesto'!$E:$E,'1_Presupuesto'!$D:$D),"")</f>
        <v>0</v>
      </c>
    </row>
    <row r="1740" spans="1:19" x14ac:dyDescent="0.35">
      <c r="A1740" s="31" t="s">
        <v>3190</v>
      </c>
      <c r="B1740" s="31" t="s">
        <v>497</v>
      </c>
      <c r="C1740" s="31" t="s">
        <v>498</v>
      </c>
      <c r="D1740" s="31" t="s">
        <v>3182</v>
      </c>
      <c r="E1740" s="31" t="s">
        <v>3183</v>
      </c>
      <c r="F1740" s="31" t="s">
        <v>261</v>
      </c>
      <c r="G1740" s="32">
        <v>1</v>
      </c>
      <c r="H1740" s="33">
        <v>0</v>
      </c>
      <c r="I1740" s="34">
        <v>5688.7390030904999</v>
      </c>
      <c r="J1740" s="34">
        <v>5688.7390030904999</v>
      </c>
      <c r="K1740" s="31" t="s">
        <v>3195</v>
      </c>
      <c r="L1740" s="31">
        <v>2</v>
      </c>
      <c r="M1740" s="31" t="s">
        <v>4086</v>
      </c>
      <c r="N1740" s="34">
        <v>1</v>
      </c>
      <c r="O1740" s="35">
        <v>0</v>
      </c>
      <c r="P1740" s="35">
        <v>11</v>
      </c>
      <c r="Q1740" s="35">
        <v>0</v>
      </c>
      <c r="R1740" s="36">
        <v>18.149999999999999</v>
      </c>
      <c r="S1740" s="37">
        <f>IFERROR(_xlfn.XLOOKUP(R1740,'1_Presupuesto'!$E:$E,'1_Presupuesto'!$D:$D),"")</f>
        <v>0</v>
      </c>
    </row>
    <row r="1741" spans="1:19" x14ac:dyDescent="0.35">
      <c r="A1741" s="31" t="s">
        <v>3190</v>
      </c>
      <c r="B1741" s="31" t="s">
        <v>497</v>
      </c>
      <c r="C1741" s="31" t="s">
        <v>498</v>
      </c>
      <c r="D1741" s="31" t="s">
        <v>3182</v>
      </c>
      <c r="E1741" s="31" t="s">
        <v>3183</v>
      </c>
      <c r="F1741" s="31" t="s">
        <v>261</v>
      </c>
      <c r="G1741" s="32">
        <v>4</v>
      </c>
      <c r="H1741" s="33">
        <v>0</v>
      </c>
      <c r="I1741" s="34">
        <v>5688.7390030904999</v>
      </c>
      <c r="J1741" s="34">
        <v>22754.956012361999</v>
      </c>
      <c r="K1741" s="31" t="s">
        <v>3195</v>
      </c>
      <c r="L1741" s="31">
        <v>3</v>
      </c>
      <c r="M1741" s="31" t="s">
        <v>4087</v>
      </c>
      <c r="N1741" s="34">
        <v>1</v>
      </c>
      <c r="O1741" s="35">
        <v>0</v>
      </c>
      <c r="P1741" s="35">
        <v>11</v>
      </c>
      <c r="Q1741" s="35">
        <v>0</v>
      </c>
      <c r="R1741" s="36">
        <v>18.149999999999999</v>
      </c>
      <c r="S1741" s="37">
        <f>IFERROR(_xlfn.XLOOKUP(R1741,'1_Presupuesto'!$E:$E,'1_Presupuesto'!$D:$D),"")</f>
        <v>0</v>
      </c>
    </row>
    <row r="1742" spans="1:19" x14ac:dyDescent="0.35">
      <c r="A1742" s="31" t="s">
        <v>3190</v>
      </c>
      <c r="B1742" s="31" t="s">
        <v>497</v>
      </c>
      <c r="C1742" s="31" t="s">
        <v>498</v>
      </c>
      <c r="D1742" s="31" t="s">
        <v>3149</v>
      </c>
      <c r="E1742" s="31" t="s">
        <v>3150</v>
      </c>
      <c r="F1742" s="31" t="s">
        <v>261</v>
      </c>
      <c r="G1742" s="32">
        <v>1</v>
      </c>
      <c r="H1742" s="33">
        <v>0</v>
      </c>
      <c r="I1742" s="34">
        <v>20196.092406751999</v>
      </c>
      <c r="J1742" s="34">
        <v>20196.092406751999</v>
      </c>
      <c r="K1742" s="31" t="s">
        <v>3195</v>
      </c>
      <c r="L1742" s="31">
        <v>4</v>
      </c>
      <c r="M1742" s="31" t="s">
        <v>4088</v>
      </c>
      <c r="N1742" s="34">
        <v>1</v>
      </c>
      <c r="O1742" s="35">
        <v>0</v>
      </c>
      <c r="P1742" s="35">
        <v>11</v>
      </c>
      <c r="Q1742" s="35">
        <v>0</v>
      </c>
      <c r="R1742" s="36">
        <v>18.149999999999999</v>
      </c>
      <c r="S1742" s="37">
        <f>IFERROR(_xlfn.XLOOKUP(R1742,'1_Presupuesto'!$E:$E,'1_Presupuesto'!$D:$D),"")</f>
        <v>0</v>
      </c>
    </row>
    <row r="1743" spans="1:19" x14ac:dyDescent="0.35">
      <c r="A1743" s="31" t="s">
        <v>3190</v>
      </c>
      <c r="B1743" s="31" t="s">
        <v>497</v>
      </c>
      <c r="C1743" s="31" t="s">
        <v>498</v>
      </c>
      <c r="D1743" s="31" t="s">
        <v>3149</v>
      </c>
      <c r="E1743" s="31" t="s">
        <v>3150</v>
      </c>
      <c r="F1743" s="31" t="s">
        <v>261</v>
      </c>
      <c r="G1743" s="32">
        <v>2</v>
      </c>
      <c r="H1743" s="33">
        <v>0</v>
      </c>
      <c r="I1743" s="34">
        <v>20196.092406751999</v>
      </c>
      <c r="J1743" s="34">
        <v>40392.184813503998</v>
      </c>
      <c r="K1743" s="31" t="s">
        <v>3195</v>
      </c>
      <c r="L1743" s="31">
        <v>5</v>
      </c>
      <c r="M1743" s="31" t="s">
        <v>4089</v>
      </c>
      <c r="N1743" s="34">
        <v>1</v>
      </c>
      <c r="O1743" s="35">
        <v>0</v>
      </c>
      <c r="P1743" s="35">
        <v>11</v>
      </c>
      <c r="Q1743" s="35">
        <v>0</v>
      </c>
      <c r="R1743" s="36">
        <v>18.149999999999999</v>
      </c>
      <c r="S1743" s="37">
        <f>IFERROR(_xlfn.XLOOKUP(R1743,'1_Presupuesto'!$E:$E,'1_Presupuesto'!$D:$D),"")</f>
        <v>0</v>
      </c>
    </row>
    <row r="1744" spans="1:19" x14ac:dyDescent="0.35">
      <c r="A1744" s="31" t="s">
        <v>3190</v>
      </c>
      <c r="B1744" s="31" t="s">
        <v>497</v>
      </c>
      <c r="C1744" s="31" t="s">
        <v>498</v>
      </c>
      <c r="D1744" s="31" t="s">
        <v>4090</v>
      </c>
      <c r="E1744" s="31" t="s">
        <v>4091</v>
      </c>
      <c r="F1744" s="31" t="s">
        <v>261</v>
      </c>
      <c r="G1744" s="32">
        <v>1</v>
      </c>
      <c r="H1744" s="33">
        <v>0</v>
      </c>
      <c r="I1744" s="34">
        <v>29395.083658672698</v>
      </c>
      <c r="J1744" s="34">
        <v>29395.083658672698</v>
      </c>
      <c r="K1744" s="31" t="s">
        <v>3195</v>
      </c>
      <c r="L1744" s="31">
        <v>6</v>
      </c>
      <c r="M1744" s="31" t="s">
        <v>4092</v>
      </c>
      <c r="N1744" s="34">
        <v>1</v>
      </c>
      <c r="O1744" s="35">
        <v>0</v>
      </c>
      <c r="P1744" s="35">
        <v>11</v>
      </c>
      <c r="Q1744" s="35">
        <v>0</v>
      </c>
      <c r="R1744" s="36">
        <v>18.149999999999999</v>
      </c>
      <c r="S1744" s="37">
        <f>IFERROR(_xlfn.XLOOKUP(R1744,'1_Presupuesto'!$E:$E,'1_Presupuesto'!$D:$D),"")</f>
        <v>0</v>
      </c>
    </row>
    <row r="1745" spans="1:19" x14ac:dyDescent="0.35">
      <c r="A1745" s="31" t="s">
        <v>3190</v>
      </c>
      <c r="B1745" s="31" t="s">
        <v>497</v>
      </c>
      <c r="C1745" s="31" t="s">
        <v>498</v>
      </c>
      <c r="D1745" s="31" t="s">
        <v>597</v>
      </c>
      <c r="E1745" s="31" t="s">
        <v>598</v>
      </c>
      <c r="F1745" s="31" t="s">
        <v>218</v>
      </c>
      <c r="G1745" s="32">
        <v>12411.58</v>
      </c>
      <c r="H1745" s="33">
        <v>0</v>
      </c>
      <c r="I1745" s="34">
        <v>1</v>
      </c>
      <c r="J1745" s="34">
        <v>12411.58</v>
      </c>
      <c r="K1745" s="31" t="s">
        <v>3195</v>
      </c>
      <c r="L1745" s="31">
        <v>7</v>
      </c>
      <c r="M1745" s="31" t="s">
        <v>4093</v>
      </c>
      <c r="N1745" s="34">
        <v>1</v>
      </c>
      <c r="O1745" s="35">
        <v>0</v>
      </c>
      <c r="P1745" s="35">
        <v>11</v>
      </c>
      <c r="Q1745" s="35">
        <v>0</v>
      </c>
      <c r="R1745" s="36">
        <v>18.149999999999999</v>
      </c>
      <c r="S1745" s="37">
        <f>IFERROR(_xlfn.XLOOKUP(R1745,'1_Presupuesto'!$E:$E,'1_Presupuesto'!$D:$D),"")</f>
        <v>0</v>
      </c>
    </row>
    <row r="1746" spans="1:19" x14ac:dyDescent="0.35">
      <c r="A1746" s="31" t="s">
        <v>3201</v>
      </c>
      <c r="B1746" s="31" t="s">
        <v>497</v>
      </c>
      <c r="C1746" s="31" t="s">
        <v>498</v>
      </c>
      <c r="D1746" s="31" t="s">
        <v>3149</v>
      </c>
      <c r="E1746" s="31" t="s">
        <v>3150</v>
      </c>
      <c r="F1746" s="31" t="s">
        <v>261</v>
      </c>
      <c r="G1746" s="32">
        <v>3</v>
      </c>
      <c r="H1746" s="33">
        <v>0</v>
      </c>
      <c r="I1746" s="34">
        <v>20196.092406751999</v>
      </c>
      <c r="J1746" s="34">
        <v>60588.277220256001</v>
      </c>
      <c r="K1746" s="31" t="s">
        <v>3206</v>
      </c>
      <c r="L1746" s="31">
        <v>2</v>
      </c>
      <c r="M1746" s="31" t="s">
        <v>4094</v>
      </c>
      <c r="N1746" s="34">
        <v>1</v>
      </c>
      <c r="O1746" s="35">
        <v>0</v>
      </c>
      <c r="P1746" s="35">
        <v>14</v>
      </c>
      <c r="Q1746" s="35">
        <v>0</v>
      </c>
      <c r="R1746" s="36">
        <v>18.16</v>
      </c>
      <c r="S1746" s="37">
        <f>IFERROR(_xlfn.XLOOKUP(R1746,'1_Presupuesto'!$E:$E,'1_Presupuesto'!$D:$D),"")</f>
        <v>0</v>
      </c>
    </row>
    <row r="1747" spans="1:19" x14ac:dyDescent="0.35">
      <c r="A1747" s="31" t="s">
        <v>3201</v>
      </c>
      <c r="B1747" s="31" t="s">
        <v>497</v>
      </c>
      <c r="C1747" s="31" t="s">
        <v>498</v>
      </c>
      <c r="D1747" s="31" t="s">
        <v>4095</v>
      </c>
      <c r="E1747" s="31" t="s">
        <v>4096</v>
      </c>
      <c r="F1747" s="31" t="s">
        <v>261</v>
      </c>
      <c r="G1747" s="32">
        <v>1</v>
      </c>
      <c r="H1747" s="33">
        <v>0</v>
      </c>
      <c r="I1747" s="34">
        <v>12011.3461770173</v>
      </c>
      <c r="J1747" s="34">
        <v>12011.3461770173</v>
      </c>
      <c r="K1747" s="31" t="s">
        <v>3206</v>
      </c>
      <c r="L1747" s="31">
        <v>3</v>
      </c>
      <c r="M1747" s="31" t="s">
        <v>4097</v>
      </c>
      <c r="N1747" s="34">
        <v>1</v>
      </c>
      <c r="O1747" s="35">
        <v>0</v>
      </c>
      <c r="P1747" s="35">
        <v>14</v>
      </c>
      <c r="Q1747" s="35">
        <v>0</v>
      </c>
      <c r="R1747" s="36">
        <v>18.16</v>
      </c>
      <c r="S1747" s="37">
        <f>IFERROR(_xlfn.XLOOKUP(R1747,'1_Presupuesto'!$E:$E,'1_Presupuesto'!$D:$D),"")</f>
        <v>0</v>
      </c>
    </row>
    <row r="1748" spans="1:19" x14ac:dyDescent="0.35">
      <c r="A1748" s="31" t="s">
        <v>3201</v>
      </c>
      <c r="B1748" s="31" t="s">
        <v>497</v>
      </c>
      <c r="C1748" s="31" t="s">
        <v>498</v>
      </c>
      <c r="D1748" s="31" t="s">
        <v>3182</v>
      </c>
      <c r="E1748" s="31" t="s">
        <v>3183</v>
      </c>
      <c r="F1748" s="31" t="s">
        <v>261</v>
      </c>
      <c r="G1748" s="32">
        <v>2</v>
      </c>
      <c r="H1748" s="33">
        <v>0</v>
      </c>
      <c r="I1748" s="34">
        <v>5688.7390030904999</v>
      </c>
      <c r="J1748" s="34">
        <v>11377.478006181</v>
      </c>
      <c r="K1748" s="31" t="s">
        <v>3206</v>
      </c>
      <c r="L1748" s="31">
        <v>4</v>
      </c>
      <c r="M1748" s="31" t="s">
        <v>4098</v>
      </c>
      <c r="N1748" s="34">
        <v>1</v>
      </c>
      <c r="O1748" s="35">
        <v>0</v>
      </c>
      <c r="P1748" s="35">
        <v>14</v>
      </c>
      <c r="Q1748" s="35">
        <v>0</v>
      </c>
      <c r="R1748" s="36">
        <v>18.16</v>
      </c>
      <c r="S1748" s="37">
        <f>IFERROR(_xlfn.XLOOKUP(R1748,'1_Presupuesto'!$E:$E,'1_Presupuesto'!$D:$D),"")</f>
        <v>0</v>
      </c>
    </row>
    <row r="1749" spans="1:19" x14ac:dyDescent="0.35">
      <c r="A1749" s="31" t="s">
        <v>3201</v>
      </c>
      <c r="B1749" s="31" t="s">
        <v>497</v>
      </c>
      <c r="C1749" s="31" t="s">
        <v>498</v>
      </c>
      <c r="D1749" s="31" t="s">
        <v>3193</v>
      </c>
      <c r="E1749" s="31" t="s">
        <v>3194</v>
      </c>
      <c r="F1749" s="31" t="s">
        <v>261</v>
      </c>
      <c r="G1749" s="32">
        <v>2</v>
      </c>
      <c r="H1749" s="33">
        <v>0</v>
      </c>
      <c r="I1749" s="34">
        <v>5688.7390030904999</v>
      </c>
      <c r="J1749" s="34">
        <v>11377.478006181</v>
      </c>
      <c r="K1749" s="31" t="s">
        <v>3206</v>
      </c>
      <c r="L1749" s="31">
        <v>5</v>
      </c>
      <c r="M1749" s="31" t="s">
        <v>4099</v>
      </c>
      <c r="N1749" s="34">
        <v>1</v>
      </c>
      <c r="O1749" s="35">
        <v>0</v>
      </c>
      <c r="P1749" s="35">
        <v>14</v>
      </c>
      <c r="Q1749" s="35">
        <v>0</v>
      </c>
      <c r="R1749" s="36">
        <v>18.16</v>
      </c>
      <c r="S1749" s="37">
        <f>IFERROR(_xlfn.XLOOKUP(R1749,'1_Presupuesto'!$E:$E,'1_Presupuesto'!$D:$D),"")</f>
        <v>0</v>
      </c>
    </row>
    <row r="1750" spans="1:19" x14ac:dyDescent="0.35">
      <c r="A1750" s="31" t="s">
        <v>3201</v>
      </c>
      <c r="B1750" s="31" t="s">
        <v>497</v>
      </c>
      <c r="C1750" s="31" t="s">
        <v>498</v>
      </c>
      <c r="D1750" s="31" t="s">
        <v>3182</v>
      </c>
      <c r="E1750" s="31" t="s">
        <v>3183</v>
      </c>
      <c r="F1750" s="31" t="s">
        <v>261</v>
      </c>
      <c r="G1750" s="32">
        <v>5</v>
      </c>
      <c r="H1750" s="33">
        <v>0</v>
      </c>
      <c r="I1750" s="34">
        <v>5688.7390030904999</v>
      </c>
      <c r="J1750" s="34">
        <v>28443.6950154525</v>
      </c>
      <c r="K1750" s="31" t="s">
        <v>3206</v>
      </c>
      <c r="L1750" s="31">
        <v>6</v>
      </c>
      <c r="M1750" s="31" t="s">
        <v>4100</v>
      </c>
      <c r="N1750" s="34">
        <v>1</v>
      </c>
      <c r="O1750" s="35">
        <v>0</v>
      </c>
      <c r="P1750" s="35">
        <v>14</v>
      </c>
      <c r="Q1750" s="35">
        <v>0</v>
      </c>
      <c r="R1750" s="36">
        <v>18.16</v>
      </c>
      <c r="S1750" s="37">
        <f>IFERROR(_xlfn.XLOOKUP(R1750,'1_Presupuesto'!$E:$E,'1_Presupuesto'!$D:$D),"")</f>
        <v>0</v>
      </c>
    </row>
    <row r="1751" spans="1:19" x14ac:dyDescent="0.35">
      <c r="A1751" s="31" t="s">
        <v>3201</v>
      </c>
      <c r="B1751" s="31" t="s">
        <v>497</v>
      </c>
      <c r="C1751" s="31" t="s">
        <v>498</v>
      </c>
      <c r="D1751" s="31" t="s">
        <v>4090</v>
      </c>
      <c r="E1751" s="31" t="s">
        <v>4091</v>
      </c>
      <c r="F1751" s="31" t="s">
        <v>261</v>
      </c>
      <c r="G1751" s="32">
        <v>1</v>
      </c>
      <c r="H1751" s="33">
        <v>0</v>
      </c>
      <c r="I1751" s="34">
        <v>29395.083658672698</v>
      </c>
      <c r="J1751" s="34">
        <v>29395.083658672698</v>
      </c>
      <c r="K1751" s="31" t="s">
        <v>3206</v>
      </c>
      <c r="L1751" s="31">
        <v>7</v>
      </c>
      <c r="M1751" s="31" t="s">
        <v>4101</v>
      </c>
      <c r="N1751" s="34">
        <v>1</v>
      </c>
      <c r="O1751" s="35">
        <v>0</v>
      </c>
      <c r="P1751" s="35">
        <v>14</v>
      </c>
      <c r="Q1751" s="35">
        <v>0</v>
      </c>
      <c r="R1751" s="36">
        <v>18.16</v>
      </c>
      <c r="S1751" s="37">
        <f>IFERROR(_xlfn.XLOOKUP(R1751,'1_Presupuesto'!$E:$E,'1_Presupuesto'!$D:$D),"")</f>
        <v>0</v>
      </c>
    </row>
    <row r="1752" spans="1:19" x14ac:dyDescent="0.35">
      <c r="A1752" s="31" t="s">
        <v>3201</v>
      </c>
      <c r="B1752" s="31" t="s">
        <v>497</v>
      </c>
      <c r="C1752" s="31" t="s">
        <v>498</v>
      </c>
      <c r="D1752" s="31" t="s">
        <v>597</v>
      </c>
      <c r="E1752" s="31" t="s">
        <v>598</v>
      </c>
      <c r="F1752" s="31" t="s">
        <v>218</v>
      </c>
      <c r="G1752" s="32">
        <v>19179.93</v>
      </c>
      <c r="H1752" s="33">
        <v>0</v>
      </c>
      <c r="I1752" s="34">
        <v>1</v>
      </c>
      <c r="J1752" s="34">
        <v>19179.93</v>
      </c>
      <c r="K1752" s="31" t="s">
        <v>3206</v>
      </c>
      <c r="L1752" s="31">
        <v>8</v>
      </c>
      <c r="M1752" s="31" t="s">
        <v>4102</v>
      </c>
      <c r="N1752" s="34">
        <v>1</v>
      </c>
      <c r="O1752" s="35">
        <v>0</v>
      </c>
      <c r="P1752" s="35">
        <v>14</v>
      </c>
      <c r="Q1752" s="35">
        <v>0</v>
      </c>
      <c r="R1752" s="36">
        <v>18.16</v>
      </c>
      <c r="S1752" s="37">
        <f>IFERROR(_xlfn.XLOOKUP(R1752,'1_Presupuesto'!$E:$E,'1_Presupuesto'!$D:$D),"")</f>
        <v>0</v>
      </c>
    </row>
    <row r="1753" spans="1:19" x14ac:dyDescent="0.35">
      <c r="A1753" s="31" t="s">
        <v>3320</v>
      </c>
      <c r="B1753" s="31" t="s">
        <v>497</v>
      </c>
      <c r="C1753" s="31" t="s">
        <v>498</v>
      </c>
      <c r="D1753" s="31" t="s">
        <v>4103</v>
      </c>
      <c r="E1753" s="31" t="s">
        <v>4104</v>
      </c>
      <c r="F1753" s="31" t="s">
        <v>261</v>
      </c>
      <c r="G1753" s="32">
        <v>4</v>
      </c>
      <c r="H1753" s="33">
        <v>0</v>
      </c>
      <c r="I1753" s="34">
        <v>2245.1196804732999</v>
      </c>
      <c r="J1753" s="34">
        <v>8980.4787218931997</v>
      </c>
      <c r="K1753" s="31" t="s">
        <v>3323</v>
      </c>
      <c r="L1753" s="31">
        <v>2</v>
      </c>
      <c r="M1753" s="31" t="s">
        <v>4105</v>
      </c>
      <c r="N1753" s="34">
        <v>1</v>
      </c>
      <c r="O1753" s="35">
        <v>0</v>
      </c>
      <c r="P1753" s="35">
        <v>1</v>
      </c>
      <c r="Q1753" s="35">
        <v>0</v>
      </c>
      <c r="R1753" s="36">
        <v>19.010000000000002</v>
      </c>
      <c r="S1753" s="37">
        <f>IFERROR(_xlfn.XLOOKUP(R1753,'1_Presupuesto'!$E:$E,'1_Presupuesto'!$D:$D),"")</f>
        <v>0</v>
      </c>
    </row>
    <row r="1754" spans="1:19" x14ac:dyDescent="0.35">
      <c r="A1754" s="31" t="s">
        <v>3320</v>
      </c>
      <c r="B1754" s="31" t="s">
        <v>497</v>
      </c>
      <c r="C1754" s="31" t="s">
        <v>498</v>
      </c>
      <c r="D1754" s="31" t="s">
        <v>4106</v>
      </c>
      <c r="E1754" s="31" t="s">
        <v>4107</v>
      </c>
      <c r="F1754" s="31" t="s">
        <v>261</v>
      </c>
      <c r="G1754" s="32">
        <v>5</v>
      </c>
      <c r="H1754" s="33">
        <v>0</v>
      </c>
      <c r="I1754" s="34">
        <v>2066.7612083541999</v>
      </c>
      <c r="J1754" s="34">
        <v>10333.806041771</v>
      </c>
      <c r="K1754" s="31" t="s">
        <v>3323</v>
      </c>
      <c r="L1754" s="31">
        <v>3</v>
      </c>
      <c r="M1754" s="31" t="s">
        <v>4108</v>
      </c>
      <c r="N1754" s="34">
        <v>1</v>
      </c>
      <c r="O1754" s="35">
        <v>0</v>
      </c>
      <c r="P1754" s="35">
        <v>1</v>
      </c>
      <c r="Q1754" s="35">
        <v>0</v>
      </c>
      <c r="R1754" s="36">
        <v>19.010000000000002</v>
      </c>
      <c r="S1754" s="37">
        <f>IFERROR(_xlfn.XLOOKUP(R1754,'1_Presupuesto'!$E:$E,'1_Presupuesto'!$D:$D),"")</f>
        <v>0</v>
      </c>
    </row>
    <row r="1755" spans="1:19" x14ac:dyDescent="0.35">
      <c r="A1755" s="31" t="s">
        <v>3320</v>
      </c>
      <c r="B1755" s="31" t="s">
        <v>497</v>
      </c>
      <c r="C1755" s="31" t="s">
        <v>498</v>
      </c>
      <c r="D1755" s="31" t="s">
        <v>4109</v>
      </c>
      <c r="E1755" s="31" t="s">
        <v>4110</v>
      </c>
      <c r="F1755" s="31" t="s">
        <v>261</v>
      </c>
      <c r="G1755" s="32">
        <v>4</v>
      </c>
      <c r="H1755" s="33">
        <v>0</v>
      </c>
      <c r="I1755" s="34">
        <v>4732.8959708098</v>
      </c>
      <c r="J1755" s="34">
        <v>18931.5838832392</v>
      </c>
      <c r="K1755" s="31" t="s">
        <v>3323</v>
      </c>
      <c r="L1755" s="31">
        <v>4</v>
      </c>
      <c r="M1755" s="31" t="s">
        <v>4111</v>
      </c>
      <c r="N1755" s="34">
        <v>1</v>
      </c>
      <c r="O1755" s="35">
        <v>0</v>
      </c>
      <c r="P1755" s="35">
        <v>1</v>
      </c>
      <c r="Q1755" s="35">
        <v>0</v>
      </c>
      <c r="R1755" s="36">
        <v>19.010000000000002</v>
      </c>
      <c r="S1755" s="37">
        <f>IFERROR(_xlfn.XLOOKUP(R1755,'1_Presupuesto'!$E:$E,'1_Presupuesto'!$D:$D),"")</f>
        <v>0</v>
      </c>
    </row>
    <row r="1756" spans="1:19" x14ac:dyDescent="0.35">
      <c r="A1756" s="31" t="s">
        <v>3320</v>
      </c>
      <c r="B1756" s="31" t="s">
        <v>497</v>
      </c>
      <c r="C1756" s="31" t="s">
        <v>498</v>
      </c>
      <c r="D1756" s="31" t="s">
        <v>4112</v>
      </c>
      <c r="E1756" s="31" t="s">
        <v>4113</v>
      </c>
      <c r="F1756" s="31" t="s">
        <v>261</v>
      </c>
      <c r="G1756" s="32">
        <v>12</v>
      </c>
      <c r="H1756" s="33">
        <v>0</v>
      </c>
      <c r="I1756" s="34">
        <v>696.15430192739996</v>
      </c>
      <c r="J1756" s="34">
        <v>8353.8516231287995</v>
      </c>
      <c r="K1756" s="31" t="s">
        <v>3323</v>
      </c>
      <c r="L1756" s="31">
        <v>5</v>
      </c>
      <c r="M1756" s="31" t="s">
        <v>4114</v>
      </c>
      <c r="N1756" s="34">
        <v>1</v>
      </c>
      <c r="O1756" s="35">
        <v>0</v>
      </c>
      <c r="P1756" s="35">
        <v>1</v>
      </c>
      <c r="Q1756" s="35">
        <v>0</v>
      </c>
      <c r="R1756" s="36">
        <v>19.010000000000002</v>
      </c>
      <c r="S1756" s="37">
        <f>IFERROR(_xlfn.XLOOKUP(R1756,'1_Presupuesto'!$E:$E,'1_Presupuesto'!$D:$D),"")</f>
        <v>0</v>
      </c>
    </row>
    <row r="1757" spans="1:19" x14ac:dyDescent="0.35">
      <c r="A1757" s="31" t="s">
        <v>3320</v>
      </c>
      <c r="B1757" s="31" t="s">
        <v>497</v>
      </c>
      <c r="C1757" s="31" t="s">
        <v>498</v>
      </c>
      <c r="D1757" s="31" t="s">
        <v>4115</v>
      </c>
      <c r="E1757" s="31" t="s">
        <v>4116</v>
      </c>
      <c r="F1757" s="31" t="s">
        <v>261</v>
      </c>
      <c r="G1757" s="32">
        <v>4</v>
      </c>
      <c r="H1757" s="33">
        <v>0</v>
      </c>
      <c r="I1757" s="34">
        <v>4922.6056034577005</v>
      </c>
      <c r="J1757" s="34">
        <v>19690.422413830802</v>
      </c>
      <c r="K1757" s="31" t="s">
        <v>3323</v>
      </c>
      <c r="L1757" s="31">
        <v>6</v>
      </c>
      <c r="M1757" s="31" t="s">
        <v>4117</v>
      </c>
      <c r="N1757" s="34">
        <v>1</v>
      </c>
      <c r="O1757" s="35">
        <v>0</v>
      </c>
      <c r="P1757" s="35">
        <v>1</v>
      </c>
      <c r="Q1757" s="35">
        <v>0</v>
      </c>
      <c r="R1757" s="36">
        <v>19.010000000000002</v>
      </c>
      <c r="S1757" s="37">
        <f>IFERROR(_xlfn.XLOOKUP(R1757,'1_Presupuesto'!$E:$E,'1_Presupuesto'!$D:$D),"")</f>
        <v>0</v>
      </c>
    </row>
    <row r="1758" spans="1:19" x14ac:dyDescent="0.35">
      <c r="A1758" s="31" t="s">
        <v>3320</v>
      </c>
      <c r="B1758" s="31" t="s">
        <v>497</v>
      </c>
      <c r="C1758" s="31" t="s">
        <v>498</v>
      </c>
      <c r="D1758" s="31" t="s">
        <v>4118</v>
      </c>
      <c r="E1758" s="31" t="s">
        <v>4119</v>
      </c>
      <c r="F1758" s="31" t="s">
        <v>261</v>
      </c>
      <c r="G1758" s="32">
        <v>12</v>
      </c>
      <c r="H1758" s="33">
        <v>0</v>
      </c>
      <c r="I1758" s="34">
        <v>2137.1599224204001</v>
      </c>
      <c r="J1758" s="34">
        <v>25645.919069044801</v>
      </c>
      <c r="K1758" s="31" t="s">
        <v>3323</v>
      </c>
      <c r="L1758" s="31">
        <v>7</v>
      </c>
      <c r="M1758" s="31" t="s">
        <v>4120</v>
      </c>
      <c r="N1758" s="34">
        <v>1</v>
      </c>
      <c r="O1758" s="35">
        <v>0</v>
      </c>
      <c r="P1758" s="35">
        <v>1</v>
      </c>
      <c r="Q1758" s="35">
        <v>0</v>
      </c>
      <c r="R1758" s="36">
        <v>19.010000000000002</v>
      </c>
      <c r="S1758" s="37">
        <f>IFERROR(_xlfn.XLOOKUP(R1758,'1_Presupuesto'!$E:$E,'1_Presupuesto'!$D:$D),"")</f>
        <v>0</v>
      </c>
    </row>
    <row r="1759" spans="1:19" x14ac:dyDescent="0.35">
      <c r="A1759" s="31" t="s">
        <v>3320</v>
      </c>
      <c r="B1759" s="31" t="s">
        <v>497</v>
      </c>
      <c r="C1759" s="31" t="s">
        <v>498</v>
      </c>
      <c r="D1759" s="31" t="s">
        <v>4121</v>
      </c>
      <c r="E1759" s="31" t="s">
        <v>4122</v>
      </c>
      <c r="F1759" s="31" t="s">
        <v>261</v>
      </c>
      <c r="G1759" s="32">
        <v>1</v>
      </c>
      <c r="H1759" s="33">
        <v>0</v>
      </c>
      <c r="I1759" s="34">
        <v>4518.7194765103004</v>
      </c>
      <c r="J1759" s="34">
        <v>4518.7194765103004</v>
      </c>
      <c r="K1759" s="31" t="s">
        <v>3323</v>
      </c>
      <c r="L1759" s="31">
        <v>8</v>
      </c>
      <c r="M1759" s="31" t="s">
        <v>4123</v>
      </c>
      <c r="N1759" s="34">
        <v>1</v>
      </c>
      <c r="O1759" s="35">
        <v>0</v>
      </c>
      <c r="P1759" s="35">
        <v>1</v>
      </c>
      <c r="Q1759" s="35">
        <v>0</v>
      </c>
      <c r="R1759" s="36">
        <v>19.010000000000002</v>
      </c>
      <c r="S1759" s="37">
        <f>IFERROR(_xlfn.XLOOKUP(R1759,'1_Presupuesto'!$E:$E,'1_Presupuesto'!$D:$D),"")</f>
        <v>0</v>
      </c>
    </row>
    <row r="1760" spans="1:19" x14ac:dyDescent="0.35">
      <c r="A1760" s="31" t="s">
        <v>3320</v>
      </c>
      <c r="B1760" s="31" t="s">
        <v>497</v>
      </c>
      <c r="C1760" s="31" t="s">
        <v>498</v>
      </c>
      <c r="D1760" s="31" t="s">
        <v>4124</v>
      </c>
      <c r="E1760" s="31" t="s">
        <v>4125</v>
      </c>
      <c r="F1760" s="31" t="s">
        <v>261</v>
      </c>
      <c r="G1760" s="32">
        <v>1</v>
      </c>
      <c r="H1760" s="33">
        <v>0</v>
      </c>
      <c r="I1760" s="34">
        <v>6417.2898399489004</v>
      </c>
      <c r="J1760" s="34">
        <v>6417.2898399489004</v>
      </c>
      <c r="K1760" s="31" t="s">
        <v>3323</v>
      </c>
      <c r="L1760" s="31">
        <v>9</v>
      </c>
      <c r="M1760" s="31" t="s">
        <v>4126</v>
      </c>
      <c r="N1760" s="34">
        <v>1</v>
      </c>
      <c r="O1760" s="35">
        <v>0</v>
      </c>
      <c r="P1760" s="35">
        <v>1</v>
      </c>
      <c r="Q1760" s="35">
        <v>0</v>
      </c>
      <c r="R1760" s="36">
        <v>19.010000000000002</v>
      </c>
      <c r="S1760" s="37">
        <f>IFERROR(_xlfn.XLOOKUP(R1760,'1_Presupuesto'!$E:$E,'1_Presupuesto'!$D:$D),"")</f>
        <v>0</v>
      </c>
    </row>
    <row r="1761" spans="1:19" x14ac:dyDescent="0.35">
      <c r="A1761" s="31" t="s">
        <v>3320</v>
      </c>
      <c r="B1761" s="31" t="s">
        <v>497</v>
      </c>
      <c r="C1761" s="31" t="s">
        <v>498</v>
      </c>
      <c r="D1761" s="31" t="s">
        <v>4127</v>
      </c>
      <c r="E1761" s="31" t="s">
        <v>4128</v>
      </c>
      <c r="F1761" s="31" t="s">
        <v>261</v>
      </c>
      <c r="G1761" s="32">
        <v>2</v>
      </c>
      <c r="H1761" s="33">
        <v>0</v>
      </c>
      <c r="I1761" s="34">
        <v>84474.579940818905</v>
      </c>
      <c r="J1761" s="34">
        <v>168949.15988163801</v>
      </c>
      <c r="K1761" s="31" t="s">
        <v>3323</v>
      </c>
      <c r="L1761" s="31">
        <v>10</v>
      </c>
      <c r="M1761" s="31" t="s">
        <v>4129</v>
      </c>
      <c r="N1761" s="34">
        <v>1</v>
      </c>
      <c r="O1761" s="35">
        <v>0</v>
      </c>
      <c r="P1761" s="35">
        <v>1</v>
      </c>
      <c r="Q1761" s="35">
        <v>0</v>
      </c>
      <c r="R1761" s="36">
        <v>19.010000000000002</v>
      </c>
      <c r="S1761" s="37">
        <f>IFERROR(_xlfn.XLOOKUP(R1761,'1_Presupuesto'!$E:$E,'1_Presupuesto'!$D:$D),"")</f>
        <v>0</v>
      </c>
    </row>
    <row r="1762" spans="1:19" x14ac:dyDescent="0.35">
      <c r="A1762" s="31" t="s">
        <v>3320</v>
      </c>
      <c r="B1762" s="31" t="s">
        <v>497</v>
      </c>
      <c r="C1762" s="31" t="s">
        <v>498</v>
      </c>
      <c r="D1762" s="31" t="s">
        <v>4130</v>
      </c>
      <c r="E1762" s="31" t="s">
        <v>4131</v>
      </c>
      <c r="F1762" s="31" t="s">
        <v>261</v>
      </c>
      <c r="G1762" s="32">
        <v>4</v>
      </c>
      <c r="H1762" s="33">
        <v>0</v>
      </c>
      <c r="I1762" s="34">
        <v>1603.0205733293999</v>
      </c>
      <c r="J1762" s="34">
        <v>6412.0822933175996</v>
      </c>
      <c r="K1762" s="31" t="s">
        <v>3323</v>
      </c>
      <c r="L1762" s="31">
        <v>11</v>
      </c>
      <c r="M1762" s="31" t="s">
        <v>4132</v>
      </c>
      <c r="N1762" s="34">
        <v>1</v>
      </c>
      <c r="O1762" s="35">
        <v>0</v>
      </c>
      <c r="P1762" s="35">
        <v>1</v>
      </c>
      <c r="Q1762" s="35">
        <v>0</v>
      </c>
      <c r="R1762" s="36">
        <v>19.010000000000002</v>
      </c>
      <c r="S1762" s="37">
        <f>IFERROR(_xlfn.XLOOKUP(R1762,'1_Presupuesto'!$E:$E,'1_Presupuesto'!$D:$D),"")</f>
        <v>0</v>
      </c>
    </row>
    <row r="1763" spans="1:19" x14ac:dyDescent="0.35">
      <c r="A1763" s="31" t="s">
        <v>3320</v>
      </c>
      <c r="B1763" s="31" t="s">
        <v>497</v>
      </c>
      <c r="C1763" s="31" t="s">
        <v>498</v>
      </c>
      <c r="D1763" s="31" t="s">
        <v>597</v>
      </c>
      <c r="E1763" s="31" t="s">
        <v>598</v>
      </c>
      <c r="F1763" s="31" t="s">
        <v>218</v>
      </c>
      <c r="G1763" s="32">
        <v>97178.01</v>
      </c>
      <c r="H1763" s="33">
        <v>0</v>
      </c>
      <c r="I1763" s="34">
        <v>1</v>
      </c>
      <c r="J1763" s="34">
        <v>97178.01</v>
      </c>
      <c r="K1763" s="31" t="s">
        <v>3323</v>
      </c>
      <c r="L1763" s="31">
        <v>12</v>
      </c>
      <c r="M1763" s="31" t="s">
        <v>4133</v>
      </c>
      <c r="N1763" s="34">
        <v>1</v>
      </c>
      <c r="O1763" s="35">
        <v>0</v>
      </c>
      <c r="P1763" s="35">
        <v>1</v>
      </c>
      <c r="Q1763" s="35">
        <v>0</v>
      </c>
      <c r="R1763" s="36">
        <v>19.010000000000002</v>
      </c>
      <c r="S1763" s="37">
        <f>IFERROR(_xlfn.XLOOKUP(R1763,'1_Presupuesto'!$E:$E,'1_Presupuesto'!$D:$D),"")</f>
        <v>0</v>
      </c>
    </row>
    <row r="1764" spans="1:19" x14ac:dyDescent="0.35">
      <c r="A1764" s="31" t="s">
        <v>3329</v>
      </c>
      <c r="B1764" s="31" t="s">
        <v>497</v>
      </c>
      <c r="C1764" s="31" t="s">
        <v>498</v>
      </c>
      <c r="D1764" s="31" t="s">
        <v>4106</v>
      </c>
      <c r="E1764" s="31" t="s">
        <v>4107</v>
      </c>
      <c r="F1764" s="31" t="s">
        <v>261</v>
      </c>
      <c r="G1764" s="32">
        <v>120</v>
      </c>
      <c r="H1764" s="33">
        <v>0</v>
      </c>
      <c r="I1764" s="34">
        <v>2066.7612083541999</v>
      </c>
      <c r="J1764" s="34">
        <v>248011.34500250401</v>
      </c>
      <c r="K1764" s="31" t="s">
        <v>3330</v>
      </c>
      <c r="L1764" s="31">
        <v>2</v>
      </c>
      <c r="M1764" s="31" t="s">
        <v>4134</v>
      </c>
      <c r="N1764" s="34">
        <v>1</v>
      </c>
      <c r="O1764" s="35">
        <v>0</v>
      </c>
      <c r="P1764" s="35">
        <v>1</v>
      </c>
      <c r="Q1764" s="35">
        <v>0</v>
      </c>
      <c r="R1764" s="36">
        <v>19.02</v>
      </c>
      <c r="S1764" s="37">
        <f>IFERROR(_xlfn.XLOOKUP(R1764,'1_Presupuesto'!$E:$E,'1_Presupuesto'!$D:$D),"")</f>
        <v>0</v>
      </c>
    </row>
    <row r="1765" spans="1:19" x14ac:dyDescent="0.35">
      <c r="A1765" s="31" t="s">
        <v>3329</v>
      </c>
      <c r="B1765" s="31" t="s">
        <v>497</v>
      </c>
      <c r="C1765" s="31" t="s">
        <v>498</v>
      </c>
      <c r="D1765" s="31" t="s">
        <v>4118</v>
      </c>
      <c r="E1765" s="31" t="s">
        <v>4119</v>
      </c>
      <c r="F1765" s="31" t="s">
        <v>261</v>
      </c>
      <c r="G1765" s="32">
        <v>53</v>
      </c>
      <c r="H1765" s="33">
        <v>0</v>
      </c>
      <c r="I1765" s="34">
        <v>2137.1599224204001</v>
      </c>
      <c r="J1765" s="34">
        <v>113269.475888281</v>
      </c>
      <c r="K1765" s="31" t="s">
        <v>3330</v>
      </c>
      <c r="L1765" s="31">
        <v>3</v>
      </c>
      <c r="M1765" s="31" t="s">
        <v>4135</v>
      </c>
      <c r="N1765" s="34">
        <v>1</v>
      </c>
      <c r="O1765" s="35">
        <v>0</v>
      </c>
      <c r="P1765" s="35">
        <v>1</v>
      </c>
      <c r="Q1765" s="35">
        <v>0</v>
      </c>
      <c r="R1765" s="36">
        <v>19.02</v>
      </c>
      <c r="S1765" s="37">
        <f>IFERROR(_xlfn.XLOOKUP(R1765,'1_Presupuesto'!$E:$E,'1_Presupuesto'!$D:$D),"")</f>
        <v>0</v>
      </c>
    </row>
    <row r="1766" spans="1:19" x14ac:dyDescent="0.35">
      <c r="A1766" s="31" t="s">
        <v>3329</v>
      </c>
      <c r="B1766" s="31" t="s">
        <v>497</v>
      </c>
      <c r="C1766" s="31" t="s">
        <v>498</v>
      </c>
      <c r="D1766" s="31" t="s">
        <v>4130</v>
      </c>
      <c r="E1766" s="31" t="s">
        <v>4131</v>
      </c>
      <c r="F1766" s="31" t="s">
        <v>261</v>
      </c>
      <c r="G1766" s="32">
        <v>106</v>
      </c>
      <c r="H1766" s="33">
        <v>0</v>
      </c>
      <c r="I1766" s="34">
        <v>1603.0205733293999</v>
      </c>
      <c r="J1766" s="34">
        <v>169920.18077291601</v>
      </c>
      <c r="K1766" s="31" t="s">
        <v>3330</v>
      </c>
      <c r="L1766" s="31">
        <v>4</v>
      </c>
      <c r="M1766" s="31" t="s">
        <v>4136</v>
      </c>
      <c r="N1766" s="34">
        <v>1</v>
      </c>
      <c r="O1766" s="35">
        <v>0</v>
      </c>
      <c r="P1766" s="35">
        <v>1</v>
      </c>
      <c r="Q1766" s="35">
        <v>0</v>
      </c>
      <c r="R1766" s="36">
        <v>19.02</v>
      </c>
      <c r="S1766" s="37">
        <f>IFERROR(_xlfn.XLOOKUP(R1766,'1_Presupuesto'!$E:$E,'1_Presupuesto'!$D:$D),"")</f>
        <v>0</v>
      </c>
    </row>
    <row r="1767" spans="1:19" x14ac:dyDescent="0.35">
      <c r="A1767" s="31" t="s">
        <v>3329</v>
      </c>
      <c r="B1767" s="31" t="s">
        <v>497</v>
      </c>
      <c r="C1767" s="31" t="s">
        <v>498</v>
      </c>
      <c r="D1767" s="31" t="s">
        <v>4137</v>
      </c>
      <c r="E1767" s="31" t="s">
        <v>4138</v>
      </c>
      <c r="F1767" s="31" t="s">
        <v>261</v>
      </c>
      <c r="G1767" s="32">
        <v>12.5</v>
      </c>
      <c r="H1767" s="33">
        <v>0</v>
      </c>
      <c r="I1767" s="34">
        <v>8313.6868058265009</v>
      </c>
      <c r="J1767" s="34">
        <v>103921.085072831</v>
      </c>
      <c r="K1767" s="31" t="s">
        <v>3330</v>
      </c>
      <c r="L1767" s="31">
        <v>5</v>
      </c>
      <c r="M1767" s="31" t="s">
        <v>4139</v>
      </c>
      <c r="N1767" s="34">
        <v>1</v>
      </c>
      <c r="O1767" s="35">
        <v>0</v>
      </c>
      <c r="P1767" s="35">
        <v>1</v>
      </c>
      <c r="Q1767" s="35">
        <v>0</v>
      </c>
      <c r="R1767" s="36">
        <v>19.02</v>
      </c>
      <c r="S1767" s="37">
        <f>IFERROR(_xlfn.XLOOKUP(R1767,'1_Presupuesto'!$E:$E,'1_Presupuesto'!$D:$D),"")</f>
        <v>0</v>
      </c>
    </row>
    <row r="1768" spans="1:19" x14ac:dyDescent="0.35">
      <c r="A1768" s="31" t="s">
        <v>3329</v>
      </c>
      <c r="B1768" s="31" t="s">
        <v>497</v>
      </c>
      <c r="C1768" s="31" t="s">
        <v>498</v>
      </c>
      <c r="D1768" s="31" t="s">
        <v>4140</v>
      </c>
      <c r="E1768" s="31" t="s">
        <v>4141</v>
      </c>
      <c r="F1768" s="31" t="s">
        <v>261</v>
      </c>
      <c r="G1768" s="32">
        <v>25</v>
      </c>
      <c r="H1768" s="33">
        <v>0</v>
      </c>
      <c r="I1768" s="34">
        <v>960.65248133889997</v>
      </c>
      <c r="J1768" s="34">
        <v>24016.312033472499</v>
      </c>
      <c r="K1768" s="31" t="s">
        <v>3330</v>
      </c>
      <c r="L1768" s="31">
        <v>6</v>
      </c>
      <c r="M1768" s="31" t="s">
        <v>4142</v>
      </c>
      <c r="N1768" s="34">
        <v>1</v>
      </c>
      <c r="O1768" s="35">
        <v>0</v>
      </c>
      <c r="P1768" s="35">
        <v>1</v>
      </c>
      <c r="Q1768" s="35">
        <v>0</v>
      </c>
      <c r="R1768" s="36">
        <v>19.02</v>
      </c>
      <c r="S1768" s="37">
        <f>IFERROR(_xlfn.XLOOKUP(R1768,'1_Presupuesto'!$E:$E,'1_Presupuesto'!$D:$D),"")</f>
        <v>0</v>
      </c>
    </row>
    <row r="1769" spans="1:19" x14ac:dyDescent="0.35">
      <c r="A1769" s="31" t="s">
        <v>3329</v>
      </c>
      <c r="B1769" s="31" t="s">
        <v>497</v>
      </c>
      <c r="C1769" s="31" t="s">
        <v>498</v>
      </c>
      <c r="D1769" s="31" t="s">
        <v>4143</v>
      </c>
      <c r="E1769" s="31" t="s">
        <v>4144</v>
      </c>
      <c r="F1769" s="31" t="s">
        <v>261</v>
      </c>
      <c r="G1769" s="32">
        <v>25</v>
      </c>
      <c r="H1769" s="33">
        <v>0</v>
      </c>
      <c r="I1769" s="34">
        <v>960.65248133889997</v>
      </c>
      <c r="J1769" s="34">
        <v>24016.312033472499</v>
      </c>
      <c r="K1769" s="31" t="s">
        <v>3330</v>
      </c>
      <c r="L1769" s="31">
        <v>7</v>
      </c>
      <c r="M1769" s="31" t="s">
        <v>4145</v>
      </c>
      <c r="N1769" s="34">
        <v>1</v>
      </c>
      <c r="O1769" s="35">
        <v>0</v>
      </c>
      <c r="P1769" s="35">
        <v>1</v>
      </c>
      <c r="Q1769" s="35">
        <v>0</v>
      </c>
      <c r="R1769" s="36">
        <v>19.02</v>
      </c>
      <c r="S1769" s="37">
        <f>IFERROR(_xlfn.XLOOKUP(R1769,'1_Presupuesto'!$E:$E,'1_Presupuesto'!$D:$D),"")</f>
        <v>0</v>
      </c>
    </row>
    <row r="1770" spans="1:19" x14ac:dyDescent="0.35">
      <c r="A1770" s="31" t="s">
        <v>3329</v>
      </c>
      <c r="B1770" s="31" t="s">
        <v>497</v>
      </c>
      <c r="C1770" s="31" t="s">
        <v>498</v>
      </c>
      <c r="D1770" s="31" t="s">
        <v>4146</v>
      </c>
      <c r="E1770" s="31" t="s">
        <v>4147</v>
      </c>
      <c r="F1770" s="31" t="s">
        <v>261</v>
      </c>
      <c r="G1770" s="32">
        <v>12.5</v>
      </c>
      <c r="H1770" s="33">
        <v>0</v>
      </c>
      <c r="I1770" s="34">
        <v>6715.658591251</v>
      </c>
      <c r="J1770" s="34">
        <v>83945.732390637495</v>
      </c>
      <c r="K1770" s="31" t="s">
        <v>3330</v>
      </c>
      <c r="L1770" s="31">
        <v>8</v>
      </c>
      <c r="M1770" s="31" t="s">
        <v>4148</v>
      </c>
      <c r="N1770" s="34">
        <v>1</v>
      </c>
      <c r="O1770" s="35">
        <v>0</v>
      </c>
      <c r="P1770" s="35">
        <v>1</v>
      </c>
      <c r="Q1770" s="35">
        <v>0</v>
      </c>
      <c r="R1770" s="36">
        <v>19.02</v>
      </c>
      <c r="S1770" s="37">
        <f>IFERROR(_xlfn.XLOOKUP(R1770,'1_Presupuesto'!$E:$E,'1_Presupuesto'!$D:$D),"")</f>
        <v>0</v>
      </c>
    </row>
    <row r="1771" spans="1:19" x14ac:dyDescent="0.35">
      <c r="A1771" s="31" t="s">
        <v>3329</v>
      </c>
      <c r="B1771" s="31" t="s">
        <v>497</v>
      </c>
      <c r="C1771" s="31" t="s">
        <v>498</v>
      </c>
      <c r="D1771" s="31" t="s">
        <v>4149</v>
      </c>
      <c r="E1771" s="31" t="s">
        <v>4150</v>
      </c>
      <c r="F1771" s="31" t="s">
        <v>261</v>
      </c>
      <c r="G1771" s="32">
        <v>50</v>
      </c>
      <c r="H1771" s="33">
        <v>0</v>
      </c>
      <c r="I1771" s="34">
        <v>571.84026519789995</v>
      </c>
      <c r="J1771" s="34">
        <v>28592.013259895</v>
      </c>
      <c r="K1771" s="31" t="s">
        <v>3330</v>
      </c>
      <c r="L1771" s="31">
        <v>9</v>
      </c>
      <c r="M1771" s="31" t="s">
        <v>4151</v>
      </c>
      <c r="N1771" s="34">
        <v>1</v>
      </c>
      <c r="O1771" s="35">
        <v>0</v>
      </c>
      <c r="P1771" s="35">
        <v>1</v>
      </c>
      <c r="Q1771" s="35">
        <v>0</v>
      </c>
      <c r="R1771" s="36">
        <v>19.02</v>
      </c>
      <c r="S1771" s="37">
        <f>IFERROR(_xlfn.XLOOKUP(R1771,'1_Presupuesto'!$E:$E,'1_Presupuesto'!$D:$D),"")</f>
        <v>0</v>
      </c>
    </row>
    <row r="1772" spans="1:19" x14ac:dyDescent="0.35">
      <c r="A1772" s="31" t="s">
        <v>3329</v>
      </c>
      <c r="B1772" s="31" t="s">
        <v>497</v>
      </c>
      <c r="C1772" s="31" t="s">
        <v>498</v>
      </c>
      <c r="D1772" s="31" t="s">
        <v>4152</v>
      </c>
      <c r="E1772" s="31" t="s">
        <v>4153</v>
      </c>
      <c r="F1772" s="31" t="s">
        <v>261</v>
      </c>
      <c r="G1772" s="32">
        <v>25</v>
      </c>
      <c r="H1772" s="33">
        <v>0</v>
      </c>
      <c r="I1772" s="34">
        <v>723.32177143939998</v>
      </c>
      <c r="J1772" s="34">
        <v>18083.044285985001</v>
      </c>
      <c r="K1772" s="31" t="s">
        <v>3330</v>
      </c>
      <c r="L1772" s="31">
        <v>10</v>
      </c>
      <c r="M1772" s="31" t="s">
        <v>4154</v>
      </c>
      <c r="N1772" s="34">
        <v>1</v>
      </c>
      <c r="O1772" s="35">
        <v>0</v>
      </c>
      <c r="P1772" s="35">
        <v>1</v>
      </c>
      <c r="Q1772" s="35">
        <v>0</v>
      </c>
      <c r="R1772" s="36">
        <v>19.02</v>
      </c>
      <c r="S1772" s="37">
        <f>IFERROR(_xlfn.XLOOKUP(R1772,'1_Presupuesto'!$E:$E,'1_Presupuesto'!$D:$D),"")</f>
        <v>0</v>
      </c>
    </row>
    <row r="1773" spans="1:19" x14ac:dyDescent="0.35">
      <c r="A1773" s="31" t="s">
        <v>3329</v>
      </c>
      <c r="B1773" s="31" t="s">
        <v>497</v>
      </c>
      <c r="C1773" s="31" t="s">
        <v>498</v>
      </c>
      <c r="D1773" s="31" t="s">
        <v>4155</v>
      </c>
      <c r="E1773" s="31" t="s">
        <v>4156</v>
      </c>
      <c r="F1773" s="31" t="s">
        <v>261</v>
      </c>
      <c r="G1773" s="32">
        <v>25</v>
      </c>
      <c r="H1773" s="33">
        <v>0</v>
      </c>
      <c r="I1773" s="34">
        <v>586.21481540310003</v>
      </c>
      <c r="J1773" s="34">
        <v>14655.3703850775</v>
      </c>
      <c r="K1773" s="31" t="s">
        <v>3330</v>
      </c>
      <c r="L1773" s="31">
        <v>11</v>
      </c>
      <c r="M1773" s="31" t="s">
        <v>4157</v>
      </c>
      <c r="N1773" s="34">
        <v>1</v>
      </c>
      <c r="O1773" s="35">
        <v>0</v>
      </c>
      <c r="P1773" s="35">
        <v>1</v>
      </c>
      <c r="Q1773" s="35">
        <v>0</v>
      </c>
      <c r="R1773" s="36">
        <v>19.02</v>
      </c>
      <c r="S1773" s="37">
        <f>IFERROR(_xlfn.XLOOKUP(R1773,'1_Presupuesto'!$E:$E,'1_Presupuesto'!$D:$D),"")</f>
        <v>0</v>
      </c>
    </row>
    <row r="1774" spans="1:19" x14ac:dyDescent="0.35">
      <c r="A1774" s="31" t="s">
        <v>3329</v>
      </c>
      <c r="B1774" s="31" t="s">
        <v>497</v>
      </c>
      <c r="C1774" s="31" t="s">
        <v>498</v>
      </c>
      <c r="D1774" s="31" t="s">
        <v>4158</v>
      </c>
      <c r="E1774" s="31" t="s">
        <v>4159</v>
      </c>
      <c r="F1774" s="31" t="s">
        <v>261</v>
      </c>
      <c r="G1774" s="32">
        <v>28</v>
      </c>
      <c r="H1774" s="33">
        <v>0</v>
      </c>
      <c r="I1774" s="34">
        <v>5296.1072021271002</v>
      </c>
      <c r="J1774" s="34">
        <v>148291.001659559</v>
      </c>
      <c r="K1774" s="31" t="s">
        <v>3330</v>
      </c>
      <c r="L1774" s="31">
        <v>12</v>
      </c>
      <c r="M1774" s="31" t="s">
        <v>4160</v>
      </c>
      <c r="N1774" s="34">
        <v>1</v>
      </c>
      <c r="O1774" s="35">
        <v>0</v>
      </c>
      <c r="P1774" s="35">
        <v>1</v>
      </c>
      <c r="Q1774" s="35">
        <v>0</v>
      </c>
      <c r="R1774" s="36">
        <v>19.02</v>
      </c>
      <c r="S1774" s="37">
        <f>IFERROR(_xlfn.XLOOKUP(R1774,'1_Presupuesto'!$E:$E,'1_Presupuesto'!$D:$D),"")</f>
        <v>0</v>
      </c>
    </row>
    <row r="1775" spans="1:19" x14ac:dyDescent="0.35">
      <c r="A1775" s="31" t="s">
        <v>3329</v>
      </c>
      <c r="B1775" s="31" t="s">
        <v>497</v>
      </c>
      <c r="C1775" s="31" t="s">
        <v>498</v>
      </c>
      <c r="D1775" s="31" t="s">
        <v>4161</v>
      </c>
      <c r="E1775" s="31" t="s">
        <v>4162</v>
      </c>
      <c r="F1775" s="31" t="s">
        <v>261</v>
      </c>
      <c r="G1775" s="32">
        <v>78</v>
      </c>
      <c r="H1775" s="33">
        <v>0</v>
      </c>
      <c r="I1775" s="34">
        <v>432.16181402759997</v>
      </c>
      <c r="J1775" s="34">
        <v>33708.621494152801</v>
      </c>
      <c r="K1775" s="31" t="s">
        <v>3330</v>
      </c>
      <c r="L1775" s="31">
        <v>13</v>
      </c>
      <c r="M1775" s="31" t="s">
        <v>4163</v>
      </c>
      <c r="N1775" s="34">
        <v>1</v>
      </c>
      <c r="O1775" s="35">
        <v>0</v>
      </c>
      <c r="P1775" s="35">
        <v>1</v>
      </c>
      <c r="Q1775" s="35">
        <v>0</v>
      </c>
      <c r="R1775" s="36">
        <v>19.02</v>
      </c>
      <c r="S1775" s="37">
        <f>IFERROR(_xlfn.XLOOKUP(R1775,'1_Presupuesto'!$E:$E,'1_Presupuesto'!$D:$D),"")</f>
        <v>0</v>
      </c>
    </row>
    <row r="1776" spans="1:19" x14ac:dyDescent="0.35">
      <c r="A1776" s="31" t="s">
        <v>3329</v>
      </c>
      <c r="B1776" s="31" t="s">
        <v>497</v>
      </c>
      <c r="C1776" s="31" t="s">
        <v>498</v>
      </c>
      <c r="D1776" s="31" t="s">
        <v>4164</v>
      </c>
      <c r="E1776" s="31" t="s">
        <v>4165</v>
      </c>
      <c r="F1776" s="31" t="s">
        <v>261</v>
      </c>
      <c r="G1776" s="32">
        <v>78</v>
      </c>
      <c r="H1776" s="33">
        <v>0</v>
      </c>
      <c r="I1776" s="34">
        <v>399.55009121929999</v>
      </c>
      <c r="J1776" s="34">
        <v>31164.907115105401</v>
      </c>
      <c r="K1776" s="31" t="s">
        <v>3330</v>
      </c>
      <c r="L1776" s="31">
        <v>14</v>
      </c>
      <c r="M1776" s="31" t="s">
        <v>4166</v>
      </c>
      <c r="N1776" s="34">
        <v>1</v>
      </c>
      <c r="O1776" s="35">
        <v>0</v>
      </c>
      <c r="P1776" s="35">
        <v>1</v>
      </c>
      <c r="Q1776" s="35">
        <v>0</v>
      </c>
      <c r="R1776" s="36">
        <v>19.02</v>
      </c>
      <c r="S1776" s="37">
        <f>IFERROR(_xlfn.XLOOKUP(R1776,'1_Presupuesto'!$E:$E,'1_Presupuesto'!$D:$D),"")</f>
        <v>0</v>
      </c>
    </row>
    <row r="1777" spans="1:19" x14ac:dyDescent="0.35">
      <c r="A1777" s="31" t="s">
        <v>3329</v>
      </c>
      <c r="B1777" s="31" t="s">
        <v>497</v>
      </c>
      <c r="C1777" s="31" t="s">
        <v>498</v>
      </c>
      <c r="D1777" s="31" t="s">
        <v>4167</v>
      </c>
      <c r="E1777" s="31" t="s">
        <v>4168</v>
      </c>
      <c r="F1777" s="31" t="s">
        <v>261</v>
      </c>
      <c r="G1777" s="32">
        <v>50</v>
      </c>
      <c r="H1777" s="33">
        <v>0</v>
      </c>
      <c r="I1777" s="34">
        <v>658.67933309160003</v>
      </c>
      <c r="J1777" s="34">
        <v>32933.966654579999</v>
      </c>
      <c r="K1777" s="31" t="s">
        <v>3330</v>
      </c>
      <c r="L1777" s="31">
        <v>15</v>
      </c>
      <c r="M1777" s="31" t="s">
        <v>4169</v>
      </c>
      <c r="N1777" s="34">
        <v>1</v>
      </c>
      <c r="O1777" s="35">
        <v>0</v>
      </c>
      <c r="P1777" s="35">
        <v>1</v>
      </c>
      <c r="Q1777" s="35">
        <v>0</v>
      </c>
      <c r="R1777" s="36">
        <v>19.02</v>
      </c>
      <c r="S1777" s="37">
        <f>IFERROR(_xlfn.XLOOKUP(R1777,'1_Presupuesto'!$E:$E,'1_Presupuesto'!$D:$D),"")</f>
        <v>0</v>
      </c>
    </row>
    <row r="1778" spans="1:19" x14ac:dyDescent="0.35">
      <c r="A1778" s="31" t="s">
        <v>3329</v>
      </c>
      <c r="B1778" s="31" t="s">
        <v>497</v>
      </c>
      <c r="C1778" s="31" t="s">
        <v>498</v>
      </c>
      <c r="D1778" s="31" t="s">
        <v>4170</v>
      </c>
      <c r="E1778" s="31" t="s">
        <v>4171</v>
      </c>
      <c r="F1778" s="31" t="s">
        <v>261</v>
      </c>
      <c r="G1778" s="32">
        <v>28</v>
      </c>
      <c r="H1778" s="33">
        <v>0</v>
      </c>
      <c r="I1778" s="34">
        <v>361.83841571850002</v>
      </c>
      <c r="J1778" s="34">
        <v>10131.475640118</v>
      </c>
      <c r="K1778" s="31" t="s">
        <v>3330</v>
      </c>
      <c r="L1778" s="31">
        <v>16</v>
      </c>
      <c r="M1778" s="31" t="s">
        <v>4172</v>
      </c>
      <c r="N1778" s="34">
        <v>1</v>
      </c>
      <c r="O1778" s="35">
        <v>0</v>
      </c>
      <c r="P1778" s="35">
        <v>1</v>
      </c>
      <c r="Q1778" s="35">
        <v>0</v>
      </c>
      <c r="R1778" s="36">
        <v>19.02</v>
      </c>
      <c r="S1778" s="37">
        <f>IFERROR(_xlfn.XLOOKUP(R1778,'1_Presupuesto'!$E:$E,'1_Presupuesto'!$D:$D),"")</f>
        <v>0</v>
      </c>
    </row>
    <row r="1779" spans="1:19" x14ac:dyDescent="0.35">
      <c r="A1779" s="31" t="s">
        <v>3329</v>
      </c>
      <c r="B1779" s="31" t="s">
        <v>497</v>
      </c>
      <c r="C1779" s="31" t="s">
        <v>498</v>
      </c>
      <c r="D1779" s="31" t="s">
        <v>4112</v>
      </c>
      <c r="E1779" s="31" t="s">
        <v>4113</v>
      </c>
      <c r="F1779" s="31" t="s">
        <v>261</v>
      </c>
      <c r="G1779" s="32">
        <v>126</v>
      </c>
      <c r="H1779" s="33">
        <v>0</v>
      </c>
      <c r="I1779" s="34">
        <v>696.15430192739996</v>
      </c>
      <c r="J1779" s="34">
        <v>87715.442042852403</v>
      </c>
      <c r="K1779" s="31" t="s">
        <v>3330</v>
      </c>
      <c r="L1779" s="31">
        <v>17</v>
      </c>
      <c r="M1779" s="31" t="s">
        <v>4173</v>
      </c>
      <c r="N1779" s="34">
        <v>1</v>
      </c>
      <c r="O1779" s="35">
        <v>0</v>
      </c>
      <c r="P1779" s="35">
        <v>1</v>
      </c>
      <c r="Q1779" s="35">
        <v>0</v>
      </c>
      <c r="R1779" s="36">
        <v>19.02</v>
      </c>
      <c r="S1779" s="37">
        <f>IFERROR(_xlfn.XLOOKUP(R1779,'1_Presupuesto'!$E:$E,'1_Presupuesto'!$D:$D),"")</f>
        <v>0</v>
      </c>
    </row>
    <row r="1780" spans="1:19" x14ac:dyDescent="0.35">
      <c r="A1780" s="31" t="s">
        <v>3329</v>
      </c>
      <c r="B1780" s="31" t="s">
        <v>497</v>
      </c>
      <c r="C1780" s="31" t="s">
        <v>498</v>
      </c>
      <c r="D1780" s="31" t="s">
        <v>4174</v>
      </c>
      <c r="E1780" s="31" t="s">
        <v>4175</v>
      </c>
      <c r="F1780" s="31" t="s">
        <v>261</v>
      </c>
      <c r="G1780" s="32">
        <v>159</v>
      </c>
      <c r="H1780" s="33">
        <v>0</v>
      </c>
      <c r="I1780" s="34">
        <v>424.1891031728</v>
      </c>
      <c r="J1780" s="34">
        <v>67446.067404475194</v>
      </c>
      <c r="K1780" s="31" t="s">
        <v>3330</v>
      </c>
      <c r="L1780" s="31">
        <v>18</v>
      </c>
      <c r="M1780" s="31" t="s">
        <v>4176</v>
      </c>
      <c r="N1780" s="34">
        <v>1</v>
      </c>
      <c r="O1780" s="35">
        <v>0</v>
      </c>
      <c r="P1780" s="35">
        <v>1</v>
      </c>
      <c r="Q1780" s="35">
        <v>0</v>
      </c>
      <c r="R1780" s="36">
        <v>19.02</v>
      </c>
      <c r="S1780" s="37">
        <f>IFERROR(_xlfn.XLOOKUP(R1780,'1_Presupuesto'!$E:$E,'1_Presupuesto'!$D:$D),"")</f>
        <v>0</v>
      </c>
    </row>
    <row r="1781" spans="1:19" x14ac:dyDescent="0.35">
      <c r="A1781" s="31" t="s">
        <v>3329</v>
      </c>
      <c r="B1781" s="31" t="s">
        <v>497</v>
      </c>
      <c r="C1781" s="31" t="s">
        <v>498</v>
      </c>
      <c r="D1781" s="31" t="s">
        <v>4177</v>
      </c>
      <c r="E1781" s="31" t="s">
        <v>4178</v>
      </c>
      <c r="F1781" s="31" t="s">
        <v>261</v>
      </c>
      <c r="G1781" s="32">
        <v>25</v>
      </c>
      <c r="H1781" s="33">
        <v>0</v>
      </c>
      <c r="I1781" s="34">
        <v>653.42874888489996</v>
      </c>
      <c r="J1781" s="34">
        <v>16335.718722122499</v>
      </c>
      <c r="K1781" s="31" t="s">
        <v>3330</v>
      </c>
      <c r="L1781" s="31">
        <v>19</v>
      </c>
      <c r="M1781" s="31" t="s">
        <v>4179</v>
      </c>
      <c r="N1781" s="34">
        <v>1</v>
      </c>
      <c r="O1781" s="35">
        <v>0</v>
      </c>
      <c r="P1781" s="35">
        <v>1</v>
      </c>
      <c r="Q1781" s="35">
        <v>0</v>
      </c>
      <c r="R1781" s="36">
        <v>19.02</v>
      </c>
      <c r="S1781" s="37">
        <f>IFERROR(_xlfn.XLOOKUP(R1781,'1_Presupuesto'!$E:$E,'1_Presupuesto'!$D:$D),"")</f>
        <v>0</v>
      </c>
    </row>
    <row r="1782" spans="1:19" x14ac:dyDescent="0.35">
      <c r="A1782" s="31" t="s">
        <v>3329</v>
      </c>
      <c r="B1782" s="31" t="s">
        <v>497</v>
      </c>
      <c r="C1782" s="31" t="s">
        <v>498</v>
      </c>
      <c r="D1782" s="31" t="s">
        <v>4121</v>
      </c>
      <c r="E1782" s="31" t="s">
        <v>4122</v>
      </c>
      <c r="F1782" s="31" t="s">
        <v>261</v>
      </c>
      <c r="G1782" s="32">
        <v>42</v>
      </c>
      <c r="H1782" s="33">
        <v>0</v>
      </c>
      <c r="I1782" s="34">
        <v>4518.7194765103004</v>
      </c>
      <c r="J1782" s="34">
        <v>189786.21801343301</v>
      </c>
      <c r="K1782" s="31" t="s">
        <v>3330</v>
      </c>
      <c r="L1782" s="31">
        <v>20</v>
      </c>
      <c r="M1782" s="31" t="s">
        <v>4180</v>
      </c>
      <c r="N1782" s="34">
        <v>1</v>
      </c>
      <c r="O1782" s="35">
        <v>0</v>
      </c>
      <c r="P1782" s="35">
        <v>1</v>
      </c>
      <c r="Q1782" s="35">
        <v>0</v>
      </c>
      <c r="R1782" s="36">
        <v>19.02</v>
      </c>
      <c r="S1782" s="37">
        <f>IFERROR(_xlfn.XLOOKUP(R1782,'1_Presupuesto'!$E:$E,'1_Presupuesto'!$D:$D),"")</f>
        <v>0</v>
      </c>
    </row>
    <row r="1783" spans="1:19" x14ac:dyDescent="0.35">
      <c r="A1783" s="31" t="s">
        <v>3329</v>
      </c>
      <c r="B1783" s="31" t="s">
        <v>497</v>
      </c>
      <c r="C1783" s="31" t="s">
        <v>498</v>
      </c>
      <c r="D1783" s="31" t="s">
        <v>4181</v>
      </c>
      <c r="E1783" s="31" t="s">
        <v>4182</v>
      </c>
      <c r="F1783" s="31" t="s">
        <v>261</v>
      </c>
      <c r="G1783" s="32">
        <v>28</v>
      </c>
      <c r="H1783" s="33">
        <v>0</v>
      </c>
      <c r="I1783" s="34">
        <v>3362.0093201425002</v>
      </c>
      <c r="J1783" s="34">
        <v>94136.260963990004</v>
      </c>
      <c r="K1783" s="31" t="s">
        <v>3330</v>
      </c>
      <c r="L1783" s="31">
        <v>21</v>
      </c>
      <c r="M1783" s="31" t="s">
        <v>4183</v>
      </c>
      <c r="N1783" s="34">
        <v>1</v>
      </c>
      <c r="O1783" s="35">
        <v>0</v>
      </c>
      <c r="P1783" s="35">
        <v>1</v>
      </c>
      <c r="Q1783" s="35">
        <v>0</v>
      </c>
      <c r="R1783" s="36">
        <v>19.02</v>
      </c>
      <c r="S1783" s="37">
        <f>IFERROR(_xlfn.XLOOKUP(R1783,'1_Presupuesto'!$E:$E,'1_Presupuesto'!$D:$D),"")</f>
        <v>0</v>
      </c>
    </row>
    <row r="1784" spans="1:19" x14ac:dyDescent="0.35">
      <c r="A1784" s="31" t="s">
        <v>3329</v>
      </c>
      <c r="B1784" s="31" t="s">
        <v>497</v>
      </c>
      <c r="C1784" s="31" t="s">
        <v>498</v>
      </c>
      <c r="D1784" s="31" t="s">
        <v>4109</v>
      </c>
      <c r="E1784" s="31" t="s">
        <v>4110</v>
      </c>
      <c r="F1784" s="31" t="s">
        <v>261</v>
      </c>
      <c r="G1784" s="32">
        <v>36</v>
      </c>
      <c r="H1784" s="33">
        <v>0</v>
      </c>
      <c r="I1784" s="34">
        <v>4732.8959708098</v>
      </c>
      <c r="J1784" s="34">
        <v>170384.25494915299</v>
      </c>
      <c r="K1784" s="31" t="s">
        <v>3330</v>
      </c>
      <c r="L1784" s="31">
        <v>22</v>
      </c>
      <c r="M1784" s="31" t="s">
        <v>4184</v>
      </c>
      <c r="N1784" s="34">
        <v>1</v>
      </c>
      <c r="O1784" s="35">
        <v>0</v>
      </c>
      <c r="P1784" s="35">
        <v>1</v>
      </c>
      <c r="Q1784" s="35">
        <v>0</v>
      </c>
      <c r="R1784" s="36">
        <v>19.02</v>
      </c>
      <c r="S1784" s="37">
        <f>IFERROR(_xlfn.XLOOKUP(R1784,'1_Presupuesto'!$E:$E,'1_Presupuesto'!$D:$D),"")</f>
        <v>0</v>
      </c>
    </row>
    <row r="1785" spans="1:19" x14ac:dyDescent="0.35">
      <c r="A1785" s="31" t="s">
        <v>3329</v>
      </c>
      <c r="B1785" s="31" t="s">
        <v>497</v>
      </c>
      <c r="C1785" s="31" t="s">
        <v>498</v>
      </c>
      <c r="D1785" s="31" t="s">
        <v>4185</v>
      </c>
      <c r="E1785" s="31" t="s">
        <v>4186</v>
      </c>
      <c r="F1785" s="31" t="s">
        <v>261</v>
      </c>
      <c r="G1785" s="32">
        <v>64</v>
      </c>
      <c r="H1785" s="33">
        <v>0</v>
      </c>
      <c r="I1785" s="34">
        <v>5000</v>
      </c>
      <c r="J1785" s="34">
        <v>320000</v>
      </c>
      <c r="K1785" s="31" t="s">
        <v>3330</v>
      </c>
      <c r="L1785" s="31">
        <v>23</v>
      </c>
      <c r="M1785" s="31" t="s">
        <v>4187</v>
      </c>
      <c r="N1785" s="34">
        <v>1</v>
      </c>
      <c r="O1785" s="35">
        <v>0</v>
      </c>
      <c r="P1785" s="35">
        <v>1</v>
      </c>
      <c r="Q1785" s="35">
        <v>0</v>
      </c>
      <c r="R1785" s="36">
        <v>19.02</v>
      </c>
      <c r="S1785" s="37">
        <f>IFERROR(_xlfn.XLOOKUP(R1785,'1_Presupuesto'!$E:$E,'1_Presupuesto'!$D:$D),"")</f>
        <v>0</v>
      </c>
    </row>
    <row r="1786" spans="1:19" x14ac:dyDescent="0.35">
      <c r="A1786" s="31" t="s">
        <v>3329</v>
      </c>
      <c r="B1786" s="31" t="s">
        <v>497</v>
      </c>
      <c r="C1786" s="31" t="s">
        <v>498</v>
      </c>
      <c r="D1786" s="31" t="s">
        <v>4188</v>
      </c>
      <c r="E1786" s="31" t="s">
        <v>4189</v>
      </c>
      <c r="F1786" s="31" t="s">
        <v>261</v>
      </c>
      <c r="G1786" s="32">
        <v>28</v>
      </c>
      <c r="H1786" s="33">
        <v>0</v>
      </c>
      <c r="I1786" s="34">
        <v>4507.7018571914004</v>
      </c>
      <c r="J1786" s="34">
        <v>126215.65200135901</v>
      </c>
      <c r="K1786" s="31" t="s">
        <v>3330</v>
      </c>
      <c r="L1786" s="31">
        <v>24</v>
      </c>
      <c r="M1786" s="31" t="s">
        <v>4190</v>
      </c>
      <c r="N1786" s="34">
        <v>1</v>
      </c>
      <c r="O1786" s="35">
        <v>0</v>
      </c>
      <c r="P1786" s="35">
        <v>1</v>
      </c>
      <c r="Q1786" s="35">
        <v>0</v>
      </c>
      <c r="R1786" s="36">
        <v>19.02</v>
      </c>
      <c r="S1786" s="37">
        <f>IFERROR(_xlfn.XLOOKUP(R1786,'1_Presupuesto'!$E:$E,'1_Presupuesto'!$D:$D),"")</f>
        <v>0</v>
      </c>
    </row>
    <row r="1787" spans="1:19" x14ac:dyDescent="0.35">
      <c r="A1787" s="31" t="s">
        <v>3329</v>
      </c>
      <c r="B1787" s="31" t="s">
        <v>497</v>
      </c>
      <c r="C1787" s="31" t="s">
        <v>498</v>
      </c>
      <c r="D1787" s="31" t="s">
        <v>4191</v>
      </c>
      <c r="E1787" s="31" t="s">
        <v>4192</v>
      </c>
      <c r="F1787" s="31" t="s">
        <v>261</v>
      </c>
      <c r="G1787" s="32">
        <v>14</v>
      </c>
      <c r="H1787" s="33">
        <v>0</v>
      </c>
      <c r="I1787" s="34">
        <v>9878.3824182046992</v>
      </c>
      <c r="J1787" s="34">
        <v>138297.353854866</v>
      </c>
      <c r="K1787" s="31" t="s">
        <v>3330</v>
      </c>
      <c r="L1787" s="31">
        <v>25</v>
      </c>
      <c r="M1787" s="31" t="s">
        <v>4193</v>
      </c>
      <c r="N1787" s="34">
        <v>1</v>
      </c>
      <c r="O1787" s="35">
        <v>0</v>
      </c>
      <c r="P1787" s="35">
        <v>1</v>
      </c>
      <c r="Q1787" s="35">
        <v>0</v>
      </c>
      <c r="R1787" s="36">
        <v>19.02</v>
      </c>
      <c r="S1787" s="37">
        <f>IFERROR(_xlfn.XLOOKUP(R1787,'1_Presupuesto'!$E:$E,'1_Presupuesto'!$D:$D),"")</f>
        <v>0</v>
      </c>
    </row>
    <row r="1788" spans="1:19" x14ac:dyDescent="0.35">
      <c r="A1788" s="31" t="s">
        <v>3329</v>
      </c>
      <c r="B1788" s="31" t="s">
        <v>497</v>
      </c>
      <c r="C1788" s="31" t="s">
        <v>498</v>
      </c>
      <c r="D1788" s="31" t="s">
        <v>4194</v>
      </c>
      <c r="E1788" s="31" t="s">
        <v>4195</v>
      </c>
      <c r="F1788" s="31" t="s">
        <v>261</v>
      </c>
      <c r="G1788" s="32">
        <v>39</v>
      </c>
      <c r="H1788" s="33">
        <v>0</v>
      </c>
      <c r="I1788" s="34">
        <v>9863.9863492118002</v>
      </c>
      <c r="J1788" s="34">
        <v>384695.46761926002</v>
      </c>
      <c r="K1788" s="31" t="s">
        <v>3330</v>
      </c>
      <c r="L1788" s="31">
        <v>26</v>
      </c>
      <c r="M1788" s="31" t="s">
        <v>4196</v>
      </c>
      <c r="N1788" s="34">
        <v>1</v>
      </c>
      <c r="O1788" s="35">
        <v>0</v>
      </c>
      <c r="P1788" s="35">
        <v>1</v>
      </c>
      <c r="Q1788" s="35">
        <v>0</v>
      </c>
      <c r="R1788" s="36">
        <v>19.02</v>
      </c>
      <c r="S1788" s="37">
        <f>IFERROR(_xlfn.XLOOKUP(R1788,'1_Presupuesto'!$E:$E,'1_Presupuesto'!$D:$D),"")</f>
        <v>0</v>
      </c>
    </row>
    <row r="1789" spans="1:19" x14ac:dyDescent="0.35">
      <c r="A1789" s="31" t="s">
        <v>3329</v>
      </c>
      <c r="B1789" s="31" t="s">
        <v>497</v>
      </c>
      <c r="C1789" s="31" t="s">
        <v>498</v>
      </c>
      <c r="D1789" s="31" t="s">
        <v>4124</v>
      </c>
      <c r="E1789" s="31" t="s">
        <v>4125</v>
      </c>
      <c r="F1789" s="31" t="s">
        <v>261</v>
      </c>
      <c r="G1789" s="32">
        <v>28</v>
      </c>
      <c r="H1789" s="33">
        <v>0</v>
      </c>
      <c r="I1789" s="34">
        <v>6417.2898399489004</v>
      </c>
      <c r="J1789" s="34">
        <v>179684.11551856899</v>
      </c>
      <c r="K1789" s="31" t="s">
        <v>3330</v>
      </c>
      <c r="L1789" s="31">
        <v>27</v>
      </c>
      <c r="M1789" s="31" t="s">
        <v>4197</v>
      </c>
      <c r="N1789" s="34">
        <v>1</v>
      </c>
      <c r="O1789" s="35">
        <v>0</v>
      </c>
      <c r="P1789" s="35">
        <v>1</v>
      </c>
      <c r="Q1789" s="35">
        <v>0</v>
      </c>
      <c r="R1789" s="36">
        <v>19.02</v>
      </c>
      <c r="S1789" s="37">
        <f>IFERROR(_xlfn.XLOOKUP(R1789,'1_Presupuesto'!$E:$E,'1_Presupuesto'!$D:$D),"")</f>
        <v>0</v>
      </c>
    </row>
    <row r="1790" spans="1:19" x14ac:dyDescent="0.35">
      <c r="A1790" s="31" t="s">
        <v>3329</v>
      </c>
      <c r="B1790" s="31" t="s">
        <v>497</v>
      </c>
      <c r="C1790" s="31" t="s">
        <v>498</v>
      </c>
      <c r="D1790" s="31" t="s">
        <v>4198</v>
      </c>
      <c r="E1790" s="31" t="s">
        <v>4199</v>
      </c>
      <c r="F1790" s="31" t="s">
        <v>261</v>
      </c>
      <c r="G1790" s="32">
        <v>25</v>
      </c>
      <c r="H1790" s="33">
        <v>0</v>
      </c>
      <c r="I1790" s="34">
        <v>3447.2882759255999</v>
      </c>
      <c r="J1790" s="34">
        <v>86182.206898139993</v>
      </c>
      <c r="K1790" s="31" t="s">
        <v>3330</v>
      </c>
      <c r="L1790" s="31">
        <v>28</v>
      </c>
      <c r="M1790" s="31" t="s">
        <v>4200</v>
      </c>
      <c r="N1790" s="34">
        <v>1</v>
      </c>
      <c r="O1790" s="35">
        <v>0</v>
      </c>
      <c r="P1790" s="35">
        <v>1</v>
      </c>
      <c r="Q1790" s="35">
        <v>0</v>
      </c>
      <c r="R1790" s="36">
        <v>19.02</v>
      </c>
      <c r="S1790" s="37">
        <f>IFERROR(_xlfn.XLOOKUP(R1790,'1_Presupuesto'!$E:$E,'1_Presupuesto'!$D:$D),"")</f>
        <v>0</v>
      </c>
    </row>
    <row r="1791" spans="1:19" x14ac:dyDescent="0.35">
      <c r="A1791" s="31" t="s">
        <v>3329</v>
      </c>
      <c r="B1791" s="31" t="s">
        <v>497</v>
      </c>
      <c r="C1791" s="31" t="s">
        <v>498</v>
      </c>
      <c r="D1791" s="31" t="s">
        <v>597</v>
      </c>
      <c r="E1791" s="31" t="s">
        <v>598</v>
      </c>
      <c r="F1791" s="31" t="s">
        <v>218</v>
      </c>
      <c r="G1791" s="32">
        <v>718271.31</v>
      </c>
      <c r="H1791" s="33">
        <v>0</v>
      </c>
      <c r="I1791" s="34">
        <v>1</v>
      </c>
      <c r="J1791" s="34">
        <v>718271.31</v>
      </c>
      <c r="K1791" s="31" t="s">
        <v>3330</v>
      </c>
      <c r="L1791" s="31">
        <v>29</v>
      </c>
      <c r="M1791" s="31" t="s">
        <v>4201</v>
      </c>
      <c r="N1791" s="34">
        <v>1</v>
      </c>
      <c r="O1791" s="35">
        <v>0</v>
      </c>
      <c r="P1791" s="35">
        <v>1</v>
      </c>
      <c r="Q1791" s="35">
        <v>0</v>
      </c>
      <c r="R1791" s="36">
        <v>19.02</v>
      </c>
      <c r="S1791" s="37">
        <f>IFERROR(_xlfn.XLOOKUP(R1791,'1_Presupuesto'!$E:$E,'1_Presupuesto'!$D:$D),"")</f>
        <v>0</v>
      </c>
    </row>
    <row r="1792" spans="1:19" x14ac:dyDescent="0.35">
      <c r="A1792" s="31" t="s">
        <v>3345</v>
      </c>
      <c r="B1792" s="31" t="s">
        <v>497</v>
      </c>
      <c r="C1792" s="31" t="s">
        <v>498</v>
      </c>
      <c r="D1792" s="31" t="s">
        <v>4115</v>
      </c>
      <c r="E1792" s="31" t="s">
        <v>4116</v>
      </c>
      <c r="F1792" s="31" t="s">
        <v>261</v>
      </c>
      <c r="G1792" s="32">
        <v>7</v>
      </c>
      <c r="H1792" s="33">
        <v>0</v>
      </c>
      <c r="I1792" s="34">
        <v>4922.6056034577005</v>
      </c>
      <c r="J1792" s="34">
        <v>34458.239224203899</v>
      </c>
      <c r="K1792" s="31" t="s">
        <v>3346</v>
      </c>
      <c r="L1792" s="31">
        <v>2</v>
      </c>
      <c r="M1792" s="31" t="s">
        <v>4202</v>
      </c>
      <c r="N1792" s="34">
        <v>1</v>
      </c>
      <c r="O1792" s="35">
        <v>0</v>
      </c>
      <c r="P1792" s="35">
        <v>1</v>
      </c>
      <c r="Q1792" s="35">
        <v>0</v>
      </c>
      <c r="R1792" s="36">
        <v>19.04</v>
      </c>
      <c r="S1792" s="37">
        <f>IFERROR(_xlfn.XLOOKUP(R1792,'1_Presupuesto'!$E:$E,'1_Presupuesto'!$D:$D),"")</f>
        <v>0</v>
      </c>
    </row>
    <row r="1793" spans="1:19" x14ac:dyDescent="0.35">
      <c r="A1793" s="31" t="s">
        <v>3345</v>
      </c>
      <c r="B1793" s="31" t="s">
        <v>497</v>
      </c>
      <c r="C1793" s="31" t="s">
        <v>498</v>
      </c>
      <c r="D1793" s="31" t="s">
        <v>4103</v>
      </c>
      <c r="E1793" s="31" t="s">
        <v>4104</v>
      </c>
      <c r="F1793" s="31" t="s">
        <v>261</v>
      </c>
      <c r="G1793" s="32">
        <v>7</v>
      </c>
      <c r="H1793" s="33">
        <v>0</v>
      </c>
      <c r="I1793" s="34">
        <v>2245.1196804732999</v>
      </c>
      <c r="J1793" s="34">
        <v>15715.8377633131</v>
      </c>
      <c r="K1793" s="31" t="s">
        <v>3346</v>
      </c>
      <c r="L1793" s="31">
        <v>3</v>
      </c>
      <c r="M1793" s="31" t="s">
        <v>4203</v>
      </c>
      <c r="N1793" s="34">
        <v>1</v>
      </c>
      <c r="O1793" s="35">
        <v>0</v>
      </c>
      <c r="P1793" s="35">
        <v>1</v>
      </c>
      <c r="Q1793" s="35">
        <v>0</v>
      </c>
      <c r="R1793" s="36">
        <v>19.04</v>
      </c>
      <c r="S1793" s="37">
        <f>IFERROR(_xlfn.XLOOKUP(R1793,'1_Presupuesto'!$E:$E,'1_Presupuesto'!$D:$D),"")</f>
        <v>0</v>
      </c>
    </row>
    <row r="1794" spans="1:19" x14ac:dyDescent="0.35">
      <c r="A1794" s="31" t="s">
        <v>3345</v>
      </c>
      <c r="B1794" s="31" t="s">
        <v>497</v>
      </c>
      <c r="C1794" s="31" t="s">
        <v>498</v>
      </c>
      <c r="D1794" s="31" t="s">
        <v>4106</v>
      </c>
      <c r="E1794" s="31" t="s">
        <v>4107</v>
      </c>
      <c r="F1794" s="31" t="s">
        <v>261</v>
      </c>
      <c r="G1794" s="32">
        <v>7</v>
      </c>
      <c r="H1794" s="33">
        <v>0</v>
      </c>
      <c r="I1794" s="34">
        <v>2066.7612083541999</v>
      </c>
      <c r="J1794" s="34">
        <v>14467.3284584794</v>
      </c>
      <c r="K1794" s="31" t="s">
        <v>3346</v>
      </c>
      <c r="L1794" s="31">
        <v>4</v>
      </c>
      <c r="M1794" s="31" t="s">
        <v>4204</v>
      </c>
      <c r="N1794" s="34">
        <v>1</v>
      </c>
      <c r="O1794" s="35">
        <v>0</v>
      </c>
      <c r="P1794" s="35">
        <v>1</v>
      </c>
      <c r="Q1794" s="35">
        <v>0</v>
      </c>
      <c r="R1794" s="36">
        <v>19.04</v>
      </c>
      <c r="S1794" s="37">
        <f>IFERROR(_xlfn.XLOOKUP(R1794,'1_Presupuesto'!$E:$E,'1_Presupuesto'!$D:$D),"")</f>
        <v>0</v>
      </c>
    </row>
    <row r="1795" spans="1:19" x14ac:dyDescent="0.35">
      <c r="A1795" s="31" t="s">
        <v>3345</v>
      </c>
      <c r="B1795" s="31" t="s">
        <v>497</v>
      </c>
      <c r="C1795" s="31" t="s">
        <v>498</v>
      </c>
      <c r="D1795" s="31" t="s">
        <v>4109</v>
      </c>
      <c r="E1795" s="31" t="s">
        <v>4110</v>
      </c>
      <c r="F1795" s="31" t="s">
        <v>261</v>
      </c>
      <c r="G1795" s="32">
        <v>6</v>
      </c>
      <c r="H1795" s="33">
        <v>0</v>
      </c>
      <c r="I1795" s="34">
        <v>4732.8959708098</v>
      </c>
      <c r="J1795" s="34">
        <v>28397.375824858798</v>
      </c>
      <c r="K1795" s="31" t="s">
        <v>3346</v>
      </c>
      <c r="L1795" s="31">
        <v>5</v>
      </c>
      <c r="M1795" s="31" t="s">
        <v>4205</v>
      </c>
      <c r="N1795" s="34">
        <v>1</v>
      </c>
      <c r="O1795" s="35">
        <v>0</v>
      </c>
      <c r="P1795" s="35">
        <v>1</v>
      </c>
      <c r="Q1795" s="35">
        <v>0</v>
      </c>
      <c r="R1795" s="36">
        <v>19.04</v>
      </c>
      <c r="S1795" s="37">
        <f>IFERROR(_xlfn.XLOOKUP(R1795,'1_Presupuesto'!$E:$E,'1_Presupuesto'!$D:$D),"")</f>
        <v>0</v>
      </c>
    </row>
    <row r="1796" spans="1:19" x14ac:dyDescent="0.35">
      <c r="A1796" s="31" t="s">
        <v>3345</v>
      </c>
      <c r="B1796" s="31" t="s">
        <v>497</v>
      </c>
      <c r="C1796" s="31" t="s">
        <v>498</v>
      </c>
      <c r="D1796" s="31" t="s">
        <v>4206</v>
      </c>
      <c r="E1796" s="31" t="s">
        <v>4207</v>
      </c>
      <c r="F1796" s="31" t="s">
        <v>261</v>
      </c>
      <c r="G1796" s="32">
        <v>0.21</v>
      </c>
      <c r="H1796" s="33">
        <v>0</v>
      </c>
      <c r="I1796" s="34">
        <v>76135.192499870507</v>
      </c>
      <c r="J1796" s="34">
        <v>15988.3904249728</v>
      </c>
      <c r="K1796" s="31" t="s">
        <v>3346</v>
      </c>
      <c r="L1796" s="31">
        <v>6</v>
      </c>
      <c r="M1796" s="31" t="s">
        <v>4208</v>
      </c>
      <c r="N1796" s="34">
        <v>1</v>
      </c>
      <c r="O1796" s="35">
        <v>0</v>
      </c>
      <c r="P1796" s="35">
        <v>1</v>
      </c>
      <c r="Q1796" s="35">
        <v>0</v>
      </c>
      <c r="R1796" s="36">
        <v>19.04</v>
      </c>
      <c r="S1796" s="37">
        <f>IFERROR(_xlfn.XLOOKUP(R1796,'1_Presupuesto'!$E:$E,'1_Presupuesto'!$D:$D),"")</f>
        <v>0</v>
      </c>
    </row>
    <row r="1797" spans="1:19" x14ac:dyDescent="0.35">
      <c r="A1797" s="31" t="s">
        <v>3345</v>
      </c>
      <c r="B1797" s="31" t="s">
        <v>497</v>
      </c>
      <c r="C1797" s="31" t="s">
        <v>498</v>
      </c>
      <c r="D1797" s="31" t="s">
        <v>4112</v>
      </c>
      <c r="E1797" s="31" t="s">
        <v>4113</v>
      </c>
      <c r="F1797" s="31" t="s">
        <v>261</v>
      </c>
      <c r="G1797" s="32">
        <v>21</v>
      </c>
      <c r="H1797" s="33">
        <v>0</v>
      </c>
      <c r="I1797" s="34">
        <v>696.15430192739996</v>
      </c>
      <c r="J1797" s="34">
        <v>14619.2403404754</v>
      </c>
      <c r="K1797" s="31" t="s">
        <v>3346</v>
      </c>
      <c r="L1797" s="31">
        <v>7</v>
      </c>
      <c r="M1797" s="31" t="s">
        <v>4209</v>
      </c>
      <c r="N1797" s="34">
        <v>1</v>
      </c>
      <c r="O1797" s="35">
        <v>0</v>
      </c>
      <c r="P1797" s="35">
        <v>1</v>
      </c>
      <c r="Q1797" s="35">
        <v>0</v>
      </c>
      <c r="R1797" s="36">
        <v>19.04</v>
      </c>
      <c r="S1797" s="37">
        <f>IFERROR(_xlfn.XLOOKUP(R1797,'1_Presupuesto'!$E:$E,'1_Presupuesto'!$D:$D),"")</f>
        <v>0</v>
      </c>
    </row>
    <row r="1798" spans="1:19" x14ac:dyDescent="0.35">
      <c r="A1798" s="31" t="s">
        <v>3345</v>
      </c>
      <c r="B1798" s="31" t="s">
        <v>497</v>
      </c>
      <c r="C1798" s="31" t="s">
        <v>498</v>
      </c>
      <c r="D1798" s="31" t="s">
        <v>4194</v>
      </c>
      <c r="E1798" s="31" t="s">
        <v>4195</v>
      </c>
      <c r="F1798" s="31" t="s">
        <v>261</v>
      </c>
      <c r="G1798" s="32">
        <v>3</v>
      </c>
      <c r="H1798" s="33">
        <v>0</v>
      </c>
      <c r="I1798" s="34">
        <v>9863.9863492118002</v>
      </c>
      <c r="J1798" s="34">
        <v>29591.959047635399</v>
      </c>
      <c r="K1798" s="31" t="s">
        <v>3346</v>
      </c>
      <c r="L1798" s="31">
        <v>8</v>
      </c>
      <c r="M1798" s="31" t="s">
        <v>4210</v>
      </c>
      <c r="N1798" s="34">
        <v>1</v>
      </c>
      <c r="O1798" s="35">
        <v>0</v>
      </c>
      <c r="P1798" s="35">
        <v>1</v>
      </c>
      <c r="Q1798" s="35">
        <v>0</v>
      </c>
      <c r="R1798" s="36">
        <v>19.04</v>
      </c>
      <c r="S1798" s="37">
        <f>IFERROR(_xlfn.XLOOKUP(R1798,'1_Presupuesto'!$E:$E,'1_Presupuesto'!$D:$D),"")</f>
        <v>0</v>
      </c>
    </row>
    <row r="1799" spans="1:19" x14ac:dyDescent="0.35">
      <c r="A1799" s="31" t="s">
        <v>3345</v>
      </c>
      <c r="B1799" s="31" t="s">
        <v>497</v>
      </c>
      <c r="C1799" s="31" t="s">
        <v>498</v>
      </c>
      <c r="D1799" s="31" t="s">
        <v>597</v>
      </c>
      <c r="E1799" s="31" t="s">
        <v>598</v>
      </c>
      <c r="F1799" s="31" t="s">
        <v>218</v>
      </c>
      <c r="G1799" s="32">
        <v>76777.460000000006</v>
      </c>
      <c r="H1799" s="33">
        <v>0</v>
      </c>
      <c r="I1799" s="34">
        <v>1</v>
      </c>
      <c r="J1799" s="34">
        <v>76777.460000000006</v>
      </c>
      <c r="K1799" s="31" t="s">
        <v>3346</v>
      </c>
      <c r="L1799" s="31">
        <v>9</v>
      </c>
      <c r="M1799" s="31" t="s">
        <v>4211</v>
      </c>
      <c r="N1799" s="34">
        <v>1</v>
      </c>
      <c r="O1799" s="35">
        <v>0</v>
      </c>
      <c r="P1799" s="35">
        <v>1</v>
      </c>
      <c r="Q1799" s="35">
        <v>0</v>
      </c>
      <c r="R1799" s="36">
        <v>19.04</v>
      </c>
      <c r="S1799" s="37">
        <f>IFERROR(_xlfn.XLOOKUP(R1799,'1_Presupuesto'!$E:$E,'1_Presupuesto'!$D:$D),"")</f>
        <v>0</v>
      </c>
    </row>
    <row r="1800" spans="1:19" x14ac:dyDescent="0.35">
      <c r="A1800" s="31" t="s">
        <v>3428</v>
      </c>
      <c r="B1800" s="31" t="s">
        <v>497</v>
      </c>
      <c r="C1800" s="31" t="s">
        <v>498</v>
      </c>
      <c r="D1800" s="31" t="s">
        <v>4212</v>
      </c>
      <c r="E1800" s="31" t="s">
        <v>4213</v>
      </c>
      <c r="F1800" s="31" t="s">
        <v>261</v>
      </c>
      <c r="G1800" s="32">
        <v>67</v>
      </c>
      <c r="H1800" s="33">
        <v>0</v>
      </c>
      <c r="I1800" s="34">
        <v>3243.9464912492999</v>
      </c>
      <c r="J1800" s="34">
        <v>217344.41491370299</v>
      </c>
      <c r="K1800" s="31" t="s">
        <v>3431</v>
      </c>
      <c r="L1800" s="31">
        <v>2</v>
      </c>
      <c r="M1800" s="31" t="s">
        <v>4214</v>
      </c>
      <c r="N1800" s="34">
        <v>1</v>
      </c>
      <c r="O1800" s="35">
        <v>0</v>
      </c>
      <c r="P1800" s="35">
        <v>1</v>
      </c>
      <c r="Q1800" s="35">
        <v>0</v>
      </c>
      <c r="R1800" s="36">
        <v>19.14</v>
      </c>
      <c r="S1800" s="37">
        <f>IFERROR(_xlfn.XLOOKUP(R1800,'1_Presupuesto'!$E:$E,'1_Presupuesto'!$D:$D),"")</f>
        <v>0</v>
      </c>
    </row>
    <row r="1801" spans="1:19" x14ac:dyDescent="0.35">
      <c r="A1801" s="31" t="s">
        <v>3428</v>
      </c>
      <c r="B1801" s="31" t="s">
        <v>497</v>
      </c>
      <c r="C1801" s="31" t="s">
        <v>498</v>
      </c>
      <c r="D1801" s="31" t="s">
        <v>4215</v>
      </c>
      <c r="E1801" s="31" t="s">
        <v>4216</v>
      </c>
      <c r="F1801" s="31" t="s">
        <v>261</v>
      </c>
      <c r="G1801" s="32">
        <v>156</v>
      </c>
      <c r="H1801" s="33">
        <v>0</v>
      </c>
      <c r="I1801" s="34">
        <v>452.99200055249997</v>
      </c>
      <c r="J1801" s="34">
        <v>70666.752086189997</v>
      </c>
      <c r="K1801" s="31" t="s">
        <v>3431</v>
      </c>
      <c r="L1801" s="31">
        <v>3</v>
      </c>
      <c r="M1801" s="31" t="s">
        <v>4217</v>
      </c>
      <c r="N1801" s="34">
        <v>1</v>
      </c>
      <c r="O1801" s="35">
        <v>0</v>
      </c>
      <c r="P1801" s="35">
        <v>1</v>
      </c>
      <c r="Q1801" s="35">
        <v>0</v>
      </c>
      <c r="R1801" s="36">
        <v>19.14</v>
      </c>
      <c r="S1801" s="37">
        <f>IFERROR(_xlfn.XLOOKUP(R1801,'1_Presupuesto'!$E:$E,'1_Presupuesto'!$D:$D),"")</f>
        <v>0</v>
      </c>
    </row>
    <row r="1802" spans="1:19" x14ac:dyDescent="0.35">
      <c r="A1802" s="31" t="s">
        <v>3428</v>
      </c>
      <c r="B1802" s="31" t="s">
        <v>497</v>
      </c>
      <c r="C1802" s="31" t="s">
        <v>498</v>
      </c>
      <c r="D1802" s="31" t="s">
        <v>4218</v>
      </c>
      <c r="E1802" s="31" t="s">
        <v>4219</v>
      </c>
      <c r="F1802" s="31" t="s">
        <v>261</v>
      </c>
      <c r="G1802" s="32">
        <v>39</v>
      </c>
      <c r="H1802" s="33">
        <v>0</v>
      </c>
      <c r="I1802" s="34">
        <v>452.99200055249997</v>
      </c>
      <c r="J1802" s="34">
        <v>17666.688021547499</v>
      </c>
      <c r="K1802" s="31" t="s">
        <v>3431</v>
      </c>
      <c r="L1802" s="31">
        <v>4</v>
      </c>
      <c r="M1802" s="31" t="s">
        <v>4220</v>
      </c>
      <c r="N1802" s="34">
        <v>1</v>
      </c>
      <c r="O1802" s="35">
        <v>0</v>
      </c>
      <c r="P1802" s="35">
        <v>1</v>
      </c>
      <c r="Q1802" s="35">
        <v>0</v>
      </c>
      <c r="R1802" s="36">
        <v>19.14</v>
      </c>
      <c r="S1802" s="37">
        <f>IFERROR(_xlfn.XLOOKUP(R1802,'1_Presupuesto'!$E:$E,'1_Presupuesto'!$D:$D),"")</f>
        <v>0</v>
      </c>
    </row>
    <row r="1803" spans="1:19" x14ac:dyDescent="0.35">
      <c r="A1803" s="31" t="s">
        <v>3428</v>
      </c>
      <c r="B1803" s="31" t="s">
        <v>497</v>
      </c>
      <c r="C1803" s="31" t="s">
        <v>498</v>
      </c>
      <c r="D1803" s="31" t="s">
        <v>4174</v>
      </c>
      <c r="E1803" s="31" t="s">
        <v>4175</v>
      </c>
      <c r="F1803" s="31" t="s">
        <v>261</v>
      </c>
      <c r="G1803" s="32">
        <v>66</v>
      </c>
      <c r="H1803" s="33">
        <v>0</v>
      </c>
      <c r="I1803" s="34">
        <v>424.1891031728</v>
      </c>
      <c r="J1803" s="34">
        <v>27996.480809404798</v>
      </c>
      <c r="K1803" s="31" t="s">
        <v>3431</v>
      </c>
      <c r="L1803" s="31">
        <v>5</v>
      </c>
      <c r="M1803" s="31" t="s">
        <v>4221</v>
      </c>
      <c r="N1803" s="34">
        <v>1</v>
      </c>
      <c r="O1803" s="35">
        <v>0</v>
      </c>
      <c r="P1803" s="35">
        <v>1</v>
      </c>
      <c r="Q1803" s="35">
        <v>0</v>
      </c>
      <c r="R1803" s="36">
        <v>19.14</v>
      </c>
      <c r="S1803" s="37">
        <f>IFERROR(_xlfn.XLOOKUP(R1803,'1_Presupuesto'!$E:$E,'1_Presupuesto'!$D:$D),"")</f>
        <v>0</v>
      </c>
    </row>
    <row r="1804" spans="1:19" x14ac:dyDescent="0.35">
      <c r="A1804" s="31" t="s">
        <v>3428</v>
      </c>
      <c r="B1804" s="31" t="s">
        <v>497</v>
      </c>
      <c r="C1804" s="31" t="s">
        <v>498</v>
      </c>
      <c r="D1804" s="31" t="s">
        <v>4222</v>
      </c>
      <c r="E1804" s="31" t="s">
        <v>4223</v>
      </c>
      <c r="F1804" s="31" t="s">
        <v>261</v>
      </c>
      <c r="G1804" s="32">
        <v>11</v>
      </c>
      <c r="H1804" s="33">
        <v>0</v>
      </c>
      <c r="I1804" s="34">
        <v>2240.2994720213001</v>
      </c>
      <c r="J1804" s="34">
        <v>24643.294192234302</v>
      </c>
      <c r="K1804" s="31" t="s">
        <v>3431</v>
      </c>
      <c r="L1804" s="31">
        <v>6</v>
      </c>
      <c r="M1804" s="31" t="s">
        <v>4224</v>
      </c>
      <c r="N1804" s="34">
        <v>1</v>
      </c>
      <c r="O1804" s="35">
        <v>0</v>
      </c>
      <c r="P1804" s="35">
        <v>1</v>
      </c>
      <c r="Q1804" s="35">
        <v>0</v>
      </c>
      <c r="R1804" s="36">
        <v>19.14</v>
      </c>
      <c r="S1804" s="37">
        <f>IFERROR(_xlfn.XLOOKUP(R1804,'1_Presupuesto'!$E:$E,'1_Presupuesto'!$D:$D),"")</f>
        <v>0</v>
      </c>
    </row>
    <row r="1805" spans="1:19" x14ac:dyDescent="0.35">
      <c r="A1805" s="31" t="s">
        <v>3428</v>
      </c>
      <c r="B1805" s="31" t="s">
        <v>497</v>
      </c>
      <c r="C1805" s="31" t="s">
        <v>498</v>
      </c>
      <c r="D1805" s="31" t="s">
        <v>4137</v>
      </c>
      <c r="E1805" s="31" t="s">
        <v>4138</v>
      </c>
      <c r="F1805" s="31" t="s">
        <v>261</v>
      </c>
      <c r="G1805" s="32">
        <v>11</v>
      </c>
      <c r="H1805" s="33">
        <v>0</v>
      </c>
      <c r="I1805" s="34">
        <v>8313.6868058265009</v>
      </c>
      <c r="J1805" s="34">
        <v>91450.554864091493</v>
      </c>
      <c r="K1805" s="31" t="s">
        <v>3431</v>
      </c>
      <c r="L1805" s="31">
        <v>7</v>
      </c>
      <c r="M1805" s="31" t="s">
        <v>4225</v>
      </c>
      <c r="N1805" s="34">
        <v>1</v>
      </c>
      <c r="O1805" s="35">
        <v>0</v>
      </c>
      <c r="P1805" s="35">
        <v>1</v>
      </c>
      <c r="Q1805" s="35">
        <v>0</v>
      </c>
      <c r="R1805" s="36">
        <v>19.14</v>
      </c>
      <c r="S1805" s="37">
        <f>IFERROR(_xlfn.XLOOKUP(R1805,'1_Presupuesto'!$E:$E,'1_Presupuesto'!$D:$D),"")</f>
        <v>0</v>
      </c>
    </row>
    <row r="1806" spans="1:19" x14ac:dyDescent="0.35">
      <c r="A1806" s="31" t="s">
        <v>3428</v>
      </c>
      <c r="B1806" s="31" t="s">
        <v>497</v>
      </c>
      <c r="C1806" s="31" t="s">
        <v>498</v>
      </c>
      <c r="D1806" s="31" t="s">
        <v>597</v>
      </c>
      <c r="E1806" s="31" t="s">
        <v>598</v>
      </c>
      <c r="F1806" s="31" t="s">
        <v>218</v>
      </c>
      <c r="G1806" s="32">
        <v>175155.18</v>
      </c>
      <c r="H1806" s="33">
        <v>0</v>
      </c>
      <c r="I1806" s="34">
        <v>1</v>
      </c>
      <c r="J1806" s="34">
        <v>175155.18</v>
      </c>
      <c r="K1806" s="31" t="s">
        <v>3431</v>
      </c>
      <c r="L1806" s="31">
        <v>8</v>
      </c>
      <c r="M1806" s="31" t="s">
        <v>4226</v>
      </c>
      <c r="N1806" s="34">
        <v>1</v>
      </c>
      <c r="O1806" s="35">
        <v>0</v>
      </c>
      <c r="P1806" s="35">
        <v>1</v>
      </c>
      <c r="Q1806" s="35">
        <v>0</v>
      </c>
      <c r="R1806" s="36">
        <v>19.14</v>
      </c>
      <c r="S1806" s="37">
        <f>IFERROR(_xlfn.XLOOKUP(R1806,'1_Presupuesto'!$E:$E,'1_Presupuesto'!$D:$D),"")</f>
        <v>0</v>
      </c>
    </row>
    <row r="1807" spans="1:19" x14ac:dyDescent="0.35">
      <c r="A1807" s="31" t="s">
        <v>3446</v>
      </c>
      <c r="B1807" s="31" t="s">
        <v>497</v>
      </c>
      <c r="C1807" s="31" t="s">
        <v>498</v>
      </c>
      <c r="D1807" s="31" t="s">
        <v>4227</v>
      </c>
      <c r="E1807" s="31" t="s">
        <v>4228</v>
      </c>
      <c r="F1807" s="31" t="s">
        <v>261</v>
      </c>
      <c r="G1807" s="32">
        <v>4</v>
      </c>
      <c r="H1807" s="33">
        <v>0</v>
      </c>
      <c r="I1807" s="34">
        <v>5407.9080637901998</v>
      </c>
      <c r="J1807" s="34">
        <v>21631.632255160799</v>
      </c>
      <c r="K1807" s="31" t="s">
        <v>3450</v>
      </c>
      <c r="L1807" s="31">
        <v>2</v>
      </c>
      <c r="M1807" s="31" t="s">
        <v>4229</v>
      </c>
      <c r="N1807" s="34">
        <v>1</v>
      </c>
      <c r="O1807" s="35">
        <v>0</v>
      </c>
      <c r="P1807" s="35">
        <v>1</v>
      </c>
      <c r="Q1807" s="35">
        <v>0</v>
      </c>
      <c r="R1807" s="36">
        <v>19.16</v>
      </c>
      <c r="S1807" s="37">
        <f>IFERROR(_xlfn.XLOOKUP(R1807,'1_Presupuesto'!$E:$E,'1_Presupuesto'!$D:$D),"")</f>
        <v>0</v>
      </c>
    </row>
    <row r="1808" spans="1:19" x14ac:dyDescent="0.35">
      <c r="A1808" s="31" t="s">
        <v>3446</v>
      </c>
      <c r="B1808" s="31" t="s">
        <v>497</v>
      </c>
      <c r="C1808" s="31" t="s">
        <v>498</v>
      </c>
      <c r="D1808" s="31" t="s">
        <v>4230</v>
      </c>
      <c r="E1808" s="31" t="s">
        <v>4231</v>
      </c>
      <c r="F1808" s="31" t="s">
        <v>261</v>
      </c>
      <c r="G1808" s="32">
        <v>3</v>
      </c>
      <c r="H1808" s="33">
        <v>0</v>
      </c>
      <c r="I1808" s="34">
        <v>3865.0109833848001</v>
      </c>
      <c r="J1808" s="34">
        <v>11595.0329501544</v>
      </c>
      <c r="K1808" s="31" t="s">
        <v>3450</v>
      </c>
      <c r="L1808" s="31">
        <v>3</v>
      </c>
      <c r="M1808" s="31" t="s">
        <v>4232</v>
      </c>
      <c r="N1808" s="34">
        <v>1</v>
      </c>
      <c r="O1808" s="35">
        <v>0</v>
      </c>
      <c r="P1808" s="35">
        <v>1</v>
      </c>
      <c r="Q1808" s="35">
        <v>0</v>
      </c>
      <c r="R1808" s="36">
        <v>19.16</v>
      </c>
      <c r="S1808" s="37">
        <f>IFERROR(_xlfn.XLOOKUP(R1808,'1_Presupuesto'!$E:$E,'1_Presupuesto'!$D:$D),"")</f>
        <v>0</v>
      </c>
    </row>
    <row r="1809" spans="1:19" x14ac:dyDescent="0.35">
      <c r="A1809" s="31" t="s">
        <v>3446</v>
      </c>
      <c r="B1809" s="31" t="s">
        <v>497</v>
      </c>
      <c r="C1809" s="31" t="s">
        <v>498</v>
      </c>
      <c r="D1809" s="31" t="s">
        <v>4233</v>
      </c>
      <c r="E1809" s="31" t="s">
        <v>4234</v>
      </c>
      <c r="F1809" s="31" t="s">
        <v>261</v>
      </c>
      <c r="G1809" s="32">
        <v>1</v>
      </c>
      <c r="H1809" s="33">
        <v>0</v>
      </c>
      <c r="I1809" s="34">
        <v>4313.6239106337998</v>
      </c>
      <c r="J1809" s="34">
        <v>4313.6239106337998</v>
      </c>
      <c r="K1809" s="31" t="s">
        <v>3450</v>
      </c>
      <c r="L1809" s="31">
        <v>4</v>
      </c>
      <c r="M1809" s="31" t="s">
        <v>4235</v>
      </c>
      <c r="N1809" s="34">
        <v>1</v>
      </c>
      <c r="O1809" s="35">
        <v>0</v>
      </c>
      <c r="P1809" s="35">
        <v>1</v>
      </c>
      <c r="Q1809" s="35">
        <v>0</v>
      </c>
      <c r="R1809" s="36">
        <v>19.16</v>
      </c>
      <c r="S1809" s="37">
        <f>IFERROR(_xlfn.XLOOKUP(R1809,'1_Presupuesto'!$E:$E,'1_Presupuesto'!$D:$D),"")</f>
        <v>0</v>
      </c>
    </row>
    <row r="1810" spans="1:19" x14ac:dyDescent="0.35">
      <c r="A1810" s="31" t="s">
        <v>3446</v>
      </c>
      <c r="B1810" s="31" t="s">
        <v>497</v>
      </c>
      <c r="C1810" s="31" t="s">
        <v>498</v>
      </c>
      <c r="D1810" s="31" t="s">
        <v>4236</v>
      </c>
      <c r="E1810" s="31" t="s">
        <v>4237</v>
      </c>
      <c r="F1810" s="31" t="s">
        <v>261</v>
      </c>
      <c r="G1810" s="32">
        <v>1</v>
      </c>
      <c r="H1810" s="33">
        <v>0</v>
      </c>
      <c r="I1810" s="34">
        <v>94942.042730019501</v>
      </c>
      <c r="J1810" s="34">
        <v>94942.042730019501</v>
      </c>
      <c r="K1810" s="31" t="s">
        <v>3450</v>
      </c>
      <c r="L1810" s="31">
        <v>5</v>
      </c>
      <c r="M1810" s="31" t="s">
        <v>4238</v>
      </c>
      <c r="N1810" s="34">
        <v>1</v>
      </c>
      <c r="O1810" s="35">
        <v>0</v>
      </c>
      <c r="P1810" s="35">
        <v>1</v>
      </c>
      <c r="Q1810" s="35">
        <v>0</v>
      </c>
      <c r="R1810" s="36">
        <v>19.16</v>
      </c>
      <c r="S1810" s="37">
        <f>IFERROR(_xlfn.XLOOKUP(R1810,'1_Presupuesto'!$E:$E,'1_Presupuesto'!$D:$D),"")</f>
        <v>0</v>
      </c>
    </row>
    <row r="1811" spans="1:19" x14ac:dyDescent="0.35">
      <c r="A1811" s="31" t="s">
        <v>3446</v>
      </c>
      <c r="B1811" s="31" t="s">
        <v>497</v>
      </c>
      <c r="C1811" s="31" t="s">
        <v>498</v>
      </c>
      <c r="D1811" s="31" t="s">
        <v>4239</v>
      </c>
      <c r="E1811" s="31" t="s">
        <v>4240</v>
      </c>
      <c r="F1811" s="31" t="s">
        <v>261</v>
      </c>
      <c r="G1811" s="32">
        <v>1</v>
      </c>
      <c r="H1811" s="33">
        <v>0</v>
      </c>
      <c r="I1811" s="34">
        <v>4426.9741250137004</v>
      </c>
      <c r="J1811" s="34">
        <v>4426.9741250137004</v>
      </c>
      <c r="K1811" s="31" t="s">
        <v>3450</v>
      </c>
      <c r="L1811" s="31">
        <v>6</v>
      </c>
      <c r="M1811" s="31" t="s">
        <v>4241</v>
      </c>
      <c r="N1811" s="34">
        <v>1</v>
      </c>
      <c r="O1811" s="35">
        <v>0</v>
      </c>
      <c r="P1811" s="35">
        <v>1</v>
      </c>
      <c r="Q1811" s="35">
        <v>0</v>
      </c>
      <c r="R1811" s="36">
        <v>19.16</v>
      </c>
      <c r="S1811" s="37">
        <f>IFERROR(_xlfn.XLOOKUP(R1811,'1_Presupuesto'!$E:$E,'1_Presupuesto'!$D:$D),"")</f>
        <v>0</v>
      </c>
    </row>
    <row r="1812" spans="1:19" x14ac:dyDescent="0.35">
      <c r="A1812" s="31" t="s">
        <v>3446</v>
      </c>
      <c r="B1812" s="31" t="s">
        <v>497</v>
      </c>
      <c r="C1812" s="31" t="s">
        <v>498</v>
      </c>
      <c r="D1812" s="31" t="s">
        <v>4242</v>
      </c>
      <c r="E1812" s="31" t="s">
        <v>4243</v>
      </c>
      <c r="F1812" s="31" t="s">
        <v>261</v>
      </c>
      <c r="G1812" s="32">
        <v>1</v>
      </c>
      <c r="H1812" s="33">
        <v>0</v>
      </c>
      <c r="I1812" s="34">
        <v>139939.36647156699</v>
      </c>
      <c r="J1812" s="34">
        <v>139939.36647156699</v>
      </c>
      <c r="K1812" s="31" t="s">
        <v>3450</v>
      </c>
      <c r="L1812" s="31">
        <v>7</v>
      </c>
      <c r="M1812" s="31" t="s">
        <v>4244</v>
      </c>
      <c r="N1812" s="34">
        <v>1</v>
      </c>
      <c r="O1812" s="35">
        <v>0</v>
      </c>
      <c r="P1812" s="35">
        <v>1</v>
      </c>
      <c r="Q1812" s="35">
        <v>0</v>
      </c>
      <c r="R1812" s="36">
        <v>19.16</v>
      </c>
      <c r="S1812" s="37">
        <f>IFERROR(_xlfn.XLOOKUP(R1812,'1_Presupuesto'!$E:$E,'1_Presupuesto'!$D:$D),"")</f>
        <v>0</v>
      </c>
    </row>
    <row r="1813" spans="1:19" x14ac:dyDescent="0.35">
      <c r="A1813" s="31" t="s">
        <v>3446</v>
      </c>
      <c r="B1813" s="31" t="s">
        <v>497</v>
      </c>
      <c r="C1813" s="31" t="s">
        <v>498</v>
      </c>
      <c r="D1813" s="31" t="s">
        <v>4245</v>
      </c>
      <c r="E1813" s="31" t="s">
        <v>4246</v>
      </c>
      <c r="F1813" s="31" t="s">
        <v>3449</v>
      </c>
      <c r="G1813" s="32">
        <v>1</v>
      </c>
      <c r="H1813" s="33">
        <v>0</v>
      </c>
      <c r="I1813" s="34">
        <v>23660.6495098327</v>
      </c>
      <c r="J1813" s="34">
        <v>23660.6495098327</v>
      </c>
      <c r="K1813" s="31" t="s">
        <v>3450</v>
      </c>
      <c r="L1813" s="31">
        <v>8</v>
      </c>
      <c r="M1813" s="31" t="s">
        <v>4247</v>
      </c>
      <c r="N1813" s="34">
        <v>1</v>
      </c>
      <c r="O1813" s="35">
        <v>0</v>
      </c>
      <c r="P1813" s="35">
        <v>1</v>
      </c>
      <c r="Q1813" s="35">
        <v>0</v>
      </c>
      <c r="R1813" s="36">
        <v>19.16</v>
      </c>
      <c r="S1813" s="37">
        <f>IFERROR(_xlfn.XLOOKUP(R1813,'1_Presupuesto'!$E:$E,'1_Presupuesto'!$D:$D),"")</f>
        <v>0</v>
      </c>
    </row>
    <row r="1814" spans="1:19" x14ac:dyDescent="0.35">
      <c r="A1814" s="31" t="s">
        <v>3446</v>
      </c>
      <c r="B1814" s="31" t="s">
        <v>497</v>
      </c>
      <c r="C1814" s="31" t="s">
        <v>498</v>
      </c>
      <c r="D1814" s="31" t="s">
        <v>4248</v>
      </c>
      <c r="E1814" s="31" t="s">
        <v>4249</v>
      </c>
      <c r="F1814" s="31" t="s">
        <v>3449</v>
      </c>
      <c r="G1814" s="32">
        <v>14</v>
      </c>
      <c r="H1814" s="33">
        <v>0</v>
      </c>
      <c r="I1814" s="34">
        <v>34177.774104295102</v>
      </c>
      <c r="J1814" s="34">
        <v>478488.83746013098</v>
      </c>
      <c r="K1814" s="31" t="s">
        <v>3450</v>
      </c>
      <c r="L1814" s="31">
        <v>9</v>
      </c>
      <c r="M1814" s="31" t="s">
        <v>4250</v>
      </c>
      <c r="N1814" s="34">
        <v>1</v>
      </c>
      <c r="O1814" s="35">
        <v>0</v>
      </c>
      <c r="P1814" s="35">
        <v>1</v>
      </c>
      <c r="Q1814" s="35">
        <v>0</v>
      </c>
      <c r="R1814" s="36">
        <v>19.16</v>
      </c>
      <c r="S1814" s="37">
        <f>IFERROR(_xlfn.XLOOKUP(R1814,'1_Presupuesto'!$E:$E,'1_Presupuesto'!$D:$D),"")</f>
        <v>0</v>
      </c>
    </row>
    <row r="1815" spans="1:19" x14ac:dyDescent="0.35">
      <c r="A1815" s="31" t="s">
        <v>3446</v>
      </c>
      <c r="B1815" s="31" t="s">
        <v>497</v>
      </c>
      <c r="C1815" s="31" t="s">
        <v>498</v>
      </c>
      <c r="D1815" s="31" t="s">
        <v>4251</v>
      </c>
      <c r="E1815" s="31" t="s">
        <v>4252</v>
      </c>
      <c r="F1815" s="31" t="s">
        <v>261</v>
      </c>
      <c r="G1815" s="32">
        <v>3</v>
      </c>
      <c r="H1815" s="33">
        <v>0</v>
      </c>
      <c r="I1815" s="34">
        <v>1372.2208155067001</v>
      </c>
      <c r="J1815" s="34">
        <v>4116.6624465201003</v>
      </c>
      <c r="K1815" s="31" t="s">
        <v>3450</v>
      </c>
      <c r="L1815" s="31">
        <v>10</v>
      </c>
      <c r="M1815" s="31" t="s">
        <v>4253</v>
      </c>
      <c r="N1815" s="34">
        <v>1</v>
      </c>
      <c r="O1815" s="35">
        <v>0</v>
      </c>
      <c r="P1815" s="35">
        <v>1</v>
      </c>
      <c r="Q1815" s="35">
        <v>0</v>
      </c>
      <c r="R1815" s="36">
        <v>19.16</v>
      </c>
      <c r="S1815" s="37">
        <f>IFERROR(_xlfn.XLOOKUP(R1815,'1_Presupuesto'!$E:$E,'1_Presupuesto'!$D:$D),"")</f>
        <v>0</v>
      </c>
    </row>
    <row r="1816" spans="1:19" x14ac:dyDescent="0.35">
      <c r="A1816" s="31" t="s">
        <v>3446</v>
      </c>
      <c r="B1816" s="31" t="s">
        <v>497</v>
      </c>
      <c r="C1816" s="31" t="s">
        <v>498</v>
      </c>
      <c r="D1816" s="31" t="s">
        <v>4254</v>
      </c>
      <c r="E1816" s="31" t="s">
        <v>4255</v>
      </c>
      <c r="F1816" s="31" t="s">
        <v>261</v>
      </c>
      <c r="G1816" s="32">
        <v>14</v>
      </c>
      <c r="H1816" s="33">
        <v>0</v>
      </c>
      <c r="I1816" s="34">
        <v>6565.6080843936998</v>
      </c>
      <c r="J1816" s="34">
        <v>91918.513181511793</v>
      </c>
      <c r="K1816" s="31" t="s">
        <v>3450</v>
      </c>
      <c r="L1816" s="31">
        <v>11</v>
      </c>
      <c r="M1816" s="31" t="s">
        <v>4256</v>
      </c>
      <c r="N1816" s="34">
        <v>1</v>
      </c>
      <c r="O1816" s="35">
        <v>0</v>
      </c>
      <c r="P1816" s="35">
        <v>1</v>
      </c>
      <c r="Q1816" s="35">
        <v>0</v>
      </c>
      <c r="R1816" s="36">
        <v>19.16</v>
      </c>
      <c r="S1816" s="37">
        <f>IFERROR(_xlfn.XLOOKUP(R1816,'1_Presupuesto'!$E:$E,'1_Presupuesto'!$D:$D),"")</f>
        <v>0</v>
      </c>
    </row>
    <row r="1817" spans="1:19" x14ac:dyDescent="0.35">
      <c r="A1817" s="31" t="s">
        <v>3446</v>
      </c>
      <c r="B1817" s="31" t="s">
        <v>497</v>
      </c>
      <c r="C1817" s="31" t="s">
        <v>498</v>
      </c>
      <c r="D1817" s="31" t="s">
        <v>4257</v>
      </c>
      <c r="E1817" s="31" t="s">
        <v>4258</v>
      </c>
      <c r="F1817" s="31" t="s">
        <v>261</v>
      </c>
      <c r="G1817" s="32">
        <v>3</v>
      </c>
      <c r="H1817" s="33">
        <v>0</v>
      </c>
      <c r="I1817" s="34">
        <v>13292.8868210202</v>
      </c>
      <c r="J1817" s="34">
        <v>39878.660463060602</v>
      </c>
      <c r="K1817" s="31" t="s">
        <v>3450</v>
      </c>
      <c r="L1817" s="31">
        <v>12</v>
      </c>
      <c r="M1817" s="31" t="s">
        <v>4259</v>
      </c>
      <c r="N1817" s="34">
        <v>1</v>
      </c>
      <c r="O1817" s="35">
        <v>0</v>
      </c>
      <c r="P1817" s="35">
        <v>1</v>
      </c>
      <c r="Q1817" s="35">
        <v>0</v>
      </c>
      <c r="R1817" s="36">
        <v>19.16</v>
      </c>
      <c r="S1817" s="37">
        <f>IFERROR(_xlfn.XLOOKUP(R1817,'1_Presupuesto'!$E:$E,'1_Presupuesto'!$D:$D),"")</f>
        <v>0</v>
      </c>
    </row>
    <row r="1818" spans="1:19" x14ac:dyDescent="0.35">
      <c r="A1818" s="31" t="s">
        <v>3446</v>
      </c>
      <c r="B1818" s="31" t="s">
        <v>497</v>
      </c>
      <c r="C1818" s="31" t="s">
        <v>498</v>
      </c>
      <c r="D1818" s="31" t="s">
        <v>4260</v>
      </c>
      <c r="E1818" s="31" t="s">
        <v>4261</v>
      </c>
      <c r="F1818" s="31" t="s">
        <v>261</v>
      </c>
      <c r="G1818" s="32">
        <v>4</v>
      </c>
      <c r="H1818" s="33">
        <v>0</v>
      </c>
      <c r="I1818" s="34">
        <v>2394.2448794581001</v>
      </c>
      <c r="J1818" s="34">
        <v>9576.9795178324002</v>
      </c>
      <c r="K1818" s="31" t="s">
        <v>3450</v>
      </c>
      <c r="L1818" s="31">
        <v>13</v>
      </c>
      <c r="M1818" s="31" t="s">
        <v>4262</v>
      </c>
      <c r="N1818" s="34">
        <v>1</v>
      </c>
      <c r="O1818" s="35">
        <v>0</v>
      </c>
      <c r="P1818" s="35">
        <v>1</v>
      </c>
      <c r="Q1818" s="35">
        <v>0</v>
      </c>
      <c r="R1818" s="36">
        <v>19.16</v>
      </c>
      <c r="S1818" s="37">
        <f>IFERROR(_xlfn.XLOOKUP(R1818,'1_Presupuesto'!$E:$E,'1_Presupuesto'!$D:$D),"")</f>
        <v>0</v>
      </c>
    </row>
    <row r="1819" spans="1:19" x14ac:dyDescent="0.35">
      <c r="A1819" s="31" t="s">
        <v>3446</v>
      </c>
      <c r="B1819" s="31" t="s">
        <v>497</v>
      </c>
      <c r="C1819" s="31" t="s">
        <v>498</v>
      </c>
      <c r="D1819" s="31" t="s">
        <v>4263</v>
      </c>
      <c r="E1819" s="31" t="s">
        <v>4264</v>
      </c>
      <c r="F1819" s="31" t="s">
        <v>261</v>
      </c>
      <c r="G1819" s="32">
        <v>6</v>
      </c>
      <c r="H1819" s="33">
        <v>0</v>
      </c>
      <c r="I1819" s="34">
        <v>9913.7915834182004</v>
      </c>
      <c r="J1819" s="34">
        <v>59482.749500509199</v>
      </c>
      <c r="K1819" s="31" t="s">
        <v>3450</v>
      </c>
      <c r="L1819" s="31">
        <v>14</v>
      </c>
      <c r="M1819" s="31" t="s">
        <v>4265</v>
      </c>
      <c r="N1819" s="34">
        <v>1</v>
      </c>
      <c r="O1819" s="35">
        <v>0</v>
      </c>
      <c r="P1819" s="35">
        <v>1</v>
      </c>
      <c r="Q1819" s="35">
        <v>0</v>
      </c>
      <c r="R1819" s="36">
        <v>19.16</v>
      </c>
      <c r="S1819" s="37">
        <f>IFERROR(_xlfn.XLOOKUP(R1819,'1_Presupuesto'!$E:$E,'1_Presupuesto'!$D:$D),"")</f>
        <v>0</v>
      </c>
    </row>
    <row r="1820" spans="1:19" x14ac:dyDescent="0.35">
      <c r="A1820" s="31" t="s">
        <v>3446</v>
      </c>
      <c r="B1820" s="31" t="s">
        <v>497</v>
      </c>
      <c r="C1820" s="31" t="s">
        <v>498</v>
      </c>
      <c r="D1820" s="31" t="s">
        <v>4266</v>
      </c>
      <c r="E1820" s="31" t="s">
        <v>4267</v>
      </c>
      <c r="F1820" s="31" t="s">
        <v>261</v>
      </c>
      <c r="G1820" s="32">
        <v>3</v>
      </c>
      <c r="H1820" s="33">
        <v>0</v>
      </c>
      <c r="I1820" s="34">
        <v>1022.6158306139999</v>
      </c>
      <c r="J1820" s="34">
        <v>3067.8474918420002</v>
      </c>
      <c r="K1820" s="31" t="s">
        <v>3450</v>
      </c>
      <c r="L1820" s="31">
        <v>15</v>
      </c>
      <c r="M1820" s="31" t="s">
        <v>4268</v>
      </c>
      <c r="N1820" s="34">
        <v>1</v>
      </c>
      <c r="O1820" s="35">
        <v>0</v>
      </c>
      <c r="P1820" s="35">
        <v>1</v>
      </c>
      <c r="Q1820" s="35">
        <v>0</v>
      </c>
      <c r="R1820" s="36">
        <v>19.16</v>
      </c>
      <c r="S1820" s="37">
        <f>IFERROR(_xlfn.XLOOKUP(R1820,'1_Presupuesto'!$E:$E,'1_Presupuesto'!$D:$D),"")</f>
        <v>0</v>
      </c>
    </row>
    <row r="1821" spans="1:19" x14ac:dyDescent="0.35">
      <c r="A1821" s="31" t="s">
        <v>3446</v>
      </c>
      <c r="B1821" s="31" t="s">
        <v>497</v>
      </c>
      <c r="C1821" s="31" t="s">
        <v>498</v>
      </c>
      <c r="D1821" s="31" t="s">
        <v>4269</v>
      </c>
      <c r="E1821" s="31" t="s">
        <v>4270</v>
      </c>
      <c r="F1821" s="31" t="s">
        <v>261</v>
      </c>
      <c r="G1821" s="32">
        <v>3</v>
      </c>
      <c r="H1821" s="33">
        <v>0</v>
      </c>
      <c r="I1821" s="34">
        <v>1203.9331360463</v>
      </c>
      <c r="J1821" s="34">
        <v>3611.7994081389002</v>
      </c>
      <c r="K1821" s="31" t="s">
        <v>3450</v>
      </c>
      <c r="L1821" s="31">
        <v>16</v>
      </c>
      <c r="M1821" s="31" t="s">
        <v>4271</v>
      </c>
      <c r="N1821" s="34">
        <v>1</v>
      </c>
      <c r="O1821" s="35">
        <v>0</v>
      </c>
      <c r="P1821" s="35">
        <v>1</v>
      </c>
      <c r="Q1821" s="35">
        <v>0</v>
      </c>
      <c r="R1821" s="36">
        <v>19.16</v>
      </c>
      <c r="S1821" s="37">
        <f>IFERROR(_xlfn.XLOOKUP(R1821,'1_Presupuesto'!$E:$E,'1_Presupuesto'!$D:$D),"")</f>
        <v>0</v>
      </c>
    </row>
    <row r="1822" spans="1:19" x14ac:dyDescent="0.35">
      <c r="A1822" s="31" t="s">
        <v>3446</v>
      </c>
      <c r="B1822" s="31" t="s">
        <v>497</v>
      </c>
      <c r="C1822" s="31" t="s">
        <v>498</v>
      </c>
      <c r="D1822" s="31" t="s">
        <v>4272</v>
      </c>
      <c r="E1822" s="31" t="s">
        <v>4273</v>
      </c>
      <c r="F1822" s="31" t="s">
        <v>261</v>
      </c>
      <c r="G1822" s="32">
        <v>3</v>
      </c>
      <c r="H1822" s="33">
        <v>0</v>
      </c>
      <c r="I1822" s="34">
        <v>6447.6098118637001</v>
      </c>
      <c r="J1822" s="34">
        <v>19342.829435591098</v>
      </c>
      <c r="K1822" s="31" t="s">
        <v>3450</v>
      </c>
      <c r="L1822" s="31">
        <v>17</v>
      </c>
      <c r="M1822" s="31" t="s">
        <v>4274</v>
      </c>
      <c r="N1822" s="34">
        <v>1</v>
      </c>
      <c r="O1822" s="35">
        <v>0</v>
      </c>
      <c r="P1822" s="35">
        <v>1</v>
      </c>
      <c r="Q1822" s="35">
        <v>0</v>
      </c>
      <c r="R1822" s="36">
        <v>19.16</v>
      </c>
      <c r="S1822" s="37">
        <f>IFERROR(_xlfn.XLOOKUP(R1822,'1_Presupuesto'!$E:$E,'1_Presupuesto'!$D:$D),"")</f>
        <v>0</v>
      </c>
    </row>
    <row r="1823" spans="1:19" x14ac:dyDescent="0.35">
      <c r="A1823" s="31" t="s">
        <v>3446</v>
      </c>
      <c r="B1823" s="31" t="s">
        <v>497</v>
      </c>
      <c r="C1823" s="31" t="s">
        <v>498</v>
      </c>
      <c r="D1823" s="31" t="s">
        <v>4275</v>
      </c>
      <c r="E1823" s="31" t="s">
        <v>4276</v>
      </c>
      <c r="F1823" s="31" t="s">
        <v>261</v>
      </c>
      <c r="G1823" s="32">
        <v>3</v>
      </c>
      <c r="H1823" s="33">
        <v>0</v>
      </c>
      <c r="I1823" s="34">
        <v>2873.9524549801999</v>
      </c>
      <c r="J1823" s="34">
        <v>8621.8573649406007</v>
      </c>
      <c r="K1823" s="31" t="s">
        <v>3450</v>
      </c>
      <c r="L1823" s="31">
        <v>18</v>
      </c>
      <c r="M1823" s="31" t="s">
        <v>4277</v>
      </c>
      <c r="N1823" s="34">
        <v>1</v>
      </c>
      <c r="O1823" s="35">
        <v>0</v>
      </c>
      <c r="P1823" s="35">
        <v>1</v>
      </c>
      <c r="Q1823" s="35">
        <v>0</v>
      </c>
      <c r="R1823" s="36">
        <v>19.16</v>
      </c>
      <c r="S1823" s="37">
        <f>IFERROR(_xlfn.XLOOKUP(R1823,'1_Presupuesto'!$E:$E,'1_Presupuesto'!$D:$D),"")</f>
        <v>0</v>
      </c>
    </row>
    <row r="1824" spans="1:19" x14ac:dyDescent="0.35">
      <c r="A1824" s="31" t="s">
        <v>3446</v>
      </c>
      <c r="B1824" s="31" t="s">
        <v>497</v>
      </c>
      <c r="C1824" s="31" t="s">
        <v>498</v>
      </c>
      <c r="D1824" s="31" t="s">
        <v>4278</v>
      </c>
      <c r="E1824" s="31" t="s">
        <v>4279</v>
      </c>
      <c r="F1824" s="31" t="s">
        <v>261</v>
      </c>
      <c r="G1824" s="32">
        <v>3</v>
      </c>
      <c r="H1824" s="33">
        <v>0</v>
      </c>
      <c r="I1824" s="34">
        <v>36808.069325782599</v>
      </c>
      <c r="J1824" s="34">
        <v>110424.20797734801</v>
      </c>
      <c r="K1824" s="31" t="s">
        <v>3450</v>
      </c>
      <c r="L1824" s="31">
        <v>19</v>
      </c>
      <c r="M1824" s="31" t="s">
        <v>4280</v>
      </c>
      <c r="N1824" s="34">
        <v>1</v>
      </c>
      <c r="O1824" s="35">
        <v>0</v>
      </c>
      <c r="P1824" s="35">
        <v>1</v>
      </c>
      <c r="Q1824" s="35">
        <v>0</v>
      </c>
      <c r="R1824" s="36">
        <v>19.16</v>
      </c>
      <c r="S1824" s="37">
        <f>IFERROR(_xlfn.XLOOKUP(R1824,'1_Presupuesto'!$E:$E,'1_Presupuesto'!$D:$D),"")</f>
        <v>0</v>
      </c>
    </row>
    <row r="1825" spans="1:19" x14ac:dyDescent="0.35">
      <c r="A1825" s="31" t="s">
        <v>3446</v>
      </c>
      <c r="B1825" s="31" t="s">
        <v>497</v>
      </c>
      <c r="C1825" s="31" t="s">
        <v>498</v>
      </c>
      <c r="D1825" s="31" t="s">
        <v>4281</v>
      </c>
      <c r="E1825" s="31" t="s">
        <v>4282</v>
      </c>
      <c r="F1825" s="31" t="s">
        <v>218</v>
      </c>
      <c r="G1825" s="32">
        <v>1</v>
      </c>
      <c r="H1825" s="33">
        <v>0</v>
      </c>
      <c r="I1825" s="34">
        <v>70000</v>
      </c>
      <c r="J1825" s="34">
        <v>70000</v>
      </c>
      <c r="K1825" s="31" t="s">
        <v>3450</v>
      </c>
      <c r="L1825" s="31">
        <v>20</v>
      </c>
      <c r="M1825" s="31" t="s">
        <v>4283</v>
      </c>
      <c r="N1825" s="34">
        <v>1</v>
      </c>
      <c r="O1825" s="35">
        <v>0</v>
      </c>
      <c r="P1825" s="35">
        <v>1</v>
      </c>
      <c r="Q1825" s="35">
        <v>0</v>
      </c>
      <c r="R1825" s="36">
        <v>19.16</v>
      </c>
      <c r="S1825" s="37">
        <f>IFERROR(_xlfn.XLOOKUP(R1825,'1_Presupuesto'!$E:$E,'1_Presupuesto'!$D:$D),"")</f>
        <v>0</v>
      </c>
    </row>
    <row r="1826" spans="1:19" x14ac:dyDescent="0.35">
      <c r="A1826" s="31" t="s">
        <v>3446</v>
      </c>
      <c r="B1826" s="31" t="s">
        <v>497</v>
      </c>
      <c r="C1826" s="31" t="s">
        <v>498</v>
      </c>
      <c r="D1826" s="31" t="s">
        <v>597</v>
      </c>
      <c r="E1826" s="31" t="s">
        <v>598</v>
      </c>
      <c r="F1826" s="31" t="s">
        <v>218</v>
      </c>
      <c r="G1826" s="32">
        <v>255133.73</v>
      </c>
      <c r="H1826" s="33">
        <v>0</v>
      </c>
      <c r="I1826" s="34">
        <v>1</v>
      </c>
      <c r="J1826" s="34">
        <v>255133.73</v>
      </c>
      <c r="K1826" s="31" t="s">
        <v>3450</v>
      </c>
      <c r="L1826" s="31">
        <v>21</v>
      </c>
      <c r="M1826" s="31" t="s">
        <v>4284</v>
      </c>
      <c r="N1826" s="34">
        <v>1</v>
      </c>
      <c r="O1826" s="35">
        <v>0</v>
      </c>
      <c r="P1826" s="35">
        <v>1</v>
      </c>
      <c r="Q1826" s="35">
        <v>0</v>
      </c>
      <c r="R1826" s="36">
        <v>19.16</v>
      </c>
      <c r="S1826" s="37">
        <f>IFERROR(_xlfn.XLOOKUP(R1826,'1_Presupuesto'!$E:$E,'1_Presupuesto'!$D:$D),"")</f>
        <v>0</v>
      </c>
    </row>
    <row r="1827" spans="1:19" x14ac:dyDescent="0.35">
      <c r="A1827" s="31" t="s">
        <v>1898</v>
      </c>
      <c r="B1827" s="31" t="s">
        <v>497</v>
      </c>
      <c r="C1827" s="31" t="s">
        <v>498</v>
      </c>
      <c r="D1827" s="31" t="s">
        <v>4285</v>
      </c>
      <c r="E1827" s="31" t="s">
        <v>4286</v>
      </c>
      <c r="F1827" s="31" t="s">
        <v>236</v>
      </c>
      <c r="G1827" s="32">
        <v>1</v>
      </c>
      <c r="H1827" s="33">
        <v>0</v>
      </c>
      <c r="I1827" s="34">
        <v>159547</v>
      </c>
      <c r="J1827" s="34">
        <v>159547</v>
      </c>
      <c r="K1827" s="31" t="s">
        <v>1905</v>
      </c>
      <c r="L1827" s="31">
        <v>2</v>
      </c>
      <c r="M1827" s="31" t="s">
        <v>4287</v>
      </c>
      <c r="N1827" s="34">
        <v>1</v>
      </c>
      <c r="O1827" s="35">
        <v>0</v>
      </c>
      <c r="P1827" s="35">
        <v>7</v>
      </c>
      <c r="Q1827" s="35">
        <v>0</v>
      </c>
      <c r="R1827" s="36">
        <v>3.03</v>
      </c>
      <c r="S1827" s="37">
        <f>IFERROR(_xlfn.XLOOKUP(R1827,'1_Presupuesto'!$E:$E,'1_Presupuesto'!$D:$D),"")</f>
        <v>0</v>
      </c>
    </row>
    <row r="1828" spans="1:19" x14ac:dyDescent="0.35">
      <c r="A1828" s="31" t="s">
        <v>1898</v>
      </c>
      <c r="B1828" s="31" t="s">
        <v>497</v>
      </c>
      <c r="C1828" s="31" t="s">
        <v>498</v>
      </c>
      <c r="D1828" s="31" t="s">
        <v>4288</v>
      </c>
      <c r="E1828" s="31" t="s">
        <v>4289</v>
      </c>
      <c r="F1828" s="31" t="s">
        <v>236</v>
      </c>
      <c r="G1828" s="32">
        <v>1</v>
      </c>
      <c r="H1828" s="33">
        <v>0</v>
      </c>
      <c r="I1828" s="34">
        <v>2679.1697027803998</v>
      </c>
      <c r="J1828" s="34">
        <v>2679.1697027803998</v>
      </c>
      <c r="K1828" s="31" t="s">
        <v>1905</v>
      </c>
      <c r="L1828" s="31">
        <v>3</v>
      </c>
      <c r="M1828" s="31" t="s">
        <v>4290</v>
      </c>
      <c r="N1828" s="34">
        <v>1</v>
      </c>
      <c r="O1828" s="35">
        <v>0</v>
      </c>
      <c r="P1828" s="35">
        <v>7</v>
      </c>
      <c r="Q1828" s="35">
        <v>0</v>
      </c>
      <c r="R1828" s="36">
        <v>3.03</v>
      </c>
      <c r="S1828" s="37">
        <f>IFERROR(_xlfn.XLOOKUP(R1828,'1_Presupuesto'!$E:$E,'1_Presupuesto'!$D:$D),"")</f>
        <v>0</v>
      </c>
    </row>
    <row r="1829" spans="1:19" x14ac:dyDescent="0.35">
      <c r="A1829" s="31" t="s">
        <v>1911</v>
      </c>
      <c r="B1829" s="31" t="s">
        <v>497</v>
      </c>
      <c r="C1829" s="31" t="s">
        <v>498</v>
      </c>
      <c r="D1829" s="31" t="s">
        <v>4285</v>
      </c>
      <c r="E1829" s="31" t="s">
        <v>4286</v>
      </c>
      <c r="F1829" s="31" t="s">
        <v>236</v>
      </c>
      <c r="G1829" s="32">
        <v>1</v>
      </c>
      <c r="H1829" s="33">
        <v>0</v>
      </c>
      <c r="I1829" s="34">
        <v>159547</v>
      </c>
      <c r="J1829" s="34">
        <v>159547</v>
      </c>
      <c r="K1829" s="31" t="s">
        <v>1916</v>
      </c>
      <c r="L1829" s="31">
        <v>2</v>
      </c>
      <c r="M1829" s="31" t="s">
        <v>4291</v>
      </c>
      <c r="N1829" s="34">
        <v>1</v>
      </c>
      <c r="O1829" s="35">
        <v>0</v>
      </c>
      <c r="P1829" s="35">
        <v>4</v>
      </c>
      <c r="Q1829" s="35">
        <v>0</v>
      </c>
      <c r="R1829" s="36">
        <v>3.04</v>
      </c>
      <c r="S1829" s="37">
        <f>IFERROR(_xlfn.XLOOKUP(R1829,'1_Presupuesto'!$E:$E,'1_Presupuesto'!$D:$D),"")</f>
        <v>0</v>
      </c>
    </row>
    <row r="1830" spans="1:19" x14ac:dyDescent="0.35">
      <c r="A1830" s="31" t="s">
        <v>1911</v>
      </c>
      <c r="B1830" s="31" t="s">
        <v>497</v>
      </c>
      <c r="C1830" s="31" t="s">
        <v>498</v>
      </c>
      <c r="D1830" s="31" t="s">
        <v>4292</v>
      </c>
      <c r="E1830" s="31" t="s">
        <v>4293</v>
      </c>
      <c r="F1830" s="31" t="s">
        <v>236</v>
      </c>
      <c r="G1830" s="32">
        <v>1</v>
      </c>
      <c r="H1830" s="33">
        <v>0</v>
      </c>
      <c r="I1830" s="34">
        <v>59306.287864245402</v>
      </c>
      <c r="J1830" s="34">
        <v>59306.287864245402</v>
      </c>
      <c r="K1830" s="31" t="s">
        <v>1916</v>
      </c>
      <c r="L1830" s="31">
        <v>3</v>
      </c>
      <c r="M1830" s="31" t="s">
        <v>4294</v>
      </c>
      <c r="N1830" s="34">
        <v>1</v>
      </c>
      <c r="O1830" s="35">
        <v>0</v>
      </c>
      <c r="P1830" s="35">
        <v>4</v>
      </c>
      <c r="Q1830" s="35">
        <v>0</v>
      </c>
      <c r="R1830" s="36">
        <v>3.04</v>
      </c>
      <c r="S1830" s="37">
        <f>IFERROR(_xlfn.XLOOKUP(R1830,'1_Presupuesto'!$E:$E,'1_Presupuesto'!$D:$D),"")</f>
        <v>0</v>
      </c>
    </row>
    <row r="1831" spans="1:19" x14ac:dyDescent="0.35">
      <c r="A1831" s="31" t="s">
        <v>1935</v>
      </c>
      <c r="B1831" s="31" t="s">
        <v>497</v>
      </c>
      <c r="C1831" s="31" t="s">
        <v>498</v>
      </c>
      <c r="D1831" s="31" t="s">
        <v>4285</v>
      </c>
      <c r="E1831" s="31" t="s">
        <v>4286</v>
      </c>
      <c r="F1831" s="31" t="s">
        <v>236</v>
      </c>
      <c r="G1831" s="32">
        <v>1</v>
      </c>
      <c r="H1831" s="33">
        <v>0</v>
      </c>
      <c r="I1831" s="34">
        <v>159547</v>
      </c>
      <c r="J1831" s="34">
        <v>159547</v>
      </c>
      <c r="K1831" s="31" t="s">
        <v>1940</v>
      </c>
      <c r="L1831" s="31">
        <v>2</v>
      </c>
      <c r="M1831" s="31" t="s">
        <v>4295</v>
      </c>
      <c r="N1831" s="34">
        <v>1</v>
      </c>
      <c r="O1831" s="35">
        <v>0</v>
      </c>
      <c r="P1831" s="35">
        <v>11</v>
      </c>
      <c r="Q1831" s="35">
        <v>0</v>
      </c>
      <c r="R1831" s="36">
        <v>3.06</v>
      </c>
      <c r="S1831" s="37">
        <f>IFERROR(_xlfn.XLOOKUP(R1831,'1_Presupuesto'!$E:$E,'1_Presupuesto'!$D:$D),"")</f>
        <v>0</v>
      </c>
    </row>
    <row r="1832" spans="1:19" x14ac:dyDescent="0.35">
      <c r="A1832" s="31" t="s">
        <v>1935</v>
      </c>
      <c r="B1832" s="31" t="s">
        <v>497</v>
      </c>
      <c r="C1832" s="31" t="s">
        <v>498</v>
      </c>
      <c r="D1832" s="31" t="s">
        <v>4288</v>
      </c>
      <c r="E1832" s="31" t="s">
        <v>4289</v>
      </c>
      <c r="F1832" s="31" t="s">
        <v>236</v>
      </c>
      <c r="G1832" s="32">
        <v>1</v>
      </c>
      <c r="H1832" s="33">
        <v>0</v>
      </c>
      <c r="I1832" s="34">
        <v>2679.1697027803998</v>
      </c>
      <c r="J1832" s="34">
        <v>2679.1697027803998</v>
      </c>
      <c r="K1832" s="31" t="s">
        <v>1940</v>
      </c>
      <c r="L1832" s="31">
        <v>3</v>
      </c>
      <c r="M1832" s="31" t="s">
        <v>4296</v>
      </c>
      <c r="N1832" s="34">
        <v>1</v>
      </c>
      <c r="O1832" s="35">
        <v>0</v>
      </c>
      <c r="P1832" s="35">
        <v>11</v>
      </c>
      <c r="Q1832" s="35">
        <v>0</v>
      </c>
      <c r="R1832" s="36">
        <v>3.06</v>
      </c>
      <c r="S1832" s="37">
        <f>IFERROR(_xlfn.XLOOKUP(R1832,'1_Presupuesto'!$E:$E,'1_Presupuesto'!$D:$D),"")</f>
        <v>0</v>
      </c>
    </row>
    <row r="1833" spans="1:19" x14ac:dyDescent="0.35">
      <c r="A1833" s="31" t="s">
        <v>1946</v>
      </c>
      <c r="B1833" s="31" t="s">
        <v>497</v>
      </c>
      <c r="C1833" s="31" t="s">
        <v>498</v>
      </c>
      <c r="D1833" s="31" t="s">
        <v>4285</v>
      </c>
      <c r="E1833" s="31" t="s">
        <v>4286</v>
      </c>
      <c r="F1833" s="31" t="s">
        <v>236</v>
      </c>
      <c r="G1833" s="32">
        <v>1</v>
      </c>
      <c r="H1833" s="33">
        <v>0</v>
      </c>
      <c r="I1833" s="34">
        <v>159547</v>
      </c>
      <c r="J1833" s="34">
        <v>159547</v>
      </c>
      <c r="K1833" s="31" t="s">
        <v>1951</v>
      </c>
      <c r="L1833" s="31">
        <v>2</v>
      </c>
      <c r="M1833" s="31" t="s">
        <v>4297</v>
      </c>
      <c r="N1833" s="34">
        <v>1</v>
      </c>
      <c r="O1833" s="35">
        <v>0</v>
      </c>
      <c r="P1833" s="35">
        <v>9</v>
      </c>
      <c r="Q1833" s="35">
        <v>0</v>
      </c>
      <c r="R1833" s="36">
        <v>3.07</v>
      </c>
      <c r="S1833" s="37">
        <f>IFERROR(_xlfn.XLOOKUP(R1833,'1_Presupuesto'!$E:$E,'1_Presupuesto'!$D:$D),"")</f>
        <v>0</v>
      </c>
    </row>
    <row r="1834" spans="1:19" x14ac:dyDescent="0.35">
      <c r="A1834" s="31" t="s">
        <v>1946</v>
      </c>
      <c r="B1834" s="31" t="s">
        <v>497</v>
      </c>
      <c r="C1834" s="31" t="s">
        <v>498</v>
      </c>
      <c r="D1834" s="31" t="s">
        <v>4292</v>
      </c>
      <c r="E1834" s="31" t="s">
        <v>4293</v>
      </c>
      <c r="F1834" s="31" t="s">
        <v>236</v>
      </c>
      <c r="G1834" s="32">
        <v>1</v>
      </c>
      <c r="H1834" s="33">
        <v>0</v>
      </c>
      <c r="I1834" s="34">
        <v>59306.287864245402</v>
      </c>
      <c r="J1834" s="34">
        <v>59306.287864245402</v>
      </c>
      <c r="K1834" s="31" t="s">
        <v>1951</v>
      </c>
      <c r="L1834" s="31">
        <v>3</v>
      </c>
      <c r="M1834" s="31" t="s">
        <v>4298</v>
      </c>
      <c r="N1834" s="34">
        <v>1</v>
      </c>
      <c r="O1834" s="35">
        <v>0</v>
      </c>
      <c r="P1834" s="35">
        <v>9</v>
      </c>
      <c r="Q1834" s="35">
        <v>0</v>
      </c>
      <c r="R1834" s="36">
        <v>3.07</v>
      </c>
      <c r="S1834" s="37">
        <f>IFERROR(_xlfn.XLOOKUP(R1834,'1_Presupuesto'!$E:$E,'1_Presupuesto'!$D:$D),"")</f>
        <v>0</v>
      </c>
    </row>
    <row r="1835" spans="1:19" x14ac:dyDescent="0.35">
      <c r="A1835" s="31" t="s">
        <v>1957</v>
      </c>
      <c r="B1835" s="31" t="s">
        <v>497</v>
      </c>
      <c r="C1835" s="31" t="s">
        <v>498</v>
      </c>
      <c r="D1835" s="31" t="s">
        <v>4285</v>
      </c>
      <c r="E1835" s="31" t="s">
        <v>4286</v>
      </c>
      <c r="F1835" s="31" t="s">
        <v>236</v>
      </c>
      <c r="G1835" s="32">
        <v>1</v>
      </c>
      <c r="H1835" s="33">
        <v>0</v>
      </c>
      <c r="I1835" s="34">
        <v>159547</v>
      </c>
      <c r="J1835" s="34">
        <v>159547</v>
      </c>
      <c r="K1835" s="31" t="s">
        <v>1962</v>
      </c>
      <c r="L1835" s="31">
        <v>2</v>
      </c>
      <c r="M1835" s="31" t="s">
        <v>4299</v>
      </c>
      <c r="N1835" s="34">
        <v>1</v>
      </c>
      <c r="O1835" s="35">
        <v>0</v>
      </c>
      <c r="P1835" s="35">
        <v>9</v>
      </c>
      <c r="Q1835" s="35">
        <v>0</v>
      </c>
      <c r="R1835" s="36">
        <v>3.08</v>
      </c>
      <c r="S1835" s="37">
        <f>IFERROR(_xlfn.XLOOKUP(R1835,'1_Presupuesto'!$E:$E,'1_Presupuesto'!$D:$D),"")</f>
        <v>0</v>
      </c>
    </row>
    <row r="1836" spans="1:19" x14ac:dyDescent="0.35">
      <c r="A1836" s="31" t="s">
        <v>1957</v>
      </c>
      <c r="B1836" s="31" t="s">
        <v>497</v>
      </c>
      <c r="C1836" s="31" t="s">
        <v>498</v>
      </c>
      <c r="D1836" s="31" t="s">
        <v>4300</v>
      </c>
      <c r="E1836" s="31" t="s">
        <v>4301</v>
      </c>
      <c r="F1836" s="31" t="s">
        <v>236</v>
      </c>
      <c r="G1836" s="32">
        <v>1</v>
      </c>
      <c r="H1836" s="33">
        <v>0</v>
      </c>
      <c r="I1836" s="34">
        <v>75374.885714285701</v>
      </c>
      <c r="J1836" s="34">
        <v>75374.885714285701</v>
      </c>
      <c r="K1836" s="31" t="s">
        <v>1962</v>
      </c>
      <c r="L1836" s="31">
        <v>3</v>
      </c>
      <c r="M1836" s="31" t="s">
        <v>4302</v>
      </c>
      <c r="N1836" s="34">
        <v>1</v>
      </c>
      <c r="O1836" s="35">
        <v>0</v>
      </c>
      <c r="P1836" s="35">
        <v>9</v>
      </c>
      <c r="Q1836" s="35">
        <v>0</v>
      </c>
      <c r="R1836" s="36">
        <v>3.08</v>
      </c>
      <c r="S1836" s="37">
        <f>IFERROR(_xlfn.XLOOKUP(R1836,'1_Presupuesto'!$E:$E,'1_Presupuesto'!$D:$D),"")</f>
        <v>0</v>
      </c>
    </row>
    <row r="1837" spans="1:19" x14ac:dyDescent="0.35">
      <c r="A1837" s="31" t="s">
        <v>1981</v>
      </c>
      <c r="B1837" s="31" t="s">
        <v>497</v>
      </c>
      <c r="C1837" s="31" t="s">
        <v>498</v>
      </c>
      <c r="D1837" s="31" t="s">
        <v>4285</v>
      </c>
      <c r="E1837" s="31" t="s">
        <v>4286</v>
      </c>
      <c r="F1837" s="31" t="s">
        <v>236</v>
      </c>
      <c r="G1837" s="32">
        <v>1</v>
      </c>
      <c r="H1837" s="33">
        <v>0</v>
      </c>
      <c r="I1837" s="34">
        <v>159547</v>
      </c>
      <c r="J1837" s="34">
        <v>159547</v>
      </c>
      <c r="K1837" s="31" t="s">
        <v>1986</v>
      </c>
      <c r="L1837" s="31">
        <v>2</v>
      </c>
      <c r="M1837" s="31" t="s">
        <v>4303</v>
      </c>
      <c r="N1837" s="34">
        <v>1</v>
      </c>
      <c r="O1837" s="35">
        <v>0</v>
      </c>
      <c r="P1837" s="35">
        <v>32</v>
      </c>
      <c r="Q1837" s="35">
        <v>0</v>
      </c>
      <c r="R1837" s="36">
        <v>3.1</v>
      </c>
      <c r="S1837" s="37">
        <f>IFERROR(_xlfn.XLOOKUP(R1837,'1_Presupuesto'!$E:$E,'1_Presupuesto'!$D:$D),"")</f>
        <v>0</v>
      </c>
    </row>
    <row r="1838" spans="1:19" x14ac:dyDescent="0.35">
      <c r="A1838" s="31" t="s">
        <v>1981</v>
      </c>
      <c r="B1838" s="31" t="s">
        <v>497</v>
      </c>
      <c r="C1838" s="31" t="s">
        <v>498</v>
      </c>
      <c r="D1838" s="31" t="s">
        <v>4304</v>
      </c>
      <c r="E1838" s="31" t="s">
        <v>4305</v>
      </c>
      <c r="F1838" s="31" t="s">
        <v>236</v>
      </c>
      <c r="G1838" s="32">
        <v>1</v>
      </c>
      <c r="H1838" s="33">
        <v>0</v>
      </c>
      <c r="I1838" s="34">
        <v>63529.0508149569</v>
      </c>
      <c r="J1838" s="34">
        <v>63529.0508149569</v>
      </c>
      <c r="K1838" s="31" t="s">
        <v>1986</v>
      </c>
      <c r="L1838" s="31">
        <v>3</v>
      </c>
      <c r="M1838" s="31" t="s">
        <v>4306</v>
      </c>
      <c r="N1838" s="34">
        <v>1</v>
      </c>
      <c r="O1838" s="35">
        <v>0</v>
      </c>
      <c r="P1838" s="35">
        <v>32</v>
      </c>
      <c r="Q1838" s="35">
        <v>0</v>
      </c>
      <c r="R1838" s="36">
        <v>3.1</v>
      </c>
      <c r="S1838" s="37">
        <f>IFERROR(_xlfn.XLOOKUP(R1838,'1_Presupuesto'!$E:$E,'1_Presupuesto'!$D:$D),"")</f>
        <v>0</v>
      </c>
    </row>
    <row r="1839" spans="1:19" x14ac:dyDescent="0.35">
      <c r="A1839" s="31" t="s">
        <v>1992</v>
      </c>
      <c r="B1839" s="31" t="s">
        <v>497</v>
      </c>
      <c r="C1839" s="31" t="s">
        <v>498</v>
      </c>
      <c r="D1839" s="31" t="s">
        <v>4285</v>
      </c>
      <c r="E1839" s="31" t="s">
        <v>4286</v>
      </c>
      <c r="F1839" s="31" t="s">
        <v>236</v>
      </c>
      <c r="G1839" s="32">
        <v>1</v>
      </c>
      <c r="H1839" s="33">
        <v>0</v>
      </c>
      <c r="I1839" s="34">
        <v>159547</v>
      </c>
      <c r="J1839" s="34">
        <v>159547</v>
      </c>
      <c r="K1839" s="31" t="s">
        <v>1997</v>
      </c>
      <c r="L1839" s="31">
        <v>2</v>
      </c>
      <c r="M1839" s="31" t="s">
        <v>4307</v>
      </c>
      <c r="N1839" s="34">
        <v>1</v>
      </c>
      <c r="O1839" s="35">
        <v>0</v>
      </c>
      <c r="P1839" s="35">
        <v>30</v>
      </c>
      <c r="Q1839" s="35">
        <v>0</v>
      </c>
      <c r="R1839" s="36">
        <v>3.11</v>
      </c>
      <c r="S1839" s="37">
        <f>IFERROR(_xlfn.XLOOKUP(R1839,'1_Presupuesto'!$E:$E,'1_Presupuesto'!$D:$D),"")</f>
        <v>0</v>
      </c>
    </row>
    <row r="1840" spans="1:19" x14ac:dyDescent="0.35">
      <c r="A1840" s="31" t="s">
        <v>1992</v>
      </c>
      <c r="B1840" s="31" t="s">
        <v>497</v>
      </c>
      <c r="C1840" s="31" t="s">
        <v>498</v>
      </c>
      <c r="D1840" s="31" t="s">
        <v>4300</v>
      </c>
      <c r="E1840" s="31" t="s">
        <v>4301</v>
      </c>
      <c r="F1840" s="31" t="s">
        <v>236</v>
      </c>
      <c r="G1840" s="32">
        <v>1</v>
      </c>
      <c r="H1840" s="33">
        <v>0</v>
      </c>
      <c r="I1840" s="34">
        <v>75374.885714285701</v>
      </c>
      <c r="J1840" s="34">
        <v>75374.885714285701</v>
      </c>
      <c r="K1840" s="31" t="s">
        <v>1997</v>
      </c>
      <c r="L1840" s="31">
        <v>3</v>
      </c>
      <c r="M1840" s="31" t="s">
        <v>4308</v>
      </c>
      <c r="N1840" s="34">
        <v>1</v>
      </c>
      <c r="O1840" s="35">
        <v>0</v>
      </c>
      <c r="P1840" s="35">
        <v>30</v>
      </c>
      <c r="Q1840" s="35">
        <v>0</v>
      </c>
      <c r="R1840" s="36">
        <v>3.11</v>
      </c>
      <c r="S1840" s="37">
        <f>IFERROR(_xlfn.XLOOKUP(R1840,'1_Presupuesto'!$E:$E,'1_Presupuesto'!$D:$D),"")</f>
        <v>0</v>
      </c>
    </row>
    <row r="1841" spans="1:19" x14ac:dyDescent="0.35">
      <c r="A1841" s="31" t="s">
        <v>2003</v>
      </c>
      <c r="B1841" s="31" t="s">
        <v>497</v>
      </c>
      <c r="C1841" s="31" t="s">
        <v>498</v>
      </c>
      <c r="D1841" s="31" t="s">
        <v>4285</v>
      </c>
      <c r="E1841" s="31" t="s">
        <v>4286</v>
      </c>
      <c r="F1841" s="31" t="s">
        <v>236</v>
      </c>
      <c r="G1841" s="32">
        <v>1</v>
      </c>
      <c r="H1841" s="33">
        <v>0</v>
      </c>
      <c r="I1841" s="34">
        <v>159547</v>
      </c>
      <c r="J1841" s="34">
        <v>159547</v>
      </c>
      <c r="K1841" s="31" t="s">
        <v>2008</v>
      </c>
      <c r="L1841" s="31">
        <v>2</v>
      </c>
      <c r="M1841" s="31" t="s">
        <v>4309</v>
      </c>
      <c r="N1841" s="34">
        <v>1</v>
      </c>
      <c r="O1841" s="35">
        <v>0</v>
      </c>
      <c r="P1841" s="35">
        <v>7</v>
      </c>
      <c r="Q1841" s="35">
        <v>0</v>
      </c>
      <c r="R1841" s="36">
        <v>3.12</v>
      </c>
      <c r="S1841" s="37" t="str">
        <f>IFERROR(_xlfn.XLOOKUP(R1841,'1_Presupuesto'!$E:$E,'1_Presupuesto'!$D:$D),"")</f>
        <v>Homigón MO</v>
      </c>
    </row>
    <row r="1842" spans="1:19" x14ac:dyDescent="0.35">
      <c r="A1842" s="31" t="s">
        <v>2003</v>
      </c>
      <c r="B1842" s="31" t="s">
        <v>497</v>
      </c>
      <c r="C1842" s="31" t="s">
        <v>498</v>
      </c>
      <c r="D1842" s="31" t="s">
        <v>4310</v>
      </c>
      <c r="E1842" s="31" t="s">
        <v>4311</v>
      </c>
      <c r="F1842" s="31" t="s">
        <v>236</v>
      </c>
      <c r="G1842" s="32">
        <v>1</v>
      </c>
      <c r="H1842" s="33">
        <v>0</v>
      </c>
      <c r="I1842" s="34">
        <v>94202.298519052696</v>
      </c>
      <c r="J1842" s="34">
        <v>94202.298519052696</v>
      </c>
      <c r="K1842" s="31" t="s">
        <v>2008</v>
      </c>
      <c r="L1842" s="31">
        <v>3</v>
      </c>
      <c r="M1842" s="31" t="s">
        <v>4312</v>
      </c>
      <c r="N1842" s="34">
        <v>1</v>
      </c>
      <c r="O1842" s="35">
        <v>0</v>
      </c>
      <c r="P1842" s="35">
        <v>7</v>
      </c>
      <c r="Q1842" s="35">
        <v>0</v>
      </c>
      <c r="R1842" s="36">
        <v>3.12</v>
      </c>
      <c r="S1842" s="37" t="str">
        <f>IFERROR(_xlfn.XLOOKUP(R1842,'1_Presupuesto'!$E:$E,'1_Presupuesto'!$D:$D),"")</f>
        <v>Homigón MO</v>
      </c>
    </row>
    <row r="1843" spans="1:19" x14ac:dyDescent="0.35">
      <c r="A1843" s="31" t="s">
        <v>2014</v>
      </c>
      <c r="B1843" s="31" t="s">
        <v>497</v>
      </c>
      <c r="C1843" s="31" t="s">
        <v>498</v>
      </c>
      <c r="D1843" s="31" t="s">
        <v>4285</v>
      </c>
      <c r="E1843" s="31" t="s">
        <v>4286</v>
      </c>
      <c r="F1843" s="31" t="s">
        <v>236</v>
      </c>
      <c r="G1843" s="32">
        <v>1</v>
      </c>
      <c r="H1843" s="33">
        <v>0</v>
      </c>
      <c r="I1843" s="34">
        <v>159547</v>
      </c>
      <c r="J1843" s="34">
        <v>159547</v>
      </c>
      <c r="K1843" s="31" t="s">
        <v>2019</v>
      </c>
      <c r="L1843" s="31">
        <v>2</v>
      </c>
      <c r="M1843" s="31" t="s">
        <v>4313</v>
      </c>
      <c r="N1843" s="34">
        <v>1</v>
      </c>
      <c r="O1843" s="35">
        <v>0</v>
      </c>
      <c r="P1843" s="35">
        <v>12</v>
      </c>
      <c r="Q1843" s="35">
        <v>0</v>
      </c>
      <c r="R1843" s="36">
        <v>3.13</v>
      </c>
      <c r="S1843" s="37" t="str">
        <f>IFERROR(_xlfn.XLOOKUP(R1843,'1_Presupuesto'!$E:$E,'1_Presupuesto'!$D:$D),"")</f>
        <v>Homigón MO</v>
      </c>
    </row>
    <row r="1844" spans="1:19" x14ac:dyDescent="0.35">
      <c r="A1844" s="31" t="s">
        <v>2014</v>
      </c>
      <c r="B1844" s="31" t="s">
        <v>497</v>
      </c>
      <c r="C1844" s="31" t="s">
        <v>498</v>
      </c>
      <c r="D1844" s="31" t="s">
        <v>4314</v>
      </c>
      <c r="E1844" s="31" t="s">
        <v>4315</v>
      </c>
      <c r="F1844" s="31" t="s">
        <v>236</v>
      </c>
      <c r="G1844" s="32">
        <v>1</v>
      </c>
      <c r="H1844" s="33">
        <v>0</v>
      </c>
      <c r="I1844" s="34">
        <v>99862.508788750405</v>
      </c>
      <c r="J1844" s="34">
        <v>99862.508788750405</v>
      </c>
      <c r="K1844" s="31" t="s">
        <v>2019</v>
      </c>
      <c r="L1844" s="31">
        <v>3</v>
      </c>
      <c r="M1844" s="31" t="s">
        <v>4316</v>
      </c>
      <c r="N1844" s="34">
        <v>1</v>
      </c>
      <c r="O1844" s="35">
        <v>0</v>
      </c>
      <c r="P1844" s="35">
        <v>12</v>
      </c>
      <c r="Q1844" s="35">
        <v>0</v>
      </c>
      <c r="R1844" s="36">
        <v>3.13</v>
      </c>
      <c r="S1844" s="37" t="str">
        <f>IFERROR(_xlfn.XLOOKUP(R1844,'1_Presupuesto'!$E:$E,'1_Presupuesto'!$D:$D),"")</f>
        <v>Homigón MO</v>
      </c>
    </row>
    <row r="1845" spans="1:19" x14ac:dyDescent="0.35">
      <c r="A1845" s="31" t="s">
        <v>2025</v>
      </c>
      <c r="B1845" s="31" t="s">
        <v>497</v>
      </c>
      <c r="C1845" s="31" t="s">
        <v>498</v>
      </c>
      <c r="D1845" s="31" t="s">
        <v>4285</v>
      </c>
      <c r="E1845" s="31" t="s">
        <v>4286</v>
      </c>
      <c r="F1845" s="31" t="s">
        <v>236</v>
      </c>
      <c r="G1845" s="32">
        <v>1</v>
      </c>
      <c r="H1845" s="33">
        <v>0</v>
      </c>
      <c r="I1845" s="34">
        <v>159547</v>
      </c>
      <c r="J1845" s="34">
        <v>159547</v>
      </c>
      <c r="K1845" s="31" t="s">
        <v>2030</v>
      </c>
      <c r="L1845" s="31">
        <v>2</v>
      </c>
      <c r="M1845" s="31" t="s">
        <v>4317</v>
      </c>
      <c r="N1845" s="34">
        <v>1</v>
      </c>
      <c r="O1845" s="35">
        <v>0</v>
      </c>
      <c r="P1845" s="35">
        <v>41</v>
      </c>
      <c r="Q1845" s="35">
        <v>0</v>
      </c>
      <c r="R1845" s="36">
        <v>3.14</v>
      </c>
      <c r="S1845" s="37">
        <f>IFERROR(_xlfn.XLOOKUP(R1845,'1_Presupuesto'!$E:$E,'1_Presupuesto'!$D:$D),"")</f>
        <v>0</v>
      </c>
    </row>
    <row r="1846" spans="1:19" x14ac:dyDescent="0.35">
      <c r="A1846" s="31" t="s">
        <v>2025</v>
      </c>
      <c r="B1846" s="31" t="s">
        <v>497</v>
      </c>
      <c r="C1846" s="31" t="s">
        <v>498</v>
      </c>
      <c r="D1846" s="31" t="s">
        <v>4314</v>
      </c>
      <c r="E1846" s="31" t="s">
        <v>4315</v>
      </c>
      <c r="F1846" s="31" t="s">
        <v>236</v>
      </c>
      <c r="G1846" s="32">
        <v>1</v>
      </c>
      <c r="H1846" s="33">
        <v>0</v>
      </c>
      <c r="I1846" s="34">
        <v>99862.508788750405</v>
      </c>
      <c r="J1846" s="34">
        <v>99862.508788750405</v>
      </c>
      <c r="K1846" s="31" t="s">
        <v>2030</v>
      </c>
      <c r="L1846" s="31">
        <v>3</v>
      </c>
      <c r="M1846" s="31" t="s">
        <v>4318</v>
      </c>
      <c r="N1846" s="34">
        <v>1</v>
      </c>
      <c r="O1846" s="35">
        <v>0</v>
      </c>
      <c r="P1846" s="35">
        <v>41</v>
      </c>
      <c r="Q1846" s="35">
        <v>0</v>
      </c>
      <c r="R1846" s="36">
        <v>3.14</v>
      </c>
      <c r="S1846" s="37">
        <f>IFERROR(_xlfn.XLOOKUP(R1846,'1_Presupuesto'!$E:$E,'1_Presupuesto'!$D:$D),"")</f>
        <v>0</v>
      </c>
    </row>
    <row r="1847" spans="1:19" x14ac:dyDescent="0.35">
      <c r="A1847" s="31" t="s">
        <v>2036</v>
      </c>
      <c r="B1847" s="31" t="s">
        <v>497</v>
      </c>
      <c r="C1847" s="31" t="s">
        <v>498</v>
      </c>
      <c r="D1847" s="31" t="s">
        <v>4285</v>
      </c>
      <c r="E1847" s="31" t="s">
        <v>4286</v>
      </c>
      <c r="F1847" s="31" t="s">
        <v>236</v>
      </c>
      <c r="G1847" s="32">
        <v>1</v>
      </c>
      <c r="H1847" s="33">
        <v>0</v>
      </c>
      <c r="I1847" s="34">
        <v>159547</v>
      </c>
      <c r="J1847" s="34">
        <v>159547</v>
      </c>
      <c r="K1847" s="31" t="s">
        <v>2041</v>
      </c>
      <c r="L1847" s="31">
        <v>2</v>
      </c>
      <c r="M1847" s="31" t="s">
        <v>4319</v>
      </c>
      <c r="N1847" s="34">
        <v>1</v>
      </c>
      <c r="O1847" s="35">
        <v>0</v>
      </c>
      <c r="P1847" s="35">
        <v>135</v>
      </c>
      <c r="Q1847" s="35">
        <v>0</v>
      </c>
      <c r="R1847" s="36">
        <v>3.15</v>
      </c>
      <c r="S1847" s="37">
        <f>IFERROR(_xlfn.XLOOKUP(R1847,'1_Presupuesto'!$E:$E,'1_Presupuesto'!$D:$D),"")</f>
        <v>0</v>
      </c>
    </row>
    <row r="1848" spans="1:19" x14ac:dyDescent="0.35">
      <c r="A1848" s="31" t="s">
        <v>2036</v>
      </c>
      <c r="B1848" s="31" t="s">
        <v>497</v>
      </c>
      <c r="C1848" s="31" t="s">
        <v>498</v>
      </c>
      <c r="D1848" s="31" t="s">
        <v>4320</v>
      </c>
      <c r="E1848" s="31" t="s">
        <v>4321</v>
      </c>
      <c r="F1848" s="31" t="s">
        <v>236</v>
      </c>
      <c r="G1848" s="32">
        <v>1</v>
      </c>
      <c r="H1848" s="33">
        <v>0</v>
      </c>
      <c r="I1848" s="34">
        <v>33676.222435282798</v>
      </c>
      <c r="J1848" s="34">
        <v>33676.222435282798</v>
      </c>
      <c r="K1848" s="31" t="s">
        <v>2041</v>
      </c>
      <c r="L1848" s="31">
        <v>3</v>
      </c>
      <c r="M1848" s="31" t="s">
        <v>4322</v>
      </c>
      <c r="N1848" s="34">
        <v>1</v>
      </c>
      <c r="O1848" s="35">
        <v>0</v>
      </c>
      <c r="P1848" s="35">
        <v>135</v>
      </c>
      <c r="Q1848" s="35">
        <v>0</v>
      </c>
      <c r="R1848" s="36">
        <v>3.15</v>
      </c>
      <c r="S1848" s="37">
        <f>IFERROR(_xlfn.XLOOKUP(R1848,'1_Presupuesto'!$E:$E,'1_Presupuesto'!$D:$D),"")</f>
        <v>0</v>
      </c>
    </row>
    <row r="1849" spans="1:19" x14ac:dyDescent="0.35">
      <c r="A1849" s="31" t="s">
        <v>2047</v>
      </c>
      <c r="B1849" s="31" t="s">
        <v>497</v>
      </c>
      <c r="C1849" s="31" t="s">
        <v>498</v>
      </c>
      <c r="D1849" s="31" t="s">
        <v>4285</v>
      </c>
      <c r="E1849" s="31" t="s">
        <v>4286</v>
      </c>
      <c r="F1849" s="31" t="s">
        <v>236</v>
      </c>
      <c r="G1849" s="32">
        <v>1</v>
      </c>
      <c r="H1849" s="33">
        <v>0</v>
      </c>
      <c r="I1849" s="34">
        <v>159547</v>
      </c>
      <c r="J1849" s="34">
        <v>159547</v>
      </c>
      <c r="K1849" s="31" t="s">
        <v>2052</v>
      </c>
      <c r="L1849" s="31">
        <v>2</v>
      </c>
      <c r="M1849" s="31" t="s">
        <v>4323</v>
      </c>
      <c r="N1849" s="34">
        <v>1</v>
      </c>
      <c r="O1849" s="35">
        <v>0</v>
      </c>
      <c r="P1849" s="35">
        <v>13</v>
      </c>
      <c r="Q1849" s="35">
        <v>0</v>
      </c>
      <c r="R1849" s="36">
        <v>3.16</v>
      </c>
      <c r="S1849" s="37" t="str">
        <f>IFERROR(_xlfn.XLOOKUP(R1849,'1_Presupuesto'!$E:$E,'1_Presupuesto'!$D:$D),"")</f>
        <v>Homigón MO</v>
      </c>
    </row>
    <row r="1850" spans="1:19" x14ac:dyDescent="0.35">
      <c r="A1850" s="31" t="s">
        <v>2047</v>
      </c>
      <c r="B1850" s="31" t="s">
        <v>497</v>
      </c>
      <c r="C1850" s="31" t="s">
        <v>498</v>
      </c>
      <c r="D1850" s="31" t="s">
        <v>4324</v>
      </c>
      <c r="E1850" s="31" t="s">
        <v>4325</v>
      </c>
      <c r="F1850" s="31" t="s">
        <v>236</v>
      </c>
      <c r="G1850" s="32">
        <v>1</v>
      </c>
      <c r="H1850" s="33">
        <v>0</v>
      </c>
      <c r="I1850" s="34">
        <v>40107.551722225297</v>
      </c>
      <c r="J1850" s="34">
        <v>40107.551722225297</v>
      </c>
      <c r="K1850" s="31" t="s">
        <v>2052</v>
      </c>
      <c r="L1850" s="31">
        <v>3</v>
      </c>
      <c r="M1850" s="31" t="s">
        <v>4326</v>
      </c>
      <c r="N1850" s="34">
        <v>1</v>
      </c>
      <c r="O1850" s="35">
        <v>0</v>
      </c>
      <c r="P1850" s="35">
        <v>13</v>
      </c>
      <c r="Q1850" s="35">
        <v>0</v>
      </c>
      <c r="R1850" s="36">
        <v>3.16</v>
      </c>
      <c r="S1850" s="37" t="str">
        <f>IFERROR(_xlfn.XLOOKUP(R1850,'1_Presupuesto'!$E:$E,'1_Presupuesto'!$D:$D),"")</f>
        <v>Homigón MO</v>
      </c>
    </row>
    <row r="1851" spans="1:19" x14ac:dyDescent="0.35">
      <c r="A1851" s="31" t="s">
        <v>2058</v>
      </c>
      <c r="B1851" s="31" t="s">
        <v>497</v>
      </c>
      <c r="C1851" s="31" t="s">
        <v>498</v>
      </c>
      <c r="D1851" s="31" t="s">
        <v>4285</v>
      </c>
      <c r="E1851" s="31" t="s">
        <v>4286</v>
      </c>
      <c r="F1851" s="31" t="s">
        <v>236</v>
      </c>
      <c r="G1851" s="32">
        <v>1</v>
      </c>
      <c r="H1851" s="33">
        <v>0</v>
      </c>
      <c r="I1851" s="34">
        <v>159547</v>
      </c>
      <c r="J1851" s="34">
        <v>159547</v>
      </c>
      <c r="K1851" s="31" t="s">
        <v>2063</v>
      </c>
      <c r="L1851" s="31">
        <v>2</v>
      </c>
      <c r="M1851" s="31" t="s">
        <v>4327</v>
      </c>
      <c r="N1851" s="34">
        <v>1</v>
      </c>
      <c r="O1851" s="35">
        <v>0</v>
      </c>
      <c r="P1851" s="35">
        <v>14</v>
      </c>
      <c r="Q1851" s="35">
        <v>0</v>
      </c>
      <c r="R1851" s="36">
        <v>3.17</v>
      </c>
      <c r="S1851" s="37">
        <f>IFERROR(_xlfn.XLOOKUP(R1851,'1_Presupuesto'!$E:$E,'1_Presupuesto'!$D:$D),"")</f>
        <v>0</v>
      </c>
    </row>
    <row r="1852" spans="1:19" x14ac:dyDescent="0.35">
      <c r="A1852" s="31" t="s">
        <v>2058</v>
      </c>
      <c r="B1852" s="31" t="s">
        <v>497</v>
      </c>
      <c r="C1852" s="31" t="s">
        <v>498</v>
      </c>
      <c r="D1852" s="31" t="s">
        <v>4328</v>
      </c>
      <c r="E1852" s="31" t="s">
        <v>4329</v>
      </c>
      <c r="F1852" s="31" t="s">
        <v>236</v>
      </c>
      <c r="G1852" s="32">
        <v>1</v>
      </c>
      <c r="H1852" s="33">
        <v>0</v>
      </c>
      <c r="I1852" s="34">
        <v>59263.2332885906</v>
      </c>
      <c r="J1852" s="34">
        <v>59263.2332885906</v>
      </c>
      <c r="K1852" s="31" t="s">
        <v>2063</v>
      </c>
      <c r="L1852" s="31">
        <v>3</v>
      </c>
      <c r="M1852" s="31" t="s">
        <v>4330</v>
      </c>
      <c r="N1852" s="34">
        <v>1</v>
      </c>
      <c r="O1852" s="35">
        <v>0</v>
      </c>
      <c r="P1852" s="35">
        <v>14</v>
      </c>
      <c r="Q1852" s="35">
        <v>0</v>
      </c>
      <c r="R1852" s="36">
        <v>3.17</v>
      </c>
      <c r="S1852" s="37">
        <f>IFERROR(_xlfn.XLOOKUP(R1852,'1_Presupuesto'!$E:$E,'1_Presupuesto'!$D:$D),"")</f>
        <v>0</v>
      </c>
    </row>
    <row r="1853" spans="1:19" x14ac:dyDescent="0.35">
      <c r="A1853" s="31" t="s">
        <v>2069</v>
      </c>
      <c r="B1853" s="31" t="s">
        <v>497</v>
      </c>
      <c r="C1853" s="31" t="s">
        <v>498</v>
      </c>
      <c r="D1853" s="31" t="s">
        <v>4285</v>
      </c>
      <c r="E1853" s="31" t="s">
        <v>4286</v>
      </c>
      <c r="F1853" s="31" t="s">
        <v>236</v>
      </c>
      <c r="G1853" s="32">
        <v>1</v>
      </c>
      <c r="H1853" s="33">
        <v>0</v>
      </c>
      <c r="I1853" s="34">
        <v>159547</v>
      </c>
      <c r="J1853" s="34">
        <v>159547</v>
      </c>
      <c r="K1853" s="31" t="s">
        <v>2074</v>
      </c>
      <c r="L1853" s="31">
        <v>2</v>
      </c>
      <c r="M1853" s="31" t="s">
        <v>4331</v>
      </c>
      <c r="N1853" s="34">
        <v>1</v>
      </c>
      <c r="O1853" s="35">
        <v>0</v>
      </c>
      <c r="P1853" s="35">
        <v>2</v>
      </c>
      <c r="Q1853" s="35">
        <v>0</v>
      </c>
      <c r="R1853" s="36">
        <v>3.18</v>
      </c>
      <c r="S1853" s="37" t="str">
        <f>IFERROR(_xlfn.XLOOKUP(R1853,'1_Presupuesto'!$E:$E,'1_Presupuesto'!$D:$D),"")</f>
        <v>Homigón MO</v>
      </c>
    </row>
    <row r="1854" spans="1:19" x14ac:dyDescent="0.35">
      <c r="A1854" s="31" t="s">
        <v>2069</v>
      </c>
      <c r="B1854" s="31" t="s">
        <v>497</v>
      </c>
      <c r="C1854" s="31" t="s">
        <v>498</v>
      </c>
      <c r="D1854" s="31" t="s">
        <v>4310</v>
      </c>
      <c r="E1854" s="31" t="s">
        <v>4311</v>
      </c>
      <c r="F1854" s="31" t="s">
        <v>236</v>
      </c>
      <c r="G1854" s="32">
        <v>1</v>
      </c>
      <c r="H1854" s="33">
        <v>0</v>
      </c>
      <c r="I1854" s="34">
        <v>94202.298519052696</v>
      </c>
      <c r="J1854" s="34">
        <v>94202.298519052696</v>
      </c>
      <c r="K1854" s="31" t="s">
        <v>2074</v>
      </c>
      <c r="L1854" s="31">
        <v>3</v>
      </c>
      <c r="M1854" s="31" t="s">
        <v>4332</v>
      </c>
      <c r="N1854" s="34">
        <v>1</v>
      </c>
      <c r="O1854" s="35">
        <v>0</v>
      </c>
      <c r="P1854" s="35">
        <v>2</v>
      </c>
      <c r="Q1854" s="35">
        <v>0</v>
      </c>
      <c r="R1854" s="36">
        <v>3.18</v>
      </c>
      <c r="S1854" s="37" t="str">
        <f>IFERROR(_xlfn.XLOOKUP(R1854,'1_Presupuesto'!$E:$E,'1_Presupuesto'!$D:$D),"")</f>
        <v>Homigón MO</v>
      </c>
    </row>
    <row r="1855" spans="1:19" x14ac:dyDescent="0.35">
      <c r="A1855" s="31" t="s">
        <v>2473</v>
      </c>
      <c r="B1855" s="31" t="s">
        <v>497</v>
      </c>
      <c r="C1855" s="31" t="s">
        <v>1706</v>
      </c>
      <c r="D1855" s="31" t="s">
        <v>538</v>
      </c>
      <c r="E1855" s="31" t="s">
        <v>539</v>
      </c>
      <c r="F1855" s="31">
        <v>0</v>
      </c>
      <c r="G1855" s="32">
        <v>3.24</v>
      </c>
      <c r="H1855" s="33">
        <v>0.1</v>
      </c>
      <c r="I1855" s="34">
        <v>3927.28</v>
      </c>
      <c r="J1855" s="34">
        <v>13996.825919999999</v>
      </c>
      <c r="K1855" s="31" t="s">
        <v>2474</v>
      </c>
      <c r="L1855" s="31">
        <v>3</v>
      </c>
      <c r="M1855" s="31" t="s">
        <v>4333</v>
      </c>
      <c r="N1855" s="34">
        <v>1</v>
      </c>
      <c r="O1855" s="35">
        <v>0</v>
      </c>
      <c r="P1855" s="35">
        <v>1</v>
      </c>
      <c r="Q1855" s="35">
        <v>0</v>
      </c>
      <c r="R1855" s="36">
        <v>8.08</v>
      </c>
      <c r="S1855" s="37" t="str">
        <f>IFERROR(_xlfn.XLOOKUP(R1855,'1_Presupuesto'!$E:$E,'1_Presupuesto'!$D:$D),"")</f>
        <v>Albañilería MO</v>
      </c>
    </row>
    <row r="1856" spans="1:19" x14ac:dyDescent="0.35">
      <c r="A1856" s="31" t="s">
        <v>2473</v>
      </c>
      <c r="B1856" s="31" t="s">
        <v>497</v>
      </c>
      <c r="C1856" s="31" t="s">
        <v>1706</v>
      </c>
      <c r="D1856" s="31" t="s">
        <v>1029</v>
      </c>
      <c r="E1856" s="31" t="s">
        <v>1030</v>
      </c>
      <c r="F1856" s="31" t="s">
        <v>236</v>
      </c>
      <c r="G1856" s="32">
        <v>0.77</v>
      </c>
      <c r="H1856" s="33">
        <v>0.1</v>
      </c>
      <c r="I1856" s="34">
        <v>34246.800000000003</v>
      </c>
      <c r="J1856" s="34">
        <v>29007.0396</v>
      </c>
      <c r="K1856" s="31" t="s">
        <v>2474</v>
      </c>
      <c r="L1856" s="31">
        <v>4</v>
      </c>
      <c r="M1856" s="31" t="s">
        <v>4334</v>
      </c>
      <c r="N1856" s="34">
        <v>1</v>
      </c>
      <c r="O1856" s="35">
        <v>0</v>
      </c>
      <c r="P1856" s="35">
        <v>1</v>
      </c>
      <c r="Q1856" s="35">
        <v>0</v>
      </c>
      <c r="R1856" s="36">
        <v>8.08</v>
      </c>
      <c r="S1856" s="37" t="str">
        <f>IFERROR(_xlfn.XLOOKUP(R1856,'1_Presupuesto'!$E:$E,'1_Presupuesto'!$D:$D),"")</f>
        <v>Albañilería MO</v>
      </c>
    </row>
    <row r="1857" spans="1:19" x14ac:dyDescent="0.35">
      <c r="A1857" s="31" t="s">
        <v>522</v>
      </c>
      <c r="B1857" s="31" t="s">
        <v>497</v>
      </c>
      <c r="C1857" s="31" t="s">
        <v>498</v>
      </c>
      <c r="D1857" s="31" t="s">
        <v>503</v>
      </c>
      <c r="E1857" s="31" t="s">
        <v>504</v>
      </c>
      <c r="F1857" s="31" t="s">
        <v>261</v>
      </c>
      <c r="G1857" s="32">
        <v>5.0000000000000001E-3</v>
      </c>
      <c r="H1857" s="33">
        <v>0.05</v>
      </c>
      <c r="I1857" s="34">
        <v>6442.15</v>
      </c>
      <c r="J1857" s="34">
        <v>33.821287499999997</v>
      </c>
      <c r="K1857" s="31" t="s">
        <v>523</v>
      </c>
      <c r="L1857" s="31">
        <v>3</v>
      </c>
      <c r="M1857" s="31" t="s">
        <v>4335</v>
      </c>
      <c r="N1857" s="34">
        <v>60</v>
      </c>
      <c r="O1857" s="35">
        <v>0</v>
      </c>
      <c r="P1857" s="35" t="s">
        <v>212</v>
      </c>
      <c r="Q1857" s="35">
        <v>0</v>
      </c>
      <c r="R1857" s="36" t="s">
        <v>212</v>
      </c>
      <c r="S1857" s="37" t="str">
        <f>IFERROR(_xlfn.XLOOKUP(R1857,'1_Presupuesto'!$E:$E,'1_Presupuesto'!$D:$D),"")</f>
        <v/>
      </c>
    </row>
    <row r="1858" spans="1:19" x14ac:dyDescent="0.35">
      <c r="A1858" s="31" t="s">
        <v>522</v>
      </c>
      <c r="B1858" s="31" t="s">
        <v>497</v>
      </c>
      <c r="C1858" s="31" t="s">
        <v>498</v>
      </c>
      <c r="D1858" s="31" t="s">
        <v>506</v>
      </c>
      <c r="E1858" s="31" t="s">
        <v>507</v>
      </c>
      <c r="F1858" s="31" t="s">
        <v>261</v>
      </c>
      <c r="G1858" s="32">
        <v>0.01</v>
      </c>
      <c r="H1858" s="33">
        <v>0.05</v>
      </c>
      <c r="I1858" s="34">
        <v>4418.1818181818198</v>
      </c>
      <c r="J1858" s="34">
        <v>46.390909090909098</v>
      </c>
      <c r="K1858" s="31" t="s">
        <v>523</v>
      </c>
      <c r="L1858" s="31">
        <v>4</v>
      </c>
      <c r="M1858" s="31" t="s">
        <v>4336</v>
      </c>
      <c r="N1858" s="34">
        <v>60</v>
      </c>
      <c r="O1858" s="35">
        <v>0</v>
      </c>
      <c r="P1858" s="35" t="s">
        <v>212</v>
      </c>
      <c r="Q1858" s="35">
        <v>0</v>
      </c>
      <c r="R1858" s="36" t="s">
        <v>212</v>
      </c>
      <c r="S1858" s="37" t="str">
        <f>IFERROR(_xlfn.XLOOKUP(R1858,'1_Presupuesto'!$E:$E,'1_Presupuesto'!$D:$D),"")</f>
        <v/>
      </c>
    </row>
    <row r="1859" spans="1:19" x14ac:dyDescent="0.35">
      <c r="A1859" s="31" t="s">
        <v>522</v>
      </c>
      <c r="B1859" s="31" t="s">
        <v>497</v>
      </c>
      <c r="C1859" s="31" t="s">
        <v>498</v>
      </c>
      <c r="D1859" s="31" t="s">
        <v>509</v>
      </c>
      <c r="E1859" s="31" t="s">
        <v>510</v>
      </c>
      <c r="F1859" s="31">
        <v>0</v>
      </c>
      <c r="G1859" s="32">
        <v>5.0000000000000001E-3</v>
      </c>
      <c r="H1859" s="33">
        <v>0.05</v>
      </c>
      <c r="I1859" s="34">
        <v>58016.528925619801</v>
      </c>
      <c r="J1859" s="34">
        <v>304.58677685950403</v>
      </c>
      <c r="K1859" s="31" t="s">
        <v>523</v>
      </c>
      <c r="L1859" s="31">
        <v>5</v>
      </c>
      <c r="M1859" s="31" t="s">
        <v>4337</v>
      </c>
      <c r="N1859" s="34">
        <v>60</v>
      </c>
      <c r="O1859" s="35">
        <v>0</v>
      </c>
      <c r="P1859" s="35" t="s">
        <v>212</v>
      </c>
      <c r="Q1859" s="35">
        <v>0</v>
      </c>
      <c r="R1859" s="36" t="s">
        <v>212</v>
      </c>
      <c r="S1859" s="37" t="str">
        <f>IFERROR(_xlfn.XLOOKUP(R1859,'1_Presupuesto'!$E:$E,'1_Presupuesto'!$D:$D),"")</f>
        <v/>
      </c>
    </row>
    <row r="1860" spans="1:19" x14ac:dyDescent="0.35">
      <c r="A1860" s="31" t="s">
        <v>522</v>
      </c>
      <c r="B1860" s="31" t="s">
        <v>497</v>
      </c>
      <c r="C1860" s="31" t="s">
        <v>498</v>
      </c>
      <c r="D1860" s="31" t="s">
        <v>512</v>
      </c>
      <c r="E1860" s="31" t="s">
        <v>513</v>
      </c>
      <c r="F1860" s="31">
        <v>0</v>
      </c>
      <c r="G1860" s="32">
        <v>0.01</v>
      </c>
      <c r="H1860" s="33">
        <v>0.05</v>
      </c>
      <c r="I1860" s="34">
        <v>1182.6446280991699</v>
      </c>
      <c r="J1860" s="34">
        <v>12.4177685950413</v>
      </c>
      <c r="K1860" s="31" t="s">
        <v>523</v>
      </c>
      <c r="L1860" s="31">
        <v>6</v>
      </c>
      <c r="M1860" s="31" t="s">
        <v>4338</v>
      </c>
      <c r="N1860" s="34">
        <v>60</v>
      </c>
      <c r="O1860" s="35">
        <v>0</v>
      </c>
      <c r="P1860" s="35" t="s">
        <v>212</v>
      </c>
      <c r="Q1860" s="35">
        <v>0</v>
      </c>
      <c r="R1860" s="36" t="s">
        <v>212</v>
      </c>
      <c r="S1860" s="37" t="str">
        <f>IFERROR(_xlfn.XLOOKUP(R1860,'1_Presupuesto'!$E:$E,'1_Presupuesto'!$D:$D),"")</f>
        <v/>
      </c>
    </row>
    <row r="1861" spans="1:19" x14ac:dyDescent="0.35">
      <c r="A1861" s="31" t="s">
        <v>522</v>
      </c>
      <c r="B1861" s="31" t="s">
        <v>497</v>
      </c>
      <c r="C1861" s="31" t="s">
        <v>498</v>
      </c>
      <c r="D1861" s="31" t="s">
        <v>1440</v>
      </c>
      <c r="E1861" s="31" t="s">
        <v>1441</v>
      </c>
      <c r="F1861" s="31" t="s">
        <v>261</v>
      </c>
      <c r="G1861" s="32">
        <v>0.03</v>
      </c>
      <c r="H1861" s="33">
        <v>0.05</v>
      </c>
      <c r="I1861" s="34">
        <v>3600</v>
      </c>
      <c r="J1861" s="34">
        <v>113.4</v>
      </c>
      <c r="K1861" s="31" t="s">
        <v>523</v>
      </c>
      <c r="L1861" s="31">
        <v>7</v>
      </c>
      <c r="M1861" s="31" t="s">
        <v>4339</v>
      </c>
      <c r="N1861" s="34">
        <v>60</v>
      </c>
      <c r="O1861" s="35">
        <v>0</v>
      </c>
      <c r="P1861" s="35" t="s">
        <v>212</v>
      </c>
      <c r="Q1861" s="35">
        <v>0</v>
      </c>
      <c r="R1861" s="36" t="s">
        <v>212</v>
      </c>
      <c r="S1861" s="37" t="str">
        <f>IFERROR(_xlfn.XLOOKUP(R1861,'1_Presupuesto'!$E:$E,'1_Presupuesto'!$D:$D),"")</f>
        <v/>
      </c>
    </row>
    <row r="1862" spans="1:19" x14ac:dyDescent="0.35">
      <c r="A1862" s="31" t="s">
        <v>522</v>
      </c>
      <c r="B1862" s="31" t="s">
        <v>497</v>
      </c>
      <c r="C1862" s="31" t="s">
        <v>498</v>
      </c>
      <c r="D1862" s="31" t="s">
        <v>3779</v>
      </c>
      <c r="E1862" s="31" t="s">
        <v>3780</v>
      </c>
      <c r="F1862" s="31" t="s">
        <v>261</v>
      </c>
      <c r="G1862" s="32">
        <v>0.01</v>
      </c>
      <c r="H1862" s="33">
        <v>0.05</v>
      </c>
      <c r="I1862" s="34">
        <v>15000</v>
      </c>
      <c r="J1862" s="34">
        <v>157.5</v>
      </c>
      <c r="K1862" s="31" t="s">
        <v>523</v>
      </c>
      <c r="L1862" s="31">
        <v>8</v>
      </c>
      <c r="M1862" s="31" t="s">
        <v>4340</v>
      </c>
      <c r="N1862" s="34">
        <v>60</v>
      </c>
      <c r="O1862" s="35">
        <v>0</v>
      </c>
      <c r="P1862" s="35" t="s">
        <v>212</v>
      </c>
      <c r="Q1862" s="35">
        <v>0</v>
      </c>
      <c r="R1862" s="36" t="s">
        <v>212</v>
      </c>
      <c r="S1862" s="37" t="str">
        <f>IFERROR(_xlfn.XLOOKUP(R1862,'1_Presupuesto'!$E:$E,'1_Presupuesto'!$D:$D),"")</f>
        <v/>
      </c>
    </row>
    <row r="1863" spans="1:19" x14ac:dyDescent="0.35">
      <c r="A1863" s="31" t="s">
        <v>1448</v>
      </c>
      <c r="B1863" s="31" t="s">
        <v>497</v>
      </c>
      <c r="C1863" s="31" t="s">
        <v>498</v>
      </c>
      <c r="D1863" s="31" t="s">
        <v>503</v>
      </c>
      <c r="E1863" s="31" t="s">
        <v>504</v>
      </c>
      <c r="F1863" s="31" t="s">
        <v>261</v>
      </c>
      <c r="G1863" s="32">
        <v>0.01</v>
      </c>
      <c r="H1863" s="33">
        <v>0.05</v>
      </c>
      <c r="I1863" s="34">
        <v>6442.15</v>
      </c>
      <c r="J1863" s="34">
        <v>67.642574999999994</v>
      </c>
      <c r="K1863" s="31" t="s">
        <v>1451</v>
      </c>
      <c r="L1863" s="31">
        <v>4</v>
      </c>
      <c r="M1863" s="31" t="s">
        <v>4341</v>
      </c>
      <c r="N1863" s="34">
        <v>50</v>
      </c>
      <c r="O1863" s="35">
        <v>0</v>
      </c>
      <c r="P1863" s="35" t="s">
        <v>212</v>
      </c>
      <c r="Q1863" s="35">
        <v>0</v>
      </c>
      <c r="R1863" s="36" t="s">
        <v>212</v>
      </c>
      <c r="S1863" s="37" t="str">
        <f>IFERROR(_xlfn.XLOOKUP(R1863,'1_Presupuesto'!$E:$E,'1_Presupuesto'!$D:$D),"")</f>
        <v/>
      </c>
    </row>
    <row r="1864" spans="1:19" x14ac:dyDescent="0.35">
      <c r="A1864" s="31" t="s">
        <v>1448</v>
      </c>
      <c r="B1864" s="31" t="s">
        <v>497</v>
      </c>
      <c r="C1864" s="31" t="s">
        <v>498</v>
      </c>
      <c r="D1864" s="31" t="s">
        <v>506</v>
      </c>
      <c r="E1864" s="31" t="s">
        <v>507</v>
      </c>
      <c r="F1864" s="31" t="s">
        <v>261</v>
      </c>
      <c r="G1864" s="32">
        <v>0.01</v>
      </c>
      <c r="H1864" s="33">
        <v>0.05</v>
      </c>
      <c r="I1864" s="34">
        <v>4418.1818181818198</v>
      </c>
      <c r="J1864" s="34">
        <v>46.390909090909098</v>
      </c>
      <c r="K1864" s="31" t="s">
        <v>1451</v>
      </c>
      <c r="L1864" s="31">
        <v>5</v>
      </c>
      <c r="M1864" s="31" t="s">
        <v>4342</v>
      </c>
      <c r="N1864" s="34">
        <v>50</v>
      </c>
      <c r="O1864" s="35">
        <v>0</v>
      </c>
      <c r="P1864" s="35" t="s">
        <v>212</v>
      </c>
      <c r="Q1864" s="35">
        <v>0</v>
      </c>
      <c r="R1864" s="36" t="s">
        <v>212</v>
      </c>
      <c r="S1864" s="37" t="str">
        <f>IFERROR(_xlfn.XLOOKUP(R1864,'1_Presupuesto'!$E:$E,'1_Presupuesto'!$D:$D),"")</f>
        <v/>
      </c>
    </row>
    <row r="1865" spans="1:19" x14ac:dyDescent="0.35">
      <c r="A1865" s="31" t="s">
        <v>1448</v>
      </c>
      <c r="B1865" s="31" t="s">
        <v>497</v>
      </c>
      <c r="C1865" s="31" t="s">
        <v>498</v>
      </c>
      <c r="D1865" s="31" t="s">
        <v>512</v>
      </c>
      <c r="E1865" s="31" t="s">
        <v>513</v>
      </c>
      <c r="F1865" s="31">
        <v>0</v>
      </c>
      <c r="G1865" s="32">
        <v>0.01</v>
      </c>
      <c r="H1865" s="33">
        <v>0.05</v>
      </c>
      <c r="I1865" s="34">
        <v>1182.6446280991699</v>
      </c>
      <c r="J1865" s="34">
        <v>12.4177685950413</v>
      </c>
      <c r="K1865" s="31" t="s">
        <v>1451</v>
      </c>
      <c r="L1865" s="31">
        <v>6</v>
      </c>
      <c r="M1865" s="31" t="s">
        <v>4343</v>
      </c>
      <c r="N1865" s="34">
        <v>50</v>
      </c>
      <c r="O1865" s="35">
        <v>0</v>
      </c>
      <c r="P1865" s="35" t="s">
        <v>212</v>
      </c>
      <c r="Q1865" s="35">
        <v>0</v>
      </c>
      <c r="R1865" s="36" t="s">
        <v>212</v>
      </c>
      <c r="S1865" s="37" t="str">
        <f>IFERROR(_xlfn.XLOOKUP(R1865,'1_Presupuesto'!$E:$E,'1_Presupuesto'!$D:$D),"")</f>
        <v/>
      </c>
    </row>
  </sheetData>
  <autoFilter ref="A1:S186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2:S95"/>
  <sheetViews>
    <sheetView zoomScaleNormal="100" workbookViewId="0">
      <pane ySplit="3" topLeftCell="A6" activePane="bottomLeft" state="frozen"/>
      <selection pane="bottomLeft" activeCell="B6" sqref="B6"/>
    </sheetView>
  </sheetViews>
  <sheetFormatPr defaultColWidth="8.6328125" defaultRowHeight="13" x14ac:dyDescent="0.3"/>
  <cols>
    <col min="1" max="1" width="3" style="59" customWidth="1"/>
    <col min="2" max="2" width="30.1796875" style="59" customWidth="1"/>
    <col min="3" max="3" width="3.90625" style="59" bestFit="1" customWidth="1"/>
    <col min="4" max="4" width="5.7265625" style="59" bestFit="1" customWidth="1"/>
    <col min="5" max="5" width="5.26953125" style="59" bestFit="1" customWidth="1"/>
    <col min="6" max="6" width="12.90625" style="59" bestFit="1" customWidth="1"/>
    <col min="7" max="7" width="15.26953125" style="59" bestFit="1" customWidth="1"/>
    <col min="8" max="8" width="13.90625" style="59" bestFit="1" customWidth="1"/>
    <col min="9" max="9" width="8.7265625" style="59" customWidth="1"/>
    <col min="10" max="10" width="15.81640625" style="59" customWidth="1"/>
    <col min="11" max="11" width="12.36328125" style="59" customWidth="1"/>
    <col min="12" max="12" width="10.6328125" style="59" customWidth="1"/>
    <col min="13" max="13" width="16.36328125" style="59" customWidth="1"/>
    <col min="14" max="14" width="6.26953125" style="59" bestFit="1" customWidth="1"/>
    <col min="15" max="15" width="8.90625" style="59" bestFit="1" customWidth="1"/>
    <col min="16" max="16" width="13.08984375" style="59" customWidth="1"/>
    <col min="17" max="17" width="13.90625" style="59" bestFit="1" customWidth="1"/>
    <col min="18" max="18" width="21" style="59" customWidth="1"/>
    <col min="19" max="19" width="8.7265625" style="59" customWidth="1"/>
    <col min="20" max="20" width="10.7265625" style="59" customWidth="1"/>
    <col min="21" max="34" width="8.6328125" style="59" customWidth="1"/>
    <col min="35" max="16384" width="8.6328125" style="59"/>
  </cols>
  <sheetData>
    <row r="2" spans="1:19" ht="15" customHeight="1" x14ac:dyDescent="0.3">
      <c r="A2" s="51"/>
      <c r="B2" s="52"/>
      <c r="C2" s="53"/>
      <c r="D2" s="54"/>
      <c r="E2" s="54"/>
      <c r="F2" s="55"/>
      <c r="G2" s="56"/>
      <c r="H2" s="57">
        <v>45846</v>
      </c>
      <c r="I2" s="58"/>
      <c r="J2" s="56"/>
      <c r="K2" s="56"/>
      <c r="M2" s="58"/>
      <c r="N2" s="60"/>
      <c r="O2" s="61">
        <v>24</v>
      </c>
      <c r="P2" s="60"/>
      <c r="Q2" s="56"/>
      <c r="R2" s="62"/>
      <c r="S2" s="63"/>
    </row>
    <row r="3" spans="1:19" ht="15" customHeight="1" x14ac:dyDescent="0.3">
      <c r="A3" s="51"/>
      <c r="B3" s="64"/>
      <c r="C3" s="53"/>
      <c r="D3" s="54"/>
      <c r="E3" s="54"/>
      <c r="F3" s="65" t="s">
        <v>4344</v>
      </c>
      <c r="G3" s="66" t="s">
        <v>4345</v>
      </c>
      <c r="H3" s="66" t="s">
        <v>4346</v>
      </c>
      <c r="I3" s="60"/>
      <c r="J3" s="60"/>
      <c r="K3" s="60"/>
      <c r="M3" s="66" t="s">
        <v>4347</v>
      </c>
      <c r="N3" s="67" t="s">
        <v>177</v>
      </c>
      <c r="O3" s="67" t="s">
        <v>4348</v>
      </c>
      <c r="Q3" s="56"/>
      <c r="R3" s="58"/>
      <c r="S3" s="68"/>
    </row>
    <row r="4" spans="1:19" ht="15" customHeight="1" x14ac:dyDescent="0.3">
      <c r="A4" s="51"/>
      <c r="B4" s="69" t="s">
        <v>4349</v>
      </c>
      <c r="C4" s="53"/>
      <c r="D4" s="54"/>
      <c r="E4" s="54"/>
      <c r="F4" s="70">
        <v>19</v>
      </c>
      <c r="G4" s="71">
        <v>1280</v>
      </c>
      <c r="H4" s="71">
        <v>1276</v>
      </c>
      <c r="I4" s="72"/>
      <c r="J4" s="72"/>
      <c r="K4" s="73"/>
      <c r="M4" s="74" t="s">
        <v>4350</v>
      </c>
      <c r="N4" s="75">
        <v>0.5</v>
      </c>
      <c r="O4" s="75">
        <v>12</v>
      </c>
      <c r="Q4" s="76" t="s">
        <v>4351</v>
      </c>
      <c r="R4" s="73"/>
      <c r="S4" s="77"/>
    </row>
    <row r="5" spans="1:19" ht="15" customHeight="1" x14ac:dyDescent="0.3">
      <c r="M5" s="78" t="s">
        <v>4352</v>
      </c>
      <c r="N5" s="79">
        <v>2</v>
      </c>
      <c r="O5" s="79">
        <v>48</v>
      </c>
      <c r="P5" s="80"/>
      <c r="Q5" s="81">
        <v>1</v>
      </c>
    </row>
    <row r="6" spans="1:19" ht="15" customHeight="1" x14ac:dyDescent="0.3">
      <c r="B6" s="82" t="s">
        <v>4353</v>
      </c>
      <c r="C6" s="83" t="s">
        <v>4354</v>
      </c>
      <c r="D6" s="84" t="s">
        <v>4355</v>
      </c>
      <c r="E6" s="84" t="s">
        <v>199</v>
      </c>
      <c r="F6" s="85" t="s">
        <v>4356</v>
      </c>
      <c r="G6" s="85" t="s">
        <v>4357</v>
      </c>
      <c r="H6" s="86">
        <v>3040000</v>
      </c>
      <c r="I6" s="87"/>
      <c r="J6" s="87"/>
      <c r="K6" s="88"/>
      <c r="M6" s="89" t="s">
        <v>4358</v>
      </c>
      <c r="N6" s="79">
        <v>1</v>
      </c>
      <c r="O6" s="79">
        <v>24</v>
      </c>
      <c r="Q6" s="90"/>
    </row>
    <row r="7" spans="1:19" ht="15" customHeight="1" x14ac:dyDescent="0.3">
      <c r="B7" s="91" t="s">
        <v>4359</v>
      </c>
      <c r="C7" s="92" t="s">
        <v>226</v>
      </c>
      <c r="D7" s="93">
        <v>19</v>
      </c>
      <c r="E7" s="93">
        <v>0</v>
      </c>
      <c r="F7" s="94">
        <v>0</v>
      </c>
      <c r="G7" s="95">
        <v>0</v>
      </c>
      <c r="H7" s="87"/>
      <c r="I7" s="96"/>
      <c r="J7" s="87"/>
      <c r="K7" s="88"/>
      <c r="M7" s="78" t="s">
        <v>4360</v>
      </c>
      <c r="N7" s="79">
        <v>1</v>
      </c>
      <c r="O7" s="79">
        <v>24</v>
      </c>
      <c r="Q7" s="90"/>
    </row>
    <row r="8" spans="1:19" ht="15" customHeight="1" x14ac:dyDescent="0.3">
      <c r="B8" s="97" t="s">
        <v>4361</v>
      </c>
      <c r="C8" s="98" t="s">
        <v>226</v>
      </c>
      <c r="D8" s="93">
        <v>19</v>
      </c>
      <c r="E8" s="99">
        <v>0</v>
      </c>
      <c r="F8" s="94">
        <v>0</v>
      </c>
      <c r="G8" s="95">
        <v>0</v>
      </c>
      <c r="H8" s="87"/>
      <c r="I8" s="96"/>
      <c r="J8" s="87"/>
      <c r="M8" s="78" t="s">
        <v>4362</v>
      </c>
      <c r="N8" s="79">
        <v>0.75</v>
      </c>
      <c r="O8" s="79">
        <v>18</v>
      </c>
      <c r="Q8" s="90"/>
    </row>
    <row r="9" spans="1:19" ht="15" customHeight="1" x14ac:dyDescent="0.3">
      <c r="B9" s="97" t="s">
        <v>4363</v>
      </c>
      <c r="C9" s="98" t="s">
        <v>226</v>
      </c>
      <c r="D9" s="93">
        <v>19</v>
      </c>
      <c r="E9" s="99">
        <v>0</v>
      </c>
      <c r="F9" s="94">
        <v>180000</v>
      </c>
      <c r="G9" s="95">
        <v>0</v>
      </c>
      <c r="H9" s="87"/>
      <c r="I9" s="87"/>
      <c r="J9" s="87"/>
      <c r="M9" s="78" t="s">
        <v>4364</v>
      </c>
      <c r="N9" s="79">
        <v>0.75</v>
      </c>
      <c r="O9" s="79">
        <v>18</v>
      </c>
      <c r="Q9" s="90"/>
    </row>
    <row r="10" spans="1:19" ht="15" customHeight="1" x14ac:dyDescent="0.3">
      <c r="B10" s="97" t="s">
        <v>4365</v>
      </c>
      <c r="C10" s="98" t="s">
        <v>226</v>
      </c>
      <c r="D10" s="93">
        <v>19</v>
      </c>
      <c r="E10" s="22">
        <v>2</v>
      </c>
      <c r="F10" s="94">
        <v>80000</v>
      </c>
      <c r="G10" s="95">
        <v>3040000</v>
      </c>
      <c r="H10" s="87"/>
      <c r="I10" s="87"/>
      <c r="J10" s="87"/>
      <c r="M10" s="78" t="s">
        <v>4366</v>
      </c>
      <c r="N10" s="79">
        <v>0.75</v>
      </c>
      <c r="O10" s="79">
        <v>18</v>
      </c>
      <c r="Q10" s="90"/>
    </row>
    <row r="11" spans="1:19" ht="15" customHeight="1" x14ac:dyDescent="0.3">
      <c r="B11" s="82" t="s">
        <v>4353</v>
      </c>
      <c r="C11" s="100"/>
      <c r="D11" s="101"/>
      <c r="E11" s="101"/>
      <c r="F11" s="102"/>
      <c r="G11" s="102"/>
      <c r="H11" s="86">
        <v>39866834.742689103</v>
      </c>
      <c r="I11" s="87"/>
      <c r="J11" s="87"/>
      <c r="K11" s="88"/>
      <c r="M11" s="78" t="s">
        <v>4367</v>
      </c>
      <c r="N11" s="79">
        <v>0.75</v>
      </c>
      <c r="O11" s="79">
        <v>18</v>
      </c>
      <c r="P11" s="103" t="s">
        <v>4368</v>
      </c>
      <c r="Q11" s="104" t="s">
        <v>4369</v>
      </c>
      <c r="R11" s="103" t="s">
        <v>4370</v>
      </c>
    </row>
    <row r="12" spans="1:19" ht="15" customHeight="1" x14ac:dyDescent="0.3">
      <c r="B12" s="105" t="s">
        <v>4371</v>
      </c>
      <c r="C12" s="106" t="s">
        <v>226</v>
      </c>
      <c r="D12" s="107">
        <v>1</v>
      </c>
      <c r="E12" s="107">
        <v>1</v>
      </c>
      <c r="F12" s="108"/>
      <c r="G12" s="190"/>
      <c r="H12" s="87"/>
      <c r="J12" s="23">
        <v>1623254.46014153</v>
      </c>
      <c r="K12" s="93">
        <v>1623254.46014153</v>
      </c>
      <c r="M12" s="78" t="s">
        <v>4372</v>
      </c>
      <c r="N12" s="79">
        <v>0.75</v>
      </c>
      <c r="O12" s="79">
        <v>18</v>
      </c>
      <c r="Q12" s="104">
        <v>7.5</v>
      </c>
      <c r="R12" s="103">
        <v>3</v>
      </c>
    </row>
    <row r="13" spans="1:19" ht="15" customHeight="1" x14ac:dyDescent="0.3">
      <c r="B13" s="97" t="s">
        <v>4373</v>
      </c>
      <c r="C13" s="98" t="s">
        <v>226</v>
      </c>
      <c r="D13" s="99">
        <v>19</v>
      </c>
      <c r="E13" s="99">
        <v>1</v>
      </c>
      <c r="F13" s="109"/>
      <c r="G13" s="190"/>
      <c r="H13" s="87"/>
      <c r="J13" s="24">
        <v>300000</v>
      </c>
      <c r="K13" s="94">
        <v>5700000</v>
      </c>
      <c r="M13" s="78" t="s">
        <v>4374</v>
      </c>
      <c r="N13" s="79">
        <v>0.75</v>
      </c>
      <c r="O13" s="79">
        <v>18</v>
      </c>
    </row>
    <row r="14" spans="1:19" ht="15" customHeight="1" x14ac:dyDescent="0.3">
      <c r="B14" s="97" t="s">
        <v>4375</v>
      </c>
      <c r="C14" s="98" t="s">
        <v>226</v>
      </c>
      <c r="D14" s="99">
        <v>19</v>
      </c>
      <c r="E14" s="99">
        <v>0.5</v>
      </c>
      <c r="F14" s="94">
        <v>200000</v>
      </c>
      <c r="G14" s="94">
        <v>1900000</v>
      </c>
      <c r="H14" s="87"/>
      <c r="I14" s="87"/>
      <c r="J14" s="88"/>
      <c r="K14" s="88"/>
      <c r="M14" s="78" t="s">
        <v>4376</v>
      </c>
      <c r="N14" s="79">
        <v>0.5</v>
      </c>
      <c r="O14" s="79">
        <v>12</v>
      </c>
    </row>
    <row r="15" spans="1:19" ht="15" customHeight="1" x14ac:dyDescent="0.3">
      <c r="B15" s="97" t="s">
        <v>4377</v>
      </c>
      <c r="C15" s="98" t="s">
        <v>226</v>
      </c>
      <c r="D15" s="99">
        <v>19</v>
      </c>
      <c r="E15" s="99">
        <v>1</v>
      </c>
      <c r="F15" s="94">
        <v>300000</v>
      </c>
      <c r="G15" s="94">
        <v>5700000</v>
      </c>
      <c r="H15" s="87"/>
      <c r="I15" s="87"/>
      <c r="J15" s="88"/>
      <c r="K15" s="88"/>
      <c r="M15" s="110" t="s">
        <v>4378</v>
      </c>
      <c r="N15" s="79">
        <v>0.5</v>
      </c>
      <c r="O15" s="79">
        <v>12</v>
      </c>
    </row>
    <row r="16" spans="1:19" ht="15" customHeight="1" x14ac:dyDescent="0.3">
      <c r="B16" s="97" t="s">
        <v>4379</v>
      </c>
      <c r="C16" s="98" t="s">
        <v>226</v>
      </c>
      <c r="D16" s="99">
        <v>19</v>
      </c>
      <c r="E16" s="99">
        <v>1</v>
      </c>
      <c r="F16" s="94">
        <v>75000</v>
      </c>
      <c r="G16" s="94">
        <v>1425000</v>
      </c>
      <c r="H16" s="87"/>
      <c r="I16" s="87"/>
      <c r="J16" s="88"/>
      <c r="K16" s="88"/>
      <c r="M16" s="78" t="s">
        <v>280</v>
      </c>
      <c r="N16" s="79">
        <v>2</v>
      </c>
      <c r="O16" s="79">
        <v>48</v>
      </c>
    </row>
    <row r="17" spans="2:15" ht="15" customHeight="1" x14ac:dyDescent="0.3">
      <c r="B17" s="97" t="s">
        <v>4380</v>
      </c>
      <c r="C17" s="98" t="s">
        <v>226</v>
      </c>
      <c r="D17" s="99">
        <v>19</v>
      </c>
      <c r="E17" s="99">
        <v>0</v>
      </c>
      <c r="F17" s="94">
        <v>10000</v>
      </c>
      <c r="G17" s="94">
        <v>0</v>
      </c>
      <c r="H17" s="87"/>
      <c r="I17" s="87"/>
      <c r="J17" s="88"/>
      <c r="K17" s="88"/>
      <c r="M17" s="78" t="s">
        <v>4381</v>
      </c>
      <c r="N17" s="79">
        <v>2</v>
      </c>
      <c r="O17" s="79">
        <v>48</v>
      </c>
    </row>
    <row r="18" spans="2:15" ht="15" customHeight="1" x14ac:dyDescent="0.3">
      <c r="B18" s="97" t="s">
        <v>4382</v>
      </c>
      <c r="C18" s="98" t="s">
        <v>226</v>
      </c>
      <c r="D18" s="99">
        <v>19</v>
      </c>
      <c r="E18" s="99">
        <v>0</v>
      </c>
      <c r="F18" s="94">
        <v>3246508.9202830601</v>
      </c>
      <c r="G18" s="94">
        <v>0</v>
      </c>
      <c r="H18" s="87"/>
      <c r="K18" s="88"/>
      <c r="L18" s="88"/>
      <c r="M18" s="78" t="s">
        <v>4383</v>
      </c>
      <c r="N18" s="79">
        <v>2</v>
      </c>
      <c r="O18" s="79">
        <v>48</v>
      </c>
    </row>
    <row r="19" spans="2:15" ht="15" customHeight="1" x14ac:dyDescent="0.3">
      <c r="B19" s="97" t="s">
        <v>4384</v>
      </c>
      <c r="C19" s="98" t="s">
        <v>226</v>
      </c>
      <c r="D19" s="99">
        <v>19</v>
      </c>
      <c r="E19" s="99">
        <v>0.5</v>
      </c>
      <c r="F19" s="94">
        <v>3246508.9202830601</v>
      </c>
      <c r="G19" s="94">
        <v>30841834.742689099</v>
      </c>
      <c r="H19" s="87"/>
      <c r="I19" s="87"/>
      <c r="J19" s="88"/>
      <c r="K19" s="88"/>
      <c r="L19" s="88"/>
      <c r="M19" s="78" t="s">
        <v>365</v>
      </c>
      <c r="N19" s="79">
        <v>2</v>
      </c>
      <c r="O19" s="79">
        <v>48</v>
      </c>
    </row>
    <row r="20" spans="2:15" ht="15" customHeight="1" x14ac:dyDescent="0.3">
      <c r="B20" s="82" t="s">
        <v>4385</v>
      </c>
      <c r="C20" s="100"/>
      <c r="D20" s="101"/>
      <c r="E20" s="101"/>
      <c r="F20" s="102"/>
      <c r="G20" s="102"/>
      <c r="H20" s="86">
        <v>89942566.324217096</v>
      </c>
      <c r="I20" s="87"/>
      <c r="J20" s="88"/>
      <c r="K20" s="88"/>
      <c r="M20" s="111" t="s">
        <v>4386</v>
      </c>
      <c r="N20" s="112">
        <v>1</v>
      </c>
      <c r="O20" s="112">
        <v>24</v>
      </c>
    </row>
    <row r="21" spans="2:15" ht="15" customHeight="1" x14ac:dyDescent="0.3">
      <c r="B21" s="105" t="s">
        <v>4387</v>
      </c>
      <c r="C21" s="106" t="s">
        <v>226</v>
      </c>
      <c r="D21" s="107">
        <v>19</v>
      </c>
      <c r="E21" s="107">
        <v>0.15</v>
      </c>
      <c r="F21" s="113">
        <v>5688802.4480278399</v>
      </c>
      <c r="G21" s="113">
        <v>16213086.976879399</v>
      </c>
      <c r="H21" s="87"/>
      <c r="I21" s="87"/>
      <c r="J21" s="87"/>
      <c r="K21" s="88"/>
      <c r="N21" s="114">
        <v>19</v>
      </c>
      <c r="O21" s="114">
        <v>456</v>
      </c>
    </row>
    <row r="22" spans="2:15" ht="15" customHeight="1" x14ac:dyDescent="0.3">
      <c r="B22" s="97" t="s">
        <v>4388</v>
      </c>
      <c r="C22" s="98" t="s">
        <v>226</v>
      </c>
      <c r="D22" s="99">
        <v>19</v>
      </c>
      <c r="E22" s="99">
        <v>0.2</v>
      </c>
      <c r="F22" s="24">
        <v>4716669.3590301601</v>
      </c>
      <c r="G22" s="113">
        <v>17923343.5643146</v>
      </c>
      <c r="H22" s="87"/>
      <c r="K22" s="109"/>
    </row>
    <row r="23" spans="2:15" ht="15" customHeight="1" x14ac:dyDescent="0.3">
      <c r="B23" s="97" t="s">
        <v>4389</v>
      </c>
      <c r="C23" s="98" t="s">
        <v>226</v>
      </c>
      <c r="D23" s="99">
        <v>19</v>
      </c>
      <c r="E23" s="22">
        <v>1</v>
      </c>
      <c r="G23" s="190"/>
      <c r="H23" s="87"/>
      <c r="I23" s="87"/>
      <c r="J23" s="24">
        <v>3246508.9202830601</v>
      </c>
      <c r="K23" s="94">
        <v>61683669.485378198</v>
      </c>
    </row>
    <row r="24" spans="2:15" ht="15" customHeight="1" x14ac:dyDescent="0.3">
      <c r="B24" s="97" t="s">
        <v>4390</v>
      </c>
      <c r="C24" s="98" t="s">
        <v>226</v>
      </c>
      <c r="D24" s="99">
        <v>19</v>
      </c>
      <c r="E24" s="22">
        <v>0</v>
      </c>
      <c r="F24" s="94">
        <v>3246508.9202830601</v>
      </c>
      <c r="G24" s="94">
        <v>0</v>
      </c>
      <c r="H24" s="87"/>
      <c r="I24" s="87"/>
      <c r="J24" s="87"/>
      <c r="K24" s="88"/>
      <c r="L24" s="115"/>
    </row>
    <row r="25" spans="2:15" ht="15" customHeight="1" x14ac:dyDescent="0.3">
      <c r="B25" s="97" t="s">
        <v>4391</v>
      </c>
      <c r="C25" s="98" t="s">
        <v>226</v>
      </c>
      <c r="D25" s="99">
        <v>19</v>
      </c>
      <c r="E25" s="22">
        <v>0.5</v>
      </c>
      <c r="F25" s="94">
        <v>3874330.08242349</v>
      </c>
      <c r="G25" s="94">
        <v>36806135.783023201</v>
      </c>
      <c r="H25" s="87"/>
      <c r="I25" s="87"/>
      <c r="J25" s="87"/>
      <c r="K25" s="88"/>
    </row>
    <row r="26" spans="2:15" ht="15" customHeight="1" x14ac:dyDescent="0.3">
      <c r="B26" s="97" t="s">
        <v>4392</v>
      </c>
      <c r="C26" s="98" t="s">
        <v>226</v>
      </c>
      <c r="D26" s="99">
        <v>19</v>
      </c>
      <c r="E26" s="99">
        <v>1</v>
      </c>
      <c r="F26" s="94">
        <v>500000</v>
      </c>
      <c r="G26" s="94">
        <v>9500000</v>
      </c>
      <c r="H26" s="87"/>
      <c r="I26" s="87"/>
      <c r="J26" s="87"/>
      <c r="K26" s="88"/>
    </row>
    <row r="27" spans="2:15" ht="15" customHeight="1" x14ac:dyDescent="0.3">
      <c r="B27" s="97" t="s">
        <v>4393</v>
      </c>
      <c r="C27" s="98" t="s">
        <v>226</v>
      </c>
      <c r="D27" s="99">
        <v>19</v>
      </c>
      <c r="E27" s="99">
        <v>1</v>
      </c>
      <c r="F27" s="94">
        <v>500000</v>
      </c>
      <c r="G27" s="94">
        <v>9500000</v>
      </c>
      <c r="H27" s="87"/>
      <c r="I27" s="87"/>
      <c r="J27" s="87"/>
      <c r="K27" s="88"/>
    </row>
    <row r="28" spans="2:15" ht="15" customHeight="1" x14ac:dyDescent="0.3">
      <c r="B28" s="97" t="s">
        <v>4394</v>
      </c>
      <c r="C28" s="98" t="s">
        <v>226</v>
      </c>
      <c r="D28" s="99">
        <v>19</v>
      </c>
      <c r="E28" s="99">
        <v>1</v>
      </c>
      <c r="F28" s="116"/>
      <c r="G28" s="190"/>
      <c r="H28" s="87"/>
      <c r="J28" s="24">
        <v>500000</v>
      </c>
      <c r="K28" s="94">
        <v>9500000</v>
      </c>
    </row>
    <row r="29" spans="2:15" ht="15" customHeight="1" x14ac:dyDescent="0.3">
      <c r="B29" s="97" t="s">
        <v>4395</v>
      </c>
      <c r="C29" s="98" t="s">
        <v>226</v>
      </c>
      <c r="D29" s="99">
        <v>19</v>
      </c>
      <c r="E29" s="99">
        <v>1</v>
      </c>
      <c r="F29" s="109"/>
      <c r="G29" s="94">
        <v>0</v>
      </c>
      <c r="H29" s="87"/>
      <c r="K29" s="88"/>
    </row>
    <row r="30" spans="2:15" ht="15" customHeight="1" x14ac:dyDescent="0.3">
      <c r="B30" s="97" t="s">
        <v>4396</v>
      </c>
      <c r="C30" s="98" t="s">
        <v>226</v>
      </c>
      <c r="D30" s="99">
        <v>19</v>
      </c>
      <c r="E30" s="99">
        <v>1</v>
      </c>
      <c r="F30" s="116"/>
      <c r="G30" s="190"/>
      <c r="H30" s="87"/>
      <c r="J30" s="24">
        <v>806885.98632321204</v>
      </c>
      <c r="K30" s="94">
        <v>15330833.740141001</v>
      </c>
    </row>
    <row r="31" spans="2:15" ht="15" customHeight="1" x14ac:dyDescent="0.3">
      <c r="B31" s="82" t="s">
        <v>4397</v>
      </c>
      <c r="C31" s="100"/>
      <c r="D31" s="101"/>
      <c r="E31" s="101"/>
      <c r="F31" s="102"/>
      <c r="G31" s="102"/>
      <c r="H31" s="86">
        <v>0</v>
      </c>
      <c r="I31" s="87"/>
      <c r="J31" s="88"/>
      <c r="K31" s="88"/>
    </row>
    <row r="32" spans="2:15" ht="15" customHeight="1" x14ac:dyDescent="0.3">
      <c r="B32" s="105" t="s">
        <v>4398</v>
      </c>
      <c r="C32" s="106" t="s">
        <v>226</v>
      </c>
      <c r="D32" s="117"/>
      <c r="E32" s="117"/>
      <c r="F32" s="113">
        <v>130000</v>
      </c>
      <c r="G32" s="113">
        <v>0</v>
      </c>
      <c r="H32" s="87"/>
      <c r="I32" s="87"/>
      <c r="J32" s="88"/>
      <c r="K32" s="88"/>
    </row>
    <row r="33" spans="1:13" ht="15" customHeight="1" x14ac:dyDescent="0.3">
      <c r="B33" s="97" t="s">
        <v>4399</v>
      </c>
      <c r="C33" s="98" t="s">
        <v>226</v>
      </c>
      <c r="D33" s="118"/>
      <c r="E33" s="118"/>
      <c r="F33" s="94">
        <v>100000</v>
      </c>
      <c r="G33" s="94">
        <v>0</v>
      </c>
      <c r="H33" s="87"/>
      <c r="I33" s="87"/>
      <c r="J33" s="88"/>
      <c r="K33" s="88"/>
    </row>
    <row r="34" spans="1:13" ht="15" customHeight="1" x14ac:dyDescent="0.3">
      <c r="B34" s="97" t="s">
        <v>4400</v>
      </c>
      <c r="C34" s="98" t="s">
        <v>226</v>
      </c>
      <c r="D34" s="118"/>
      <c r="E34" s="118"/>
      <c r="F34" s="94">
        <v>33600</v>
      </c>
      <c r="G34" s="94">
        <v>0</v>
      </c>
      <c r="H34" s="87"/>
      <c r="I34" s="87"/>
      <c r="J34" s="88"/>
      <c r="K34" s="88"/>
    </row>
    <row r="35" spans="1:13" ht="15" customHeight="1" x14ac:dyDescent="0.3">
      <c r="B35" s="97" t="s">
        <v>4401</v>
      </c>
      <c r="C35" s="98" t="s">
        <v>226</v>
      </c>
      <c r="D35" s="118"/>
      <c r="E35" s="118"/>
      <c r="F35" s="94">
        <v>89000</v>
      </c>
      <c r="G35" s="94">
        <v>0</v>
      </c>
      <c r="H35" s="87"/>
      <c r="I35" s="87"/>
      <c r="J35" s="88"/>
      <c r="K35" s="88"/>
    </row>
    <row r="36" spans="1:13" ht="15" customHeight="1" x14ac:dyDescent="0.3">
      <c r="B36" s="119" t="s">
        <v>4402</v>
      </c>
      <c r="C36" s="120" t="s">
        <v>226</v>
      </c>
      <c r="D36" s="121"/>
      <c r="E36" s="121"/>
      <c r="F36" s="122">
        <v>70000</v>
      </c>
      <c r="G36" s="122">
        <v>0</v>
      </c>
      <c r="H36" s="87"/>
      <c r="I36" s="87"/>
      <c r="J36" s="88"/>
      <c r="K36" s="88"/>
    </row>
    <row r="37" spans="1:13" ht="15" customHeight="1" x14ac:dyDescent="0.3">
      <c r="B37" s="82" t="s">
        <v>4403</v>
      </c>
      <c r="C37" s="100"/>
      <c r="D37" s="101"/>
      <c r="E37" s="101"/>
      <c r="F37" s="102"/>
      <c r="G37" s="102"/>
      <c r="H37" s="86">
        <v>94164834.742689103</v>
      </c>
      <c r="I37" s="87"/>
      <c r="J37" s="88"/>
      <c r="K37" s="88"/>
    </row>
    <row r="38" spans="1:13" ht="15" customHeight="1" x14ac:dyDescent="0.3">
      <c r="B38" s="91" t="s">
        <v>4404</v>
      </c>
      <c r="C38" s="123" t="s">
        <v>226</v>
      </c>
      <c r="D38" s="93">
        <v>19</v>
      </c>
      <c r="E38" s="93">
        <v>0.5</v>
      </c>
      <c r="F38" s="95">
        <v>3246508.9202830601</v>
      </c>
      <c r="G38" s="95">
        <v>30841834.742689099</v>
      </c>
      <c r="H38" s="87"/>
      <c r="I38" s="87"/>
      <c r="J38" s="88"/>
      <c r="K38" s="88"/>
    </row>
    <row r="39" spans="1:13" ht="15" customHeight="1" x14ac:dyDescent="0.3">
      <c r="B39" s="97" t="s">
        <v>4405</v>
      </c>
      <c r="C39" s="124" t="s">
        <v>218</v>
      </c>
      <c r="D39" s="99">
        <v>19</v>
      </c>
      <c r="E39" s="99">
        <v>1</v>
      </c>
      <c r="F39" s="94">
        <v>250000</v>
      </c>
      <c r="G39" s="94">
        <v>4750000</v>
      </c>
      <c r="H39" s="87"/>
      <c r="I39" s="87"/>
      <c r="J39" s="88"/>
      <c r="K39" s="88"/>
    </row>
    <row r="40" spans="1:13" ht="15" customHeight="1" x14ac:dyDescent="0.3">
      <c r="B40" s="125" t="s">
        <v>4406</v>
      </c>
      <c r="C40" s="124" t="s">
        <v>218</v>
      </c>
      <c r="D40" s="99">
        <v>0.04</v>
      </c>
      <c r="E40" s="99">
        <v>0.7</v>
      </c>
      <c r="F40" s="25">
        <v>1550000000</v>
      </c>
      <c r="G40" s="94">
        <v>43400000</v>
      </c>
      <c r="H40" s="87"/>
      <c r="I40" s="87"/>
      <c r="J40" s="88"/>
      <c r="K40" s="126"/>
    </row>
    <row r="41" spans="1:13" ht="15" customHeight="1" x14ac:dyDescent="0.3">
      <c r="B41" s="97" t="s">
        <v>4407</v>
      </c>
      <c r="C41" s="124" t="s">
        <v>218</v>
      </c>
      <c r="D41" s="99">
        <v>1.2E-2</v>
      </c>
      <c r="E41" s="99">
        <v>0.7</v>
      </c>
      <c r="F41" s="94">
        <v>1782500000</v>
      </c>
      <c r="G41" s="94">
        <v>14973000</v>
      </c>
      <c r="H41" s="87"/>
      <c r="I41" s="87"/>
      <c r="J41" s="88"/>
      <c r="K41" s="87"/>
    </row>
    <row r="42" spans="1:13" ht="15" customHeight="1" x14ac:dyDescent="0.3">
      <c r="B42" s="119" t="s">
        <v>4408</v>
      </c>
      <c r="C42" s="127" t="s">
        <v>218</v>
      </c>
      <c r="D42" s="128">
        <v>1</v>
      </c>
      <c r="E42" s="128">
        <v>1</v>
      </c>
      <c r="F42" s="122">
        <v>200000</v>
      </c>
      <c r="G42" s="122">
        <v>200000</v>
      </c>
      <c r="H42" s="87"/>
      <c r="I42" s="87"/>
      <c r="J42" s="88"/>
      <c r="K42" s="87"/>
      <c r="M42" s="87"/>
    </row>
    <row r="43" spans="1:13" ht="15" customHeight="1" x14ac:dyDescent="0.3">
      <c r="B43" s="129"/>
      <c r="C43" s="130"/>
      <c r="D43" s="131"/>
      <c r="E43" s="131"/>
      <c r="F43" s="132"/>
      <c r="G43" s="133">
        <v>227014235.80959499</v>
      </c>
      <c r="H43" s="86">
        <v>227014235.80959499</v>
      </c>
      <c r="I43" s="87"/>
      <c r="J43" s="87"/>
      <c r="K43" s="134">
        <v>93837757.685660794</v>
      </c>
      <c r="L43" s="135">
        <v>320851993.49525601</v>
      </c>
      <c r="M43" s="88"/>
    </row>
    <row r="44" spans="1:13" ht="15" customHeight="1" x14ac:dyDescent="0.3">
      <c r="B44" s="136" t="s">
        <v>4409</v>
      </c>
      <c r="D44" s="137"/>
      <c r="E44" s="137"/>
      <c r="F44" s="138"/>
      <c r="G44" s="137"/>
      <c r="H44" s="137"/>
      <c r="I44" s="137"/>
      <c r="K44" s="104" t="s">
        <v>4410</v>
      </c>
      <c r="L44" s="139" t="s">
        <v>4411</v>
      </c>
      <c r="M44" s="88"/>
    </row>
    <row r="45" spans="1:13" ht="15" customHeight="1" x14ac:dyDescent="0.3">
      <c r="B45" s="136" t="s">
        <v>4412</v>
      </c>
      <c r="D45" s="137"/>
      <c r="E45" s="137"/>
      <c r="F45" s="138"/>
      <c r="G45" s="137"/>
      <c r="H45" s="140">
        <v>227014235.80959499</v>
      </c>
      <c r="I45" s="137"/>
      <c r="L45" s="26">
        <v>0.28250184817864699</v>
      </c>
      <c r="M45" s="88"/>
    </row>
    <row r="46" spans="1:13" ht="15" customHeight="1" x14ac:dyDescent="0.3">
      <c r="A46" s="141"/>
      <c r="B46" s="142"/>
      <c r="D46" s="143"/>
      <c r="E46" s="143"/>
      <c r="F46" s="144"/>
      <c r="G46" s="143"/>
      <c r="H46" s="143"/>
      <c r="M46" s="88"/>
    </row>
    <row r="47" spans="1:13" ht="15" customHeight="1" x14ac:dyDescent="0.3">
      <c r="A47" s="141"/>
      <c r="B47" s="136" t="s">
        <v>4413</v>
      </c>
      <c r="D47" s="143"/>
      <c r="E47" s="143"/>
      <c r="F47" s="144"/>
      <c r="G47" s="145">
        <v>288798727.90028399</v>
      </c>
      <c r="H47" s="145">
        <v>226331.29145790299</v>
      </c>
      <c r="J47" s="146"/>
      <c r="M47" s="88"/>
    </row>
    <row r="48" spans="1:13" ht="15" customHeight="1" x14ac:dyDescent="0.3">
      <c r="B48" s="136" t="s">
        <v>4414</v>
      </c>
      <c r="F48" s="144"/>
      <c r="G48" s="145">
        <v>92831284.446023196</v>
      </c>
      <c r="H48" s="145">
        <v>72751.790318200001</v>
      </c>
      <c r="J48" s="88"/>
      <c r="M48" s="88"/>
    </row>
    <row r="49" spans="1:15" ht="15" customHeight="1" x14ac:dyDescent="0.3">
      <c r="B49" s="136" t="s">
        <v>4415</v>
      </c>
      <c r="F49" s="144"/>
      <c r="G49" s="145">
        <v>508757512.393278</v>
      </c>
      <c r="H49" s="145">
        <v>398712.784007271</v>
      </c>
      <c r="I49" s="88"/>
      <c r="J49" s="88"/>
    </row>
    <row r="50" spans="1:15" ht="15" customHeight="1" x14ac:dyDescent="0.3">
      <c r="B50" s="136" t="s">
        <v>4416</v>
      </c>
      <c r="F50" s="144"/>
      <c r="G50" s="145">
        <v>219547445.339578</v>
      </c>
      <c r="H50" s="145">
        <v>172059.126441676</v>
      </c>
      <c r="I50" s="88"/>
      <c r="J50" s="88"/>
    </row>
    <row r="51" spans="1:15" ht="15" customHeight="1" x14ac:dyDescent="0.3">
      <c r="B51" s="136" t="s">
        <v>4397</v>
      </c>
      <c r="F51" s="144"/>
      <c r="G51" s="145">
        <v>25816868.586182501</v>
      </c>
      <c r="H51" s="145">
        <v>20232.655631804399</v>
      </c>
      <c r="I51" s="88"/>
      <c r="J51" s="88"/>
    </row>
    <row r="52" spans="1:15" ht="15" customHeight="1" x14ac:dyDescent="0.3">
      <c r="B52" s="142"/>
      <c r="F52" s="144"/>
      <c r="G52" s="88"/>
      <c r="H52" s="147"/>
      <c r="J52" s="88"/>
      <c r="M52" s="148"/>
    </row>
    <row r="53" spans="1:15" ht="15" customHeight="1" x14ac:dyDescent="0.3">
      <c r="A53" s="149" t="s">
        <v>4417</v>
      </c>
      <c r="B53" s="150"/>
      <c r="C53" s="100"/>
      <c r="D53" s="100"/>
      <c r="E53" s="100"/>
      <c r="F53" s="151"/>
      <c r="G53" s="152">
        <v>1135751838.66535</v>
      </c>
      <c r="H53" s="153">
        <v>890087.64785685402</v>
      </c>
      <c r="I53" s="88"/>
      <c r="M53" s="154"/>
    </row>
    <row r="54" spans="1:15" ht="15" customHeight="1" x14ac:dyDescent="0.3">
      <c r="A54" s="155"/>
      <c r="B54" s="142"/>
      <c r="F54" s="144"/>
      <c r="G54" s="88"/>
      <c r="H54" s="88"/>
      <c r="J54" s="145">
        <v>1109934970.07916</v>
      </c>
      <c r="L54" s="156"/>
    </row>
    <row r="55" spans="1:15" ht="15" customHeight="1" x14ac:dyDescent="0.3">
      <c r="A55" s="155"/>
      <c r="B55" s="136" t="s">
        <v>4418</v>
      </c>
      <c r="E55" s="88"/>
      <c r="F55" s="157">
        <v>0.199880139376544</v>
      </c>
      <c r="G55" s="145">
        <v>227014235.80959499</v>
      </c>
      <c r="H55" s="145">
        <v>177910.84311096801</v>
      </c>
      <c r="J55" s="145">
        <v>33298049.1023749</v>
      </c>
      <c r="K55" s="158">
        <v>0.03</v>
      </c>
    </row>
    <row r="56" spans="1:15" ht="15" customHeight="1" x14ac:dyDescent="0.3">
      <c r="A56" s="155"/>
      <c r="B56" s="136" t="s">
        <v>4397</v>
      </c>
      <c r="E56" s="145">
        <v>3</v>
      </c>
      <c r="F56" s="157">
        <v>6.58698516833023E-3</v>
      </c>
      <c r="G56" s="145">
        <v>7481180.5161924204</v>
      </c>
      <c r="H56" s="145">
        <v>5862.99413494704</v>
      </c>
      <c r="J56" s="134">
        <v>7481180.5161924204</v>
      </c>
    </row>
    <row r="57" spans="1:15" ht="15" customHeight="1" x14ac:dyDescent="0.3">
      <c r="A57" s="155"/>
      <c r="B57" s="136" t="s">
        <v>4419</v>
      </c>
      <c r="E57" s="145">
        <v>5</v>
      </c>
      <c r="F57" s="157">
        <v>0.05</v>
      </c>
      <c r="G57" s="145">
        <v>56787591.933267303</v>
      </c>
      <c r="H57" s="145">
        <v>44504.382392842701</v>
      </c>
      <c r="I57" s="159"/>
      <c r="K57" s="148"/>
    </row>
    <row r="58" spans="1:15" ht="15" customHeight="1" x14ac:dyDescent="0.3">
      <c r="A58" s="155"/>
      <c r="B58" s="136" t="s">
        <v>4420</v>
      </c>
      <c r="E58" s="145">
        <v>9</v>
      </c>
      <c r="F58" s="157">
        <v>0.1</v>
      </c>
      <c r="G58" s="145">
        <v>113575183.86653499</v>
      </c>
      <c r="H58" s="145">
        <v>89008.764785685402</v>
      </c>
      <c r="I58" s="88"/>
    </row>
    <row r="59" spans="1:15" ht="15" customHeight="1" x14ac:dyDescent="0.3">
      <c r="A59" s="149" t="s">
        <v>4421</v>
      </c>
      <c r="B59" s="150"/>
      <c r="C59" s="100"/>
      <c r="D59" s="100"/>
      <c r="E59" s="160"/>
      <c r="F59" s="161">
        <v>0.356467124544874</v>
      </c>
      <c r="G59" s="152">
        <v>404858192.12559003</v>
      </c>
      <c r="H59" s="153">
        <v>317286.98442444298</v>
      </c>
      <c r="I59" s="88"/>
    </row>
    <row r="60" spans="1:15" ht="15" customHeight="1" x14ac:dyDescent="0.3">
      <c r="A60" s="155"/>
      <c r="B60" s="142"/>
      <c r="E60" s="88"/>
      <c r="F60" s="88"/>
      <c r="G60" s="88"/>
      <c r="H60" s="88"/>
    </row>
    <row r="61" spans="1:15" ht="15" customHeight="1" x14ac:dyDescent="0.3">
      <c r="A61" s="149" t="s">
        <v>4422</v>
      </c>
      <c r="B61" s="150"/>
      <c r="C61" s="100"/>
      <c r="D61" s="100"/>
      <c r="E61" s="160"/>
      <c r="F61" s="152">
        <v>1.3564671245448701</v>
      </c>
      <c r="G61" s="161">
        <v>1540610030.79094</v>
      </c>
      <c r="H61" s="162"/>
      <c r="I61" s="88"/>
      <c r="J61" s="88"/>
      <c r="M61" s="141"/>
      <c r="N61" s="141"/>
      <c r="O61" s="88"/>
    </row>
    <row r="62" spans="1:15" ht="15" customHeight="1" x14ac:dyDescent="0.3">
      <c r="B62" s="142"/>
      <c r="E62" s="88"/>
      <c r="F62" s="88"/>
      <c r="G62" s="88"/>
      <c r="H62" s="88"/>
      <c r="M62" s="141"/>
      <c r="N62" s="141"/>
      <c r="O62" s="88"/>
    </row>
    <row r="63" spans="1:15" ht="15" customHeight="1" x14ac:dyDescent="0.3">
      <c r="A63" s="149" t="s">
        <v>4423</v>
      </c>
      <c r="B63" s="150"/>
      <c r="C63" s="100"/>
      <c r="D63" s="100"/>
      <c r="E63" s="160"/>
      <c r="F63" s="160"/>
      <c r="G63" s="161">
        <v>1540610030.79094</v>
      </c>
      <c r="H63" s="153">
        <v>1207374.6322812999</v>
      </c>
      <c r="I63" s="96"/>
      <c r="J63" s="88"/>
    </row>
    <row r="64" spans="1:15" ht="15" customHeight="1" x14ac:dyDescent="0.3">
      <c r="B64" s="142"/>
      <c r="E64" s="88"/>
      <c r="F64" s="88"/>
      <c r="G64" s="88"/>
      <c r="H64" s="163"/>
      <c r="J64" s="88"/>
      <c r="N64" s="159"/>
      <c r="O64" s="159"/>
    </row>
    <row r="65" spans="2:16" ht="15" customHeight="1" x14ac:dyDescent="0.3">
      <c r="B65" s="142"/>
      <c r="F65" s="144"/>
      <c r="G65" s="88"/>
      <c r="H65" s="88"/>
      <c r="I65" s="141"/>
      <c r="M65" s="80"/>
      <c r="N65" s="164"/>
      <c r="O65" s="164"/>
    </row>
    <row r="66" spans="2:16" ht="15" customHeight="1" x14ac:dyDescent="0.3">
      <c r="B66" s="142"/>
      <c r="F66" s="138"/>
      <c r="G66" s="87"/>
      <c r="H66" s="87"/>
      <c r="I66" s="141"/>
      <c r="M66" s="80"/>
      <c r="N66" s="164"/>
      <c r="O66" s="164"/>
    </row>
    <row r="67" spans="2:16" ht="15" customHeight="1" x14ac:dyDescent="0.3">
      <c r="B67" s="142"/>
      <c r="F67" s="165"/>
      <c r="G67" s="87"/>
      <c r="H67" s="87"/>
      <c r="I67" s="141"/>
      <c r="M67" s="80"/>
      <c r="N67" s="164"/>
      <c r="O67" s="164"/>
    </row>
    <row r="68" spans="2:16" ht="15" customHeight="1" x14ac:dyDescent="0.3">
      <c r="B68" s="142"/>
      <c r="F68" s="144"/>
      <c r="G68" s="88"/>
      <c r="H68" s="88"/>
      <c r="I68" s="141"/>
      <c r="M68" s="80"/>
      <c r="N68" s="164"/>
      <c r="O68" s="164"/>
    </row>
    <row r="69" spans="2:16" ht="15" customHeight="1" x14ac:dyDescent="0.3">
      <c r="B69" s="142"/>
      <c r="F69" s="144"/>
      <c r="G69" s="88"/>
      <c r="H69" s="147"/>
      <c r="K69" s="146"/>
      <c r="M69" s="80"/>
      <c r="N69" s="166"/>
      <c r="O69" s="80"/>
    </row>
    <row r="70" spans="2:16" ht="15" customHeight="1" x14ac:dyDescent="0.3">
      <c r="B70" s="142"/>
      <c r="F70" s="144"/>
      <c r="L70" s="164"/>
      <c r="M70" s="80"/>
      <c r="N70" s="80"/>
      <c r="O70" s="80"/>
      <c r="P70" s="159"/>
    </row>
    <row r="71" spans="2:16" ht="15" customHeight="1" x14ac:dyDescent="0.3">
      <c r="B71" s="142"/>
      <c r="D71" s="137"/>
      <c r="E71" s="137"/>
      <c r="F71" s="138"/>
      <c r="G71" s="137"/>
      <c r="H71" s="137"/>
      <c r="I71" s="137"/>
      <c r="K71" s="80"/>
      <c r="L71" s="167"/>
      <c r="M71" s="80"/>
      <c r="N71" s="80"/>
      <c r="P71" s="167"/>
    </row>
    <row r="72" spans="2:16" ht="15" customHeight="1" x14ac:dyDescent="0.3">
      <c r="B72" s="142"/>
      <c r="D72" s="137"/>
      <c r="E72" s="137"/>
      <c r="F72" s="138"/>
      <c r="G72" s="137"/>
      <c r="H72" s="137"/>
      <c r="I72" s="137"/>
      <c r="K72" s="80"/>
      <c r="L72" s="167"/>
      <c r="M72" s="80"/>
      <c r="N72" s="80"/>
    </row>
    <row r="73" spans="2:16" ht="15" customHeight="1" x14ac:dyDescent="0.3">
      <c r="B73" s="142"/>
      <c r="D73" s="137"/>
      <c r="E73" s="137"/>
      <c r="F73" s="138"/>
      <c r="G73" s="137"/>
      <c r="H73" s="137"/>
      <c r="I73" s="137"/>
      <c r="K73" s="80"/>
      <c r="L73" s="168"/>
      <c r="M73" s="80"/>
      <c r="N73" s="80"/>
    </row>
    <row r="74" spans="2:16" ht="15" customHeight="1" x14ac:dyDescent="0.3">
      <c r="B74" s="142"/>
      <c r="D74" s="137"/>
      <c r="E74" s="137"/>
      <c r="F74" s="138"/>
      <c r="G74" s="137"/>
      <c r="H74" s="137"/>
      <c r="I74" s="137"/>
      <c r="K74" s="80"/>
      <c r="L74" s="167"/>
      <c r="M74" s="80"/>
      <c r="N74" s="80"/>
    </row>
    <row r="75" spans="2:16" ht="15" customHeight="1" x14ac:dyDescent="0.3">
      <c r="B75" s="142"/>
      <c r="D75" s="137"/>
      <c r="E75" s="137"/>
      <c r="F75" s="138"/>
      <c r="G75" s="137"/>
      <c r="H75" s="137"/>
      <c r="I75" s="137"/>
      <c r="K75" s="80"/>
      <c r="L75" s="168"/>
      <c r="M75" s="80"/>
      <c r="N75" s="80"/>
    </row>
    <row r="76" spans="2:16" ht="15" customHeight="1" x14ac:dyDescent="0.3">
      <c r="B76" s="142"/>
      <c r="F76" s="138"/>
      <c r="G76" s="137"/>
      <c r="H76" s="137"/>
      <c r="I76" s="137"/>
      <c r="K76" s="169"/>
      <c r="L76" s="87"/>
      <c r="M76" s="80"/>
      <c r="N76" s="80"/>
    </row>
    <row r="77" spans="2:16" ht="15" customHeight="1" x14ac:dyDescent="0.3">
      <c r="B77" s="142"/>
      <c r="D77" s="137"/>
      <c r="E77" s="137"/>
      <c r="F77" s="138"/>
      <c r="G77" s="137"/>
      <c r="H77" s="137"/>
      <c r="I77" s="137"/>
      <c r="K77" s="80"/>
      <c r="L77" s="87"/>
      <c r="M77" s="80"/>
      <c r="N77" s="80"/>
    </row>
    <row r="78" spans="2:16" ht="15" customHeight="1" x14ac:dyDescent="0.3">
      <c r="B78" s="142"/>
      <c r="D78" s="137"/>
      <c r="E78" s="137"/>
      <c r="F78" s="138"/>
      <c r="G78" s="137"/>
      <c r="H78" s="137"/>
      <c r="I78" s="137"/>
      <c r="K78" s="80"/>
      <c r="L78" s="170"/>
      <c r="M78" s="80"/>
      <c r="N78" s="80"/>
    </row>
    <row r="79" spans="2:16" ht="15" customHeight="1" x14ac:dyDescent="0.3">
      <c r="B79" s="142"/>
      <c r="D79" s="137"/>
      <c r="E79" s="137"/>
      <c r="F79" s="138"/>
      <c r="G79" s="137"/>
      <c r="H79" s="137"/>
      <c r="I79" s="137"/>
      <c r="K79" s="80"/>
      <c r="L79" s="80"/>
      <c r="M79" s="80"/>
      <c r="N79" s="80"/>
    </row>
    <row r="80" spans="2:16" ht="15" customHeight="1" x14ac:dyDescent="0.3">
      <c r="B80" s="142"/>
      <c r="D80" s="137"/>
      <c r="E80" s="137"/>
      <c r="F80" s="138"/>
      <c r="G80" s="137"/>
      <c r="H80" s="137"/>
      <c r="I80" s="137"/>
      <c r="K80" s="80"/>
      <c r="L80" s="115"/>
      <c r="M80" s="80"/>
      <c r="N80" s="80"/>
    </row>
    <row r="81" spans="1:16" ht="15" customHeight="1" x14ac:dyDescent="0.3">
      <c r="B81" s="142"/>
      <c r="D81" s="137"/>
      <c r="E81" s="137"/>
      <c r="F81" s="138"/>
      <c r="G81" s="137"/>
      <c r="H81" s="137"/>
      <c r="I81" s="137"/>
      <c r="K81" s="80"/>
      <c r="L81" s="80"/>
      <c r="M81" s="80"/>
      <c r="N81" s="80"/>
    </row>
    <row r="82" spans="1:16" ht="15" customHeight="1" x14ac:dyDescent="0.3">
      <c r="B82" s="142"/>
      <c r="D82" s="137"/>
      <c r="E82" s="137"/>
      <c r="F82" s="138"/>
      <c r="G82" s="137"/>
      <c r="H82" s="137"/>
      <c r="I82" s="137"/>
      <c r="K82" s="80"/>
      <c r="L82" s="115"/>
      <c r="M82" s="80"/>
      <c r="N82" s="80"/>
    </row>
    <row r="83" spans="1:16" ht="15" customHeight="1" x14ac:dyDescent="0.3">
      <c r="B83" s="142"/>
      <c r="D83" s="137"/>
      <c r="E83" s="137"/>
      <c r="F83" s="138"/>
      <c r="G83" s="137"/>
      <c r="H83" s="137"/>
      <c r="I83" s="137"/>
    </row>
    <row r="84" spans="1:16" ht="15" customHeight="1" x14ac:dyDescent="0.3">
      <c r="B84" s="142"/>
      <c r="D84" s="137"/>
      <c r="E84" s="137"/>
      <c r="F84" s="138"/>
      <c r="G84" s="137"/>
      <c r="H84" s="137"/>
      <c r="I84" s="137"/>
    </row>
    <row r="85" spans="1:16" ht="15" customHeight="1" x14ac:dyDescent="0.3">
      <c r="B85" s="142"/>
      <c r="D85" s="137"/>
      <c r="E85" s="137"/>
      <c r="F85" s="138"/>
      <c r="G85" s="137"/>
      <c r="H85" s="137"/>
      <c r="I85" s="137"/>
    </row>
    <row r="86" spans="1:16" ht="15" customHeight="1" x14ac:dyDescent="0.3">
      <c r="A86" s="80"/>
      <c r="D86" s="137"/>
      <c r="E86" s="137"/>
      <c r="G86" s="137"/>
      <c r="H86" s="137"/>
      <c r="I86" s="137"/>
      <c r="J86" s="80"/>
      <c r="K86" s="80"/>
      <c r="M86" s="80"/>
      <c r="N86" s="80"/>
      <c r="O86" s="80"/>
      <c r="P86" s="80"/>
    </row>
    <row r="87" spans="1:16" ht="15" customHeight="1" x14ac:dyDescent="0.3">
      <c r="A87" s="80"/>
      <c r="D87" s="137"/>
      <c r="E87" s="137"/>
      <c r="G87" s="137"/>
      <c r="H87" s="137"/>
      <c r="I87" s="137"/>
      <c r="J87" s="80"/>
      <c r="K87" s="80"/>
      <c r="M87" s="80"/>
      <c r="N87" s="80"/>
      <c r="O87" s="80"/>
      <c r="P87" s="80"/>
    </row>
    <row r="88" spans="1:16" ht="15" customHeight="1" x14ac:dyDescent="0.3">
      <c r="A88" s="80"/>
      <c r="D88" s="137"/>
      <c r="E88" s="137"/>
      <c r="G88" s="137"/>
      <c r="H88" s="137"/>
      <c r="I88" s="137"/>
      <c r="J88" s="80"/>
      <c r="K88" s="80"/>
      <c r="M88" s="80"/>
      <c r="N88" s="80"/>
      <c r="O88" s="80"/>
      <c r="P88" s="80"/>
    </row>
    <row r="89" spans="1:16" ht="15" customHeight="1" x14ac:dyDescent="0.3">
      <c r="A89" s="80"/>
      <c r="D89" s="137"/>
      <c r="E89" s="137"/>
      <c r="G89" s="137"/>
      <c r="H89" s="137"/>
      <c r="I89" s="137"/>
      <c r="J89" s="80"/>
      <c r="K89" s="80"/>
      <c r="M89" s="80"/>
      <c r="N89" s="80"/>
      <c r="O89" s="80"/>
      <c r="P89" s="80"/>
    </row>
    <row r="90" spans="1:16" ht="15" customHeight="1" x14ac:dyDescent="0.3">
      <c r="A90" s="80"/>
      <c r="D90" s="137"/>
      <c r="E90" s="137"/>
      <c r="G90" s="137"/>
      <c r="H90" s="137"/>
      <c r="I90" s="137"/>
      <c r="J90" s="80"/>
      <c r="K90" s="80"/>
      <c r="M90" s="80"/>
      <c r="N90" s="80"/>
      <c r="O90" s="80"/>
      <c r="P90" s="80"/>
    </row>
    <row r="91" spans="1:16" ht="15" customHeight="1" x14ac:dyDescent="0.3">
      <c r="A91" s="80"/>
      <c r="D91" s="137"/>
      <c r="E91" s="137"/>
      <c r="G91" s="137"/>
      <c r="H91" s="137"/>
      <c r="I91" s="137"/>
      <c r="J91" s="80"/>
      <c r="K91" s="80"/>
      <c r="M91" s="80"/>
      <c r="N91" s="80"/>
      <c r="O91" s="80"/>
      <c r="P91" s="80"/>
    </row>
    <row r="92" spans="1:16" ht="15" customHeight="1" x14ac:dyDescent="0.3">
      <c r="A92" s="80"/>
      <c r="D92" s="137"/>
      <c r="E92" s="137"/>
      <c r="G92" s="137"/>
      <c r="H92" s="137"/>
      <c r="I92" s="137"/>
      <c r="J92" s="80"/>
      <c r="K92" s="80"/>
      <c r="P92" s="80"/>
    </row>
    <row r="93" spans="1:16" ht="15" customHeight="1" x14ac:dyDescent="0.3">
      <c r="A93" s="80"/>
      <c r="D93" s="137"/>
      <c r="E93" s="137"/>
      <c r="G93" s="137"/>
      <c r="H93" s="137"/>
      <c r="I93" s="137"/>
      <c r="J93" s="80"/>
      <c r="K93" s="80"/>
      <c r="P93" s="80"/>
    </row>
    <row r="94" spans="1:16" ht="15" customHeight="1" x14ac:dyDescent="0.3">
      <c r="A94" s="80"/>
      <c r="D94" s="137"/>
      <c r="E94" s="137"/>
      <c r="G94" s="137"/>
      <c r="H94" s="137"/>
      <c r="I94" s="137"/>
      <c r="J94" s="80"/>
      <c r="K94" s="80"/>
      <c r="P94" s="80"/>
    </row>
    <row r="95" spans="1:16" ht="15" customHeight="1" x14ac:dyDescent="0.3">
      <c r="H95" s="87"/>
      <c r="I95" s="87"/>
      <c r="J95" s="8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R127"/>
  <sheetViews>
    <sheetView showGridLines="0" tabSelected="1" zoomScaleNormal="100" workbookViewId="0">
      <pane ySplit="1" topLeftCell="A93" activePane="bottomLeft" state="frozen"/>
      <selection pane="bottomLeft" activeCell="F109" sqref="F109"/>
    </sheetView>
  </sheetViews>
  <sheetFormatPr defaultColWidth="8.6328125" defaultRowHeight="14.5" outlineLevelCol="1" x14ac:dyDescent="0.35"/>
  <cols>
    <col min="1" max="1" width="9.453125" bestFit="1" customWidth="1"/>
    <col min="2" max="2" width="15.6328125" bestFit="1" customWidth="1"/>
    <col min="3" max="3" width="9.7265625" customWidth="1"/>
    <col min="4" max="4" width="7.54296875" hidden="1" customWidth="1" outlineLevel="1"/>
    <col min="5" max="5" width="37.90625" bestFit="1" customWidth="1" collapsed="1"/>
    <col min="6" max="6" width="23.36328125" customWidth="1"/>
    <col min="7" max="7" width="8.90625" hidden="1" customWidth="1" outlineLevel="1"/>
    <col min="8" max="8" width="15.08984375" hidden="1" customWidth="1" outlineLevel="1"/>
    <col min="9" max="9" width="9.36328125" bestFit="1" customWidth="1" collapsed="1"/>
    <col min="10" max="10" width="9.36328125" bestFit="1" customWidth="1"/>
    <col min="11" max="11" width="9.36328125" hidden="1" customWidth="1" outlineLevel="1"/>
    <col min="12" max="12" width="12.6328125" hidden="1" customWidth="1" outlineLevel="1"/>
    <col min="13" max="13" width="10.90625" bestFit="1" customWidth="1" collapsed="1"/>
    <col min="14" max="15" width="12.453125" hidden="1" customWidth="1" outlineLevel="1"/>
    <col min="16" max="18" width="10.90625" bestFit="1" customWidth="1" collapsed="1"/>
    <col min="19" max="19" width="15.08984375" bestFit="1" customWidth="1"/>
    <col min="20" max="24" width="9.36328125" bestFit="1" customWidth="1"/>
    <col min="26" max="26" width="10.90625" customWidth="1"/>
  </cols>
  <sheetData>
    <row r="1" spans="1:18" s="50" customFormat="1" ht="21" customHeight="1" x14ac:dyDescent="0.2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233" t="s">
        <v>15</v>
      </c>
      <c r="Q1" s="233" t="s">
        <v>16</v>
      </c>
      <c r="R1" s="233" t="s">
        <v>17</v>
      </c>
    </row>
    <row r="2" spans="1:18" ht="12" customHeight="1" x14ac:dyDescent="0.35">
      <c r="A2" s="171">
        <v>53001</v>
      </c>
      <c r="B2" s="171" t="s">
        <v>18</v>
      </c>
      <c r="C2" s="172">
        <v>46042</v>
      </c>
      <c r="D2" s="171">
        <v>972</v>
      </c>
      <c r="E2" s="171" t="s">
        <v>19</v>
      </c>
      <c r="F2" s="171" t="s">
        <v>20</v>
      </c>
      <c r="G2" s="171" t="s">
        <v>21</v>
      </c>
      <c r="H2" s="171">
        <v>21100144871</v>
      </c>
      <c r="I2" s="173">
        <v>885229.7</v>
      </c>
      <c r="J2" s="173">
        <v>0</v>
      </c>
      <c r="K2" s="171" t="s">
        <v>22</v>
      </c>
      <c r="L2" s="171" t="s">
        <v>23</v>
      </c>
      <c r="M2" s="171" t="s">
        <v>24</v>
      </c>
      <c r="N2" s="171" t="s">
        <v>25</v>
      </c>
      <c r="O2" s="171">
        <v>0</v>
      </c>
      <c r="P2" s="171" t="s">
        <v>19</v>
      </c>
      <c r="Q2" s="171" t="str">
        <f t="shared" ref="Q2:Q33" si="0">IFERROR(TRIM(LEFT($E2,FIND(" | ",$E2)-1)),"")</f>
        <v/>
      </c>
      <c r="R2" s="171" t="str">
        <f t="shared" ref="R2:R33" si="1">IFERROR(TRIM(UPPER(MID($E2,FIND(" | ",$E2)+3,IFERROR(FIND(" | ",$E2,FIND(" | ",$E2)+3),LEN($E2)+1)-FIND(" | ",$E2)-3))),"")</f>
        <v/>
      </c>
    </row>
    <row r="3" spans="1:18" ht="12" customHeight="1" x14ac:dyDescent="0.35">
      <c r="A3" s="174">
        <v>53023</v>
      </c>
      <c r="B3" s="174" t="s">
        <v>26</v>
      </c>
      <c r="C3" s="175">
        <v>46044</v>
      </c>
      <c r="D3" s="174">
        <v>393</v>
      </c>
      <c r="E3" s="174" t="s">
        <v>27</v>
      </c>
      <c r="F3" s="174"/>
      <c r="G3" s="174" t="s">
        <v>28</v>
      </c>
      <c r="H3" s="174">
        <v>8417</v>
      </c>
      <c r="I3" s="176">
        <v>2000</v>
      </c>
      <c r="J3" s="176">
        <v>0</v>
      </c>
      <c r="K3" s="174" t="s">
        <v>22</v>
      </c>
      <c r="L3" s="174" t="s">
        <v>23</v>
      </c>
      <c r="M3" s="174" t="s">
        <v>24</v>
      </c>
      <c r="N3" s="174" t="s">
        <v>25</v>
      </c>
      <c r="O3" s="174">
        <v>0</v>
      </c>
      <c r="P3" s="174" t="s">
        <v>27</v>
      </c>
      <c r="Q3" s="174" t="str">
        <f t="shared" si="0"/>
        <v/>
      </c>
      <c r="R3" s="174" t="str">
        <f t="shared" si="1"/>
        <v/>
      </c>
    </row>
    <row r="4" spans="1:18" ht="12" customHeight="1" x14ac:dyDescent="0.35">
      <c r="A4" s="174">
        <v>53001</v>
      </c>
      <c r="B4" s="174" t="s">
        <v>18</v>
      </c>
      <c r="C4" s="175">
        <v>46045</v>
      </c>
      <c r="D4" s="174">
        <v>986</v>
      </c>
      <c r="E4" s="174" t="s">
        <v>29</v>
      </c>
      <c r="F4" s="174" t="s">
        <v>30</v>
      </c>
      <c r="G4" s="174" t="s">
        <v>21</v>
      </c>
      <c r="H4" s="174">
        <v>1500090204</v>
      </c>
      <c r="I4" s="176">
        <v>45752.4</v>
      </c>
      <c r="J4" s="176">
        <v>0</v>
      </c>
      <c r="K4" s="174" t="s">
        <v>22</v>
      </c>
      <c r="L4" s="174" t="s">
        <v>23</v>
      </c>
      <c r="M4" s="174" t="s">
        <v>24</v>
      </c>
      <c r="N4" s="174" t="s">
        <v>25</v>
      </c>
      <c r="O4" s="174">
        <v>0</v>
      </c>
      <c r="P4" s="174" t="s">
        <v>29</v>
      </c>
      <c r="Q4" s="174" t="str">
        <f t="shared" si="0"/>
        <v/>
      </c>
      <c r="R4" s="174" t="str">
        <f t="shared" si="1"/>
        <v/>
      </c>
    </row>
    <row r="5" spans="1:18" ht="12" customHeight="1" x14ac:dyDescent="0.35">
      <c r="A5" s="174">
        <v>53023</v>
      </c>
      <c r="B5" s="174" t="s">
        <v>26</v>
      </c>
      <c r="C5" s="175">
        <v>46045</v>
      </c>
      <c r="D5" s="174">
        <v>398</v>
      </c>
      <c r="E5" s="174" t="s">
        <v>27</v>
      </c>
      <c r="F5" s="174"/>
      <c r="G5" s="174" t="s">
        <v>28</v>
      </c>
      <c r="H5" s="174">
        <v>8422</v>
      </c>
      <c r="I5" s="176">
        <v>6200</v>
      </c>
      <c r="J5" s="176">
        <v>0</v>
      </c>
      <c r="K5" s="174" t="s">
        <v>22</v>
      </c>
      <c r="L5" s="174" t="s">
        <v>23</v>
      </c>
      <c r="M5" s="174" t="s">
        <v>24</v>
      </c>
      <c r="N5" s="174" t="s">
        <v>25</v>
      </c>
      <c r="O5" s="174">
        <v>0</v>
      </c>
      <c r="P5" s="174" t="s">
        <v>27</v>
      </c>
      <c r="Q5" s="174" t="str">
        <f t="shared" si="0"/>
        <v/>
      </c>
      <c r="R5" s="174" t="str">
        <f t="shared" si="1"/>
        <v/>
      </c>
    </row>
    <row r="6" spans="1:18" ht="12" customHeight="1" x14ac:dyDescent="0.35">
      <c r="A6" s="174">
        <v>52204</v>
      </c>
      <c r="B6" s="174" t="s">
        <v>31</v>
      </c>
      <c r="C6" s="175">
        <v>46055</v>
      </c>
      <c r="D6" s="174">
        <v>1381</v>
      </c>
      <c r="E6" s="174" t="s">
        <v>32</v>
      </c>
      <c r="F6" s="174" t="s">
        <v>33</v>
      </c>
      <c r="G6" s="174" t="s">
        <v>21</v>
      </c>
      <c r="H6" s="174">
        <v>300001414</v>
      </c>
      <c r="I6" s="176">
        <v>517195</v>
      </c>
      <c r="J6" s="176">
        <v>0</v>
      </c>
      <c r="K6" s="174" t="s">
        <v>22</v>
      </c>
      <c r="L6" s="174" t="s">
        <v>23</v>
      </c>
      <c r="M6" s="174" t="s">
        <v>24</v>
      </c>
      <c r="N6" s="174" t="s">
        <v>25</v>
      </c>
      <c r="O6" s="174">
        <v>0</v>
      </c>
      <c r="P6" s="174" t="s">
        <v>32</v>
      </c>
      <c r="Q6" s="174" t="str">
        <f t="shared" si="0"/>
        <v/>
      </c>
      <c r="R6" s="174" t="str">
        <f t="shared" si="1"/>
        <v/>
      </c>
    </row>
    <row r="7" spans="1:18" ht="12" customHeight="1" x14ac:dyDescent="0.35">
      <c r="A7" s="174">
        <v>53001</v>
      </c>
      <c r="B7" s="174" t="s">
        <v>18</v>
      </c>
      <c r="C7" s="175">
        <v>46057</v>
      </c>
      <c r="D7" s="174">
        <v>2341</v>
      </c>
      <c r="E7" s="174" t="s">
        <v>34</v>
      </c>
      <c r="F7" s="174" t="s">
        <v>35</v>
      </c>
      <c r="G7" s="174" t="s">
        <v>21</v>
      </c>
      <c r="H7" s="174">
        <v>502000000000</v>
      </c>
      <c r="I7" s="176">
        <v>119384.31</v>
      </c>
      <c r="J7" s="176">
        <v>0</v>
      </c>
      <c r="K7" s="174" t="s">
        <v>22</v>
      </c>
      <c r="L7" s="174" t="s">
        <v>23</v>
      </c>
      <c r="M7" s="174" t="s">
        <v>24</v>
      </c>
      <c r="N7" s="174" t="s">
        <v>25</v>
      </c>
      <c r="O7" s="174">
        <v>0</v>
      </c>
      <c r="P7" s="174" t="s">
        <v>34</v>
      </c>
      <c r="Q7" s="174" t="str">
        <f t="shared" si="0"/>
        <v/>
      </c>
      <c r="R7" s="174" t="str">
        <f t="shared" si="1"/>
        <v/>
      </c>
    </row>
    <row r="8" spans="1:18" ht="12" customHeight="1" x14ac:dyDescent="0.35">
      <c r="A8" s="174">
        <v>53008</v>
      </c>
      <c r="B8" s="174" t="s">
        <v>36</v>
      </c>
      <c r="C8" s="175">
        <v>46057</v>
      </c>
      <c r="D8" s="174">
        <v>1242</v>
      </c>
      <c r="E8" s="174" t="s">
        <v>37</v>
      </c>
      <c r="F8" s="174" t="s">
        <v>30</v>
      </c>
      <c r="G8" s="174" t="s">
        <v>21</v>
      </c>
      <c r="H8" s="174">
        <v>1500090674</v>
      </c>
      <c r="I8" s="176">
        <v>48248.1</v>
      </c>
      <c r="J8" s="176">
        <v>0</v>
      </c>
      <c r="K8" s="174" t="s">
        <v>22</v>
      </c>
      <c r="L8" s="174" t="s">
        <v>23</v>
      </c>
      <c r="M8" s="174" t="s">
        <v>24</v>
      </c>
      <c r="N8" s="174" t="s">
        <v>25</v>
      </c>
      <c r="O8" s="174">
        <v>0</v>
      </c>
      <c r="P8" s="174" t="s">
        <v>37</v>
      </c>
      <c r="Q8" s="174" t="str">
        <f t="shared" si="0"/>
        <v/>
      </c>
      <c r="R8" s="174" t="str">
        <f t="shared" si="1"/>
        <v/>
      </c>
    </row>
    <row r="9" spans="1:18" ht="12" customHeight="1" x14ac:dyDescent="0.35">
      <c r="A9" s="174">
        <v>53022</v>
      </c>
      <c r="B9" s="174" t="s">
        <v>38</v>
      </c>
      <c r="C9" s="175">
        <v>46077</v>
      </c>
      <c r="D9" s="174">
        <v>1388</v>
      </c>
      <c r="E9" s="174" t="s">
        <v>39</v>
      </c>
      <c r="F9" s="174" t="s">
        <v>40</v>
      </c>
      <c r="G9" s="174" t="s">
        <v>21</v>
      </c>
      <c r="H9" s="174">
        <v>300025194</v>
      </c>
      <c r="I9" s="176">
        <v>247000</v>
      </c>
      <c r="J9" s="176">
        <v>0</v>
      </c>
      <c r="K9" s="174" t="s">
        <v>22</v>
      </c>
      <c r="L9" s="174" t="s">
        <v>23</v>
      </c>
      <c r="M9" s="174" t="s">
        <v>24</v>
      </c>
      <c r="N9" s="174" t="s">
        <v>25</v>
      </c>
      <c r="O9" s="174">
        <v>0</v>
      </c>
      <c r="P9" s="174" t="s">
        <v>39</v>
      </c>
      <c r="Q9" s="174" t="str">
        <f t="shared" si="0"/>
        <v/>
      </c>
      <c r="R9" s="174" t="str">
        <f t="shared" si="1"/>
        <v/>
      </c>
    </row>
    <row r="10" spans="1:18" ht="12" customHeight="1" x14ac:dyDescent="0.35">
      <c r="A10" s="174">
        <v>53001</v>
      </c>
      <c r="B10" s="174" t="s">
        <v>18</v>
      </c>
      <c r="C10" s="175">
        <v>46080</v>
      </c>
      <c r="D10" s="174">
        <v>1406</v>
      </c>
      <c r="E10" s="174" t="s">
        <v>41</v>
      </c>
      <c r="F10" s="174" t="s">
        <v>35</v>
      </c>
      <c r="G10" s="174" t="s">
        <v>21</v>
      </c>
      <c r="H10" s="174">
        <v>126000000000</v>
      </c>
      <c r="I10" s="176">
        <v>89183.46</v>
      </c>
      <c r="J10" s="176">
        <v>0</v>
      </c>
      <c r="K10" s="174" t="s">
        <v>22</v>
      </c>
      <c r="L10" s="174" t="s">
        <v>23</v>
      </c>
      <c r="M10" s="174" t="s">
        <v>24</v>
      </c>
      <c r="N10" s="174" t="s">
        <v>25</v>
      </c>
      <c r="O10" s="174">
        <v>0</v>
      </c>
      <c r="P10" s="174" t="s">
        <v>41</v>
      </c>
      <c r="Q10" s="174" t="str">
        <f t="shared" si="0"/>
        <v/>
      </c>
      <c r="R10" s="174" t="str">
        <f t="shared" si="1"/>
        <v/>
      </c>
    </row>
    <row r="11" spans="1:18" ht="12" customHeight="1" x14ac:dyDescent="0.35">
      <c r="A11" s="174">
        <v>53001</v>
      </c>
      <c r="B11" s="174" t="s">
        <v>18</v>
      </c>
      <c r="C11" s="175">
        <v>46080</v>
      </c>
      <c r="D11" s="174">
        <v>614</v>
      </c>
      <c r="E11" s="174" t="s">
        <v>42</v>
      </c>
      <c r="F11" s="174"/>
      <c r="G11" s="174" t="s">
        <v>28</v>
      </c>
      <c r="H11" s="174">
        <v>8632</v>
      </c>
      <c r="I11" s="176">
        <v>520000</v>
      </c>
      <c r="J11" s="176">
        <v>0</v>
      </c>
      <c r="K11" s="174" t="s">
        <v>22</v>
      </c>
      <c r="L11" s="174" t="s">
        <v>23</v>
      </c>
      <c r="M11" s="174" t="s">
        <v>24</v>
      </c>
      <c r="N11" s="174" t="s">
        <v>25</v>
      </c>
      <c r="O11" s="174">
        <v>0</v>
      </c>
      <c r="P11" s="174" t="s">
        <v>43</v>
      </c>
      <c r="Q11" s="174" t="str">
        <f t="shared" si="0"/>
        <v>CH-SC-001</v>
      </c>
      <c r="R11" s="174" t="str">
        <f t="shared" si="1"/>
        <v>BASE</v>
      </c>
    </row>
    <row r="12" spans="1:18" ht="12" customHeight="1" x14ac:dyDescent="0.35">
      <c r="A12" s="174">
        <v>53001</v>
      </c>
      <c r="B12" s="174" t="s">
        <v>18</v>
      </c>
      <c r="C12" s="175">
        <v>46080</v>
      </c>
      <c r="D12" s="174">
        <v>1398</v>
      </c>
      <c r="E12" s="174" t="s">
        <v>44</v>
      </c>
      <c r="F12" s="174" t="s">
        <v>45</v>
      </c>
      <c r="G12" s="174" t="s">
        <v>21</v>
      </c>
      <c r="H12" s="174">
        <v>500005390</v>
      </c>
      <c r="I12" s="176">
        <v>291421.17</v>
      </c>
      <c r="J12" s="176">
        <v>0</v>
      </c>
      <c r="K12" s="174" t="s">
        <v>22</v>
      </c>
      <c r="L12" s="174" t="s">
        <v>23</v>
      </c>
      <c r="M12" s="174" t="s">
        <v>24</v>
      </c>
      <c r="N12" s="174" t="s">
        <v>25</v>
      </c>
      <c r="O12" s="174">
        <v>0</v>
      </c>
      <c r="P12" s="174" t="s">
        <v>44</v>
      </c>
      <c r="Q12" s="174" t="str">
        <f t="shared" si="0"/>
        <v/>
      </c>
      <c r="R12" s="174" t="str">
        <f t="shared" si="1"/>
        <v/>
      </c>
    </row>
    <row r="13" spans="1:18" ht="12" customHeight="1" x14ac:dyDescent="0.35">
      <c r="A13" s="174">
        <v>53001</v>
      </c>
      <c r="B13" s="174" t="s">
        <v>18</v>
      </c>
      <c r="C13" s="175">
        <v>46083</v>
      </c>
      <c r="D13" s="174">
        <v>1405</v>
      </c>
      <c r="E13" s="174" t="s">
        <v>46</v>
      </c>
      <c r="F13" s="174" t="s">
        <v>47</v>
      </c>
      <c r="G13" s="174" t="s">
        <v>21</v>
      </c>
      <c r="H13" s="174">
        <v>200008045</v>
      </c>
      <c r="I13" s="176">
        <v>8181.82</v>
      </c>
      <c r="J13" s="176">
        <v>0</v>
      </c>
      <c r="K13" s="174" t="s">
        <v>22</v>
      </c>
      <c r="L13" s="174" t="s">
        <v>23</v>
      </c>
      <c r="M13" s="174" t="s">
        <v>24</v>
      </c>
      <c r="N13" s="174" t="s">
        <v>25</v>
      </c>
      <c r="O13" s="174">
        <v>0</v>
      </c>
      <c r="P13" s="174" t="s">
        <v>46</v>
      </c>
      <c r="Q13" s="174" t="str">
        <f t="shared" si="0"/>
        <v/>
      </c>
      <c r="R13" s="174" t="str">
        <f t="shared" si="1"/>
        <v/>
      </c>
    </row>
    <row r="14" spans="1:18" ht="12" customHeight="1" x14ac:dyDescent="0.35">
      <c r="A14" s="174">
        <v>52204</v>
      </c>
      <c r="B14" s="174" t="s">
        <v>31</v>
      </c>
      <c r="C14" s="175">
        <v>46084</v>
      </c>
      <c r="D14" s="174">
        <v>2072</v>
      </c>
      <c r="E14" s="174" t="s">
        <v>32</v>
      </c>
      <c r="F14" s="174" t="s">
        <v>33</v>
      </c>
      <c r="G14" s="174" t="s">
        <v>21</v>
      </c>
      <c r="H14" s="174">
        <v>300001433</v>
      </c>
      <c r="I14" s="176">
        <v>517195</v>
      </c>
      <c r="J14" s="176">
        <v>0</v>
      </c>
      <c r="K14" s="174" t="s">
        <v>22</v>
      </c>
      <c r="L14" s="174" t="s">
        <v>23</v>
      </c>
      <c r="M14" s="174" t="s">
        <v>24</v>
      </c>
      <c r="N14" s="174" t="s">
        <v>25</v>
      </c>
      <c r="O14" s="174">
        <v>0</v>
      </c>
      <c r="P14" s="174" t="s">
        <v>32</v>
      </c>
      <c r="Q14" s="174" t="str">
        <f t="shared" si="0"/>
        <v/>
      </c>
      <c r="R14" s="174" t="str">
        <f t="shared" si="1"/>
        <v/>
      </c>
    </row>
    <row r="15" spans="1:18" ht="12" customHeight="1" x14ac:dyDescent="0.35">
      <c r="A15" s="174">
        <v>53023</v>
      </c>
      <c r="B15" s="174" t="s">
        <v>26</v>
      </c>
      <c r="C15" s="175">
        <v>46084</v>
      </c>
      <c r="D15" s="174">
        <v>870</v>
      </c>
      <c r="E15" s="174" t="s">
        <v>27</v>
      </c>
      <c r="F15" s="174"/>
      <c r="G15" s="174" t="s">
        <v>28</v>
      </c>
      <c r="H15" s="174">
        <v>8902</v>
      </c>
      <c r="I15" s="176">
        <v>18500</v>
      </c>
      <c r="J15" s="176">
        <v>0</v>
      </c>
      <c r="K15" s="174" t="s">
        <v>22</v>
      </c>
      <c r="L15" s="174" t="s">
        <v>23</v>
      </c>
      <c r="M15" s="174" t="s">
        <v>24</v>
      </c>
      <c r="N15" s="174" t="s">
        <v>25</v>
      </c>
      <c r="O15" s="174">
        <v>0</v>
      </c>
      <c r="P15" s="174" t="s">
        <v>27</v>
      </c>
      <c r="Q15" s="174" t="str">
        <f t="shared" si="0"/>
        <v/>
      </c>
      <c r="R15" s="174" t="str">
        <f t="shared" si="1"/>
        <v/>
      </c>
    </row>
    <row r="16" spans="1:18" ht="12" customHeight="1" x14ac:dyDescent="0.35">
      <c r="A16" s="174">
        <v>53001</v>
      </c>
      <c r="B16" s="174" t="s">
        <v>18</v>
      </c>
      <c r="C16" s="175">
        <v>46085</v>
      </c>
      <c r="D16" s="174">
        <v>1499</v>
      </c>
      <c r="E16" s="174" t="s">
        <v>29</v>
      </c>
      <c r="F16" s="174" t="s">
        <v>30</v>
      </c>
      <c r="G16" s="174" t="s">
        <v>21</v>
      </c>
      <c r="H16" s="174">
        <v>1500091777</v>
      </c>
      <c r="I16" s="176">
        <v>111030.25</v>
      </c>
      <c r="J16" s="176">
        <v>0</v>
      </c>
      <c r="K16" s="174" t="s">
        <v>22</v>
      </c>
      <c r="L16" s="174" t="s">
        <v>23</v>
      </c>
      <c r="M16" s="174" t="s">
        <v>24</v>
      </c>
      <c r="N16" s="174" t="s">
        <v>25</v>
      </c>
      <c r="O16" s="174">
        <v>0</v>
      </c>
      <c r="P16" s="174" t="s">
        <v>29</v>
      </c>
      <c r="Q16" s="174" t="str">
        <f t="shared" si="0"/>
        <v/>
      </c>
      <c r="R16" s="174" t="str">
        <f t="shared" si="1"/>
        <v/>
      </c>
    </row>
    <row r="17" spans="1:18" ht="12" customHeight="1" x14ac:dyDescent="0.35">
      <c r="A17" s="174">
        <v>5108</v>
      </c>
      <c r="B17" s="174" t="s">
        <v>48</v>
      </c>
      <c r="C17" s="175">
        <v>46086</v>
      </c>
      <c r="D17" s="174">
        <v>875</v>
      </c>
      <c r="E17" s="174" t="s">
        <v>49</v>
      </c>
      <c r="F17" s="174"/>
      <c r="G17" s="174" t="s">
        <v>28</v>
      </c>
      <c r="H17" s="174">
        <v>8907</v>
      </c>
      <c r="I17" s="176">
        <v>8000</v>
      </c>
      <c r="J17" s="176">
        <v>0</v>
      </c>
      <c r="K17" s="174" t="s">
        <v>22</v>
      </c>
      <c r="L17" s="174" t="s">
        <v>23</v>
      </c>
      <c r="M17" s="174" t="s">
        <v>24</v>
      </c>
      <c r="N17" s="174" t="s">
        <v>25</v>
      </c>
      <c r="O17" s="174">
        <v>0</v>
      </c>
      <c r="P17" s="174" t="s">
        <v>49</v>
      </c>
      <c r="Q17" s="174" t="str">
        <f t="shared" si="0"/>
        <v/>
      </c>
      <c r="R17" s="174" t="str">
        <f t="shared" si="1"/>
        <v/>
      </c>
    </row>
    <row r="18" spans="1:18" ht="12" customHeight="1" x14ac:dyDescent="0.35">
      <c r="A18" s="174">
        <v>53001</v>
      </c>
      <c r="B18" s="174" t="s">
        <v>18</v>
      </c>
      <c r="C18" s="175">
        <v>46086</v>
      </c>
      <c r="D18" s="174">
        <v>649</v>
      </c>
      <c r="E18" s="174" t="s">
        <v>50</v>
      </c>
      <c r="F18" s="174"/>
      <c r="G18" s="174" t="s">
        <v>28</v>
      </c>
      <c r="H18" s="174">
        <v>8667</v>
      </c>
      <c r="I18" s="176">
        <v>380000</v>
      </c>
      <c r="J18" s="176">
        <v>0</v>
      </c>
      <c r="K18" s="174" t="s">
        <v>22</v>
      </c>
      <c r="L18" s="174" t="s">
        <v>23</v>
      </c>
      <c r="M18" s="174" t="s">
        <v>24</v>
      </c>
      <c r="N18" s="174" t="s">
        <v>25</v>
      </c>
      <c r="O18" s="174">
        <v>0</v>
      </c>
      <c r="P18" s="174" t="s">
        <v>51</v>
      </c>
      <c r="Q18" s="174" t="str">
        <f t="shared" si="0"/>
        <v>CH-SC-002</v>
      </c>
      <c r="R18" s="174" t="str">
        <f t="shared" si="1"/>
        <v>BASE</v>
      </c>
    </row>
    <row r="19" spans="1:18" ht="12" customHeight="1" x14ac:dyDescent="0.35">
      <c r="A19" s="174">
        <v>53023</v>
      </c>
      <c r="B19" s="174" t="s">
        <v>26</v>
      </c>
      <c r="C19" s="175">
        <v>46087</v>
      </c>
      <c r="D19" s="174">
        <v>871</v>
      </c>
      <c r="E19" s="174" t="s">
        <v>27</v>
      </c>
      <c r="F19" s="174"/>
      <c r="G19" s="174" t="s">
        <v>28</v>
      </c>
      <c r="H19" s="174">
        <v>8903</v>
      </c>
      <c r="I19" s="176">
        <v>21000</v>
      </c>
      <c r="J19" s="176">
        <v>0</v>
      </c>
      <c r="K19" s="174" t="s">
        <v>22</v>
      </c>
      <c r="L19" s="174" t="s">
        <v>23</v>
      </c>
      <c r="M19" s="174" t="s">
        <v>24</v>
      </c>
      <c r="N19" s="174" t="s">
        <v>25</v>
      </c>
      <c r="O19" s="174">
        <v>0</v>
      </c>
      <c r="P19" s="174" t="s">
        <v>27</v>
      </c>
      <c r="Q19" s="174" t="str">
        <f t="shared" si="0"/>
        <v/>
      </c>
      <c r="R19" s="174" t="str">
        <f t="shared" si="1"/>
        <v/>
      </c>
    </row>
    <row r="20" spans="1:18" ht="12" customHeight="1" x14ac:dyDescent="0.35">
      <c r="A20" s="174">
        <v>53001</v>
      </c>
      <c r="B20" s="174" t="s">
        <v>18</v>
      </c>
      <c r="C20" s="175">
        <v>46090</v>
      </c>
      <c r="D20" s="174">
        <v>1637</v>
      </c>
      <c r="E20" s="174" t="s">
        <v>52</v>
      </c>
      <c r="F20" s="174" t="s">
        <v>53</v>
      </c>
      <c r="G20" s="174" t="s">
        <v>21</v>
      </c>
      <c r="H20" s="174">
        <v>300011389</v>
      </c>
      <c r="I20" s="176">
        <v>676125.38</v>
      </c>
      <c r="J20" s="176">
        <v>0</v>
      </c>
      <c r="K20" s="174" t="s">
        <v>22</v>
      </c>
      <c r="L20" s="174" t="s">
        <v>23</v>
      </c>
      <c r="M20" s="174" t="s">
        <v>24</v>
      </c>
      <c r="N20" s="174" t="s">
        <v>25</v>
      </c>
      <c r="O20" s="174">
        <v>0</v>
      </c>
      <c r="P20" s="174" t="s">
        <v>52</v>
      </c>
      <c r="Q20" s="174" t="str">
        <f t="shared" si="0"/>
        <v/>
      </c>
      <c r="R20" s="174" t="str">
        <f t="shared" si="1"/>
        <v/>
      </c>
    </row>
    <row r="21" spans="1:18" ht="12" customHeight="1" x14ac:dyDescent="0.35">
      <c r="A21" s="174">
        <v>53001</v>
      </c>
      <c r="B21" s="174" t="s">
        <v>18</v>
      </c>
      <c r="C21" s="175">
        <v>46090</v>
      </c>
      <c r="D21" s="174">
        <v>1637</v>
      </c>
      <c r="E21" s="174" t="s">
        <v>52</v>
      </c>
      <c r="F21" s="174" t="s">
        <v>53</v>
      </c>
      <c r="G21" s="174" t="s">
        <v>21</v>
      </c>
      <c r="H21" s="174">
        <v>300011389</v>
      </c>
      <c r="I21" s="176">
        <v>15605.79</v>
      </c>
      <c r="J21" s="176">
        <v>0</v>
      </c>
      <c r="K21" s="174" t="s">
        <v>22</v>
      </c>
      <c r="L21" s="174" t="s">
        <v>23</v>
      </c>
      <c r="M21" s="174" t="s">
        <v>24</v>
      </c>
      <c r="N21" s="174" t="s">
        <v>25</v>
      </c>
      <c r="O21" s="174">
        <v>0</v>
      </c>
      <c r="P21" s="174" t="s">
        <v>52</v>
      </c>
      <c r="Q21" s="174" t="str">
        <f t="shared" si="0"/>
        <v/>
      </c>
      <c r="R21" s="174" t="str">
        <f t="shared" si="1"/>
        <v/>
      </c>
    </row>
    <row r="22" spans="1:18" ht="12" customHeight="1" x14ac:dyDescent="0.35">
      <c r="A22" s="174">
        <v>53001</v>
      </c>
      <c r="B22" s="174" t="s">
        <v>18</v>
      </c>
      <c r="C22" s="175">
        <v>46090</v>
      </c>
      <c r="D22" s="174">
        <v>1638</v>
      </c>
      <c r="E22" s="174" t="s">
        <v>52</v>
      </c>
      <c r="F22" s="174" t="s">
        <v>53</v>
      </c>
      <c r="G22" s="174" t="s">
        <v>21</v>
      </c>
      <c r="H22" s="174">
        <v>300011390</v>
      </c>
      <c r="I22" s="176">
        <v>32617.84</v>
      </c>
      <c r="J22" s="176">
        <v>0</v>
      </c>
      <c r="K22" s="174" t="s">
        <v>22</v>
      </c>
      <c r="L22" s="174" t="s">
        <v>23</v>
      </c>
      <c r="M22" s="174" t="s">
        <v>24</v>
      </c>
      <c r="N22" s="174" t="s">
        <v>25</v>
      </c>
      <c r="O22" s="174">
        <v>0</v>
      </c>
      <c r="P22" s="174" t="s">
        <v>52</v>
      </c>
      <c r="Q22" s="174" t="str">
        <f t="shared" si="0"/>
        <v/>
      </c>
      <c r="R22" s="174" t="str">
        <f t="shared" si="1"/>
        <v/>
      </c>
    </row>
    <row r="23" spans="1:18" ht="12" customHeight="1" x14ac:dyDescent="0.35">
      <c r="A23" s="174">
        <v>53001</v>
      </c>
      <c r="B23" s="174" t="s">
        <v>18</v>
      </c>
      <c r="C23" s="175">
        <v>46091</v>
      </c>
      <c r="D23" s="174">
        <v>1640</v>
      </c>
      <c r="E23" s="174" t="s">
        <v>19</v>
      </c>
      <c r="F23" s="174" t="s">
        <v>20</v>
      </c>
      <c r="G23" s="174" t="s">
        <v>21</v>
      </c>
      <c r="H23" s="174">
        <v>21100146499</v>
      </c>
      <c r="I23" s="176">
        <v>115372.69</v>
      </c>
      <c r="J23" s="176">
        <v>0</v>
      </c>
      <c r="K23" s="174" t="s">
        <v>22</v>
      </c>
      <c r="L23" s="174" t="s">
        <v>23</v>
      </c>
      <c r="M23" s="174" t="s">
        <v>24</v>
      </c>
      <c r="N23" s="174" t="s">
        <v>25</v>
      </c>
      <c r="O23" s="174">
        <v>0</v>
      </c>
      <c r="P23" s="174" t="s">
        <v>19</v>
      </c>
      <c r="Q23" s="174" t="str">
        <f t="shared" si="0"/>
        <v/>
      </c>
      <c r="R23" s="174" t="str">
        <f t="shared" si="1"/>
        <v/>
      </c>
    </row>
    <row r="24" spans="1:18" ht="12" customHeight="1" x14ac:dyDescent="0.35">
      <c r="A24" s="174">
        <v>53004</v>
      </c>
      <c r="B24" s="174" t="s">
        <v>54</v>
      </c>
      <c r="C24" s="175">
        <v>46091</v>
      </c>
      <c r="D24" s="174">
        <v>1590</v>
      </c>
      <c r="E24" s="174" t="s">
        <v>55</v>
      </c>
      <c r="F24" s="174" t="s">
        <v>56</v>
      </c>
      <c r="G24" s="174" t="s">
        <v>21</v>
      </c>
      <c r="H24" s="174">
        <v>100001478</v>
      </c>
      <c r="I24" s="176">
        <v>16781280</v>
      </c>
      <c r="J24" s="176">
        <v>0</v>
      </c>
      <c r="K24" s="174" t="s">
        <v>22</v>
      </c>
      <c r="L24" s="174" t="s">
        <v>23</v>
      </c>
      <c r="M24" s="174" t="s">
        <v>24</v>
      </c>
      <c r="N24" s="174" t="s">
        <v>25</v>
      </c>
      <c r="O24" s="174">
        <v>0</v>
      </c>
      <c r="P24" s="174" t="s">
        <v>57</v>
      </c>
      <c r="Q24" s="174" t="str">
        <f t="shared" si="0"/>
        <v>CH-SC-003</v>
      </c>
      <c r="R24" s="174" t="str">
        <f t="shared" si="1"/>
        <v>BASE</v>
      </c>
    </row>
    <row r="25" spans="1:18" ht="12" customHeight="1" x14ac:dyDescent="0.35">
      <c r="A25" s="174">
        <v>53017</v>
      </c>
      <c r="B25" s="174" t="s">
        <v>58</v>
      </c>
      <c r="C25" s="175">
        <v>46091</v>
      </c>
      <c r="D25" s="174">
        <v>1641</v>
      </c>
      <c r="E25" s="174" t="s">
        <v>59</v>
      </c>
      <c r="F25" s="174" t="s">
        <v>60</v>
      </c>
      <c r="G25" s="174" t="s">
        <v>21</v>
      </c>
      <c r="H25" s="174">
        <v>400033694</v>
      </c>
      <c r="I25" s="176">
        <v>434539.28</v>
      </c>
      <c r="J25" s="176">
        <v>0</v>
      </c>
      <c r="K25" s="174" t="s">
        <v>22</v>
      </c>
      <c r="L25" s="174" t="s">
        <v>23</v>
      </c>
      <c r="M25" s="174" t="s">
        <v>24</v>
      </c>
      <c r="N25" s="174" t="s">
        <v>25</v>
      </c>
      <c r="O25" s="174">
        <v>0</v>
      </c>
      <c r="P25" s="174" t="s">
        <v>59</v>
      </c>
      <c r="Q25" s="174" t="str">
        <f t="shared" si="0"/>
        <v/>
      </c>
      <c r="R25" s="174" t="str">
        <f t="shared" si="1"/>
        <v/>
      </c>
    </row>
    <row r="26" spans="1:18" ht="12" customHeight="1" x14ac:dyDescent="0.35">
      <c r="A26" s="174">
        <v>53001</v>
      </c>
      <c r="B26" s="174" t="s">
        <v>18</v>
      </c>
      <c r="C26" s="175">
        <v>46092</v>
      </c>
      <c r="D26" s="174">
        <v>1644</v>
      </c>
      <c r="E26" s="174" t="s">
        <v>61</v>
      </c>
      <c r="F26" s="174" t="s">
        <v>47</v>
      </c>
      <c r="G26" s="174" t="s">
        <v>21</v>
      </c>
      <c r="H26" s="174">
        <v>200008143</v>
      </c>
      <c r="I26" s="176">
        <v>23223.14</v>
      </c>
      <c r="J26" s="176">
        <v>0</v>
      </c>
      <c r="K26" s="174" t="s">
        <v>22</v>
      </c>
      <c r="L26" s="174" t="s">
        <v>23</v>
      </c>
      <c r="M26" s="174" t="s">
        <v>24</v>
      </c>
      <c r="N26" s="174" t="s">
        <v>25</v>
      </c>
      <c r="O26" s="174">
        <v>0</v>
      </c>
      <c r="P26" s="174" t="s">
        <v>61</v>
      </c>
      <c r="Q26" s="174" t="str">
        <f t="shared" si="0"/>
        <v/>
      </c>
      <c r="R26" s="174" t="str">
        <f t="shared" si="1"/>
        <v/>
      </c>
    </row>
    <row r="27" spans="1:18" ht="12" customHeight="1" x14ac:dyDescent="0.35">
      <c r="A27" s="174">
        <v>53001</v>
      </c>
      <c r="B27" s="174" t="s">
        <v>18</v>
      </c>
      <c r="C27" s="175">
        <v>46092</v>
      </c>
      <c r="D27" s="174">
        <v>1650</v>
      </c>
      <c r="E27" s="174" t="s">
        <v>29</v>
      </c>
      <c r="F27" s="174" t="s">
        <v>30</v>
      </c>
      <c r="G27" s="174" t="s">
        <v>21</v>
      </c>
      <c r="H27" s="174">
        <v>1500092093</v>
      </c>
      <c r="I27" s="176">
        <v>47742.28</v>
      </c>
      <c r="J27" s="176">
        <v>0</v>
      </c>
      <c r="K27" s="174" t="s">
        <v>22</v>
      </c>
      <c r="L27" s="174" t="s">
        <v>23</v>
      </c>
      <c r="M27" s="174" t="s">
        <v>24</v>
      </c>
      <c r="N27" s="174" t="s">
        <v>25</v>
      </c>
      <c r="O27" s="174">
        <v>0</v>
      </c>
      <c r="P27" s="174" t="s">
        <v>29</v>
      </c>
      <c r="Q27" s="174" t="str">
        <f t="shared" si="0"/>
        <v/>
      </c>
      <c r="R27" s="174" t="str">
        <f t="shared" si="1"/>
        <v/>
      </c>
    </row>
    <row r="28" spans="1:18" ht="12" customHeight="1" x14ac:dyDescent="0.35">
      <c r="A28" s="174">
        <v>52302</v>
      </c>
      <c r="B28" s="174" t="s">
        <v>62</v>
      </c>
      <c r="C28" s="175">
        <v>46093</v>
      </c>
      <c r="D28" s="174">
        <v>2156</v>
      </c>
      <c r="E28" s="174" t="s">
        <v>63</v>
      </c>
      <c r="F28" s="174" t="s">
        <v>64</v>
      </c>
      <c r="G28" s="174" t="s">
        <v>21</v>
      </c>
      <c r="H28" s="174">
        <v>200000062</v>
      </c>
      <c r="I28" s="176">
        <v>200000</v>
      </c>
      <c r="J28" s="176">
        <v>0</v>
      </c>
      <c r="K28" s="174" t="s">
        <v>22</v>
      </c>
      <c r="L28" s="174" t="s">
        <v>23</v>
      </c>
      <c r="M28" s="174" t="s">
        <v>24</v>
      </c>
      <c r="N28" s="174" t="s">
        <v>25</v>
      </c>
      <c r="O28" s="174">
        <v>0</v>
      </c>
      <c r="P28" s="174" t="s">
        <v>63</v>
      </c>
      <c r="Q28" s="174" t="str">
        <f t="shared" si="0"/>
        <v/>
      </c>
      <c r="R28" s="174" t="str">
        <f t="shared" si="1"/>
        <v/>
      </c>
    </row>
    <row r="29" spans="1:18" ht="12" customHeight="1" x14ac:dyDescent="0.35">
      <c r="A29" s="174">
        <v>53001</v>
      </c>
      <c r="B29" s="174" t="s">
        <v>18</v>
      </c>
      <c r="C29" s="175">
        <v>46094</v>
      </c>
      <c r="D29" s="174">
        <v>1674</v>
      </c>
      <c r="E29" s="174" t="s">
        <v>52</v>
      </c>
      <c r="F29" s="174" t="s">
        <v>53</v>
      </c>
      <c r="G29" s="174" t="s">
        <v>21</v>
      </c>
      <c r="H29" s="174">
        <v>300011508</v>
      </c>
      <c r="I29" s="176">
        <v>187369.3</v>
      </c>
      <c r="J29" s="176">
        <v>0</v>
      </c>
      <c r="K29" s="174" t="s">
        <v>22</v>
      </c>
      <c r="L29" s="174" t="s">
        <v>23</v>
      </c>
      <c r="M29" s="174" t="s">
        <v>24</v>
      </c>
      <c r="N29" s="174" t="s">
        <v>25</v>
      </c>
      <c r="O29" s="174">
        <v>0</v>
      </c>
      <c r="P29" s="174" t="s">
        <v>52</v>
      </c>
      <c r="Q29" s="174" t="str">
        <f t="shared" si="0"/>
        <v/>
      </c>
      <c r="R29" s="174" t="str">
        <f t="shared" si="1"/>
        <v/>
      </c>
    </row>
    <row r="30" spans="1:18" ht="12" customHeight="1" x14ac:dyDescent="0.35">
      <c r="A30" s="174">
        <v>53001</v>
      </c>
      <c r="B30" s="174" t="s">
        <v>18</v>
      </c>
      <c r="C30" s="175">
        <v>46094</v>
      </c>
      <c r="D30" s="174">
        <v>1675</v>
      </c>
      <c r="E30" s="174" t="s">
        <v>52</v>
      </c>
      <c r="F30" s="174" t="s">
        <v>53</v>
      </c>
      <c r="G30" s="174" t="s">
        <v>21</v>
      </c>
      <c r="H30" s="174">
        <v>300011507</v>
      </c>
      <c r="I30" s="176">
        <v>706017.99</v>
      </c>
      <c r="J30" s="176">
        <v>0</v>
      </c>
      <c r="K30" s="174" t="s">
        <v>22</v>
      </c>
      <c r="L30" s="174" t="s">
        <v>23</v>
      </c>
      <c r="M30" s="174" t="s">
        <v>24</v>
      </c>
      <c r="N30" s="174" t="s">
        <v>25</v>
      </c>
      <c r="O30" s="174">
        <v>0</v>
      </c>
      <c r="P30" s="174" t="s">
        <v>52</v>
      </c>
      <c r="Q30" s="174" t="str">
        <f t="shared" si="0"/>
        <v/>
      </c>
      <c r="R30" s="174" t="str">
        <f t="shared" si="1"/>
        <v/>
      </c>
    </row>
    <row r="31" spans="1:18" ht="12" customHeight="1" x14ac:dyDescent="0.35">
      <c r="A31" s="174">
        <v>53001</v>
      </c>
      <c r="B31" s="174" t="s">
        <v>18</v>
      </c>
      <c r="C31" s="175">
        <v>46094</v>
      </c>
      <c r="D31" s="174">
        <v>1679</v>
      </c>
      <c r="E31" s="174" t="s">
        <v>29</v>
      </c>
      <c r="F31" s="174" t="s">
        <v>30</v>
      </c>
      <c r="G31" s="174" t="s">
        <v>21</v>
      </c>
      <c r="H31" s="174">
        <v>1500092213</v>
      </c>
      <c r="I31" s="176">
        <v>52488.39</v>
      </c>
      <c r="J31" s="176">
        <v>0</v>
      </c>
      <c r="K31" s="174" t="s">
        <v>22</v>
      </c>
      <c r="L31" s="174" t="s">
        <v>23</v>
      </c>
      <c r="M31" s="174" t="s">
        <v>24</v>
      </c>
      <c r="N31" s="174" t="s">
        <v>25</v>
      </c>
      <c r="O31" s="174">
        <v>0</v>
      </c>
      <c r="P31" s="174" t="s">
        <v>29</v>
      </c>
      <c r="Q31" s="174" t="str">
        <f t="shared" si="0"/>
        <v/>
      </c>
      <c r="R31" s="174" t="str">
        <f t="shared" si="1"/>
        <v/>
      </c>
    </row>
    <row r="32" spans="1:18" ht="12" customHeight="1" x14ac:dyDescent="0.35">
      <c r="A32" s="174">
        <v>53001</v>
      </c>
      <c r="B32" s="174" t="s">
        <v>18</v>
      </c>
      <c r="C32" s="175">
        <v>46094</v>
      </c>
      <c r="D32" s="174">
        <v>1716</v>
      </c>
      <c r="E32" s="174" t="s">
        <v>65</v>
      </c>
      <c r="F32" s="174" t="s">
        <v>47</v>
      </c>
      <c r="G32" s="174" t="s">
        <v>21</v>
      </c>
      <c r="H32" s="174">
        <v>200008156</v>
      </c>
      <c r="I32" s="176">
        <v>9917.36</v>
      </c>
      <c r="J32" s="176">
        <v>0</v>
      </c>
      <c r="K32" s="174" t="s">
        <v>22</v>
      </c>
      <c r="L32" s="174" t="s">
        <v>23</v>
      </c>
      <c r="M32" s="174" t="s">
        <v>24</v>
      </c>
      <c r="N32" s="174" t="s">
        <v>25</v>
      </c>
      <c r="O32" s="174">
        <v>0</v>
      </c>
      <c r="P32" s="174" t="s">
        <v>65</v>
      </c>
      <c r="Q32" s="174" t="str">
        <f t="shared" si="0"/>
        <v/>
      </c>
      <c r="R32" s="174" t="str">
        <f t="shared" si="1"/>
        <v/>
      </c>
    </row>
    <row r="33" spans="1:18" ht="12" customHeight="1" x14ac:dyDescent="0.35">
      <c r="A33" s="174">
        <v>53023</v>
      </c>
      <c r="B33" s="174" t="s">
        <v>26</v>
      </c>
      <c r="C33" s="175">
        <v>46094</v>
      </c>
      <c r="D33" s="174">
        <v>872</v>
      </c>
      <c r="E33" s="174" t="s">
        <v>27</v>
      </c>
      <c r="F33" s="174"/>
      <c r="G33" s="174" t="s">
        <v>28</v>
      </c>
      <c r="H33" s="174">
        <v>8904</v>
      </c>
      <c r="I33" s="176">
        <v>1000</v>
      </c>
      <c r="J33" s="176">
        <v>0</v>
      </c>
      <c r="K33" s="174" t="s">
        <v>22</v>
      </c>
      <c r="L33" s="174" t="s">
        <v>23</v>
      </c>
      <c r="M33" s="174" t="s">
        <v>24</v>
      </c>
      <c r="N33" s="174" t="s">
        <v>25</v>
      </c>
      <c r="O33" s="174">
        <v>0</v>
      </c>
      <c r="P33" s="174" t="s">
        <v>27</v>
      </c>
      <c r="Q33" s="174" t="str">
        <f t="shared" si="0"/>
        <v/>
      </c>
      <c r="R33" s="174" t="str">
        <f t="shared" si="1"/>
        <v/>
      </c>
    </row>
    <row r="34" spans="1:18" ht="12" customHeight="1" x14ac:dyDescent="0.35">
      <c r="A34" s="174">
        <v>53023</v>
      </c>
      <c r="B34" s="174" t="s">
        <v>26</v>
      </c>
      <c r="C34" s="175">
        <v>46094</v>
      </c>
      <c r="D34" s="174">
        <v>873</v>
      </c>
      <c r="E34" s="174" t="s">
        <v>27</v>
      </c>
      <c r="F34" s="174"/>
      <c r="G34" s="174" t="s">
        <v>28</v>
      </c>
      <c r="H34" s="174">
        <v>8905</v>
      </c>
      <c r="I34" s="176">
        <v>14500</v>
      </c>
      <c r="J34" s="176">
        <v>0</v>
      </c>
      <c r="K34" s="174" t="s">
        <v>22</v>
      </c>
      <c r="L34" s="174" t="s">
        <v>23</v>
      </c>
      <c r="M34" s="174" t="s">
        <v>24</v>
      </c>
      <c r="N34" s="174" t="s">
        <v>25</v>
      </c>
      <c r="O34" s="174">
        <v>0</v>
      </c>
      <c r="P34" s="174" t="s">
        <v>27</v>
      </c>
      <c r="Q34" s="174" t="str">
        <f t="shared" ref="Q34:Q65" si="2">IFERROR(TRIM(LEFT($E34,FIND(" | ",$E34)-1)),"")</f>
        <v/>
      </c>
      <c r="R34" s="174" t="str">
        <f t="shared" ref="R34:R65" si="3">IFERROR(TRIM(UPPER(MID($E34,FIND(" | ",$E34)+3,IFERROR(FIND(" | ",$E34,FIND(" | ",$E34)+3),LEN($E34)+1)-FIND(" | ",$E34)-3))),"")</f>
        <v/>
      </c>
    </row>
    <row r="35" spans="1:18" ht="12" customHeight="1" x14ac:dyDescent="0.35">
      <c r="A35" s="174">
        <v>52302</v>
      </c>
      <c r="B35" s="174" t="s">
        <v>62</v>
      </c>
      <c r="C35" s="175">
        <v>46096</v>
      </c>
      <c r="D35" s="174">
        <v>1717</v>
      </c>
      <c r="E35" s="174" t="s">
        <v>66</v>
      </c>
      <c r="F35" s="174" t="s">
        <v>67</v>
      </c>
      <c r="G35" s="174" t="s">
        <v>21</v>
      </c>
      <c r="H35" s="174">
        <v>142000000000</v>
      </c>
      <c r="I35" s="176">
        <v>93458.79</v>
      </c>
      <c r="J35" s="176">
        <v>0</v>
      </c>
      <c r="K35" s="174" t="s">
        <v>22</v>
      </c>
      <c r="L35" s="174" t="s">
        <v>23</v>
      </c>
      <c r="M35" s="174" t="s">
        <v>24</v>
      </c>
      <c r="N35" s="174" t="s">
        <v>25</v>
      </c>
      <c r="O35" s="174">
        <v>0</v>
      </c>
      <c r="P35" s="174" t="s">
        <v>66</v>
      </c>
      <c r="Q35" s="174" t="str">
        <f t="shared" si="2"/>
        <v/>
      </c>
      <c r="R35" s="174" t="str">
        <f t="shared" si="3"/>
        <v/>
      </c>
    </row>
    <row r="36" spans="1:18" ht="12" customHeight="1" x14ac:dyDescent="0.35">
      <c r="A36" s="174">
        <v>52302</v>
      </c>
      <c r="B36" s="174" t="s">
        <v>62</v>
      </c>
      <c r="C36" s="175">
        <v>46096</v>
      </c>
      <c r="D36" s="174">
        <v>1717</v>
      </c>
      <c r="E36" s="174" t="s">
        <v>68</v>
      </c>
      <c r="F36" s="174" t="s">
        <v>67</v>
      </c>
      <c r="G36" s="174" t="s">
        <v>21</v>
      </c>
      <c r="H36" s="174">
        <v>142000000000</v>
      </c>
      <c r="I36" s="176">
        <v>19382.5</v>
      </c>
      <c r="J36" s="176">
        <v>0</v>
      </c>
      <c r="K36" s="174" t="s">
        <v>22</v>
      </c>
      <c r="L36" s="174" t="s">
        <v>23</v>
      </c>
      <c r="M36" s="174" t="s">
        <v>24</v>
      </c>
      <c r="N36" s="174" t="s">
        <v>25</v>
      </c>
      <c r="O36" s="174">
        <v>0</v>
      </c>
      <c r="P36" s="174" t="s">
        <v>68</v>
      </c>
      <c r="Q36" s="174" t="str">
        <f t="shared" si="2"/>
        <v/>
      </c>
      <c r="R36" s="174" t="str">
        <f t="shared" si="3"/>
        <v/>
      </c>
    </row>
    <row r="37" spans="1:18" ht="12" customHeight="1" x14ac:dyDescent="0.35">
      <c r="A37" s="174">
        <v>53026</v>
      </c>
      <c r="B37" s="174" t="s">
        <v>69</v>
      </c>
      <c r="C37" s="175">
        <v>46097</v>
      </c>
      <c r="D37" s="174">
        <v>1719</v>
      </c>
      <c r="E37" s="174" t="s">
        <v>70</v>
      </c>
      <c r="F37" s="174" t="s">
        <v>71</v>
      </c>
      <c r="G37" s="174" t="s">
        <v>21</v>
      </c>
      <c r="H37" s="174">
        <v>200001017</v>
      </c>
      <c r="I37" s="176">
        <v>309090.90999999997</v>
      </c>
      <c r="J37" s="176">
        <v>0</v>
      </c>
      <c r="K37" s="174" t="s">
        <v>22</v>
      </c>
      <c r="L37" s="174" t="s">
        <v>23</v>
      </c>
      <c r="M37" s="174" t="s">
        <v>24</v>
      </c>
      <c r="N37" s="174" t="s">
        <v>25</v>
      </c>
      <c r="O37" s="174">
        <v>0</v>
      </c>
      <c r="P37" s="174" t="s">
        <v>70</v>
      </c>
      <c r="Q37" s="174" t="str">
        <f t="shared" si="2"/>
        <v/>
      </c>
      <c r="R37" s="174" t="str">
        <f t="shared" si="3"/>
        <v/>
      </c>
    </row>
    <row r="38" spans="1:18" ht="12" customHeight="1" x14ac:dyDescent="0.35">
      <c r="A38" s="174">
        <v>52302</v>
      </c>
      <c r="B38" s="174" t="s">
        <v>62</v>
      </c>
      <c r="C38" s="175">
        <v>46099</v>
      </c>
      <c r="D38" s="174">
        <v>874</v>
      </c>
      <c r="E38" s="174" t="s">
        <v>72</v>
      </c>
      <c r="F38" s="174"/>
      <c r="G38" s="174" t="s">
        <v>28</v>
      </c>
      <c r="H38" s="174">
        <v>8906</v>
      </c>
      <c r="I38" s="176">
        <v>4500</v>
      </c>
      <c r="J38" s="176">
        <v>0</v>
      </c>
      <c r="K38" s="174" t="s">
        <v>22</v>
      </c>
      <c r="L38" s="174" t="s">
        <v>23</v>
      </c>
      <c r="M38" s="174" t="s">
        <v>24</v>
      </c>
      <c r="N38" s="174" t="s">
        <v>25</v>
      </c>
      <c r="O38" s="174">
        <v>0</v>
      </c>
      <c r="P38" s="174" t="s">
        <v>72</v>
      </c>
      <c r="Q38" s="174" t="str">
        <f t="shared" si="2"/>
        <v/>
      </c>
      <c r="R38" s="174" t="str">
        <f t="shared" si="3"/>
        <v/>
      </c>
    </row>
    <row r="39" spans="1:18" ht="12" customHeight="1" x14ac:dyDescent="0.35">
      <c r="A39" s="174">
        <v>53008</v>
      </c>
      <c r="B39" s="174" t="s">
        <v>36</v>
      </c>
      <c r="C39" s="175">
        <v>46099</v>
      </c>
      <c r="D39" s="174">
        <v>1802</v>
      </c>
      <c r="E39" s="174" t="s">
        <v>37</v>
      </c>
      <c r="F39" s="174" t="s">
        <v>30</v>
      </c>
      <c r="G39" s="174" t="s">
        <v>21</v>
      </c>
      <c r="H39" s="174">
        <v>1500092503</v>
      </c>
      <c r="I39" s="176">
        <v>87942.03</v>
      </c>
      <c r="J39" s="176">
        <v>0</v>
      </c>
      <c r="K39" s="174" t="s">
        <v>22</v>
      </c>
      <c r="L39" s="174" t="s">
        <v>23</v>
      </c>
      <c r="M39" s="174" t="s">
        <v>24</v>
      </c>
      <c r="N39" s="174" t="s">
        <v>25</v>
      </c>
      <c r="O39" s="174">
        <v>0</v>
      </c>
      <c r="P39" s="174" t="s">
        <v>37</v>
      </c>
      <c r="Q39" s="174" t="str">
        <f t="shared" si="2"/>
        <v/>
      </c>
      <c r="R39" s="174" t="str">
        <f t="shared" si="3"/>
        <v/>
      </c>
    </row>
    <row r="40" spans="1:18" ht="12" customHeight="1" x14ac:dyDescent="0.35">
      <c r="A40" s="174">
        <v>53009</v>
      </c>
      <c r="B40" s="174" t="s">
        <v>73</v>
      </c>
      <c r="C40" s="175">
        <v>46100</v>
      </c>
      <c r="D40" s="174">
        <v>810</v>
      </c>
      <c r="E40" s="174" t="s">
        <v>74</v>
      </c>
      <c r="F40" s="174"/>
      <c r="G40" s="174" t="s">
        <v>28</v>
      </c>
      <c r="H40" s="174">
        <v>8838</v>
      </c>
      <c r="I40" s="176">
        <v>455500</v>
      </c>
      <c r="J40" s="176">
        <v>0</v>
      </c>
      <c r="K40" s="174" t="s">
        <v>22</v>
      </c>
      <c r="L40" s="174" t="s">
        <v>23</v>
      </c>
      <c r="M40" s="174" t="s">
        <v>24</v>
      </c>
      <c r="N40" s="174" t="s">
        <v>25</v>
      </c>
      <c r="O40" s="174">
        <v>0</v>
      </c>
      <c r="P40" s="174" t="s">
        <v>74</v>
      </c>
      <c r="Q40" s="174" t="str">
        <f t="shared" si="2"/>
        <v/>
      </c>
      <c r="R40" s="174" t="str">
        <f t="shared" si="3"/>
        <v/>
      </c>
    </row>
    <row r="41" spans="1:18" ht="12" customHeight="1" x14ac:dyDescent="0.35">
      <c r="A41" s="174">
        <v>53009</v>
      </c>
      <c r="B41" s="174" t="s">
        <v>73</v>
      </c>
      <c r="C41" s="175">
        <v>46104</v>
      </c>
      <c r="D41" s="174">
        <v>838</v>
      </c>
      <c r="E41" s="174" t="s">
        <v>75</v>
      </c>
      <c r="F41" s="174"/>
      <c r="G41" s="174" t="s">
        <v>28</v>
      </c>
      <c r="H41" s="174">
        <v>8866</v>
      </c>
      <c r="I41" s="176">
        <v>64000</v>
      </c>
      <c r="J41" s="176">
        <v>0</v>
      </c>
      <c r="K41" s="174" t="s">
        <v>22</v>
      </c>
      <c r="L41" s="174" t="s">
        <v>23</v>
      </c>
      <c r="M41" s="174" t="s">
        <v>24</v>
      </c>
      <c r="N41" s="174" t="s">
        <v>25</v>
      </c>
      <c r="O41" s="174">
        <v>0</v>
      </c>
      <c r="P41" s="174" t="s">
        <v>75</v>
      </c>
      <c r="Q41" s="174" t="str">
        <f t="shared" si="2"/>
        <v/>
      </c>
      <c r="R41" s="174" t="str">
        <f t="shared" si="3"/>
        <v/>
      </c>
    </row>
    <row r="42" spans="1:18" ht="12" customHeight="1" x14ac:dyDescent="0.35">
      <c r="A42" s="174">
        <v>53001</v>
      </c>
      <c r="B42" s="174" t="s">
        <v>18</v>
      </c>
      <c r="C42" s="175">
        <v>46106</v>
      </c>
      <c r="D42" s="174">
        <v>840</v>
      </c>
      <c r="E42" s="174" t="s">
        <v>50</v>
      </c>
      <c r="F42" s="174"/>
      <c r="G42" s="174" t="s">
        <v>28</v>
      </c>
      <c r="H42" s="174">
        <v>8868</v>
      </c>
      <c r="I42" s="176">
        <v>350000</v>
      </c>
      <c r="J42" s="176">
        <v>0</v>
      </c>
      <c r="K42" s="174" t="s">
        <v>22</v>
      </c>
      <c r="L42" s="174" t="s">
        <v>23</v>
      </c>
      <c r="M42" s="174" t="s">
        <v>24</v>
      </c>
      <c r="N42" s="174" t="s">
        <v>25</v>
      </c>
      <c r="O42" s="174">
        <v>0</v>
      </c>
      <c r="P42" s="174" t="s">
        <v>51</v>
      </c>
      <c r="Q42" s="174" t="str">
        <f t="shared" si="2"/>
        <v>CH-SC-002</v>
      </c>
      <c r="R42" s="174" t="str">
        <f t="shared" si="3"/>
        <v>BASE</v>
      </c>
    </row>
    <row r="43" spans="1:18" ht="12" customHeight="1" x14ac:dyDescent="0.35">
      <c r="A43" s="174">
        <v>53001</v>
      </c>
      <c r="B43" s="174" t="s">
        <v>18</v>
      </c>
      <c r="C43" s="175">
        <v>46107</v>
      </c>
      <c r="D43" s="174">
        <v>2104</v>
      </c>
      <c r="E43" s="174" t="s">
        <v>65</v>
      </c>
      <c r="F43" s="174" t="s">
        <v>47</v>
      </c>
      <c r="G43" s="174" t="s">
        <v>21</v>
      </c>
      <c r="H43" s="174">
        <v>200008240</v>
      </c>
      <c r="I43" s="176">
        <v>20661.16</v>
      </c>
      <c r="J43" s="176">
        <v>0</v>
      </c>
      <c r="K43" s="174" t="s">
        <v>22</v>
      </c>
      <c r="L43" s="174" t="s">
        <v>23</v>
      </c>
      <c r="M43" s="174" t="s">
        <v>24</v>
      </c>
      <c r="N43" s="174" t="s">
        <v>25</v>
      </c>
      <c r="O43" s="174">
        <v>0</v>
      </c>
      <c r="P43" s="174" t="s">
        <v>65</v>
      </c>
      <c r="Q43" s="174" t="str">
        <f t="shared" si="2"/>
        <v/>
      </c>
      <c r="R43" s="174" t="str">
        <f t="shared" si="3"/>
        <v/>
      </c>
    </row>
    <row r="44" spans="1:18" ht="12" customHeight="1" x14ac:dyDescent="0.35">
      <c r="A44" s="174">
        <v>52302</v>
      </c>
      <c r="B44" s="174" t="s">
        <v>62</v>
      </c>
      <c r="C44" s="175">
        <v>46108</v>
      </c>
      <c r="D44" s="174">
        <v>877</v>
      </c>
      <c r="E44" s="174" t="s">
        <v>76</v>
      </c>
      <c r="F44" s="174"/>
      <c r="G44" s="174" t="s">
        <v>28</v>
      </c>
      <c r="H44" s="174">
        <v>8909</v>
      </c>
      <c r="I44" s="176">
        <v>8700</v>
      </c>
      <c r="J44" s="176">
        <v>0</v>
      </c>
      <c r="K44" s="174" t="s">
        <v>22</v>
      </c>
      <c r="L44" s="174" t="s">
        <v>23</v>
      </c>
      <c r="M44" s="174" t="s">
        <v>24</v>
      </c>
      <c r="N44" s="174" t="s">
        <v>25</v>
      </c>
      <c r="O44" s="174">
        <v>0</v>
      </c>
      <c r="P44" s="174" t="s">
        <v>76</v>
      </c>
      <c r="Q44" s="174" t="str">
        <f t="shared" si="2"/>
        <v/>
      </c>
      <c r="R44" s="174" t="str">
        <f t="shared" si="3"/>
        <v/>
      </c>
    </row>
    <row r="45" spans="1:18" ht="12" customHeight="1" x14ac:dyDescent="0.35">
      <c r="A45" s="174">
        <v>53001</v>
      </c>
      <c r="B45" s="174" t="s">
        <v>18</v>
      </c>
      <c r="C45" s="175">
        <v>46108</v>
      </c>
      <c r="D45" s="174">
        <v>2110</v>
      </c>
      <c r="E45" s="174" t="s">
        <v>52</v>
      </c>
      <c r="F45" s="174" t="s">
        <v>53</v>
      </c>
      <c r="G45" s="174" t="s">
        <v>77</v>
      </c>
      <c r="H45" s="174">
        <v>300001370</v>
      </c>
      <c r="I45" s="176">
        <v>0</v>
      </c>
      <c r="J45" s="176">
        <v>45848.34</v>
      </c>
      <c r="K45" s="174" t="s">
        <v>22</v>
      </c>
      <c r="L45" s="174" t="s">
        <v>23</v>
      </c>
      <c r="M45" s="174" t="s">
        <v>24</v>
      </c>
      <c r="N45" s="174" t="s">
        <v>25</v>
      </c>
      <c r="O45" s="174">
        <v>0</v>
      </c>
      <c r="P45" s="174" t="s">
        <v>52</v>
      </c>
      <c r="Q45" s="174" t="str">
        <f t="shared" si="2"/>
        <v/>
      </c>
      <c r="R45" s="174" t="str">
        <f t="shared" si="3"/>
        <v/>
      </c>
    </row>
    <row r="46" spans="1:18" ht="12" customHeight="1" x14ac:dyDescent="0.35">
      <c r="A46" s="174">
        <v>410222</v>
      </c>
      <c r="B46" s="174" t="s">
        <v>78</v>
      </c>
      <c r="C46" s="175">
        <v>46111</v>
      </c>
      <c r="D46" s="174">
        <v>2023</v>
      </c>
      <c r="E46" s="174" t="s">
        <v>79</v>
      </c>
      <c r="F46" s="174" t="s">
        <v>80</v>
      </c>
      <c r="G46" s="174" t="s">
        <v>81</v>
      </c>
      <c r="H46" s="174">
        <v>300000834</v>
      </c>
      <c r="I46" s="176">
        <v>0</v>
      </c>
      <c r="J46" s="176">
        <v>35000000</v>
      </c>
      <c r="K46" s="174" t="s">
        <v>22</v>
      </c>
      <c r="L46" s="174" t="s">
        <v>23</v>
      </c>
      <c r="M46" s="174" t="s">
        <v>24</v>
      </c>
      <c r="N46" s="174" t="s">
        <v>25</v>
      </c>
      <c r="O46" s="174">
        <v>0</v>
      </c>
      <c r="P46" s="174" t="s">
        <v>79</v>
      </c>
      <c r="Q46" s="174" t="str">
        <f t="shared" si="2"/>
        <v/>
      </c>
      <c r="R46" s="174" t="str">
        <f t="shared" si="3"/>
        <v/>
      </c>
    </row>
    <row r="47" spans="1:18" ht="12" customHeight="1" x14ac:dyDescent="0.35">
      <c r="A47" s="174">
        <v>53022</v>
      </c>
      <c r="B47" s="174" t="s">
        <v>38</v>
      </c>
      <c r="C47" s="175">
        <v>46111</v>
      </c>
      <c r="D47" s="174">
        <v>2116</v>
      </c>
      <c r="E47" s="174" t="s">
        <v>82</v>
      </c>
      <c r="F47" s="174" t="s">
        <v>40</v>
      </c>
      <c r="G47" s="174" t="s">
        <v>21</v>
      </c>
      <c r="H47" s="174">
        <v>300025429</v>
      </c>
      <c r="I47" s="176">
        <v>227000</v>
      </c>
      <c r="J47" s="176">
        <v>0</v>
      </c>
      <c r="K47" s="174" t="s">
        <v>22</v>
      </c>
      <c r="L47" s="174" t="s">
        <v>23</v>
      </c>
      <c r="M47" s="174" t="s">
        <v>24</v>
      </c>
      <c r="N47" s="174" t="s">
        <v>25</v>
      </c>
      <c r="O47" s="174">
        <v>0</v>
      </c>
      <c r="P47" s="174" t="s">
        <v>82</v>
      </c>
      <c r="Q47" s="174" t="str">
        <f t="shared" si="2"/>
        <v/>
      </c>
      <c r="R47" s="174" t="str">
        <f t="shared" si="3"/>
        <v/>
      </c>
    </row>
    <row r="48" spans="1:18" ht="12" customHeight="1" x14ac:dyDescent="0.35">
      <c r="A48" s="174">
        <v>52302</v>
      </c>
      <c r="B48" s="174" t="s">
        <v>62</v>
      </c>
      <c r="C48" s="175">
        <v>46112</v>
      </c>
      <c r="D48" s="174">
        <v>2351</v>
      </c>
      <c r="E48" s="174" t="s">
        <v>68</v>
      </c>
      <c r="F48" s="174" t="s">
        <v>67</v>
      </c>
      <c r="G48" s="174" t="s">
        <v>21</v>
      </c>
      <c r="H48" s="174">
        <v>142000000000</v>
      </c>
      <c r="I48" s="176">
        <v>49028.59</v>
      </c>
      <c r="J48" s="176">
        <v>0</v>
      </c>
      <c r="K48" s="174" t="s">
        <v>22</v>
      </c>
      <c r="L48" s="174" t="s">
        <v>23</v>
      </c>
      <c r="M48" s="174" t="s">
        <v>24</v>
      </c>
      <c r="N48" s="174" t="s">
        <v>25</v>
      </c>
      <c r="O48" s="174">
        <v>0</v>
      </c>
      <c r="P48" s="174" t="s">
        <v>68</v>
      </c>
      <c r="Q48" s="174" t="str">
        <f t="shared" si="2"/>
        <v/>
      </c>
      <c r="R48" s="174" t="str">
        <f t="shared" si="3"/>
        <v/>
      </c>
    </row>
    <row r="49" spans="1:18" ht="12" customHeight="1" x14ac:dyDescent="0.35">
      <c r="A49" s="174">
        <v>52302</v>
      </c>
      <c r="B49" s="174" t="s">
        <v>62</v>
      </c>
      <c r="C49" s="175">
        <v>46112</v>
      </c>
      <c r="D49" s="174">
        <v>2351</v>
      </c>
      <c r="E49" s="174" t="s">
        <v>83</v>
      </c>
      <c r="F49" s="174" t="s">
        <v>67</v>
      </c>
      <c r="G49" s="174" t="s">
        <v>21</v>
      </c>
      <c r="H49" s="174">
        <v>142000000000</v>
      </c>
      <c r="I49" s="176">
        <v>3775.02</v>
      </c>
      <c r="J49" s="176">
        <v>0</v>
      </c>
      <c r="K49" s="174" t="s">
        <v>22</v>
      </c>
      <c r="L49" s="174" t="s">
        <v>23</v>
      </c>
      <c r="M49" s="174" t="s">
        <v>24</v>
      </c>
      <c r="N49" s="174" t="s">
        <v>25</v>
      </c>
      <c r="O49" s="174">
        <v>0</v>
      </c>
      <c r="P49" s="174" t="s">
        <v>83</v>
      </c>
      <c r="Q49" s="174" t="str">
        <f t="shared" si="2"/>
        <v/>
      </c>
      <c r="R49" s="174" t="str">
        <f t="shared" si="3"/>
        <v/>
      </c>
    </row>
    <row r="50" spans="1:18" ht="12" customHeight="1" x14ac:dyDescent="0.35">
      <c r="A50" s="174">
        <v>52302</v>
      </c>
      <c r="B50" s="174" t="s">
        <v>62</v>
      </c>
      <c r="C50" s="175">
        <v>46112</v>
      </c>
      <c r="D50" s="174">
        <v>2351</v>
      </c>
      <c r="E50" s="174" t="s">
        <v>84</v>
      </c>
      <c r="F50" s="174" t="s">
        <v>67</v>
      </c>
      <c r="G50" s="174" t="s">
        <v>21</v>
      </c>
      <c r="H50" s="174">
        <v>142000000000</v>
      </c>
      <c r="I50" s="176">
        <v>54265.599999999999</v>
      </c>
      <c r="J50" s="176">
        <v>0</v>
      </c>
      <c r="K50" s="174" t="s">
        <v>22</v>
      </c>
      <c r="L50" s="174" t="s">
        <v>23</v>
      </c>
      <c r="M50" s="174" t="s">
        <v>24</v>
      </c>
      <c r="N50" s="174" t="s">
        <v>25</v>
      </c>
      <c r="O50" s="174">
        <v>0</v>
      </c>
      <c r="P50" s="174" t="s">
        <v>84</v>
      </c>
      <c r="Q50" s="174" t="str">
        <f t="shared" si="2"/>
        <v/>
      </c>
      <c r="R50" s="174" t="str">
        <f t="shared" si="3"/>
        <v/>
      </c>
    </row>
    <row r="51" spans="1:18" ht="12" customHeight="1" x14ac:dyDescent="0.35">
      <c r="A51" s="174">
        <v>52302</v>
      </c>
      <c r="B51" s="174" t="s">
        <v>62</v>
      </c>
      <c r="C51" s="175">
        <v>46112</v>
      </c>
      <c r="D51" s="174">
        <v>2351</v>
      </c>
      <c r="E51" s="174" t="s">
        <v>66</v>
      </c>
      <c r="F51" s="174" t="s">
        <v>67</v>
      </c>
      <c r="G51" s="174" t="s">
        <v>21</v>
      </c>
      <c r="H51" s="174">
        <v>142000000000</v>
      </c>
      <c r="I51" s="176">
        <v>191066.46</v>
      </c>
      <c r="J51" s="176">
        <v>0</v>
      </c>
      <c r="K51" s="174" t="s">
        <v>22</v>
      </c>
      <c r="L51" s="174" t="s">
        <v>23</v>
      </c>
      <c r="M51" s="174" t="s">
        <v>24</v>
      </c>
      <c r="N51" s="174" t="s">
        <v>25</v>
      </c>
      <c r="O51" s="174">
        <v>0</v>
      </c>
      <c r="P51" s="174" t="s">
        <v>66</v>
      </c>
      <c r="Q51" s="174" t="str">
        <f t="shared" si="2"/>
        <v/>
      </c>
      <c r="R51" s="174" t="str">
        <f t="shared" si="3"/>
        <v/>
      </c>
    </row>
    <row r="52" spans="1:18" ht="12" customHeight="1" x14ac:dyDescent="0.35">
      <c r="A52" s="174">
        <v>52302</v>
      </c>
      <c r="B52" s="174" t="s">
        <v>62</v>
      </c>
      <c r="C52" s="175">
        <v>46112</v>
      </c>
      <c r="D52" s="174">
        <v>2351</v>
      </c>
      <c r="E52" s="174" t="s">
        <v>85</v>
      </c>
      <c r="F52" s="174" t="s">
        <v>67</v>
      </c>
      <c r="G52" s="174" t="s">
        <v>21</v>
      </c>
      <c r="H52" s="174">
        <v>142000000000</v>
      </c>
      <c r="I52" s="176">
        <v>15565.68</v>
      </c>
      <c r="J52" s="176">
        <v>0</v>
      </c>
      <c r="K52" s="174" t="s">
        <v>22</v>
      </c>
      <c r="L52" s="174" t="s">
        <v>23</v>
      </c>
      <c r="M52" s="174" t="s">
        <v>24</v>
      </c>
      <c r="N52" s="174" t="s">
        <v>25</v>
      </c>
      <c r="O52" s="174">
        <v>0</v>
      </c>
      <c r="P52" s="174" t="s">
        <v>85</v>
      </c>
      <c r="Q52" s="174" t="str">
        <f t="shared" si="2"/>
        <v/>
      </c>
      <c r="R52" s="174" t="str">
        <f t="shared" si="3"/>
        <v/>
      </c>
    </row>
    <row r="53" spans="1:18" ht="12" customHeight="1" x14ac:dyDescent="0.35">
      <c r="A53" s="174">
        <v>52204</v>
      </c>
      <c r="B53" s="174" t="s">
        <v>31</v>
      </c>
      <c r="C53" s="175">
        <v>46113</v>
      </c>
      <c r="D53" s="174">
        <v>2174</v>
      </c>
      <c r="E53" s="174" t="s">
        <v>32</v>
      </c>
      <c r="F53" s="174" t="s">
        <v>33</v>
      </c>
      <c r="G53" s="174" t="s">
        <v>21</v>
      </c>
      <c r="H53" s="174">
        <v>300001454</v>
      </c>
      <c r="I53" s="176">
        <v>517195</v>
      </c>
      <c r="J53" s="176">
        <v>0</v>
      </c>
      <c r="K53" s="174" t="s">
        <v>22</v>
      </c>
      <c r="L53" s="174" t="s">
        <v>23</v>
      </c>
      <c r="M53" s="174" t="s">
        <v>24</v>
      </c>
      <c r="N53" s="174" t="s">
        <v>25</v>
      </c>
      <c r="O53" s="174">
        <v>0</v>
      </c>
      <c r="P53" s="174" t="s">
        <v>32</v>
      </c>
      <c r="Q53" s="174" t="str">
        <f t="shared" si="2"/>
        <v/>
      </c>
      <c r="R53" s="174" t="str">
        <f t="shared" si="3"/>
        <v/>
      </c>
    </row>
    <row r="54" spans="1:18" ht="12" customHeight="1" x14ac:dyDescent="0.35">
      <c r="A54" s="174">
        <v>53001</v>
      </c>
      <c r="B54" s="174" t="s">
        <v>18</v>
      </c>
      <c r="C54" s="175">
        <v>46113</v>
      </c>
      <c r="D54" s="174">
        <v>2178</v>
      </c>
      <c r="E54" s="174" t="s">
        <v>52</v>
      </c>
      <c r="F54" s="174" t="s">
        <v>53</v>
      </c>
      <c r="G54" s="174" t="s">
        <v>21</v>
      </c>
      <c r="H54" s="174">
        <v>300011847</v>
      </c>
      <c r="I54" s="176">
        <v>166340.01</v>
      </c>
      <c r="J54" s="176">
        <v>0</v>
      </c>
      <c r="K54" s="174" t="s">
        <v>22</v>
      </c>
      <c r="L54" s="174" t="s">
        <v>23</v>
      </c>
      <c r="M54" s="174" t="s">
        <v>24</v>
      </c>
      <c r="N54" s="174" t="s">
        <v>25</v>
      </c>
      <c r="O54" s="174">
        <v>0</v>
      </c>
      <c r="P54" s="174" t="s">
        <v>52</v>
      </c>
      <c r="Q54" s="174" t="str">
        <f t="shared" si="2"/>
        <v/>
      </c>
      <c r="R54" s="174" t="str">
        <f t="shared" si="3"/>
        <v/>
      </c>
    </row>
    <row r="55" spans="1:18" ht="12" customHeight="1" x14ac:dyDescent="0.35">
      <c r="A55" s="174">
        <v>53008</v>
      </c>
      <c r="B55" s="174" t="s">
        <v>36</v>
      </c>
      <c r="C55" s="175">
        <v>46113</v>
      </c>
      <c r="D55" s="174">
        <v>2177</v>
      </c>
      <c r="E55" s="174" t="s">
        <v>37</v>
      </c>
      <c r="F55" s="174" t="s">
        <v>30</v>
      </c>
      <c r="G55" s="174" t="s">
        <v>21</v>
      </c>
      <c r="H55" s="174">
        <v>1500093023</v>
      </c>
      <c r="I55" s="176">
        <v>30448.16</v>
      </c>
      <c r="J55" s="176">
        <v>0</v>
      </c>
      <c r="K55" s="174" t="s">
        <v>22</v>
      </c>
      <c r="L55" s="174" t="s">
        <v>23</v>
      </c>
      <c r="M55" s="174" t="s">
        <v>24</v>
      </c>
      <c r="N55" s="174" t="s">
        <v>25</v>
      </c>
      <c r="O55" s="174">
        <v>0</v>
      </c>
      <c r="P55" s="174" t="s">
        <v>37</v>
      </c>
      <c r="Q55" s="174" t="str">
        <f t="shared" si="2"/>
        <v/>
      </c>
      <c r="R55" s="174" t="str">
        <f t="shared" si="3"/>
        <v/>
      </c>
    </row>
    <row r="56" spans="1:18" ht="12" customHeight="1" x14ac:dyDescent="0.35">
      <c r="A56" s="174">
        <v>53023</v>
      </c>
      <c r="B56" s="174" t="s">
        <v>26</v>
      </c>
      <c r="C56" s="175">
        <v>46113</v>
      </c>
      <c r="D56" s="174">
        <v>876</v>
      </c>
      <c r="E56" s="174" t="s">
        <v>27</v>
      </c>
      <c r="F56" s="174"/>
      <c r="G56" s="174" t="s">
        <v>28</v>
      </c>
      <c r="H56" s="174">
        <v>8908</v>
      </c>
      <c r="I56" s="176">
        <v>52000</v>
      </c>
      <c r="J56" s="176">
        <v>0</v>
      </c>
      <c r="K56" s="174" t="s">
        <v>22</v>
      </c>
      <c r="L56" s="174" t="s">
        <v>23</v>
      </c>
      <c r="M56" s="174" t="s">
        <v>24</v>
      </c>
      <c r="N56" s="174" t="s">
        <v>25</v>
      </c>
      <c r="O56" s="174">
        <v>0</v>
      </c>
      <c r="P56" s="174" t="s">
        <v>27</v>
      </c>
      <c r="Q56" s="174" t="str">
        <f t="shared" si="2"/>
        <v/>
      </c>
      <c r="R56" s="174" t="str">
        <f t="shared" si="3"/>
        <v/>
      </c>
    </row>
    <row r="57" spans="1:18" ht="12" customHeight="1" x14ac:dyDescent="0.35">
      <c r="A57" s="174">
        <v>53009</v>
      </c>
      <c r="B57" s="174" t="s">
        <v>73</v>
      </c>
      <c r="C57" s="175">
        <v>46119</v>
      </c>
      <c r="D57" s="174">
        <v>1068</v>
      </c>
      <c r="E57" s="174" t="s">
        <v>86</v>
      </c>
      <c r="F57" s="174"/>
      <c r="G57" s="174" t="s">
        <v>28</v>
      </c>
      <c r="H57" s="174">
        <v>9095</v>
      </c>
      <c r="I57" s="176">
        <v>726500</v>
      </c>
      <c r="J57" s="176">
        <v>0</v>
      </c>
      <c r="K57" s="174" t="s">
        <v>22</v>
      </c>
      <c r="L57" s="174" t="s">
        <v>23</v>
      </c>
      <c r="M57" s="174" t="s">
        <v>24</v>
      </c>
      <c r="N57" s="174" t="s">
        <v>25</v>
      </c>
      <c r="O57" s="174">
        <v>0</v>
      </c>
      <c r="P57" s="174" t="s">
        <v>86</v>
      </c>
      <c r="Q57" s="174" t="str">
        <f t="shared" si="2"/>
        <v/>
      </c>
      <c r="R57" s="174" t="str">
        <f t="shared" si="3"/>
        <v/>
      </c>
    </row>
    <row r="58" spans="1:18" ht="12" customHeight="1" x14ac:dyDescent="0.35">
      <c r="A58" s="174">
        <v>52104</v>
      </c>
      <c r="B58" s="174" t="s">
        <v>87</v>
      </c>
      <c r="C58" s="175">
        <v>46123</v>
      </c>
      <c r="D58" s="174">
        <v>2360</v>
      </c>
      <c r="E58" s="174" t="s">
        <v>88</v>
      </c>
      <c r="F58" s="174" t="s">
        <v>89</v>
      </c>
      <c r="G58" s="174" t="s">
        <v>21</v>
      </c>
      <c r="H58" s="174">
        <v>400037178</v>
      </c>
      <c r="I58" s="176">
        <v>66528.929999999993</v>
      </c>
      <c r="J58" s="176">
        <v>0</v>
      </c>
      <c r="K58" s="174" t="s">
        <v>22</v>
      </c>
      <c r="L58" s="174" t="s">
        <v>23</v>
      </c>
      <c r="M58" s="174" t="s">
        <v>24</v>
      </c>
      <c r="N58" s="174" t="s">
        <v>25</v>
      </c>
      <c r="O58" s="174">
        <v>0</v>
      </c>
      <c r="P58" s="174" t="s">
        <v>88</v>
      </c>
      <c r="Q58" s="174" t="str">
        <f t="shared" si="2"/>
        <v/>
      </c>
      <c r="R58" s="174" t="str">
        <f t="shared" si="3"/>
        <v/>
      </c>
    </row>
    <row r="59" spans="1:18" ht="12" customHeight="1" x14ac:dyDescent="0.35">
      <c r="A59" s="174">
        <v>52302</v>
      </c>
      <c r="B59" s="174" t="s">
        <v>62</v>
      </c>
      <c r="C59" s="175">
        <v>46123</v>
      </c>
      <c r="D59" s="174">
        <v>2359</v>
      </c>
      <c r="E59" s="174" t="s">
        <v>90</v>
      </c>
      <c r="F59" s="174" t="s">
        <v>91</v>
      </c>
      <c r="G59" s="174" t="s">
        <v>92</v>
      </c>
      <c r="H59" s="174">
        <v>300000995</v>
      </c>
      <c r="I59" s="176">
        <v>230000</v>
      </c>
      <c r="J59" s="176">
        <v>0</v>
      </c>
      <c r="K59" s="174" t="s">
        <v>22</v>
      </c>
      <c r="L59" s="174" t="s">
        <v>23</v>
      </c>
      <c r="M59" s="174" t="s">
        <v>24</v>
      </c>
      <c r="N59" s="174" t="s">
        <v>25</v>
      </c>
      <c r="O59" s="174">
        <v>0</v>
      </c>
      <c r="P59" s="174" t="s">
        <v>90</v>
      </c>
      <c r="Q59" s="174" t="str">
        <f t="shared" si="2"/>
        <v/>
      </c>
      <c r="R59" s="174" t="str">
        <f t="shared" si="3"/>
        <v/>
      </c>
    </row>
    <row r="60" spans="1:18" ht="12" customHeight="1" x14ac:dyDescent="0.35">
      <c r="A60" s="174">
        <v>52210</v>
      </c>
      <c r="B60" s="174" t="s">
        <v>93</v>
      </c>
      <c r="C60" s="175">
        <v>46125</v>
      </c>
      <c r="D60" s="174">
        <v>986</v>
      </c>
      <c r="E60" s="174" t="s">
        <v>42</v>
      </c>
      <c r="F60" s="174"/>
      <c r="G60" s="174" t="s">
        <v>28</v>
      </c>
      <c r="H60" s="174">
        <v>9014</v>
      </c>
      <c r="I60" s="176">
        <v>520000</v>
      </c>
      <c r="J60" s="176">
        <v>0</v>
      </c>
      <c r="K60" s="174" t="s">
        <v>22</v>
      </c>
      <c r="L60" s="174" t="s">
        <v>23</v>
      </c>
      <c r="M60" s="174" t="s">
        <v>24</v>
      </c>
      <c r="N60" s="174" t="s">
        <v>25</v>
      </c>
      <c r="O60" s="174">
        <v>0</v>
      </c>
      <c r="P60" s="174" t="s">
        <v>43</v>
      </c>
      <c r="Q60" s="174" t="str">
        <f t="shared" si="2"/>
        <v>CH-SC-001</v>
      </c>
      <c r="R60" s="174" t="str">
        <f t="shared" si="3"/>
        <v>BASE</v>
      </c>
    </row>
    <row r="61" spans="1:18" ht="12" customHeight="1" x14ac:dyDescent="0.35">
      <c r="A61" s="174">
        <v>5108</v>
      </c>
      <c r="B61" s="174" t="s">
        <v>48</v>
      </c>
      <c r="C61" s="175">
        <v>46126</v>
      </c>
      <c r="D61" s="174">
        <v>1170</v>
      </c>
      <c r="E61" s="174" t="s">
        <v>94</v>
      </c>
      <c r="F61" s="174"/>
      <c r="G61" s="174" t="s">
        <v>28</v>
      </c>
      <c r="H61" s="174">
        <v>9198</v>
      </c>
      <c r="I61" s="176">
        <v>30220</v>
      </c>
      <c r="J61" s="176">
        <v>0</v>
      </c>
      <c r="K61" s="174" t="s">
        <v>22</v>
      </c>
      <c r="L61" s="174" t="s">
        <v>23</v>
      </c>
      <c r="M61" s="174" t="s">
        <v>24</v>
      </c>
      <c r="N61" s="174" t="s">
        <v>25</v>
      </c>
      <c r="O61" s="174">
        <v>0</v>
      </c>
      <c r="P61" s="174" t="s">
        <v>94</v>
      </c>
      <c r="Q61" s="174" t="str">
        <f t="shared" si="2"/>
        <v/>
      </c>
      <c r="R61" s="174" t="str">
        <f t="shared" si="3"/>
        <v/>
      </c>
    </row>
    <row r="62" spans="1:18" ht="12" customHeight="1" x14ac:dyDescent="0.35">
      <c r="A62" s="174">
        <v>52302</v>
      </c>
      <c r="B62" s="174" t="s">
        <v>62</v>
      </c>
      <c r="C62" s="175">
        <v>46126</v>
      </c>
      <c r="D62" s="174">
        <v>1177</v>
      </c>
      <c r="E62" s="174" t="s">
        <v>76</v>
      </c>
      <c r="F62" s="174"/>
      <c r="G62" s="174" t="s">
        <v>28</v>
      </c>
      <c r="H62" s="174">
        <v>9205</v>
      </c>
      <c r="I62" s="176">
        <v>20000</v>
      </c>
      <c r="J62" s="176">
        <v>0</v>
      </c>
      <c r="K62" s="174" t="s">
        <v>22</v>
      </c>
      <c r="L62" s="174" t="s">
        <v>23</v>
      </c>
      <c r="M62" s="174" t="s">
        <v>24</v>
      </c>
      <c r="N62" s="174" t="s">
        <v>25</v>
      </c>
      <c r="O62" s="174">
        <v>0</v>
      </c>
      <c r="P62" s="174" t="s">
        <v>76</v>
      </c>
      <c r="Q62" s="174" t="str">
        <f t="shared" si="2"/>
        <v/>
      </c>
      <c r="R62" s="174" t="str">
        <f t="shared" si="3"/>
        <v/>
      </c>
    </row>
    <row r="63" spans="1:18" ht="12" customHeight="1" x14ac:dyDescent="0.35">
      <c r="A63" s="174">
        <v>53001</v>
      </c>
      <c r="B63" s="174" t="s">
        <v>18</v>
      </c>
      <c r="C63" s="175">
        <v>46126</v>
      </c>
      <c r="D63" s="174">
        <v>1176</v>
      </c>
      <c r="E63" s="174" t="s">
        <v>95</v>
      </c>
      <c r="F63" s="174"/>
      <c r="G63" s="174" t="s">
        <v>28</v>
      </c>
      <c r="H63" s="174">
        <v>9204</v>
      </c>
      <c r="I63" s="176">
        <v>48569.87</v>
      </c>
      <c r="J63" s="176">
        <v>0</v>
      </c>
      <c r="K63" s="174" t="s">
        <v>22</v>
      </c>
      <c r="L63" s="174" t="s">
        <v>23</v>
      </c>
      <c r="M63" s="174" t="s">
        <v>24</v>
      </c>
      <c r="N63" s="174" t="s">
        <v>25</v>
      </c>
      <c r="O63" s="174">
        <v>0</v>
      </c>
      <c r="P63" s="174" t="s">
        <v>95</v>
      </c>
      <c r="Q63" s="174" t="str">
        <f t="shared" si="2"/>
        <v/>
      </c>
      <c r="R63" s="174" t="str">
        <f t="shared" si="3"/>
        <v/>
      </c>
    </row>
    <row r="64" spans="1:18" ht="12" customHeight="1" x14ac:dyDescent="0.35">
      <c r="A64" s="174">
        <v>53004</v>
      </c>
      <c r="B64" s="174" t="s">
        <v>54</v>
      </c>
      <c r="C64" s="175">
        <v>46126</v>
      </c>
      <c r="D64" s="174">
        <v>2870</v>
      </c>
      <c r="E64" s="174" t="s">
        <v>96</v>
      </c>
      <c r="F64" s="174" t="s">
        <v>20</v>
      </c>
      <c r="G64" s="174" t="s">
        <v>21</v>
      </c>
      <c r="H64" s="174">
        <v>21100147636</v>
      </c>
      <c r="I64" s="176">
        <v>766357.68</v>
      </c>
      <c r="J64" s="176">
        <v>0</v>
      </c>
      <c r="K64" s="174" t="s">
        <v>22</v>
      </c>
      <c r="L64" s="174" t="s">
        <v>23</v>
      </c>
      <c r="M64" s="174" t="s">
        <v>24</v>
      </c>
      <c r="N64" s="174" t="s">
        <v>25</v>
      </c>
      <c r="O64" s="174">
        <v>0</v>
      </c>
      <c r="P64" s="174" t="s">
        <v>96</v>
      </c>
      <c r="Q64" s="174" t="str">
        <f t="shared" si="2"/>
        <v/>
      </c>
      <c r="R64" s="174" t="str">
        <f t="shared" si="3"/>
        <v/>
      </c>
    </row>
    <row r="65" spans="1:18" ht="12" customHeight="1" x14ac:dyDescent="0.35">
      <c r="A65" s="174">
        <v>53022</v>
      </c>
      <c r="B65" s="174" t="s">
        <v>38</v>
      </c>
      <c r="C65" s="175">
        <v>46126</v>
      </c>
      <c r="D65" s="174">
        <v>1175</v>
      </c>
      <c r="E65" s="174" t="s">
        <v>97</v>
      </c>
      <c r="F65" s="174"/>
      <c r="G65" s="174" t="s">
        <v>28</v>
      </c>
      <c r="H65" s="174">
        <v>9203</v>
      </c>
      <c r="I65" s="176">
        <v>49000</v>
      </c>
      <c r="J65" s="176">
        <v>0</v>
      </c>
      <c r="K65" s="174" t="s">
        <v>22</v>
      </c>
      <c r="L65" s="174" t="s">
        <v>23</v>
      </c>
      <c r="M65" s="174" t="s">
        <v>24</v>
      </c>
      <c r="N65" s="174" t="s">
        <v>25</v>
      </c>
      <c r="O65" s="174">
        <v>0</v>
      </c>
      <c r="P65" s="174" t="s">
        <v>97</v>
      </c>
      <c r="Q65" s="174" t="str">
        <f t="shared" si="2"/>
        <v/>
      </c>
      <c r="R65" s="174" t="str">
        <f t="shared" si="3"/>
        <v/>
      </c>
    </row>
    <row r="66" spans="1:18" ht="12" customHeight="1" x14ac:dyDescent="0.35">
      <c r="A66" s="174">
        <v>53023</v>
      </c>
      <c r="B66" s="174" t="s">
        <v>26</v>
      </c>
      <c r="C66" s="175">
        <v>46126</v>
      </c>
      <c r="D66" s="174">
        <v>1171</v>
      </c>
      <c r="E66" s="174" t="s">
        <v>27</v>
      </c>
      <c r="F66" s="174"/>
      <c r="G66" s="174" t="s">
        <v>28</v>
      </c>
      <c r="H66" s="174">
        <v>9199</v>
      </c>
      <c r="I66" s="176">
        <v>10000</v>
      </c>
      <c r="J66" s="176">
        <v>0</v>
      </c>
      <c r="K66" s="174" t="s">
        <v>22</v>
      </c>
      <c r="L66" s="174" t="s">
        <v>23</v>
      </c>
      <c r="M66" s="174" t="s">
        <v>24</v>
      </c>
      <c r="N66" s="174" t="s">
        <v>25</v>
      </c>
      <c r="O66" s="174">
        <v>0</v>
      </c>
      <c r="P66" s="174" t="s">
        <v>27</v>
      </c>
      <c r="Q66" s="174" t="str">
        <f t="shared" ref="Q66:Q97" si="4">IFERROR(TRIM(LEFT($E66,FIND(" | ",$E66)-1)),"")</f>
        <v/>
      </c>
      <c r="R66" s="174" t="str">
        <f t="shared" ref="R66:R97" si="5">IFERROR(TRIM(UPPER(MID($E66,FIND(" | ",$E66)+3,IFERROR(FIND(" | ",$E66,FIND(" | ",$E66)+3),LEN($E66)+1)-FIND(" | ",$E66)-3))),"")</f>
        <v/>
      </c>
    </row>
    <row r="67" spans="1:18" ht="12" customHeight="1" x14ac:dyDescent="0.35">
      <c r="A67" s="174">
        <v>53023</v>
      </c>
      <c r="B67" s="174" t="s">
        <v>26</v>
      </c>
      <c r="C67" s="175">
        <v>46126</v>
      </c>
      <c r="D67" s="174">
        <v>1172</v>
      </c>
      <c r="E67" s="174" t="s">
        <v>27</v>
      </c>
      <c r="F67" s="174"/>
      <c r="G67" s="174" t="s">
        <v>28</v>
      </c>
      <c r="H67" s="174">
        <v>9200</v>
      </c>
      <c r="I67" s="176">
        <v>7000</v>
      </c>
      <c r="J67" s="176">
        <v>0</v>
      </c>
      <c r="K67" s="174" t="s">
        <v>22</v>
      </c>
      <c r="L67" s="174" t="s">
        <v>23</v>
      </c>
      <c r="M67" s="174" t="s">
        <v>24</v>
      </c>
      <c r="N67" s="174" t="s">
        <v>25</v>
      </c>
      <c r="O67" s="174">
        <v>0</v>
      </c>
      <c r="P67" s="174" t="s">
        <v>27</v>
      </c>
      <c r="Q67" s="174" t="str">
        <f t="shared" si="4"/>
        <v/>
      </c>
      <c r="R67" s="174" t="str">
        <f t="shared" si="5"/>
        <v/>
      </c>
    </row>
    <row r="68" spans="1:18" ht="12" customHeight="1" x14ac:dyDescent="0.35">
      <c r="A68" s="174">
        <v>53023</v>
      </c>
      <c r="B68" s="174" t="s">
        <v>26</v>
      </c>
      <c r="C68" s="175">
        <v>46126</v>
      </c>
      <c r="D68" s="174">
        <v>1174</v>
      </c>
      <c r="E68" s="174" t="s">
        <v>27</v>
      </c>
      <c r="F68" s="174"/>
      <c r="G68" s="174" t="s">
        <v>28</v>
      </c>
      <c r="H68" s="174">
        <v>9202</v>
      </c>
      <c r="I68" s="176">
        <v>78892</v>
      </c>
      <c r="J68" s="176">
        <v>0</v>
      </c>
      <c r="K68" s="174" t="s">
        <v>22</v>
      </c>
      <c r="L68" s="174" t="s">
        <v>23</v>
      </c>
      <c r="M68" s="174" t="s">
        <v>24</v>
      </c>
      <c r="N68" s="174" t="s">
        <v>25</v>
      </c>
      <c r="O68" s="174">
        <v>0</v>
      </c>
      <c r="P68" s="174" t="s">
        <v>27</v>
      </c>
      <c r="Q68" s="174" t="str">
        <f t="shared" si="4"/>
        <v/>
      </c>
      <c r="R68" s="174" t="str">
        <f t="shared" si="5"/>
        <v/>
      </c>
    </row>
    <row r="69" spans="1:18" ht="12" customHeight="1" x14ac:dyDescent="0.35">
      <c r="A69" s="174">
        <v>52302</v>
      </c>
      <c r="B69" s="174" t="s">
        <v>62</v>
      </c>
      <c r="C69" s="175">
        <v>46127</v>
      </c>
      <c r="D69" s="174">
        <v>2376</v>
      </c>
      <c r="E69" s="174" t="s">
        <v>84</v>
      </c>
      <c r="F69" s="174" t="s">
        <v>67</v>
      </c>
      <c r="G69" s="174" t="s">
        <v>21</v>
      </c>
      <c r="H69" s="174">
        <v>142000000000</v>
      </c>
      <c r="I69" s="176">
        <v>27160.13</v>
      </c>
      <c r="J69" s="176">
        <v>0</v>
      </c>
      <c r="K69" s="174" t="s">
        <v>22</v>
      </c>
      <c r="L69" s="174" t="s">
        <v>23</v>
      </c>
      <c r="M69" s="174" t="s">
        <v>24</v>
      </c>
      <c r="N69" s="174" t="s">
        <v>25</v>
      </c>
      <c r="O69" s="174">
        <v>0</v>
      </c>
      <c r="P69" s="174" t="s">
        <v>84</v>
      </c>
      <c r="Q69" s="174" t="str">
        <f t="shared" si="4"/>
        <v/>
      </c>
      <c r="R69" s="174" t="str">
        <f t="shared" si="5"/>
        <v/>
      </c>
    </row>
    <row r="70" spans="1:18" ht="12" customHeight="1" x14ac:dyDescent="0.35">
      <c r="A70" s="174">
        <v>52302</v>
      </c>
      <c r="B70" s="174" t="s">
        <v>62</v>
      </c>
      <c r="C70" s="175">
        <v>46127</v>
      </c>
      <c r="D70" s="174">
        <v>2376</v>
      </c>
      <c r="E70" s="174" t="s">
        <v>66</v>
      </c>
      <c r="F70" s="174" t="s">
        <v>67</v>
      </c>
      <c r="G70" s="174" t="s">
        <v>21</v>
      </c>
      <c r="H70" s="174">
        <v>142000000000</v>
      </c>
      <c r="I70" s="176">
        <v>139378.65</v>
      </c>
      <c r="J70" s="176">
        <v>0</v>
      </c>
      <c r="K70" s="174" t="s">
        <v>22</v>
      </c>
      <c r="L70" s="174" t="s">
        <v>23</v>
      </c>
      <c r="M70" s="174" t="s">
        <v>24</v>
      </c>
      <c r="N70" s="174" t="s">
        <v>25</v>
      </c>
      <c r="O70" s="174">
        <v>0</v>
      </c>
      <c r="P70" s="174" t="s">
        <v>66</v>
      </c>
      <c r="Q70" s="174" t="str">
        <f t="shared" si="4"/>
        <v/>
      </c>
      <c r="R70" s="174" t="str">
        <f t="shared" si="5"/>
        <v/>
      </c>
    </row>
    <row r="71" spans="1:18" ht="12" customHeight="1" x14ac:dyDescent="0.35">
      <c r="A71" s="174">
        <v>52302</v>
      </c>
      <c r="B71" s="174" t="s">
        <v>62</v>
      </c>
      <c r="C71" s="175">
        <v>46127</v>
      </c>
      <c r="D71" s="174">
        <v>2376</v>
      </c>
      <c r="E71" s="174" t="s">
        <v>85</v>
      </c>
      <c r="F71" s="174" t="s">
        <v>67</v>
      </c>
      <c r="G71" s="174" t="s">
        <v>21</v>
      </c>
      <c r="H71" s="174">
        <v>142000000000</v>
      </c>
      <c r="I71" s="176">
        <v>23190.49</v>
      </c>
      <c r="J71" s="176">
        <v>0</v>
      </c>
      <c r="K71" s="174" t="s">
        <v>22</v>
      </c>
      <c r="L71" s="174" t="s">
        <v>23</v>
      </c>
      <c r="M71" s="174" t="s">
        <v>24</v>
      </c>
      <c r="N71" s="174" t="s">
        <v>25</v>
      </c>
      <c r="O71" s="174">
        <v>0</v>
      </c>
      <c r="P71" s="174" t="s">
        <v>85</v>
      </c>
      <c r="Q71" s="174" t="str">
        <f t="shared" si="4"/>
        <v/>
      </c>
      <c r="R71" s="174" t="str">
        <f t="shared" si="5"/>
        <v/>
      </c>
    </row>
    <row r="72" spans="1:18" ht="12" customHeight="1" x14ac:dyDescent="0.35">
      <c r="A72" s="174">
        <v>52302</v>
      </c>
      <c r="B72" s="174" t="s">
        <v>62</v>
      </c>
      <c r="C72" s="175">
        <v>46127</v>
      </c>
      <c r="D72" s="174">
        <v>2376</v>
      </c>
      <c r="E72" s="174" t="s">
        <v>68</v>
      </c>
      <c r="F72" s="174" t="s">
        <v>67</v>
      </c>
      <c r="G72" s="174" t="s">
        <v>21</v>
      </c>
      <c r="H72" s="174">
        <v>142000000000</v>
      </c>
      <c r="I72" s="176">
        <v>34462.79</v>
      </c>
      <c r="J72" s="176">
        <v>0</v>
      </c>
      <c r="K72" s="174" t="s">
        <v>22</v>
      </c>
      <c r="L72" s="174" t="s">
        <v>23</v>
      </c>
      <c r="M72" s="174" t="s">
        <v>24</v>
      </c>
      <c r="N72" s="174" t="s">
        <v>25</v>
      </c>
      <c r="O72" s="174">
        <v>0</v>
      </c>
      <c r="P72" s="174" t="s">
        <v>68</v>
      </c>
      <c r="Q72" s="174" t="str">
        <f t="shared" si="4"/>
        <v/>
      </c>
      <c r="R72" s="174" t="str">
        <f t="shared" si="5"/>
        <v/>
      </c>
    </row>
    <row r="73" spans="1:18" ht="12" customHeight="1" x14ac:dyDescent="0.35">
      <c r="A73" s="174">
        <v>52302</v>
      </c>
      <c r="B73" s="174" t="s">
        <v>62</v>
      </c>
      <c r="C73" s="175">
        <v>46127</v>
      </c>
      <c r="D73" s="174">
        <v>2376</v>
      </c>
      <c r="E73" s="174" t="s">
        <v>83</v>
      </c>
      <c r="F73" s="174" t="s">
        <v>67</v>
      </c>
      <c r="G73" s="174" t="s">
        <v>21</v>
      </c>
      <c r="H73" s="174">
        <v>142000000000</v>
      </c>
      <c r="I73" s="176">
        <v>2395.85</v>
      </c>
      <c r="J73" s="176">
        <v>0</v>
      </c>
      <c r="K73" s="174" t="s">
        <v>22</v>
      </c>
      <c r="L73" s="174" t="s">
        <v>23</v>
      </c>
      <c r="M73" s="174" t="s">
        <v>24</v>
      </c>
      <c r="N73" s="174" t="s">
        <v>25</v>
      </c>
      <c r="O73" s="174">
        <v>0</v>
      </c>
      <c r="P73" s="174" t="s">
        <v>83</v>
      </c>
      <c r="Q73" s="174" t="str">
        <f t="shared" si="4"/>
        <v/>
      </c>
      <c r="R73" s="174" t="str">
        <f t="shared" si="5"/>
        <v/>
      </c>
    </row>
    <row r="74" spans="1:18" ht="12" customHeight="1" x14ac:dyDescent="0.35">
      <c r="A74" s="174">
        <v>53001</v>
      </c>
      <c r="B74" s="174" t="s">
        <v>18</v>
      </c>
      <c r="C74" s="175">
        <v>46128</v>
      </c>
      <c r="D74" s="174">
        <v>1143</v>
      </c>
      <c r="E74" s="174" t="s">
        <v>98</v>
      </c>
      <c r="F74" s="174"/>
      <c r="G74" s="174" t="s">
        <v>28</v>
      </c>
      <c r="H74" s="174">
        <v>9171</v>
      </c>
      <c r="I74" s="176">
        <v>1310000</v>
      </c>
      <c r="J74" s="176">
        <v>0</v>
      </c>
      <c r="K74" s="174" t="s">
        <v>22</v>
      </c>
      <c r="L74" s="174" t="s">
        <v>23</v>
      </c>
      <c r="M74" s="174" t="s">
        <v>24</v>
      </c>
      <c r="N74" s="174" t="s">
        <v>25</v>
      </c>
      <c r="O74" s="174">
        <v>0</v>
      </c>
      <c r="P74" s="174" t="s">
        <v>99</v>
      </c>
      <c r="Q74" s="174" t="str">
        <f t="shared" si="4"/>
        <v>CH-SC-004</v>
      </c>
      <c r="R74" s="174" t="str">
        <f t="shared" si="5"/>
        <v>BASE</v>
      </c>
    </row>
    <row r="75" spans="1:18" ht="12" customHeight="1" x14ac:dyDescent="0.35">
      <c r="A75" s="174">
        <v>53008</v>
      </c>
      <c r="B75" s="174" t="s">
        <v>36</v>
      </c>
      <c r="C75" s="175">
        <v>46129</v>
      </c>
      <c r="D75" s="174">
        <v>2384</v>
      </c>
      <c r="E75" s="174" t="s">
        <v>37</v>
      </c>
      <c r="F75" s="174" t="s">
        <v>30</v>
      </c>
      <c r="G75" s="174" t="s">
        <v>21</v>
      </c>
      <c r="H75" s="174">
        <v>1500093635</v>
      </c>
      <c r="I75" s="176">
        <v>341339.24</v>
      </c>
      <c r="J75" s="176">
        <v>0</v>
      </c>
      <c r="K75" s="174" t="s">
        <v>22</v>
      </c>
      <c r="L75" s="174" t="s">
        <v>23</v>
      </c>
      <c r="M75" s="174" t="s">
        <v>24</v>
      </c>
      <c r="N75" s="174" t="s">
        <v>25</v>
      </c>
      <c r="O75" s="174">
        <v>0</v>
      </c>
      <c r="P75" s="174" t="s">
        <v>37</v>
      </c>
      <c r="Q75" s="174" t="str">
        <f t="shared" si="4"/>
        <v/>
      </c>
      <c r="R75" s="174" t="str">
        <f t="shared" si="5"/>
        <v/>
      </c>
    </row>
    <row r="76" spans="1:18" ht="12" customHeight="1" x14ac:dyDescent="0.35">
      <c r="A76" s="174">
        <v>53009</v>
      </c>
      <c r="B76" s="174" t="s">
        <v>73</v>
      </c>
      <c r="C76" s="175">
        <v>46129</v>
      </c>
      <c r="D76" s="174">
        <v>1000</v>
      </c>
      <c r="E76" s="174" t="s">
        <v>100</v>
      </c>
      <c r="F76" s="174"/>
      <c r="G76" s="174" t="s">
        <v>28</v>
      </c>
      <c r="H76" s="174">
        <v>9028</v>
      </c>
      <c r="I76" s="176">
        <v>624000</v>
      </c>
      <c r="J76" s="176">
        <v>0</v>
      </c>
      <c r="K76" s="174" t="s">
        <v>22</v>
      </c>
      <c r="L76" s="174" t="s">
        <v>23</v>
      </c>
      <c r="M76" s="174" t="s">
        <v>24</v>
      </c>
      <c r="N76" s="174" t="s">
        <v>25</v>
      </c>
      <c r="O76" s="174">
        <v>0</v>
      </c>
      <c r="P76" s="174" t="s">
        <v>100</v>
      </c>
      <c r="Q76" s="174" t="str">
        <f t="shared" si="4"/>
        <v/>
      </c>
      <c r="R76" s="174" t="str">
        <f t="shared" si="5"/>
        <v/>
      </c>
    </row>
    <row r="77" spans="1:18" ht="12" customHeight="1" x14ac:dyDescent="0.35">
      <c r="A77" s="174">
        <v>53009</v>
      </c>
      <c r="B77" s="174" t="s">
        <v>73</v>
      </c>
      <c r="C77" s="175">
        <v>46129</v>
      </c>
      <c r="D77" s="174">
        <v>1004</v>
      </c>
      <c r="E77" s="174" t="s">
        <v>101</v>
      </c>
      <c r="F77" s="174"/>
      <c r="G77" s="174" t="s">
        <v>28</v>
      </c>
      <c r="H77" s="174">
        <v>9032</v>
      </c>
      <c r="I77" s="176">
        <v>250000</v>
      </c>
      <c r="J77" s="176">
        <v>0</v>
      </c>
      <c r="K77" s="174" t="s">
        <v>22</v>
      </c>
      <c r="L77" s="174" t="s">
        <v>23</v>
      </c>
      <c r="M77" s="174" t="s">
        <v>24</v>
      </c>
      <c r="N77" s="174" t="s">
        <v>25</v>
      </c>
      <c r="O77" s="174">
        <v>0</v>
      </c>
      <c r="P77" s="174" t="s">
        <v>101</v>
      </c>
      <c r="Q77" s="174" t="str">
        <f t="shared" si="4"/>
        <v/>
      </c>
      <c r="R77" s="174" t="str">
        <f t="shared" si="5"/>
        <v/>
      </c>
    </row>
    <row r="78" spans="1:18" ht="12" customHeight="1" x14ac:dyDescent="0.35">
      <c r="A78" s="174">
        <v>53022</v>
      </c>
      <c r="B78" s="174" t="s">
        <v>38</v>
      </c>
      <c r="C78" s="175">
        <v>46129</v>
      </c>
      <c r="D78" s="174">
        <v>1243</v>
      </c>
      <c r="E78" s="174" t="s">
        <v>102</v>
      </c>
      <c r="F78" s="174"/>
      <c r="G78" s="174" t="s">
        <v>28</v>
      </c>
      <c r="H78" s="174">
        <v>9267</v>
      </c>
      <c r="I78" s="176">
        <v>900000</v>
      </c>
      <c r="J78" s="176">
        <v>0</v>
      </c>
      <c r="K78" s="174" t="s">
        <v>22</v>
      </c>
      <c r="L78" s="174" t="s">
        <v>23</v>
      </c>
      <c r="M78" s="174" t="s">
        <v>24</v>
      </c>
      <c r="N78" s="174" t="s">
        <v>25</v>
      </c>
      <c r="O78" s="174">
        <v>0</v>
      </c>
      <c r="P78" s="174" t="s">
        <v>102</v>
      </c>
      <c r="Q78" s="174" t="str">
        <f t="shared" si="4"/>
        <v/>
      </c>
      <c r="R78" s="174" t="str">
        <f t="shared" si="5"/>
        <v/>
      </c>
    </row>
    <row r="79" spans="1:18" ht="12" customHeight="1" x14ac:dyDescent="0.35">
      <c r="A79" s="174">
        <v>53023</v>
      </c>
      <c r="B79" s="174" t="s">
        <v>26</v>
      </c>
      <c r="C79" s="175">
        <v>46135</v>
      </c>
      <c r="D79" s="174">
        <v>2592</v>
      </c>
      <c r="E79" s="174" t="s">
        <v>103</v>
      </c>
      <c r="F79" s="174" t="s">
        <v>104</v>
      </c>
      <c r="G79" s="174" t="s">
        <v>21</v>
      </c>
      <c r="H79" s="174">
        <v>400006882</v>
      </c>
      <c r="I79" s="176">
        <v>328016.53000000003</v>
      </c>
      <c r="J79" s="176">
        <v>0</v>
      </c>
      <c r="K79" s="174" t="s">
        <v>22</v>
      </c>
      <c r="L79" s="174" t="s">
        <v>23</v>
      </c>
      <c r="M79" s="174" t="s">
        <v>24</v>
      </c>
      <c r="N79" s="174" t="s">
        <v>25</v>
      </c>
      <c r="O79" s="174">
        <v>0</v>
      </c>
      <c r="P79" s="174" t="s">
        <v>103</v>
      </c>
      <c r="Q79" s="174" t="str">
        <f t="shared" si="4"/>
        <v/>
      </c>
      <c r="R79" s="174" t="str">
        <f t="shared" si="5"/>
        <v/>
      </c>
    </row>
    <row r="80" spans="1:18" ht="12" customHeight="1" x14ac:dyDescent="0.35">
      <c r="A80" s="174">
        <v>410222</v>
      </c>
      <c r="B80" s="174" t="s">
        <v>78</v>
      </c>
      <c r="C80" s="175">
        <v>46136</v>
      </c>
      <c r="D80" s="174">
        <v>2493</v>
      </c>
      <c r="E80" s="174" t="s">
        <v>79</v>
      </c>
      <c r="F80" s="174" t="s">
        <v>80</v>
      </c>
      <c r="G80" s="174" t="s">
        <v>81</v>
      </c>
      <c r="H80" s="174">
        <v>300000852</v>
      </c>
      <c r="I80" s="176">
        <v>0</v>
      </c>
      <c r="J80" s="176">
        <v>32000000</v>
      </c>
      <c r="K80" s="174" t="s">
        <v>22</v>
      </c>
      <c r="L80" s="174" t="s">
        <v>23</v>
      </c>
      <c r="M80" s="174" t="s">
        <v>24</v>
      </c>
      <c r="N80" s="174" t="s">
        <v>25</v>
      </c>
      <c r="O80" s="174">
        <v>0</v>
      </c>
      <c r="P80" s="174" t="s">
        <v>79</v>
      </c>
      <c r="Q80" s="174" t="str">
        <f t="shared" si="4"/>
        <v/>
      </c>
      <c r="R80" s="174" t="str">
        <f t="shared" si="5"/>
        <v/>
      </c>
    </row>
    <row r="81" spans="1:18" ht="12" customHeight="1" x14ac:dyDescent="0.35">
      <c r="A81" s="174">
        <v>53004</v>
      </c>
      <c r="B81" s="174" t="s">
        <v>54</v>
      </c>
      <c r="C81" s="175">
        <v>46136</v>
      </c>
      <c r="D81" s="174">
        <v>2547</v>
      </c>
      <c r="E81" s="174" t="s">
        <v>105</v>
      </c>
      <c r="F81" s="174" t="s">
        <v>30</v>
      </c>
      <c r="G81" s="174" t="s">
        <v>21</v>
      </c>
      <c r="H81" s="174">
        <v>1500093970</v>
      </c>
      <c r="I81" s="176">
        <v>2957208.53</v>
      </c>
      <c r="J81" s="176">
        <v>0</v>
      </c>
      <c r="K81" s="174" t="s">
        <v>22</v>
      </c>
      <c r="L81" s="174" t="s">
        <v>23</v>
      </c>
      <c r="M81" s="174" t="s">
        <v>24</v>
      </c>
      <c r="N81" s="174" t="s">
        <v>25</v>
      </c>
      <c r="O81" s="174">
        <v>0</v>
      </c>
      <c r="P81" s="174" t="s">
        <v>105</v>
      </c>
      <c r="Q81" s="174" t="str">
        <f t="shared" si="4"/>
        <v/>
      </c>
      <c r="R81" s="174" t="str">
        <f t="shared" si="5"/>
        <v/>
      </c>
    </row>
    <row r="82" spans="1:18" ht="12" customHeight="1" x14ac:dyDescent="0.35">
      <c r="A82" s="174">
        <v>53004</v>
      </c>
      <c r="B82" s="174" t="s">
        <v>54</v>
      </c>
      <c r="C82" s="175">
        <v>46139</v>
      </c>
      <c r="D82" s="174">
        <v>2548</v>
      </c>
      <c r="E82" s="174" t="s">
        <v>105</v>
      </c>
      <c r="F82" s="174" t="s">
        <v>30</v>
      </c>
      <c r="G82" s="174" t="s">
        <v>77</v>
      </c>
      <c r="H82" s="174">
        <v>1500005603</v>
      </c>
      <c r="I82" s="176">
        <v>0</v>
      </c>
      <c r="J82" s="176">
        <v>2957208.53</v>
      </c>
      <c r="K82" s="174" t="s">
        <v>22</v>
      </c>
      <c r="L82" s="174" t="s">
        <v>23</v>
      </c>
      <c r="M82" s="174" t="s">
        <v>24</v>
      </c>
      <c r="N82" s="174" t="s">
        <v>25</v>
      </c>
      <c r="O82" s="174">
        <v>0</v>
      </c>
      <c r="P82" s="174" t="s">
        <v>105</v>
      </c>
      <c r="Q82" s="174" t="str">
        <f t="shared" si="4"/>
        <v/>
      </c>
      <c r="R82" s="174" t="str">
        <f t="shared" si="5"/>
        <v/>
      </c>
    </row>
    <row r="83" spans="1:18" ht="12" customHeight="1" x14ac:dyDescent="0.35">
      <c r="A83" s="174">
        <v>53005</v>
      </c>
      <c r="B83" s="174" t="s">
        <v>106</v>
      </c>
      <c r="C83" s="175">
        <v>46140</v>
      </c>
      <c r="D83" s="174">
        <v>2557</v>
      </c>
      <c r="E83" s="174" t="s">
        <v>107</v>
      </c>
      <c r="F83" s="174" t="s">
        <v>56</v>
      </c>
      <c r="G83" s="174" t="s">
        <v>21</v>
      </c>
      <c r="H83" s="174">
        <v>100001506</v>
      </c>
      <c r="I83" s="176">
        <v>6837217.0800000001</v>
      </c>
      <c r="J83" s="176">
        <v>0</v>
      </c>
      <c r="K83" s="174" t="s">
        <v>22</v>
      </c>
      <c r="L83" s="174" t="s">
        <v>23</v>
      </c>
      <c r="M83" s="174" t="s">
        <v>24</v>
      </c>
      <c r="N83" s="174" t="s">
        <v>25</v>
      </c>
      <c r="O83" s="174">
        <v>0</v>
      </c>
      <c r="P83" s="174" t="s">
        <v>108</v>
      </c>
      <c r="Q83" s="174" t="str">
        <f t="shared" si="4"/>
        <v>CH-SC-003</v>
      </c>
      <c r="R83" s="174" t="str">
        <f t="shared" si="5"/>
        <v>BASE</v>
      </c>
    </row>
    <row r="84" spans="1:18" ht="12" customHeight="1" x14ac:dyDescent="0.35">
      <c r="A84" s="174">
        <v>53022</v>
      </c>
      <c r="B84" s="174" t="s">
        <v>38</v>
      </c>
      <c r="C84" s="175">
        <v>46140</v>
      </c>
      <c r="D84" s="174">
        <v>2563</v>
      </c>
      <c r="E84" s="174" t="s">
        <v>39</v>
      </c>
      <c r="F84" s="174" t="s">
        <v>40</v>
      </c>
      <c r="G84" s="174" t="s">
        <v>21</v>
      </c>
      <c r="H84" s="174">
        <v>300025673</v>
      </c>
      <c r="I84" s="176">
        <v>227000</v>
      </c>
      <c r="J84" s="176">
        <v>0</v>
      </c>
      <c r="K84" s="174" t="s">
        <v>22</v>
      </c>
      <c r="L84" s="174" t="s">
        <v>23</v>
      </c>
      <c r="M84" s="174" t="s">
        <v>24</v>
      </c>
      <c r="N84" s="174" t="s">
        <v>25</v>
      </c>
      <c r="O84" s="174">
        <v>0</v>
      </c>
      <c r="P84" s="174" t="s">
        <v>39</v>
      </c>
      <c r="Q84" s="174" t="str">
        <f t="shared" si="4"/>
        <v/>
      </c>
      <c r="R84" s="174" t="str">
        <f t="shared" si="5"/>
        <v/>
      </c>
    </row>
    <row r="85" spans="1:18" ht="12" customHeight="1" x14ac:dyDescent="0.35">
      <c r="A85" s="174">
        <v>53022</v>
      </c>
      <c r="B85" s="174" t="s">
        <v>38</v>
      </c>
      <c r="C85" s="175">
        <v>46141</v>
      </c>
      <c r="D85" s="174">
        <v>2597</v>
      </c>
      <c r="E85" s="174" t="s">
        <v>109</v>
      </c>
      <c r="F85" s="174" t="s">
        <v>40</v>
      </c>
      <c r="G85" s="174" t="s">
        <v>77</v>
      </c>
      <c r="H85" s="174">
        <v>300002604</v>
      </c>
      <c r="I85" s="176">
        <v>0</v>
      </c>
      <c r="J85" s="176">
        <v>75000</v>
      </c>
      <c r="K85" s="174" t="s">
        <v>22</v>
      </c>
      <c r="L85" s="174" t="s">
        <v>23</v>
      </c>
      <c r="M85" s="174" t="s">
        <v>24</v>
      </c>
      <c r="N85" s="174" t="s">
        <v>25</v>
      </c>
      <c r="O85" s="174">
        <v>0</v>
      </c>
      <c r="P85" s="174" t="s">
        <v>109</v>
      </c>
      <c r="Q85" s="174" t="str">
        <f t="shared" si="4"/>
        <v/>
      </c>
      <c r="R85" s="174" t="str">
        <f t="shared" si="5"/>
        <v/>
      </c>
    </row>
    <row r="86" spans="1:18" ht="12" customHeight="1" x14ac:dyDescent="0.35">
      <c r="A86" s="174">
        <v>52302</v>
      </c>
      <c r="B86" s="174" t="s">
        <v>62</v>
      </c>
      <c r="C86" s="175">
        <v>46142</v>
      </c>
      <c r="D86" s="174">
        <v>2598</v>
      </c>
      <c r="E86" s="174" t="s">
        <v>84</v>
      </c>
      <c r="F86" s="174" t="s">
        <v>67</v>
      </c>
      <c r="G86" s="174" t="s">
        <v>21</v>
      </c>
      <c r="H86" s="174">
        <v>142000000000</v>
      </c>
      <c r="I86" s="176">
        <v>74897.919999999998</v>
      </c>
      <c r="J86" s="176">
        <v>0</v>
      </c>
      <c r="K86" s="174" t="s">
        <v>22</v>
      </c>
      <c r="L86" s="174" t="s">
        <v>23</v>
      </c>
      <c r="M86" s="174" t="s">
        <v>24</v>
      </c>
      <c r="N86" s="174" t="s">
        <v>25</v>
      </c>
      <c r="O86" s="174">
        <v>0</v>
      </c>
      <c r="P86" s="174" t="s">
        <v>84</v>
      </c>
      <c r="Q86" s="174" t="str">
        <f t="shared" si="4"/>
        <v/>
      </c>
      <c r="R86" s="174" t="str">
        <f t="shared" si="5"/>
        <v/>
      </c>
    </row>
    <row r="87" spans="1:18" ht="12" customHeight="1" x14ac:dyDescent="0.35">
      <c r="A87" s="174">
        <v>52302</v>
      </c>
      <c r="B87" s="174" t="s">
        <v>62</v>
      </c>
      <c r="C87" s="175">
        <v>46142</v>
      </c>
      <c r="D87" s="174">
        <v>2598</v>
      </c>
      <c r="E87" s="174" t="s">
        <v>66</v>
      </c>
      <c r="F87" s="174" t="s">
        <v>67</v>
      </c>
      <c r="G87" s="174" t="s">
        <v>21</v>
      </c>
      <c r="H87" s="174">
        <v>142000000000</v>
      </c>
      <c r="I87" s="176">
        <v>45883.56</v>
      </c>
      <c r="J87" s="176">
        <v>0</v>
      </c>
      <c r="K87" s="174" t="s">
        <v>22</v>
      </c>
      <c r="L87" s="174" t="s">
        <v>23</v>
      </c>
      <c r="M87" s="174" t="s">
        <v>24</v>
      </c>
      <c r="N87" s="174" t="s">
        <v>25</v>
      </c>
      <c r="O87" s="174">
        <v>0</v>
      </c>
      <c r="P87" s="174" t="s">
        <v>66</v>
      </c>
      <c r="Q87" s="174" t="str">
        <f t="shared" si="4"/>
        <v/>
      </c>
      <c r="R87" s="174" t="str">
        <f t="shared" si="5"/>
        <v/>
      </c>
    </row>
    <row r="88" spans="1:18" ht="12" customHeight="1" x14ac:dyDescent="0.35">
      <c r="A88" s="174">
        <v>52302</v>
      </c>
      <c r="B88" s="174" t="s">
        <v>62</v>
      </c>
      <c r="C88" s="175">
        <v>46142</v>
      </c>
      <c r="D88" s="174">
        <v>2598</v>
      </c>
      <c r="E88" s="174" t="s">
        <v>68</v>
      </c>
      <c r="F88" s="174" t="s">
        <v>67</v>
      </c>
      <c r="G88" s="174" t="s">
        <v>21</v>
      </c>
      <c r="H88" s="174">
        <v>142000000000</v>
      </c>
      <c r="I88" s="176">
        <v>20757.93</v>
      </c>
      <c r="J88" s="176">
        <v>0</v>
      </c>
      <c r="K88" s="174" t="s">
        <v>22</v>
      </c>
      <c r="L88" s="174" t="s">
        <v>23</v>
      </c>
      <c r="M88" s="174" t="s">
        <v>24</v>
      </c>
      <c r="N88" s="174" t="s">
        <v>25</v>
      </c>
      <c r="O88" s="174">
        <v>0</v>
      </c>
      <c r="P88" s="174" t="s">
        <v>68</v>
      </c>
      <c r="Q88" s="174" t="str">
        <f t="shared" si="4"/>
        <v/>
      </c>
      <c r="R88" s="174" t="str">
        <f t="shared" si="5"/>
        <v/>
      </c>
    </row>
    <row r="89" spans="1:18" ht="12" customHeight="1" x14ac:dyDescent="0.35">
      <c r="A89" s="174">
        <v>52302</v>
      </c>
      <c r="B89" s="174" t="s">
        <v>62</v>
      </c>
      <c r="C89" s="175">
        <v>46142</v>
      </c>
      <c r="D89" s="174">
        <v>2598</v>
      </c>
      <c r="E89" s="174" t="s">
        <v>83</v>
      </c>
      <c r="F89" s="174" t="s">
        <v>67</v>
      </c>
      <c r="G89" s="174" t="s">
        <v>21</v>
      </c>
      <c r="H89" s="174">
        <v>142000000000</v>
      </c>
      <c r="I89" s="176">
        <v>1649.34</v>
      </c>
      <c r="J89" s="176">
        <v>0</v>
      </c>
      <c r="K89" s="174" t="s">
        <v>22</v>
      </c>
      <c r="L89" s="174" t="s">
        <v>23</v>
      </c>
      <c r="M89" s="174" t="s">
        <v>24</v>
      </c>
      <c r="N89" s="174" t="s">
        <v>25</v>
      </c>
      <c r="O89" s="174">
        <v>0</v>
      </c>
      <c r="P89" s="174" t="s">
        <v>83</v>
      </c>
      <c r="Q89" s="174" t="str">
        <f t="shared" si="4"/>
        <v/>
      </c>
      <c r="R89" s="174" t="str">
        <f t="shared" si="5"/>
        <v/>
      </c>
    </row>
    <row r="90" spans="1:18" ht="12" customHeight="1" x14ac:dyDescent="0.35">
      <c r="A90" s="174">
        <v>53005</v>
      </c>
      <c r="B90" s="174" t="s">
        <v>106</v>
      </c>
      <c r="C90" s="175">
        <v>46142</v>
      </c>
      <c r="D90" s="174">
        <v>1085</v>
      </c>
      <c r="E90" s="174" t="s">
        <v>110</v>
      </c>
      <c r="F90" s="174"/>
      <c r="G90" s="174" t="s">
        <v>28</v>
      </c>
      <c r="H90" s="174">
        <v>9112</v>
      </c>
      <c r="I90" s="176">
        <v>10000000</v>
      </c>
      <c r="J90" s="176">
        <v>0</v>
      </c>
      <c r="K90" s="174" t="s">
        <v>22</v>
      </c>
      <c r="L90" s="174" t="s">
        <v>23</v>
      </c>
      <c r="M90" s="174" t="s">
        <v>24</v>
      </c>
      <c r="N90" s="174" t="s">
        <v>25</v>
      </c>
      <c r="O90" s="174">
        <v>0</v>
      </c>
      <c r="P90" s="174" t="s">
        <v>111</v>
      </c>
      <c r="Q90" s="174" t="str">
        <f t="shared" si="4"/>
        <v>CH-SC-003</v>
      </c>
      <c r="R90" s="174" t="str">
        <f t="shared" si="5"/>
        <v>BASE</v>
      </c>
    </row>
    <row r="91" spans="1:18" ht="12" customHeight="1" x14ac:dyDescent="0.35">
      <c r="A91" s="174">
        <v>5108</v>
      </c>
      <c r="B91" s="174" t="s">
        <v>48</v>
      </c>
      <c r="C91" s="175">
        <v>46146</v>
      </c>
      <c r="D91" s="174">
        <v>2912</v>
      </c>
      <c r="E91" s="174" t="s">
        <v>112</v>
      </c>
      <c r="F91" s="174" t="s">
        <v>104</v>
      </c>
      <c r="G91" s="174" t="s">
        <v>21</v>
      </c>
      <c r="H91" s="174">
        <v>400006934</v>
      </c>
      <c r="I91" s="176">
        <v>28000</v>
      </c>
      <c r="J91" s="176">
        <v>0</v>
      </c>
      <c r="K91" s="174" t="s">
        <v>22</v>
      </c>
      <c r="L91" s="174" t="s">
        <v>23</v>
      </c>
      <c r="M91" s="174" t="s">
        <v>24</v>
      </c>
      <c r="N91" s="174" t="s">
        <v>25</v>
      </c>
      <c r="O91" s="174">
        <v>0</v>
      </c>
      <c r="P91" s="174" t="s">
        <v>112</v>
      </c>
      <c r="Q91" s="174" t="str">
        <f t="shared" si="4"/>
        <v/>
      </c>
      <c r="R91" s="174" t="str">
        <f t="shared" si="5"/>
        <v/>
      </c>
    </row>
    <row r="92" spans="1:18" ht="12" customHeight="1" x14ac:dyDescent="0.35">
      <c r="A92" s="174">
        <v>5108</v>
      </c>
      <c r="B92" s="174" t="s">
        <v>48</v>
      </c>
      <c r="C92" s="175">
        <v>46146</v>
      </c>
      <c r="D92" s="174">
        <v>2913</v>
      </c>
      <c r="E92" s="174" t="s">
        <v>112</v>
      </c>
      <c r="F92" s="174" t="s">
        <v>104</v>
      </c>
      <c r="G92" s="174" t="s">
        <v>21</v>
      </c>
      <c r="H92" s="174">
        <v>400006950</v>
      </c>
      <c r="I92" s="176">
        <v>18000</v>
      </c>
      <c r="J92" s="176">
        <v>0</v>
      </c>
      <c r="K92" s="174" t="s">
        <v>22</v>
      </c>
      <c r="L92" s="174" t="s">
        <v>23</v>
      </c>
      <c r="M92" s="174" t="s">
        <v>24</v>
      </c>
      <c r="N92" s="174" t="s">
        <v>25</v>
      </c>
      <c r="O92" s="174">
        <v>0</v>
      </c>
      <c r="P92" s="174" t="s">
        <v>112</v>
      </c>
      <c r="Q92" s="174" t="str">
        <f t="shared" si="4"/>
        <v/>
      </c>
      <c r="R92" s="174" t="str">
        <f t="shared" si="5"/>
        <v/>
      </c>
    </row>
    <row r="93" spans="1:18" ht="12" customHeight="1" x14ac:dyDescent="0.35">
      <c r="A93" s="174">
        <v>53023</v>
      </c>
      <c r="B93" s="174" t="s">
        <v>26</v>
      </c>
      <c r="C93" s="175">
        <v>46146</v>
      </c>
      <c r="D93" s="174">
        <v>2913</v>
      </c>
      <c r="E93" s="174" t="s">
        <v>103</v>
      </c>
      <c r="F93" s="174" t="s">
        <v>104</v>
      </c>
      <c r="G93" s="174" t="s">
        <v>21</v>
      </c>
      <c r="H93" s="174">
        <v>400006950</v>
      </c>
      <c r="I93" s="176">
        <v>19500</v>
      </c>
      <c r="J93" s="176">
        <v>0</v>
      </c>
      <c r="K93" s="174" t="s">
        <v>22</v>
      </c>
      <c r="L93" s="174" t="s">
        <v>23</v>
      </c>
      <c r="M93" s="174" t="s">
        <v>24</v>
      </c>
      <c r="N93" s="174" t="s">
        <v>25</v>
      </c>
      <c r="O93" s="174">
        <v>0</v>
      </c>
      <c r="P93" s="174" t="s">
        <v>103</v>
      </c>
      <c r="Q93" s="174" t="str">
        <f t="shared" si="4"/>
        <v/>
      </c>
      <c r="R93" s="174" t="str">
        <f t="shared" si="5"/>
        <v/>
      </c>
    </row>
    <row r="94" spans="1:18" ht="12" customHeight="1" x14ac:dyDescent="0.35">
      <c r="A94" s="174">
        <v>5108</v>
      </c>
      <c r="B94" s="174" t="s">
        <v>48</v>
      </c>
      <c r="C94" s="175">
        <v>46147</v>
      </c>
      <c r="D94" s="174">
        <v>2731</v>
      </c>
      <c r="E94" s="174" t="s">
        <v>113</v>
      </c>
      <c r="F94" s="174" t="s">
        <v>114</v>
      </c>
      <c r="G94" s="174" t="s">
        <v>21</v>
      </c>
      <c r="H94" s="174">
        <v>1000224499</v>
      </c>
      <c r="I94" s="176">
        <v>307848.2</v>
      </c>
      <c r="J94" s="176">
        <v>0</v>
      </c>
      <c r="K94" s="174" t="s">
        <v>22</v>
      </c>
      <c r="L94" s="174" t="s">
        <v>23</v>
      </c>
      <c r="M94" s="174" t="s">
        <v>24</v>
      </c>
      <c r="N94" s="174" t="s">
        <v>25</v>
      </c>
      <c r="O94" s="174">
        <v>0</v>
      </c>
      <c r="P94" s="174" t="s">
        <v>113</v>
      </c>
      <c r="Q94" s="174" t="str">
        <f t="shared" si="4"/>
        <v/>
      </c>
      <c r="R94" s="174" t="str">
        <f t="shared" si="5"/>
        <v/>
      </c>
    </row>
    <row r="95" spans="1:18" ht="12" customHeight="1" x14ac:dyDescent="0.35">
      <c r="A95" s="174">
        <v>52204</v>
      </c>
      <c r="B95" s="174" t="s">
        <v>31</v>
      </c>
      <c r="C95" s="175">
        <v>46147</v>
      </c>
      <c r="D95" s="174">
        <v>2725</v>
      </c>
      <c r="E95" s="174" t="s">
        <v>32</v>
      </c>
      <c r="F95" s="174" t="s">
        <v>33</v>
      </c>
      <c r="G95" s="174" t="s">
        <v>21</v>
      </c>
      <c r="H95" s="174">
        <v>300001481</v>
      </c>
      <c r="I95" s="176">
        <v>1195790</v>
      </c>
      <c r="J95" s="176">
        <v>0</v>
      </c>
      <c r="K95" s="174" t="s">
        <v>22</v>
      </c>
      <c r="L95" s="174" t="s">
        <v>23</v>
      </c>
      <c r="M95" s="174" t="s">
        <v>24</v>
      </c>
      <c r="N95" s="174" t="s">
        <v>25</v>
      </c>
      <c r="O95" s="174">
        <v>0</v>
      </c>
      <c r="P95" s="174" t="s">
        <v>32</v>
      </c>
      <c r="Q95" s="174" t="str">
        <f t="shared" si="4"/>
        <v/>
      </c>
      <c r="R95" s="174" t="str">
        <f t="shared" si="5"/>
        <v/>
      </c>
    </row>
    <row r="96" spans="1:18" ht="12" customHeight="1" x14ac:dyDescent="0.35">
      <c r="A96" s="174">
        <v>52104</v>
      </c>
      <c r="B96" s="174" t="s">
        <v>87</v>
      </c>
      <c r="C96" s="175">
        <v>46149</v>
      </c>
      <c r="D96" s="174">
        <v>2766</v>
      </c>
      <c r="E96" s="174" t="s">
        <v>88</v>
      </c>
      <c r="F96" s="174" t="s">
        <v>89</v>
      </c>
      <c r="G96" s="174" t="s">
        <v>21</v>
      </c>
      <c r="H96" s="174">
        <v>400037951</v>
      </c>
      <c r="I96" s="176">
        <v>38016.53</v>
      </c>
      <c r="J96" s="176">
        <v>0</v>
      </c>
      <c r="K96" s="174" t="s">
        <v>22</v>
      </c>
      <c r="L96" s="174" t="s">
        <v>23</v>
      </c>
      <c r="M96" s="174" t="s">
        <v>24</v>
      </c>
      <c r="N96" s="174" t="s">
        <v>25</v>
      </c>
      <c r="O96" s="174">
        <v>0</v>
      </c>
      <c r="P96" s="174" t="s">
        <v>88</v>
      </c>
      <c r="Q96" s="174" t="str">
        <f t="shared" si="4"/>
        <v/>
      </c>
      <c r="R96" s="174" t="str">
        <f t="shared" si="5"/>
        <v/>
      </c>
    </row>
    <row r="97" spans="1:18" ht="12" customHeight="1" x14ac:dyDescent="0.35">
      <c r="A97" s="174">
        <v>53009</v>
      </c>
      <c r="B97" s="174" t="s">
        <v>73</v>
      </c>
      <c r="C97" s="175">
        <v>46149</v>
      </c>
      <c r="D97" s="174">
        <v>1108</v>
      </c>
      <c r="E97" s="174" t="s">
        <v>115</v>
      </c>
      <c r="F97" s="174"/>
      <c r="G97" s="174" t="s">
        <v>28</v>
      </c>
      <c r="H97" s="174">
        <v>9135</v>
      </c>
      <c r="I97" s="176">
        <v>945500</v>
      </c>
      <c r="J97" s="176">
        <v>0</v>
      </c>
      <c r="K97" s="174" t="s">
        <v>22</v>
      </c>
      <c r="L97" s="174" t="s">
        <v>23</v>
      </c>
      <c r="M97" s="174" t="s">
        <v>24</v>
      </c>
      <c r="N97" s="174" t="s">
        <v>25</v>
      </c>
      <c r="O97" s="174">
        <v>0</v>
      </c>
      <c r="P97" s="174" t="s">
        <v>115</v>
      </c>
      <c r="Q97" s="174" t="str">
        <f t="shared" si="4"/>
        <v/>
      </c>
      <c r="R97" s="174" t="str">
        <f t="shared" si="5"/>
        <v/>
      </c>
    </row>
    <row r="98" spans="1:18" ht="12" customHeight="1" x14ac:dyDescent="0.35">
      <c r="A98" s="174">
        <v>53004</v>
      </c>
      <c r="B98" s="174" t="s">
        <v>54</v>
      </c>
      <c r="C98" s="175">
        <v>46150</v>
      </c>
      <c r="D98" s="174">
        <v>1113</v>
      </c>
      <c r="E98" s="174" t="s">
        <v>116</v>
      </c>
      <c r="F98" s="174"/>
      <c r="G98" s="174" t="s">
        <v>28</v>
      </c>
      <c r="H98" s="174">
        <v>9140</v>
      </c>
      <c r="I98" s="176">
        <v>3526487.84</v>
      </c>
      <c r="J98" s="176">
        <v>0</v>
      </c>
      <c r="K98" s="174" t="s">
        <v>22</v>
      </c>
      <c r="L98" s="174" t="s">
        <v>23</v>
      </c>
      <c r="M98" s="174" t="s">
        <v>24</v>
      </c>
      <c r="N98" s="174" t="s">
        <v>25</v>
      </c>
      <c r="O98" s="174">
        <v>0</v>
      </c>
      <c r="P98" s="174" t="s">
        <v>116</v>
      </c>
      <c r="Q98" s="174" t="str">
        <f t="shared" ref="Q98:Q127" si="6">IFERROR(TRIM(LEFT($E98,FIND(" | ",$E98)-1)),"")</f>
        <v/>
      </c>
      <c r="R98" s="174" t="str">
        <f t="shared" ref="R98:R127" si="7">IFERROR(TRIM(UPPER(MID($E98,FIND(" | ",$E98)+3,IFERROR(FIND(" | ",$E98,FIND(" | ",$E98)+3),LEN($E98)+1)-FIND(" | ",$E98)-3))),"")</f>
        <v/>
      </c>
    </row>
    <row r="99" spans="1:18" ht="12" customHeight="1" x14ac:dyDescent="0.35">
      <c r="A99" s="174">
        <v>53004</v>
      </c>
      <c r="B99" s="174" t="s">
        <v>54</v>
      </c>
      <c r="C99" s="175">
        <v>46150</v>
      </c>
      <c r="D99" s="174">
        <v>2844</v>
      </c>
      <c r="E99" s="174" t="s">
        <v>105</v>
      </c>
      <c r="F99" s="174" t="s">
        <v>30</v>
      </c>
      <c r="G99" s="174" t="s">
        <v>21</v>
      </c>
      <c r="H99" s="174">
        <v>1500094672</v>
      </c>
      <c r="I99" s="176">
        <v>4015198.06</v>
      </c>
      <c r="J99" s="176">
        <v>0</v>
      </c>
      <c r="K99" s="174" t="s">
        <v>22</v>
      </c>
      <c r="L99" s="174" t="s">
        <v>23</v>
      </c>
      <c r="M99" s="174" t="s">
        <v>24</v>
      </c>
      <c r="N99" s="174" t="s">
        <v>25</v>
      </c>
      <c r="O99" s="174">
        <v>0</v>
      </c>
      <c r="P99" s="174" t="s">
        <v>105</v>
      </c>
      <c r="Q99" s="174" t="str">
        <f t="shared" si="6"/>
        <v/>
      </c>
      <c r="R99" s="174" t="str">
        <f t="shared" si="7"/>
        <v/>
      </c>
    </row>
    <row r="100" spans="1:18" ht="12" customHeight="1" x14ac:dyDescent="0.35">
      <c r="A100" s="174">
        <v>53004</v>
      </c>
      <c r="B100" s="174" t="s">
        <v>54</v>
      </c>
      <c r="C100" s="175">
        <v>46150</v>
      </c>
      <c r="D100" s="174">
        <v>2846</v>
      </c>
      <c r="E100" s="174" t="s">
        <v>105</v>
      </c>
      <c r="F100" s="174" t="s">
        <v>30</v>
      </c>
      <c r="G100" s="174" t="s">
        <v>21</v>
      </c>
      <c r="H100" s="174">
        <v>1500094634</v>
      </c>
      <c r="I100" s="176">
        <v>4540985.1100000003</v>
      </c>
      <c r="J100" s="176">
        <v>0</v>
      </c>
      <c r="K100" s="174" t="s">
        <v>22</v>
      </c>
      <c r="L100" s="174" t="s">
        <v>23</v>
      </c>
      <c r="M100" s="174" t="s">
        <v>24</v>
      </c>
      <c r="N100" s="174" t="s">
        <v>25</v>
      </c>
      <c r="O100" s="174">
        <v>0</v>
      </c>
      <c r="P100" s="174" t="s">
        <v>105</v>
      </c>
      <c r="Q100" s="174" t="str">
        <f t="shared" si="6"/>
        <v/>
      </c>
      <c r="R100" s="174" t="str">
        <f t="shared" si="7"/>
        <v/>
      </c>
    </row>
    <row r="101" spans="1:18" ht="12" customHeight="1" x14ac:dyDescent="0.35">
      <c r="A101" s="174">
        <v>53004</v>
      </c>
      <c r="B101" s="174" t="s">
        <v>54</v>
      </c>
      <c r="C101" s="175">
        <v>46157</v>
      </c>
      <c r="D101" s="174">
        <v>2847</v>
      </c>
      <c r="E101" s="174" t="s">
        <v>105</v>
      </c>
      <c r="F101" s="174" t="s">
        <v>30</v>
      </c>
      <c r="G101" s="174" t="s">
        <v>77</v>
      </c>
      <c r="H101" s="174">
        <v>1500005631</v>
      </c>
      <c r="I101" s="176">
        <v>0</v>
      </c>
      <c r="J101" s="176">
        <v>4540985.1100000003</v>
      </c>
      <c r="K101" s="174" t="s">
        <v>22</v>
      </c>
      <c r="L101" s="174" t="s">
        <v>23</v>
      </c>
      <c r="M101" s="174" t="s">
        <v>24</v>
      </c>
      <c r="N101" s="174" t="s">
        <v>25</v>
      </c>
      <c r="O101" s="174">
        <v>0</v>
      </c>
      <c r="P101" s="174" t="s">
        <v>105</v>
      </c>
      <c r="Q101" s="174" t="str">
        <f t="shared" si="6"/>
        <v/>
      </c>
      <c r="R101" s="174" t="str">
        <f t="shared" si="7"/>
        <v/>
      </c>
    </row>
    <row r="102" spans="1:18" ht="12" customHeight="1" x14ac:dyDescent="0.35">
      <c r="A102" s="174">
        <v>53004</v>
      </c>
      <c r="B102" s="174" t="s">
        <v>54</v>
      </c>
      <c r="C102" s="175">
        <v>46157</v>
      </c>
      <c r="D102" s="174">
        <v>2845</v>
      </c>
      <c r="E102" s="174" t="s">
        <v>105</v>
      </c>
      <c r="F102" s="174" t="s">
        <v>30</v>
      </c>
      <c r="G102" s="174" t="s">
        <v>77</v>
      </c>
      <c r="H102" s="174">
        <v>1500005630</v>
      </c>
      <c r="I102" s="176">
        <v>0</v>
      </c>
      <c r="J102" s="176">
        <v>4015198.06</v>
      </c>
      <c r="K102" s="174" t="s">
        <v>22</v>
      </c>
      <c r="L102" s="174" t="s">
        <v>23</v>
      </c>
      <c r="M102" s="174" t="s">
        <v>24</v>
      </c>
      <c r="N102" s="174" t="s">
        <v>25</v>
      </c>
      <c r="O102" s="174">
        <v>0</v>
      </c>
      <c r="P102" s="174" t="s">
        <v>105</v>
      </c>
      <c r="Q102" s="174" t="str">
        <f t="shared" si="6"/>
        <v/>
      </c>
      <c r="R102" s="174" t="str">
        <f t="shared" si="7"/>
        <v/>
      </c>
    </row>
    <row r="103" spans="1:18" ht="12" customHeight="1" x14ac:dyDescent="0.35">
      <c r="A103" s="174">
        <v>53022</v>
      </c>
      <c r="B103" s="174" t="s">
        <v>38</v>
      </c>
      <c r="C103" s="175">
        <v>46161</v>
      </c>
      <c r="D103" s="174">
        <v>1242</v>
      </c>
      <c r="E103" s="174" t="s">
        <v>102</v>
      </c>
      <c r="F103" s="174"/>
      <c r="G103" s="174" t="s">
        <v>28</v>
      </c>
      <c r="H103" s="174">
        <v>9266</v>
      </c>
      <c r="I103" s="176">
        <v>1520000</v>
      </c>
      <c r="J103" s="176">
        <v>0</v>
      </c>
      <c r="K103" s="174" t="s">
        <v>22</v>
      </c>
      <c r="L103" s="174" t="s">
        <v>23</v>
      </c>
      <c r="M103" s="174" t="s">
        <v>24</v>
      </c>
      <c r="N103" s="174" t="s">
        <v>25</v>
      </c>
      <c r="O103" s="174">
        <v>0</v>
      </c>
      <c r="P103" s="174" t="s">
        <v>102</v>
      </c>
      <c r="Q103" s="174" t="str">
        <f t="shared" si="6"/>
        <v/>
      </c>
      <c r="R103" s="174" t="str">
        <f t="shared" si="7"/>
        <v/>
      </c>
    </row>
    <row r="104" spans="1:18" ht="12" customHeight="1" x14ac:dyDescent="0.35">
      <c r="A104" s="174">
        <v>53008</v>
      </c>
      <c r="B104" s="174" t="s">
        <v>36</v>
      </c>
      <c r="C104" s="175">
        <v>46162</v>
      </c>
      <c r="D104" s="174">
        <v>2860</v>
      </c>
      <c r="E104" s="174" t="s">
        <v>37</v>
      </c>
      <c r="F104" s="174" t="s">
        <v>30</v>
      </c>
      <c r="G104" s="174" t="s">
        <v>21</v>
      </c>
      <c r="H104" s="174">
        <v>1500095179</v>
      </c>
      <c r="I104" s="176">
        <v>171269.97</v>
      </c>
      <c r="J104" s="176">
        <v>0</v>
      </c>
      <c r="K104" s="174" t="s">
        <v>22</v>
      </c>
      <c r="L104" s="174" t="s">
        <v>23</v>
      </c>
      <c r="M104" s="174" t="s">
        <v>24</v>
      </c>
      <c r="N104" s="174" t="s">
        <v>25</v>
      </c>
      <c r="O104" s="174">
        <v>0</v>
      </c>
      <c r="P104" s="174" t="s">
        <v>37</v>
      </c>
      <c r="Q104" s="174" t="str">
        <f t="shared" si="6"/>
        <v/>
      </c>
      <c r="R104" s="174" t="str">
        <f t="shared" si="7"/>
        <v/>
      </c>
    </row>
    <row r="105" spans="1:18" ht="12" customHeight="1" x14ac:dyDescent="0.35">
      <c r="A105" s="174">
        <v>410222</v>
      </c>
      <c r="B105" s="174" t="s">
        <v>78</v>
      </c>
      <c r="C105" s="175">
        <v>46163</v>
      </c>
      <c r="D105" s="174">
        <v>2838</v>
      </c>
      <c r="E105" s="174" t="s">
        <v>79</v>
      </c>
      <c r="F105" s="174" t="s">
        <v>80</v>
      </c>
      <c r="G105" s="174" t="s">
        <v>81</v>
      </c>
      <c r="H105" s="174">
        <v>300000864</v>
      </c>
      <c r="I105" s="176">
        <v>0</v>
      </c>
      <c r="J105" s="176">
        <v>24914268.329999998</v>
      </c>
      <c r="K105" s="174" t="s">
        <v>22</v>
      </c>
      <c r="L105" s="174" t="s">
        <v>23</v>
      </c>
      <c r="M105" s="174" t="s">
        <v>24</v>
      </c>
      <c r="N105" s="174" t="s">
        <v>25</v>
      </c>
      <c r="O105" s="174">
        <v>0</v>
      </c>
      <c r="P105" s="174" t="s">
        <v>79</v>
      </c>
      <c r="Q105" s="174" t="str">
        <f t="shared" si="6"/>
        <v/>
      </c>
      <c r="R105" s="174" t="str">
        <f t="shared" si="7"/>
        <v/>
      </c>
    </row>
    <row r="106" spans="1:18" ht="12" customHeight="1" x14ac:dyDescent="0.35">
      <c r="A106" s="174">
        <v>53004</v>
      </c>
      <c r="B106" s="174" t="s">
        <v>54</v>
      </c>
      <c r="C106" s="175">
        <v>46163</v>
      </c>
      <c r="D106" s="174">
        <v>2885</v>
      </c>
      <c r="E106" s="174" t="s">
        <v>55</v>
      </c>
      <c r="F106" s="174" t="s">
        <v>56</v>
      </c>
      <c r="G106" s="174" t="s">
        <v>21</v>
      </c>
      <c r="H106" s="174">
        <v>100001513</v>
      </c>
      <c r="I106" s="176">
        <v>4119223.95</v>
      </c>
      <c r="J106" s="176">
        <v>0</v>
      </c>
      <c r="K106" s="174" t="s">
        <v>22</v>
      </c>
      <c r="L106" s="174" t="s">
        <v>23</v>
      </c>
      <c r="M106" s="174" t="s">
        <v>24</v>
      </c>
      <c r="N106" s="174" t="s">
        <v>25</v>
      </c>
      <c r="O106" s="174">
        <v>0</v>
      </c>
      <c r="P106" s="174" t="s">
        <v>57</v>
      </c>
      <c r="Q106" s="174" t="str">
        <f t="shared" si="6"/>
        <v>CH-SC-003</v>
      </c>
      <c r="R106" s="174" t="str">
        <f t="shared" si="7"/>
        <v>BASE</v>
      </c>
    </row>
    <row r="107" spans="1:18" ht="12" customHeight="1" x14ac:dyDescent="0.35">
      <c r="A107" s="174">
        <v>53005</v>
      </c>
      <c r="B107" s="174" t="s">
        <v>106</v>
      </c>
      <c r="C107" s="175">
        <v>46163</v>
      </c>
      <c r="D107" s="174">
        <v>2885</v>
      </c>
      <c r="E107" s="174" t="s">
        <v>117</v>
      </c>
      <c r="F107" s="174" t="s">
        <v>56</v>
      </c>
      <c r="G107" s="174" t="s">
        <v>21</v>
      </c>
      <c r="H107" s="174">
        <v>100001513</v>
      </c>
      <c r="I107" s="176">
        <v>13019869.390000001</v>
      </c>
      <c r="J107" s="176">
        <v>0</v>
      </c>
      <c r="K107" s="174" t="s">
        <v>22</v>
      </c>
      <c r="L107" s="174" t="s">
        <v>23</v>
      </c>
      <c r="M107" s="174" t="s">
        <v>24</v>
      </c>
      <c r="N107" s="174" t="s">
        <v>25</v>
      </c>
      <c r="O107" s="174">
        <v>0</v>
      </c>
      <c r="P107" s="174" t="s">
        <v>118</v>
      </c>
      <c r="Q107" s="174" t="str">
        <f t="shared" si="6"/>
        <v>CH-SC-003</v>
      </c>
      <c r="R107" s="174" t="str">
        <f t="shared" si="7"/>
        <v>BASE</v>
      </c>
    </row>
    <row r="108" spans="1:18" ht="12" customHeight="1" x14ac:dyDescent="0.35">
      <c r="A108" s="174">
        <v>53009</v>
      </c>
      <c r="B108" s="174" t="s">
        <v>73</v>
      </c>
      <c r="C108" s="175">
        <v>46163</v>
      </c>
      <c r="D108" s="174">
        <v>1234</v>
      </c>
      <c r="E108" s="174" t="s">
        <v>119</v>
      </c>
      <c r="F108" s="174"/>
      <c r="G108" s="174" t="s">
        <v>28</v>
      </c>
      <c r="H108" s="174">
        <v>9258</v>
      </c>
      <c r="I108" s="176">
        <v>1193500</v>
      </c>
      <c r="J108" s="176">
        <v>0</v>
      </c>
      <c r="K108" s="174" t="s">
        <v>22</v>
      </c>
      <c r="L108" s="174" t="s">
        <v>23</v>
      </c>
      <c r="M108" s="174" t="s">
        <v>24</v>
      </c>
      <c r="N108" s="174" t="s">
        <v>25</v>
      </c>
      <c r="O108" s="174">
        <v>0</v>
      </c>
      <c r="P108" s="174" t="s">
        <v>119</v>
      </c>
      <c r="Q108" s="174" t="str">
        <f t="shared" si="6"/>
        <v/>
      </c>
      <c r="R108" s="174" t="str">
        <f t="shared" si="7"/>
        <v/>
      </c>
    </row>
    <row r="109" spans="1:18" ht="12" customHeight="1" x14ac:dyDescent="0.35">
      <c r="A109" s="174">
        <v>53004</v>
      </c>
      <c r="B109" s="174" t="s">
        <v>54</v>
      </c>
      <c r="C109" s="175">
        <v>46164</v>
      </c>
      <c r="D109" s="174">
        <v>1239</v>
      </c>
      <c r="E109" s="174" t="s">
        <v>120</v>
      </c>
      <c r="F109" s="174"/>
      <c r="G109" s="174" t="s">
        <v>28</v>
      </c>
      <c r="H109" s="174">
        <v>9263</v>
      </c>
      <c r="I109" s="176">
        <v>4004000</v>
      </c>
      <c r="J109" s="176">
        <v>0</v>
      </c>
      <c r="K109" s="174" t="s">
        <v>22</v>
      </c>
      <c r="L109" s="174" t="s">
        <v>23</v>
      </c>
      <c r="M109" s="174" t="s">
        <v>24</v>
      </c>
      <c r="N109" s="174" t="s">
        <v>25</v>
      </c>
      <c r="O109" s="174">
        <v>0</v>
      </c>
      <c r="P109" s="174" t="s">
        <v>120</v>
      </c>
      <c r="Q109" s="174" t="str">
        <f t="shared" si="6"/>
        <v/>
      </c>
      <c r="R109" s="174" t="str">
        <f t="shared" si="7"/>
        <v/>
      </c>
    </row>
    <row r="110" spans="1:18" ht="12" customHeight="1" x14ac:dyDescent="0.35">
      <c r="A110" s="174">
        <v>52302</v>
      </c>
      <c r="B110" s="174" t="s">
        <v>62</v>
      </c>
      <c r="C110" s="175">
        <v>46173</v>
      </c>
      <c r="D110" s="174">
        <v>2984</v>
      </c>
      <c r="E110" s="174" t="s">
        <v>66</v>
      </c>
      <c r="F110" s="174" t="s">
        <v>67</v>
      </c>
      <c r="G110" s="174" t="s">
        <v>21</v>
      </c>
      <c r="H110" s="174">
        <v>142000000000</v>
      </c>
      <c r="I110" s="176">
        <v>207870.42</v>
      </c>
      <c r="J110" s="176">
        <v>0</v>
      </c>
      <c r="K110" s="174" t="s">
        <v>22</v>
      </c>
      <c r="L110" s="174" t="s">
        <v>23</v>
      </c>
      <c r="M110" s="174" t="s">
        <v>24</v>
      </c>
      <c r="N110" s="174" t="s">
        <v>25</v>
      </c>
      <c r="O110" s="174">
        <v>0</v>
      </c>
      <c r="P110" s="174" t="s">
        <v>66</v>
      </c>
      <c r="Q110" s="174" t="str">
        <f t="shared" si="6"/>
        <v/>
      </c>
      <c r="R110" s="174" t="str">
        <f t="shared" si="7"/>
        <v/>
      </c>
    </row>
    <row r="111" spans="1:18" ht="12" customHeight="1" x14ac:dyDescent="0.35">
      <c r="A111" s="174">
        <v>52302</v>
      </c>
      <c r="B111" s="174" t="s">
        <v>62</v>
      </c>
      <c r="C111" s="175">
        <v>46173</v>
      </c>
      <c r="D111" s="174">
        <v>2984</v>
      </c>
      <c r="E111" s="174" t="s">
        <v>68</v>
      </c>
      <c r="F111" s="174" t="s">
        <v>67</v>
      </c>
      <c r="G111" s="174" t="s">
        <v>21</v>
      </c>
      <c r="H111" s="174">
        <v>142000000000</v>
      </c>
      <c r="I111" s="176">
        <v>36785.949999999997</v>
      </c>
      <c r="J111" s="176">
        <v>0</v>
      </c>
      <c r="K111" s="174" t="s">
        <v>22</v>
      </c>
      <c r="L111" s="174" t="s">
        <v>23</v>
      </c>
      <c r="M111" s="174" t="s">
        <v>24</v>
      </c>
      <c r="N111" s="174" t="s">
        <v>25</v>
      </c>
      <c r="O111" s="174">
        <v>0</v>
      </c>
      <c r="P111" s="174" t="s">
        <v>68</v>
      </c>
      <c r="Q111" s="174" t="str">
        <f t="shared" si="6"/>
        <v/>
      </c>
      <c r="R111" s="174" t="str">
        <f t="shared" si="7"/>
        <v/>
      </c>
    </row>
    <row r="112" spans="1:18" ht="12" customHeight="1" x14ac:dyDescent="0.35">
      <c r="A112" s="174">
        <v>52302</v>
      </c>
      <c r="B112" s="174" t="s">
        <v>62</v>
      </c>
      <c r="C112" s="175">
        <v>46173</v>
      </c>
      <c r="D112" s="174">
        <v>2984</v>
      </c>
      <c r="E112" s="174" t="s">
        <v>83</v>
      </c>
      <c r="F112" s="174" t="s">
        <v>67</v>
      </c>
      <c r="G112" s="174" t="s">
        <v>21</v>
      </c>
      <c r="H112" s="174">
        <v>142000000000</v>
      </c>
      <c r="I112" s="176">
        <v>2805.28</v>
      </c>
      <c r="J112" s="176">
        <v>0</v>
      </c>
      <c r="K112" s="174" t="s">
        <v>22</v>
      </c>
      <c r="L112" s="174" t="s">
        <v>23</v>
      </c>
      <c r="M112" s="174" t="s">
        <v>24</v>
      </c>
      <c r="N112" s="174" t="s">
        <v>25</v>
      </c>
      <c r="O112" s="174">
        <v>0</v>
      </c>
      <c r="P112" s="174" t="s">
        <v>83</v>
      </c>
      <c r="Q112" s="174" t="str">
        <f t="shared" si="6"/>
        <v/>
      </c>
      <c r="R112" s="174" t="str">
        <f t="shared" si="7"/>
        <v/>
      </c>
    </row>
    <row r="113" spans="1:18" ht="12" customHeight="1" x14ac:dyDescent="0.35">
      <c r="A113" s="174">
        <v>410222</v>
      </c>
      <c r="B113" s="174" t="s">
        <v>78</v>
      </c>
      <c r="C113" s="175">
        <v>46174</v>
      </c>
      <c r="D113" s="174">
        <v>2953</v>
      </c>
      <c r="E113" s="174" t="s">
        <v>79</v>
      </c>
      <c r="F113" s="174" t="s">
        <v>80</v>
      </c>
      <c r="G113" s="174" t="s">
        <v>81</v>
      </c>
      <c r="H113" s="174">
        <v>300000871</v>
      </c>
      <c r="I113" s="176">
        <v>0</v>
      </c>
      <c r="J113" s="176">
        <v>36725883.539999999</v>
      </c>
      <c r="K113" s="174" t="s">
        <v>22</v>
      </c>
      <c r="L113" s="174" t="s">
        <v>23</v>
      </c>
      <c r="M113" s="174" t="s">
        <v>24</v>
      </c>
      <c r="N113" s="174" t="s">
        <v>25</v>
      </c>
      <c r="O113" s="174">
        <v>0</v>
      </c>
      <c r="P113" s="174" t="s">
        <v>79</v>
      </c>
      <c r="Q113" s="174" t="str">
        <f t="shared" si="6"/>
        <v/>
      </c>
      <c r="R113" s="174" t="str">
        <f t="shared" si="7"/>
        <v/>
      </c>
    </row>
    <row r="114" spans="1:18" ht="12" customHeight="1" x14ac:dyDescent="0.35">
      <c r="A114" s="177">
        <v>52204</v>
      </c>
      <c r="B114" s="177" t="s">
        <v>31</v>
      </c>
      <c r="C114" s="178">
        <v>46175</v>
      </c>
      <c r="D114" s="177">
        <v>2980</v>
      </c>
      <c r="E114" s="177" t="s">
        <v>32</v>
      </c>
      <c r="F114" s="177" t="s">
        <v>33</v>
      </c>
      <c r="G114" s="177" t="s">
        <v>21</v>
      </c>
      <c r="H114" s="177">
        <v>300001505</v>
      </c>
      <c r="I114" s="179">
        <v>775790</v>
      </c>
      <c r="J114" s="179">
        <v>0</v>
      </c>
      <c r="K114" s="177" t="s">
        <v>22</v>
      </c>
      <c r="L114" s="177" t="s">
        <v>23</v>
      </c>
      <c r="M114" s="177" t="s">
        <v>24</v>
      </c>
      <c r="N114" s="177" t="s">
        <v>25</v>
      </c>
      <c r="O114" s="177">
        <v>0</v>
      </c>
      <c r="P114" s="177" t="s">
        <v>32</v>
      </c>
      <c r="Q114" s="177" t="str">
        <f t="shared" si="6"/>
        <v/>
      </c>
      <c r="R114" s="177" t="str">
        <f t="shared" si="7"/>
        <v/>
      </c>
    </row>
    <row r="115" spans="1:18" x14ac:dyDescent="0.35">
      <c r="A115" s="177">
        <v>53005</v>
      </c>
      <c r="B115" s="177" t="s">
        <v>106</v>
      </c>
      <c r="C115" s="178">
        <v>46140</v>
      </c>
      <c r="D115" s="177"/>
      <c r="E115" s="177" t="s">
        <v>121</v>
      </c>
      <c r="F115" s="177"/>
      <c r="G115" s="177"/>
      <c r="H115" s="177"/>
      <c r="I115" s="179">
        <v>492422.92</v>
      </c>
      <c r="J115" s="179">
        <v>0</v>
      </c>
      <c r="K115" s="177"/>
      <c r="L115" s="177"/>
      <c r="M115" s="177"/>
      <c r="N115" s="177"/>
      <c r="O115" s="177">
        <v>0</v>
      </c>
      <c r="P115" s="177" t="s">
        <v>122</v>
      </c>
      <c r="Q115" s="177" t="str">
        <f t="shared" si="6"/>
        <v>CH-SC-003</v>
      </c>
      <c r="R115" s="177" t="str">
        <f t="shared" si="7"/>
        <v>CAC</v>
      </c>
    </row>
    <row r="116" spans="1:18" x14ac:dyDescent="0.35">
      <c r="A116" s="177">
        <v>53005</v>
      </c>
      <c r="B116" s="177" t="s">
        <v>106</v>
      </c>
      <c r="C116" s="178">
        <v>46163</v>
      </c>
      <c r="D116" s="177"/>
      <c r="E116" s="177" t="s">
        <v>123</v>
      </c>
      <c r="F116" s="177"/>
      <c r="G116" s="177"/>
      <c r="H116" s="177"/>
      <c r="I116" s="179">
        <v>652746.66</v>
      </c>
      <c r="J116" s="179">
        <v>0</v>
      </c>
      <c r="K116" s="177"/>
      <c r="L116" s="177"/>
      <c r="M116" s="177"/>
      <c r="N116" s="177"/>
      <c r="O116" s="177">
        <v>0</v>
      </c>
      <c r="P116" s="177" t="s">
        <v>124</v>
      </c>
      <c r="Q116" s="177" t="str">
        <f t="shared" si="6"/>
        <v>CH-SC-003</v>
      </c>
      <c r="R116" s="177" t="str">
        <f t="shared" si="7"/>
        <v>CAC</v>
      </c>
    </row>
    <row r="117" spans="1:18" x14ac:dyDescent="0.35">
      <c r="A117" s="177"/>
      <c r="B117" s="177" t="s">
        <v>125</v>
      </c>
      <c r="C117" s="178">
        <v>46023</v>
      </c>
      <c r="D117" s="177"/>
      <c r="E117" s="177" t="s">
        <v>126</v>
      </c>
      <c r="F117" s="177"/>
      <c r="G117" s="177"/>
      <c r="H117" s="177"/>
      <c r="I117" s="179">
        <v>293600.31</v>
      </c>
      <c r="J117" s="179">
        <v>0</v>
      </c>
      <c r="K117" s="177"/>
      <c r="L117" s="177"/>
      <c r="M117" s="177"/>
      <c r="N117" s="177"/>
      <c r="O117" s="177">
        <v>0</v>
      </c>
      <c r="P117" s="177" t="s">
        <v>127</v>
      </c>
      <c r="Q117" s="177" t="str">
        <f t="shared" si="6"/>
        <v/>
      </c>
      <c r="R117" s="177" t="str">
        <f t="shared" si="7"/>
        <v/>
      </c>
    </row>
    <row r="118" spans="1:18" x14ac:dyDescent="0.35">
      <c r="A118" s="177">
        <v>53009</v>
      </c>
      <c r="B118" s="177" t="s">
        <v>73</v>
      </c>
      <c r="C118" s="178">
        <v>46054</v>
      </c>
      <c r="D118" s="177"/>
      <c r="E118" s="177" t="s">
        <v>128</v>
      </c>
      <c r="F118" s="177"/>
      <c r="G118" s="177"/>
      <c r="H118" s="177"/>
      <c r="I118" s="179">
        <v>397453</v>
      </c>
      <c r="J118" s="179">
        <v>0</v>
      </c>
      <c r="K118" s="177"/>
      <c r="L118" s="177"/>
      <c r="M118" s="177"/>
      <c r="N118" s="177"/>
      <c r="O118" s="177">
        <v>0</v>
      </c>
      <c r="P118" s="177" t="s">
        <v>129</v>
      </c>
      <c r="Q118" s="177" t="str">
        <f t="shared" si="6"/>
        <v/>
      </c>
      <c r="R118" s="177" t="str">
        <f t="shared" si="7"/>
        <v/>
      </c>
    </row>
    <row r="119" spans="1:18" x14ac:dyDescent="0.35">
      <c r="A119" s="177">
        <v>53009</v>
      </c>
      <c r="B119" s="177" t="s">
        <v>73</v>
      </c>
      <c r="C119" s="178">
        <v>46082</v>
      </c>
      <c r="D119" s="177"/>
      <c r="E119" s="177" t="s">
        <v>130</v>
      </c>
      <c r="F119" s="177"/>
      <c r="G119" s="177"/>
      <c r="H119" s="177"/>
      <c r="I119" s="179">
        <v>931015.26</v>
      </c>
      <c r="J119" s="179">
        <v>0</v>
      </c>
      <c r="K119" s="177"/>
      <c r="L119" s="177"/>
      <c r="M119" s="177"/>
      <c r="N119" s="177"/>
      <c r="O119" s="177">
        <v>0</v>
      </c>
      <c r="P119" s="177" t="s">
        <v>131</v>
      </c>
      <c r="Q119" s="177" t="str">
        <f t="shared" si="6"/>
        <v/>
      </c>
      <c r="R119" s="177" t="str">
        <f t="shared" si="7"/>
        <v/>
      </c>
    </row>
    <row r="120" spans="1:18" x14ac:dyDescent="0.35">
      <c r="A120" s="177"/>
      <c r="B120" s="177" t="s">
        <v>132</v>
      </c>
      <c r="C120" s="178">
        <v>46082</v>
      </c>
      <c r="D120" s="177"/>
      <c r="E120" s="177" t="s">
        <v>130</v>
      </c>
      <c r="F120" s="177"/>
      <c r="G120" s="177"/>
      <c r="H120" s="177"/>
      <c r="I120" s="179">
        <v>189129.54</v>
      </c>
      <c r="J120" s="179">
        <v>0</v>
      </c>
      <c r="K120" s="177"/>
      <c r="L120" s="177"/>
      <c r="M120" s="177"/>
      <c r="N120" s="177"/>
      <c r="O120" s="177">
        <v>0</v>
      </c>
      <c r="P120" s="177" t="s">
        <v>131</v>
      </c>
      <c r="Q120" s="177" t="str">
        <f t="shared" si="6"/>
        <v/>
      </c>
      <c r="R120" s="177" t="str">
        <f t="shared" si="7"/>
        <v/>
      </c>
    </row>
    <row r="121" spans="1:18" x14ac:dyDescent="0.35">
      <c r="A121" s="177">
        <v>53005</v>
      </c>
      <c r="B121" s="177" t="s">
        <v>106</v>
      </c>
      <c r="C121" s="178">
        <v>46082</v>
      </c>
      <c r="D121" s="177"/>
      <c r="E121" s="177" t="s">
        <v>130</v>
      </c>
      <c r="F121" s="177"/>
      <c r="G121" s="177"/>
      <c r="H121" s="177"/>
      <c r="I121" s="179">
        <v>2788084.75</v>
      </c>
      <c r="J121" s="179">
        <v>0</v>
      </c>
      <c r="K121" s="177"/>
      <c r="L121" s="177"/>
      <c r="M121" s="177"/>
      <c r="N121" s="177"/>
      <c r="O121" s="177">
        <v>0</v>
      </c>
      <c r="P121" s="177" t="s">
        <v>131</v>
      </c>
      <c r="Q121" s="177" t="str">
        <f t="shared" si="6"/>
        <v/>
      </c>
      <c r="R121" s="177" t="str">
        <f t="shared" si="7"/>
        <v/>
      </c>
    </row>
    <row r="122" spans="1:18" x14ac:dyDescent="0.35">
      <c r="A122" s="177">
        <v>53009</v>
      </c>
      <c r="B122" s="177" t="s">
        <v>73</v>
      </c>
      <c r="C122" s="178">
        <v>46082</v>
      </c>
      <c r="D122" s="177"/>
      <c r="E122" s="177" t="s">
        <v>133</v>
      </c>
      <c r="F122" s="177"/>
      <c r="G122" s="177"/>
      <c r="H122" s="177"/>
      <c r="I122" s="179">
        <v>1243479.29</v>
      </c>
      <c r="J122" s="179">
        <v>0</v>
      </c>
      <c r="K122" s="177"/>
      <c r="L122" s="177"/>
      <c r="M122" s="177"/>
      <c r="N122" s="177"/>
      <c r="O122" s="177">
        <v>0</v>
      </c>
      <c r="P122" s="177" t="s">
        <v>134</v>
      </c>
      <c r="Q122" s="177" t="str">
        <f t="shared" si="6"/>
        <v/>
      </c>
      <c r="R122" s="177" t="str">
        <f t="shared" si="7"/>
        <v/>
      </c>
    </row>
    <row r="123" spans="1:18" x14ac:dyDescent="0.35">
      <c r="A123" s="177"/>
      <c r="B123" s="177" t="s">
        <v>132</v>
      </c>
      <c r="C123" s="178">
        <v>46082</v>
      </c>
      <c r="D123" s="177"/>
      <c r="E123" s="177" t="s">
        <v>133</v>
      </c>
      <c r="F123" s="177"/>
      <c r="G123" s="177"/>
      <c r="H123" s="177"/>
      <c r="I123" s="179">
        <v>378259.08</v>
      </c>
      <c r="J123" s="179">
        <v>0</v>
      </c>
      <c r="K123" s="177"/>
      <c r="L123" s="177"/>
      <c r="M123" s="177"/>
      <c r="N123" s="177"/>
      <c r="O123" s="177">
        <v>0</v>
      </c>
      <c r="P123" s="177" t="s">
        <v>134</v>
      </c>
      <c r="Q123" s="177" t="str">
        <f t="shared" si="6"/>
        <v/>
      </c>
      <c r="R123" s="177" t="str">
        <f t="shared" si="7"/>
        <v/>
      </c>
    </row>
    <row r="124" spans="1:18" x14ac:dyDescent="0.35">
      <c r="A124" s="177"/>
      <c r="B124" s="177" t="s">
        <v>125</v>
      </c>
      <c r="C124" s="178">
        <v>46082</v>
      </c>
      <c r="D124" s="177"/>
      <c r="E124" s="177" t="s">
        <v>133</v>
      </c>
      <c r="F124" s="177"/>
      <c r="G124" s="177"/>
      <c r="H124" s="177"/>
      <c r="I124" s="179">
        <v>102029.07</v>
      </c>
      <c r="J124" s="179">
        <v>0</v>
      </c>
      <c r="K124" s="177"/>
      <c r="L124" s="177"/>
      <c r="M124" s="177"/>
      <c r="N124" s="177"/>
      <c r="O124" s="177">
        <v>0</v>
      </c>
      <c r="P124" s="177" t="s">
        <v>134</v>
      </c>
      <c r="Q124" s="177" t="str">
        <f t="shared" si="6"/>
        <v/>
      </c>
      <c r="R124" s="177" t="str">
        <f t="shared" si="7"/>
        <v/>
      </c>
    </row>
    <row r="125" spans="1:18" x14ac:dyDescent="0.35">
      <c r="A125" s="177">
        <v>53005</v>
      </c>
      <c r="B125" s="177" t="s">
        <v>106</v>
      </c>
      <c r="C125" s="178">
        <v>46082</v>
      </c>
      <c r="D125" s="177"/>
      <c r="E125" s="177" t="s">
        <v>133</v>
      </c>
      <c r="F125" s="177"/>
      <c r="G125" s="177"/>
      <c r="H125" s="177"/>
      <c r="I125" s="179">
        <v>1169570.92</v>
      </c>
      <c r="J125" s="179">
        <v>0</v>
      </c>
      <c r="K125" s="177"/>
      <c r="L125" s="177"/>
      <c r="M125" s="177"/>
      <c r="N125" s="177"/>
      <c r="O125" s="177">
        <v>0</v>
      </c>
      <c r="P125" s="177" t="s">
        <v>134</v>
      </c>
      <c r="Q125" s="177" t="str">
        <f t="shared" si="6"/>
        <v/>
      </c>
      <c r="R125" s="177" t="str">
        <f t="shared" si="7"/>
        <v/>
      </c>
    </row>
    <row r="126" spans="1:18" x14ac:dyDescent="0.35">
      <c r="A126" s="177">
        <v>53009</v>
      </c>
      <c r="B126" s="177" t="s">
        <v>73</v>
      </c>
      <c r="C126" s="178">
        <v>46113</v>
      </c>
      <c r="D126" s="177"/>
      <c r="E126" s="177" t="s">
        <v>135</v>
      </c>
      <c r="F126" s="177"/>
      <c r="G126" s="177"/>
      <c r="H126" s="177"/>
      <c r="I126" s="179">
        <v>1357509.97</v>
      </c>
      <c r="J126" s="179">
        <v>0</v>
      </c>
      <c r="K126" s="177"/>
      <c r="L126" s="177"/>
      <c r="M126" s="177"/>
      <c r="N126" s="177"/>
      <c r="O126" s="177">
        <v>0</v>
      </c>
      <c r="P126" s="177" t="s">
        <v>136</v>
      </c>
      <c r="Q126" s="177" t="str">
        <f t="shared" si="6"/>
        <v/>
      </c>
      <c r="R126" s="177" t="str">
        <f t="shared" si="7"/>
        <v/>
      </c>
    </row>
    <row r="127" spans="1:18" x14ac:dyDescent="0.35">
      <c r="A127" s="177">
        <v>53005</v>
      </c>
      <c r="B127" s="177" t="s">
        <v>106</v>
      </c>
      <c r="C127" s="178">
        <v>46113</v>
      </c>
      <c r="D127" s="177"/>
      <c r="E127" s="177" t="s">
        <v>135</v>
      </c>
      <c r="F127" s="177"/>
      <c r="G127" s="177"/>
      <c r="H127" s="177"/>
      <c r="I127" s="179">
        <v>2711432.4</v>
      </c>
      <c r="J127" s="179">
        <v>0</v>
      </c>
      <c r="K127" s="177"/>
      <c r="L127" s="177"/>
      <c r="M127" s="177"/>
      <c r="N127" s="177"/>
      <c r="O127" s="177">
        <v>0</v>
      </c>
      <c r="P127" s="177" t="s">
        <v>136</v>
      </c>
      <c r="Q127" s="177" t="str">
        <f t="shared" si="6"/>
        <v/>
      </c>
      <c r="R127" s="177" t="str">
        <f t="shared" si="7"/>
        <v/>
      </c>
    </row>
  </sheetData>
  <autoFilter ref="A1:R127" xr:uid="{00000000-0009-0000-0000-000006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O72"/>
  <sheetViews>
    <sheetView showGridLines="0" zoomScaleNormal="100" workbookViewId="0">
      <pane ySplit="3" topLeftCell="A4" activePane="bottomLeft" state="frozen"/>
      <selection pane="bottomLeft" activeCell="K3" sqref="K3"/>
    </sheetView>
  </sheetViews>
  <sheetFormatPr defaultColWidth="8.6328125" defaultRowHeight="14.5" x14ac:dyDescent="0.35"/>
  <cols>
    <col min="1" max="1" width="9.81640625" customWidth="1"/>
    <col min="2" max="2" width="8.1796875" customWidth="1"/>
    <col min="3" max="3" width="16.453125" customWidth="1"/>
    <col min="4" max="4" width="13.90625" customWidth="1"/>
    <col min="5" max="5" width="11.6328125" customWidth="1"/>
    <col min="6" max="6" width="10.1796875" customWidth="1"/>
    <col min="10" max="10" width="2.08984375" customWidth="1"/>
    <col min="11" max="15" width="12.81640625" customWidth="1"/>
    <col min="16" max="16" width="8.7265625" customWidth="1"/>
  </cols>
  <sheetData>
    <row r="1" spans="1:15" ht="16" customHeight="1" x14ac:dyDescent="0.4">
      <c r="A1" s="38" t="s">
        <v>4424</v>
      </c>
      <c r="B1" s="38"/>
      <c r="C1" s="38"/>
      <c r="D1" s="38"/>
      <c r="E1" s="38"/>
      <c r="F1" s="38"/>
      <c r="G1" s="38"/>
      <c r="H1" s="38"/>
      <c r="I1" s="38"/>
      <c r="J1" s="6"/>
      <c r="K1" s="6"/>
      <c r="L1" s="6"/>
      <c r="M1" s="6"/>
      <c r="N1" s="6"/>
      <c r="O1" s="6"/>
    </row>
    <row r="2" spans="1:15" x14ac:dyDescent="0.35">
      <c r="A2" s="39" t="s">
        <v>4425</v>
      </c>
      <c r="B2" s="5"/>
      <c r="C2" s="5"/>
      <c r="D2" s="5"/>
      <c r="E2" s="5"/>
      <c r="F2" s="5"/>
      <c r="G2" s="5"/>
      <c r="H2" s="5"/>
      <c r="I2" s="5"/>
      <c r="J2" s="3"/>
    </row>
    <row r="3" spans="1:15" ht="24" customHeight="1" x14ac:dyDescent="0.35">
      <c r="A3" s="181" t="s">
        <v>177</v>
      </c>
      <c r="B3" s="181" t="s">
        <v>4426</v>
      </c>
      <c r="C3" s="181" t="s">
        <v>4427</v>
      </c>
      <c r="D3" s="181" t="s">
        <v>4428</v>
      </c>
      <c r="E3" s="181" t="s">
        <v>476</v>
      </c>
      <c r="F3" s="48" t="s">
        <v>4429</v>
      </c>
      <c r="G3" s="181" t="s">
        <v>4430</v>
      </c>
      <c r="H3" s="181" t="s">
        <v>4431</v>
      </c>
      <c r="I3" s="181" t="s">
        <v>4432</v>
      </c>
      <c r="J3" s="43"/>
      <c r="K3" s="182" t="s">
        <v>4433</v>
      </c>
      <c r="L3" s="48" t="s">
        <v>4434</v>
      </c>
      <c r="M3" s="48" t="s">
        <v>4435</v>
      </c>
      <c r="N3" s="48" t="s">
        <v>4436</v>
      </c>
      <c r="O3" s="48" t="s">
        <v>4437</v>
      </c>
    </row>
    <row r="4" spans="1:15" ht="12.75" customHeight="1" x14ac:dyDescent="0.35">
      <c r="A4" s="14">
        <v>46023</v>
      </c>
      <c r="B4" s="15" t="s">
        <v>4438</v>
      </c>
      <c r="C4" s="15" t="s">
        <v>4439</v>
      </c>
      <c r="D4" s="15" t="s">
        <v>184</v>
      </c>
      <c r="E4" s="15" t="s">
        <v>125</v>
      </c>
      <c r="F4" s="46">
        <f t="shared" ref="F4:F19" si="0">G4+H4+I4</f>
        <v>24</v>
      </c>
      <c r="G4" s="15">
        <v>24</v>
      </c>
      <c r="H4" s="15">
        <v>0</v>
      </c>
      <c r="I4" s="15">
        <v>0</v>
      </c>
      <c r="K4" s="44">
        <f>IFERROR(G4*INDEX('0_Jornales_MO'!$G$4:$J$21,MATCH(A4,'0_Jornales_MO'!$A$4:$A$21,0),MATCH(D4,{"ESPECIALIZADO","OFICIAL","MEDIO OFICIAL","AYUDANTE"},0)),"-")</f>
        <v>293600.31</v>
      </c>
      <c r="L4" s="44">
        <f>IFERROR(H4*INDEX('0_Jornales_MO'!$G$4:$J$21,MATCH(A4,'0_Jornales_MO'!$A$4:$A$21,0),MATCH(D4,{"ESPECIALIZADO","OFICIAL","MEDIO OFICIAL","AYUDANTE"},0))*1.5,"-")</f>
        <v>0</v>
      </c>
      <c r="M4" s="44">
        <f>IFERROR(I4*INDEX('0_Jornales_MO'!$G$4:$J$21,MATCH(A4,'0_Jornales_MO'!$A$4:$A$21,0),MATCH(D4,{"ESPECIALIZADO","OFICIAL","MEDIO OFICIAL","AYUDANTE"},0))*2,"-")</f>
        <v>0</v>
      </c>
      <c r="N4" s="45">
        <f t="shared" ref="N4:N19" si="1">IFERROR(SUM(K4:M4),"-")</f>
        <v>293600.31</v>
      </c>
      <c r="O4" s="45">
        <f>IFERROR($N4 * SUMIF('0_Indice_CAC'!$A:$A,$A4,'0_Indice_CAC'!$D:$D),"-")</f>
        <v>254381.05299769904</v>
      </c>
    </row>
    <row r="5" spans="1:15" ht="12.75" customHeight="1" x14ac:dyDescent="0.35">
      <c r="A5" s="14">
        <v>46054</v>
      </c>
      <c r="B5" s="15" t="s">
        <v>4440</v>
      </c>
      <c r="C5" s="15" t="s">
        <v>4439</v>
      </c>
      <c r="D5" s="15" t="s">
        <v>186</v>
      </c>
      <c r="E5" s="15" t="s">
        <v>73</v>
      </c>
      <c r="F5" s="46">
        <f t="shared" si="0"/>
        <v>40</v>
      </c>
      <c r="G5" s="15">
        <v>40</v>
      </c>
      <c r="H5" s="15">
        <v>0</v>
      </c>
      <c r="I5" s="15">
        <v>0</v>
      </c>
      <c r="K5" s="44">
        <f>IFERROR(G5*INDEX('0_Jornales_MO'!$G$4:$J$21,MATCH(A5,'0_Jornales_MO'!$A$4:$A$21,0),MATCH(D5,{"ESPECIALIZADO","OFICIAL","MEDIO OFICIAL","AYUDANTE"},0)),"-")</f>
        <v>397453</v>
      </c>
      <c r="L5" s="44">
        <f>IFERROR(H5*INDEX('0_Jornales_MO'!$G$4:$J$21,MATCH(A5,'0_Jornales_MO'!$A$4:$A$21,0),MATCH(D5,{"ESPECIALIZADO","OFICIAL","MEDIO OFICIAL","AYUDANTE"},0))*1.5,"-")</f>
        <v>0</v>
      </c>
      <c r="M5" s="44">
        <f>IFERROR(I5*INDEX('0_Jornales_MO'!$G$4:$J$21,MATCH(A5,'0_Jornales_MO'!$A$4:$A$21,0),MATCH(D5,{"ESPECIALIZADO","OFICIAL","MEDIO OFICIAL","AYUDANTE"},0))*2,"-")</f>
        <v>0</v>
      </c>
      <c r="N5" s="45">
        <f t="shared" si="1"/>
        <v>397453</v>
      </c>
      <c r="O5" s="45">
        <f>IFERROR($N5 * SUMIF('0_Indice_CAC'!$A:$A,$A5,'0_Indice_CAC'!$D:$D),"-")</f>
        <v>340048.797625045</v>
      </c>
    </row>
    <row r="6" spans="1:15" ht="12.75" customHeight="1" x14ac:dyDescent="0.35">
      <c r="A6" s="14">
        <v>46082</v>
      </c>
      <c r="B6" s="15" t="s">
        <v>4440</v>
      </c>
      <c r="C6" s="15" t="s">
        <v>4439</v>
      </c>
      <c r="D6" s="15" t="s">
        <v>185</v>
      </c>
      <c r="E6" s="15" t="s">
        <v>132</v>
      </c>
      <c r="F6" s="46">
        <f t="shared" si="0"/>
        <v>8</v>
      </c>
      <c r="G6" s="15">
        <v>8</v>
      </c>
      <c r="H6" s="15">
        <v>0</v>
      </c>
      <c r="I6" s="15">
        <v>0</v>
      </c>
      <c r="K6" s="44">
        <f>IFERROR(G6*INDEX('0_Jornales_MO'!$G$4:$J$21,MATCH(A6,'0_Jornales_MO'!$A$4:$A$21,0),MATCH(D6,{"ESPECIALIZADO","OFICIAL","MEDIO OFICIAL","AYUDANTE"},0)),"-")</f>
        <v>87100.47</v>
      </c>
      <c r="L6" s="44">
        <f>IFERROR(H6*INDEX('0_Jornales_MO'!$G$4:$J$21,MATCH(A6,'0_Jornales_MO'!$A$4:$A$21,0),MATCH(D6,{"ESPECIALIZADO","OFICIAL","MEDIO OFICIAL","AYUDANTE"},0))*1.5,"-")</f>
        <v>0</v>
      </c>
      <c r="M6" s="44">
        <f>IFERROR(I6*INDEX('0_Jornales_MO'!$G$4:$J$21,MATCH(A6,'0_Jornales_MO'!$A$4:$A$21,0),MATCH(D6,{"ESPECIALIZADO","OFICIAL","MEDIO OFICIAL","AYUDANTE"},0))*2,"-")</f>
        <v>0</v>
      </c>
      <c r="N6" s="45">
        <f t="shared" si="1"/>
        <v>87100.47</v>
      </c>
      <c r="O6" s="45">
        <f>IFERROR($N6 * SUMIF('0_Indice_CAC'!$A:$A,$A6,'0_Indice_CAC'!$D:$D),"-")</f>
        <v>73321.192562818644</v>
      </c>
    </row>
    <row r="7" spans="1:15" ht="12.75" customHeight="1" x14ac:dyDescent="0.35">
      <c r="A7" s="14">
        <v>46082</v>
      </c>
      <c r="B7" s="15" t="s">
        <v>4440</v>
      </c>
      <c r="C7" s="15" t="s">
        <v>4439</v>
      </c>
      <c r="D7" s="15" t="s">
        <v>183</v>
      </c>
      <c r="E7" s="15" t="s">
        <v>106</v>
      </c>
      <c r="F7" s="46">
        <f t="shared" si="0"/>
        <v>96</v>
      </c>
      <c r="G7" s="15">
        <v>84</v>
      </c>
      <c r="H7" s="15">
        <v>10</v>
      </c>
      <c r="I7" s="15">
        <v>2</v>
      </c>
      <c r="K7" s="44">
        <f>IFERROR(G7*INDEX('0_Jornales_MO'!$G$4:$J$21,MATCH(A7,'0_Jornales_MO'!$A$4:$A$21,0),MATCH(D7,{"ESPECIALIZADO","OFICIAL","MEDIO OFICIAL","AYUDANTE"},0)),"-")</f>
        <v>1285680.7949999999</v>
      </c>
      <c r="L7" s="44">
        <f>IFERROR(H7*INDEX('0_Jornales_MO'!$G$4:$J$21,MATCH(A7,'0_Jornales_MO'!$A$4:$A$21,0),MATCH(D7,{"ESPECIALIZADO","OFICIAL","MEDIO OFICIAL","AYUDANTE"},0))*1.5,"-")</f>
        <v>229585.85624999998</v>
      </c>
      <c r="M7" s="44">
        <f>IFERROR(I7*INDEX('0_Jornales_MO'!$G$4:$J$21,MATCH(A7,'0_Jornales_MO'!$A$4:$A$21,0),MATCH(D7,{"ESPECIALIZADO","OFICIAL","MEDIO OFICIAL","AYUDANTE"},0))*2,"-")</f>
        <v>61222.894999999997</v>
      </c>
      <c r="N7" s="45">
        <f t="shared" si="1"/>
        <v>1576489.5462499999</v>
      </c>
      <c r="O7" s="45">
        <f>IFERROR($N7 * SUMIF('0_Indice_CAC'!$A:$A,$A7,'0_Indice_CAC'!$D:$D),"-")</f>
        <v>1327089.2062220427</v>
      </c>
    </row>
    <row r="8" spans="1:15" ht="12.75" customHeight="1" x14ac:dyDescent="0.35">
      <c r="A8" s="14">
        <v>46082</v>
      </c>
      <c r="B8" s="15" t="s">
        <v>4440</v>
      </c>
      <c r="C8" s="15" t="s">
        <v>4439</v>
      </c>
      <c r="D8" s="15" t="s">
        <v>184</v>
      </c>
      <c r="E8" s="15" t="s">
        <v>73</v>
      </c>
      <c r="F8" s="46">
        <f t="shared" si="0"/>
        <v>66</v>
      </c>
      <c r="G8" s="15">
        <v>56</v>
      </c>
      <c r="H8" s="15">
        <v>6</v>
      </c>
      <c r="I8" s="15">
        <v>4</v>
      </c>
      <c r="K8" s="44">
        <f>IFERROR(G8*INDEX('0_Jornales_MO'!$G$4:$J$21,MATCH(A8,'0_Jornales_MO'!$A$4:$A$21,0),MATCH(D8,{"ESPECIALIZADO","OFICIAL","MEDIO OFICIAL","AYUDANTE"},0)),"-")</f>
        <v>714203.49</v>
      </c>
      <c r="L8" s="44">
        <f>IFERROR(H8*INDEX('0_Jornales_MO'!$G$4:$J$21,MATCH(A8,'0_Jornales_MO'!$A$4:$A$21,0),MATCH(D8,{"ESPECIALIZADO","OFICIAL","MEDIO OFICIAL","AYUDANTE"},0))*1.5,"-")</f>
        <v>114782.70375000002</v>
      </c>
      <c r="M8" s="44">
        <f>IFERROR(I8*INDEX('0_Jornales_MO'!$G$4:$J$21,MATCH(A8,'0_Jornales_MO'!$A$4:$A$21,0),MATCH(D8,{"ESPECIALIZADO","OFICIAL","MEDIO OFICIAL","AYUDANTE"},0))*2,"-")</f>
        <v>102029.07</v>
      </c>
      <c r="N8" s="45">
        <f t="shared" si="1"/>
        <v>931015.26374999993</v>
      </c>
      <c r="O8" s="45">
        <f>IFERROR($N8 * SUMIF('0_Indice_CAC'!$A:$A,$A8,'0_Indice_CAC'!$D:$D),"-")</f>
        <v>783728.82984830206</v>
      </c>
    </row>
    <row r="9" spans="1:15" ht="12.75" customHeight="1" x14ac:dyDescent="0.35">
      <c r="A9" s="14">
        <v>46082</v>
      </c>
      <c r="B9" s="15" t="s">
        <v>4440</v>
      </c>
      <c r="C9" s="15" t="s">
        <v>4439</v>
      </c>
      <c r="D9" s="15" t="s">
        <v>184</v>
      </c>
      <c r="E9" s="15" t="s">
        <v>132</v>
      </c>
      <c r="F9" s="46">
        <f t="shared" si="0"/>
        <v>8</v>
      </c>
      <c r="G9" s="15">
        <v>8</v>
      </c>
      <c r="H9" s="15">
        <v>0</v>
      </c>
      <c r="I9" s="15">
        <v>0</v>
      </c>
      <c r="K9" s="44">
        <f>IFERROR(G9*INDEX('0_Jornales_MO'!$G$4:$J$21,MATCH(A9,'0_Jornales_MO'!$A$4:$A$21,0),MATCH(D9,{"ESPECIALIZADO","OFICIAL","MEDIO OFICIAL","AYUDANTE"},0)),"-")</f>
        <v>102029.07</v>
      </c>
      <c r="L9" s="44">
        <f>IFERROR(H9*INDEX('0_Jornales_MO'!$G$4:$J$21,MATCH(A9,'0_Jornales_MO'!$A$4:$A$21,0),MATCH(D9,{"ESPECIALIZADO","OFICIAL","MEDIO OFICIAL","AYUDANTE"},0))*1.5,"-")</f>
        <v>0</v>
      </c>
      <c r="M9" s="44">
        <f>IFERROR(I9*INDEX('0_Jornales_MO'!$G$4:$J$21,MATCH(A9,'0_Jornales_MO'!$A$4:$A$21,0),MATCH(D9,{"ESPECIALIZADO","OFICIAL","MEDIO OFICIAL","AYUDANTE"},0))*2,"-")</f>
        <v>0</v>
      </c>
      <c r="N9" s="45">
        <f t="shared" si="1"/>
        <v>102029.07</v>
      </c>
      <c r="O9" s="45">
        <f>IFERROR($N9 * SUMIF('0_Indice_CAC'!$A:$A,$A9,'0_Indice_CAC'!$D:$D),"-")</f>
        <v>85888.090942279683</v>
      </c>
    </row>
    <row r="10" spans="1:15" ht="12.75" customHeight="1" x14ac:dyDescent="0.35">
      <c r="A10" s="14">
        <v>46082</v>
      </c>
      <c r="B10" s="15" t="s">
        <v>4440</v>
      </c>
      <c r="C10" s="15" t="s">
        <v>4439</v>
      </c>
      <c r="D10" s="15" t="s">
        <v>184</v>
      </c>
      <c r="E10" s="15" t="s">
        <v>106</v>
      </c>
      <c r="F10" s="46">
        <f t="shared" si="0"/>
        <v>90</v>
      </c>
      <c r="G10" s="15">
        <v>80</v>
      </c>
      <c r="H10" s="15">
        <v>10</v>
      </c>
      <c r="I10" s="15">
        <v>0</v>
      </c>
      <c r="K10" s="44">
        <f>IFERROR(G10*INDEX('0_Jornales_MO'!$G$4:$J$21,MATCH(A10,'0_Jornales_MO'!$A$4:$A$21,0),MATCH(D10,{"ESPECIALIZADO","OFICIAL","MEDIO OFICIAL","AYUDANTE"},0)),"-")</f>
        <v>1020290.7000000001</v>
      </c>
      <c r="L10" s="44">
        <f>IFERROR(H10*INDEX('0_Jornales_MO'!$G$4:$J$21,MATCH(A10,'0_Jornales_MO'!$A$4:$A$21,0),MATCH(D10,{"ESPECIALIZADO","OFICIAL","MEDIO OFICIAL","AYUDANTE"},0))*1.5,"-")</f>
        <v>191304.50625000001</v>
      </c>
      <c r="M10" s="44">
        <f>IFERROR(I10*INDEX('0_Jornales_MO'!$G$4:$J$21,MATCH(A10,'0_Jornales_MO'!$A$4:$A$21,0),MATCH(D10,{"ESPECIALIZADO","OFICIAL","MEDIO OFICIAL","AYUDANTE"},0))*2,"-")</f>
        <v>0</v>
      </c>
      <c r="N10" s="45">
        <f t="shared" si="1"/>
        <v>1211595.20625</v>
      </c>
      <c r="O10" s="45">
        <f>IFERROR($N10 * SUMIF('0_Indice_CAC'!$A:$A,$A10,'0_Indice_CAC'!$D:$D),"-")</f>
        <v>1019921.0799395713</v>
      </c>
    </row>
    <row r="11" spans="1:15" ht="12.75" customHeight="1" x14ac:dyDescent="0.35">
      <c r="A11" s="14">
        <v>46082</v>
      </c>
      <c r="B11" s="15" t="s">
        <v>4438</v>
      </c>
      <c r="C11" s="15" t="s">
        <v>4439</v>
      </c>
      <c r="D11" s="15" t="s">
        <v>185</v>
      </c>
      <c r="E11" s="15" t="s">
        <v>132</v>
      </c>
      <c r="F11" s="46">
        <f t="shared" si="0"/>
        <v>16</v>
      </c>
      <c r="G11" s="15">
        <v>16</v>
      </c>
      <c r="H11" s="15">
        <v>0</v>
      </c>
      <c r="I11" s="15">
        <v>0</v>
      </c>
      <c r="K11" s="44">
        <f>IFERROR(G11*INDEX('0_Jornales_MO'!$G$4:$J$21,MATCH(A11,'0_Jornales_MO'!$A$4:$A$21,0),MATCH(D11,{"ESPECIALIZADO","OFICIAL","MEDIO OFICIAL","AYUDANTE"},0)),"-")</f>
        <v>174200.94</v>
      </c>
      <c r="L11" s="44">
        <f>IFERROR(H11*INDEX('0_Jornales_MO'!$G$4:$J$21,MATCH(A11,'0_Jornales_MO'!$A$4:$A$21,0),MATCH(D11,{"ESPECIALIZADO","OFICIAL","MEDIO OFICIAL","AYUDANTE"},0))*1.5,"-")</f>
        <v>0</v>
      </c>
      <c r="M11" s="44">
        <f>IFERROR(I11*INDEX('0_Jornales_MO'!$G$4:$J$21,MATCH(A11,'0_Jornales_MO'!$A$4:$A$21,0),MATCH(D11,{"ESPECIALIZADO","OFICIAL","MEDIO OFICIAL","AYUDANTE"},0))*2,"-")</f>
        <v>0</v>
      </c>
      <c r="N11" s="45">
        <f t="shared" si="1"/>
        <v>174200.94</v>
      </c>
      <c r="O11" s="45">
        <f>IFERROR($N11 * SUMIF('0_Indice_CAC'!$A:$A,$A11,'0_Indice_CAC'!$D:$D),"-")</f>
        <v>146642.38512563729</v>
      </c>
    </row>
    <row r="12" spans="1:15" ht="12.75" customHeight="1" x14ac:dyDescent="0.35">
      <c r="A12" s="14">
        <v>46082</v>
      </c>
      <c r="B12" s="15" t="s">
        <v>4438</v>
      </c>
      <c r="C12" s="15" t="s">
        <v>4439</v>
      </c>
      <c r="D12" s="15" t="s">
        <v>183</v>
      </c>
      <c r="E12" s="15" t="s">
        <v>106</v>
      </c>
      <c r="F12" s="46">
        <f t="shared" si="0"/>
        <v>44</v>
      </c>
      <c r="G12" s="15">
        <v>40</v>
      </c>
      <c r="H12" s="15">
        <v>4</v>
      </c>
      <c r="I12" s="15">
        <v>0</v>
      </c>
      <c r="K12" s="44">
        <f>IFERROR(G12*INDEX('0_Jornales_MO'!$G$4:$J$21,MATCH(A12,'0_Jornales_MO'!$A$4:$A$21,0),MATCH(D12,{"ESPECIALIZADO","OFICIAL","MEDIO OFICIAL","AYUDANTE"},0)),"-")</f>
        <v>612228.94999999995</v>
      </c>
      <c r="L12" s="44">
        <f>IFERROR(H12*INDEX('0_Jornales_MO'!$G$4:$J$21,MATCH(A12,'0_Jornales_MO'!$A$4:$A$21,0),MATCH(D12,{"ESPECIALIZADO","OFICIAL","MEDIO OFICIAL","AYUDANTE"},0))*1.5,"-")</f>
        <v>91834.342499999999</v>
      </c>
      <c r="M12" s="44">
        <f>IFERROR(I12*INDEX('0_Jornales_MO'!$G$4:$J$21,MATCH(A12,'0_Jornales_MO'!$A$4:$A$21,0),MATCH(D12,{"ESPECIALIZADO","OFICIAL","MEDIO OFICIAL","AYUDANTE"},0))*2,"-")</f>
        <v>0</v>
      </c>
      <c r="N12" s="45">
        <f t="shared" si="1"/>
        <v>704063.29249999998</v>
      </c>
      <c r="O12" s="45">
        <f>IFERROR($N12 * SUMIF('0_Indice_CAC'!$A:$A,$A12,'0_Indice_CAC'!$D:$D),"-")</f>
        <v>592680.61637100938</v>
      </c>
    </row>
    <row r="13" spans="1:15" ht="12.75" customHeight="1" x14ac:dyDescent="0.35">
      <c r="A13" s="14">
        <v>46082</v>
      </c>
      <c r="B13" s="15" t="s">
        <v>4438</v>
      </c>
      <c r="C13" s="15" t="s">
        <v>4439</v>
      </c>
      <c r="D13" s="15" t="s">
        <v>184</v>
      </c>
      <c r="E13" s="15" t="s">
        <v>73</v>
      </c>
      <c r="F13" s="46">
        <f t="shared" si="0"/>
        <v>93</v>
      </c>
      <c r="G13" s="15">
        <v>84</v>
      </c>
      <c r="H13" s="15">
        <v>9</v>
      </c>
      <c r="I13" s="15">
        <v>0</v>
      </c>
      <c r="K13" s="44">
        <f>IFERROR(G13*INDEX('0_Jornales_MO'!$G$4:$J$21,MATCH(A13,'0_Jornales_MO'!$A$4:$A$21,0),MATCH(D13,{"ESPECIALIZADO","OFICIAL","MEDIO OFICIAL","AYUDANTE"},0)),"-")</f>
        <v>1071305.2350000001</v>
      </c>
      <c r="L13" s="44">
        <f>IFERROR(H13*INDEX('0_Jornales_MO'!$G$4:$J$21,MATCH(A13,'0_Jornales_MO'!$A$4:$A$21,0),MATCH(D13,{"ESPECIALIZADO","OFICIAL","MEDIO OFICIAL","AYUDANTE"},0))*1.5,"-")</f>
        <v>172174.05562500004</v>
      </c>
      <c r="M13" s="44">
        <f>IFERROR(I13*INDEX('0_Jornales_MO'!$G$4:$J$21,MATCH(A13,'0_Jornales_MO'!$A$4:$A$21,0),MATCH(D13,{"ESPECIALIZADO","OFICIAL","MEDIO OFICIAL","AYUDANTE"},0))*2,"-")</f>
        <v>0</v>
      </c>
      <c r="N13" s="45">
        <f t="shared" si="1"/>
        <v>1243479.2906250001</v>
      </c>
      <c r="O13" s="45">
        <f>IFERROR($N13 * SUMIF('0_Indice_CAC'!$A:$A,$A13,'0_Indice_CAC'!$D:$D),"-")</f>
        <v>1046761.1083590337</v>
      </c>
    </row>
    <row r="14" spans="1:15" ht="12.75" customHeight="1" x14ac:dyDescent="0.35">
      <c r="A14" s="14">
        <v>46082</v>
      </c>
      <c r="B14" s="15" t="s">
        <v>4438</v>
      </c>
      <c r="C14" s="15" t="s">
        <v>4439</v>
      </c>
      <c r="D14" s="15" t="s">
        <v>184</v>
      </c>
      <c r="E14" s="15" t="s">
        <v>132</v>
      </c>
      <c r="F14" s="46">
        <f t="shared" si="0"/>
        <v>16</v>
      </c>
      <c r="G14" s="15">
        <v>16</v>
      </c>
      <c r="H14" s="15">
        <v>0</v>
      </c>
      <c r="I14" s="15">
        <v>0</v>
      </c>
      <c r="K14" s="44">
        <f>IFERROR(G14*INDEX('0_Jornales_MO'!$G$4:$J$21,MATCH(A14,'0_Jornales_MO'!$A$4:$A$21,0),MATCH(D14,{"ESPECIALIZADO","OFICIAL","MEDIO OFICIAL","AYUDANTE"},0)),"-")</f>
        <v>204058.14</v>
      </c>
      <c r="L14" s="44">
        <f>IFERROR(H14*INDEX('0_Jornales_MO'!$G$4:$J$21,MATCH(A14,'0_Jornales_MO'!$A$4:$A$21,0),MATCH(D14,{"ESPECIALIZADO","OFICIAL","MEDIO OFICIAL","AYUDANTE"},0))*1.5,"-")</f>
        <v>0</v>
      </c>
      <c r="M14" s="44">
        <f>IFERROR(I14*INDEX('0_Jornales_MO'!$G$4:$J$21,MATCH(A14,'0_Jornales_MO'!$A$4:$A$21,0),MATCH(D14,{"ESPECIALIZADO","OFICIAL","MEDIO OFICIAL","AYUDANTE"},0))*2,"-")</f>
        <v>0</v>
      </c>
      <c r="N14" s="45">
        <f t="shared" si="1"/>
        <v>204058.14</v>
      </c>
      <c r="O14" s="45">
        <f>IFERROR($N14 * SUMIF('0_Indice_CAC'!$A:$A,$A14,'0_Indice_CAC'!$D:$D),"-")</f>
        <v>171776.18188455937</v>
      </c>
    </row>
    <row r="15" spans="1:15" ht="12.75" customHeight="1" x14ac:dyDescent="0.35">
      <c r="A15" s="14">
        <v>46082</v>
      </c>
      <c r="B15" s="15" t="s">
        <v>4438</v>
      </c>
      <c r="C15" s="15" t="s">
        <v>4439</v>
      </c>
      <c r="D15" s="15" t="s">
        <v>184</v>
      </c>
      <c r="E15" s="15" t="s">
        <v>125</v>
      </c>
      <c r="F15" s="46">
        <f t="shared" si="0"/>
        <v>8</v>
      </c>
      <c r="G15" s="15">
        <v>8</v>
      </c>
      <c r="H15" s="15">
        <v>0</v>
      </c>
      <c r="I15" s="15">
        <v>0</v>
      </c>
      <c r="K15" s="44">
        <f>IFERROR(G15*INDEX('0_Jornales_MO'!$G$4:$J$21,MATCH(A15,'0_Jornales_MO'!$A$4:$A$21,0),MATCH(D15,{"ESPECIALIZADO","OFICIAL","MEDIO OFICIAL","AYUDANTE"},0)),"-")</f>
        <v>102029.07</v>
      </c>
      <c r="L15" s="44">
        <f>IFERROR(H15*INDEX('0_Jornales_MO'!$G$4:$J$21,MATCH(A15,'0_Jornales_MO'!$A$4:$A$21,0),MATCH(D15,{"ESPECIALIZADO","OFICIAL","MEDIO OFICIAL","AYUDANTE"},0))*1.5,"-")</f>
        <v>0</v>
      </c>
      <c r="M15" s="44">
        <f>IFERROR(I15*INDEX('0_Jornales_MO'!$G$4:$J$21,MATCH(A15,'0_Jornales_MO'!$A$4:$A$21,0),MATCH(D15,{"ESPECIALIZADO","OFICIAL","MEDIO OFICIAL","AYUDANTE"},0))*2,"-")</f>
        <v>0</v>
      </c>
      <c r="N15" s="45">
        <f t="shared" si="1"/>
        <v>102029.07</v>
      </c>
      <c r="O15" s="45">
        <f>IFERROR($N15 * SUMIF('0_Indice_CAC'!$A:$A,$A15,'0_Indice_CAC'!$D:$D),"-")</f>
        <v>85888.090942279683</v>
      </c>
    </row>
    <row r="16" spans="1:15" ht="12.75" customHeight="1" x14ac:dyDescent="0.35">
      <c r="A16" s="14">
        <v>46082</v>
      </c>
      <c r="B16" s="15" t="s">
        <v>4438</v>
      </c>
      <c r="C16" s="15" t="s">
        <v>4439</v>
      </c>
      <c r="D16" s="15" t="s">
        <v>184</v>
      </c>
      <c r="E16" s="15" t="s">
        <v>106</v>
      </c>
      <c r="F16" s="46">
        <f t="shared" si="0"/>
        <v>35</v>
      </c>
      <c r="G16" s="15">
        <v>32</v>
      </c>
      <c r="H16" s="15">
        <v>3</v>
      </c>
      <c r="I16" s="15">
        <v>0</v>
      </c>
      <c r="K16" s="44">
        <f>IFERROR(G16*INDEX('0_Jornales_MO'!$G$4:$J$21,MATCH(A16,'0_Jornales_MO'!$A$4:$A$21,0),MATCH(D16,{"ESPECIALIZADO","OFICIAL","MEDIO OFICIAL","AYUDANTE"},0)),"-")</f>
        <v>408116.28</v>
      </c>
      <c r="L16" s="44">
        <f>IFERROR(H16*INDEX('0_Jornales_MO'!$G$4:$J$21,MATCH(A16,'0_Jornales_MO'!$A$4:$A$21,0),MATCH(D16,{"ESPECIALIZADO","OFICIAL","MEDIO OFICIAL","AYUDANTE"},0))*1.5,"-")</f>
        <v>57391.351875000008</v>
      </c>
      <c r="M16" s="44">
        <f>IFERROR(I16*INDEX('0_Jornales_MO'!$G$4:$J$21,MATCH(A16,'0_Jornales_MO'!$A$4:$A$21,0),MATCH(D16,{"ESPECIALIZADO","OFICIAL","MEDIO OFICIAL","AYUDANTE"},0))*2,"-")</f>
        <v>0</v>
      </c>
      <c r="N16" s="45">
        <f t="shared" si="1"/>
        <v>465507.63187500002</v>
      </c>
      <c r="O16" s="45">
        <f>IFERROR($N16 * SUMIF('0_Indice_CAC'!$A:$A,$A16,'0_Indice_CAC'!$D:$D),"-")</f>
        <v>391864.41492415109</v>
      </c>
    </row>
    <row r="17" spans="1:15" ht="12.75" customHeight="1" x14ac:dyDescent="0.35">
      <c r="A17" s="14">
        <v>46113</v>
      </c>
      <c r="B17" s="15" t="s">
        <v>4440</v>
      </c>
      <c r="C17" s="15" t="s">
        <v>4439</v>
      </c>
      <c r="D17" s="15" t="s">
        <v>183</v>
      </c>
      <c r="E17" s="15" t="s">
        <v>106</v>
      </c>
      <c r="F17" s="46">
        <f t="shared" si="0"/>
        <v>88</v>
      </c>
      <c r="G17" s="15">
        <v>80</v>
      </c>
      <c r="H17" s="15">
        <v>8</v>
      </c>
      <c r="I17" s="15">
        <v>0</v>
      </c>
      <c r="K17" s="44">
        <f>IFERROR(G17*INDEX('0_Jornales_MO'!$G$4:$J$21,MATCH(A17,'0_Jornales_MO'!$A$4:$A$21,0),MATCH(D17,{"ESPECIALIZADO","OFICIAL","MEDIO OFICIAL","AYUDANTE"},0)),"-")</f>
        <v>1287808.7</v>
      </c>
      <c r="L17" s="44">
        <f>IFERROR(H17*INDEX('0_Jornales_MO'!$G$4:$J$21,MATCH(A17,'0_Jornales_MO'!$A$4:$A$21,0),MATCH(D17,{"ESPECIALIZADO","OFICIAL","MEDIO OFICIAL","AYUDANTE"},0))*1.5,"-")</f>
        <v>193171.30499999999</v>
      </c>
      <c r="M17" s="44">
        <f>IFERROR(I17*INDEX('0_Jornales_MO'!$G$4:$J$21,MATCH(A17,'0_Jornales_MO'!$A$4:$A$21,0),MATCH(D17,{"ESPECIALIZADO","OFICIAL","MEDIO OFICIAL","AYUDANTE"},0))*2,"-")</f>
        <v>0</v>
      </c>
      <c r="N17" s="45">
        <f t="shared" si="1"/>
        <v>1480980.0049999999</v>
      </c>
      <c r="O17" s="45">
        <f>IFERROR($N17 * SUMIF('0_Indice_CAC'!$A:$A,$A17,'0_Indice_CAC'!$D:$D),"-")</f>
        <v>1223933.4362573756</v>
      </c>
    </row>
    <row r="18" spans="1:15" ht="12.75" customHeight="1" x14ac:dyDescent="0.35">
      <c r="A18" s="14">
        <v>46113</v>
      </c>
      <c r="B18" s="15" t="s">
        <v>4440</v>
      </c>
      <c r="C18" s="15" t="s">
        <v>4439</v>
      </c>
      <c r="D18" s="15" t="s">
        <v>184</v>
      </c>
      <c r="E18" s="15" t="s">
        <v>73</v>
      </c>
      <c r="F18" s="46">
        <f t="shared" si="0"/>
        <v>97</v>
      </c>
      <c r="G18" s="15">
        <v>88</v>
      </c>
      <c r="H18" s="15">
        <v>9</v>
      </c>
      <c r="I18" s="15">
        <v>0</v>
      </c>
      <c r="K18" s="44">
        <f>IFERROR(G18*INDEX('0_Jornales_MO'!$G$4:$J$21,MATCH(A18,'0_Jornales_MO'!$A$4:$A$21,0),MATCH(D18,{"ESPECIALIZADO","OFICIAL","MEDIO OFICIAL","AYUDANTE"},0)),"-")</f>
        <v>1176954.46</v>
      </c>
      <c r="L18" s="44">
        <f>IFERROR(H18*INDEX('0_Jornales_MO'!$G$4:$J$21,MATCH(A18,'0_Jornales_MO'!$A$4:$A$21,0),MATCH(D18,{"ESPECIALIZADO","OFICIAL","MEDIO OFICIAL","AYUDANTE"},0))*1.5,"-")</f>
        <v>180555.51374999998</v>
      </c>
      <c r="M18" s="44">
        <f>IFERROR(I18*INDEX('0_Jornales_MO'!$G$4:$J$21,MATCH(A18,'0_Jornales_MO'!$A$4:$A$21,0),MATCH(D18,{"ESPECIALIZADO","OFICIAL","MEDIO OFICIAL","AYUDANTE"},0))*2,"-")</f>
        <v>0</v>
      </c>
      <c r="N18" s="45">
        <f t="shared" si="1"/>
        <v>1357509.9737499999</v>
      </c>
      <c r="O18" s="45">
        <f>IFERROR($N18 * SUMIF('0_Indice_CAC'!$A:$A,$A18,'0_Indice_CAC'!$D:$D),"-")</f>
        <v>1121893.5038393699</v>
      </c>
    </row>
    <row r="19" spans="1:15" ht="12.75" customHeight="1" x14ac:dyDescent="0.35">
      <c r="A19" s="14">
        <v>46113</v>
      </c>
      <c r="B19" s="15" t="s">
        <v>4440</v>
      </c>
      <c r="C19" s="15" t="s">
        <v>4439</v>
      </c>
      <c r="D19" s="15" t="s">
        <v>184</v>
      </c>
      <c r="E19" s="15" t="s">
        <v>106</v>
      </c>
      <c r="F19" s="46">
        <f t="shared" si="0"/>
        <v>88</v>
      </c>
      <c r="G19" s="15">
        <v>80</v>
      </c>
      <c r="H19" s="15">
        <v>8</v>
      </c>
      <c r="I19" s="15">
        <v>0</v>
      </c>
      <c r="K19" s="44">
        <f>IFERROR(G19*INDEX('0_Jornales_MO'!$G$4:$J$21,MATCH(A19,'0_Jornales_MO'!$A$4:$A$21,0),MATCH(D19,{"ESPECIALIZADO","OFICIAL","MEDIO OFICIAL","AYUDANTE"},0)),"-")</f>
        <v>1069958.6000000001</v>
      </c>
      <c r="L19" s="44">
        <f>IFERROR(H19*INDEX('0_Jornales_MO'!$G$4:$J$21,MATCH(A19,'0_Jornales_MO'!$A$4:$A$21,0),MATCH(D19,{"ESPECIALIZADO","OFICIAL","MEDIO OFICIAL","AYUDANTE"},0))*1.5,"-")</f>
        <v>160493.79</v>
      </c>
      <c r="M19" s="44">
        <f>IFERROR(I19*INDEX('0_Jornales_MO'!$G$4:$J$21,MATCH(A19,'0_Jornales_MO'!$A$4:$A$21,0),MATCH(D19,{"ESPECIALIZADO","OFICIAL","MEDIO OFICIAL","AYUDANTE"},0))*2,"-")</f>
        <v>0</v>
      </c>
      <c r="N19" s="45">
        <f t="shared" si="1"/>
        <v>1230452.3900000001</v>
      </c>
      <c r="O19" s="45">
        <f>IFERROR($N19 * SUMIF('0_Indice_CAC'!$A:$A,$A19,'0_Indice_CAC'!$D:$D),"-")</f>
        <v>1016888.6931351925</v>
      </c>
    </row>
    <row r="20" spans="1:15" x14ac:dyDescent="0.35">
      <c r="A20" s="14"/>
      <c r="B20" s="15"/>
      <c r="C20" s="15"/>
      <c r="D20" s="15"/>
      <c r="E20" s="15"/>
      <c r="F20" s="46"/>
      <c r="G20" s="15"/>
      <c r="H20" s="15"/>
      <c r="I20" s="15"/>
      <c r="K20" s="44"/>
      <c r="L20" s="44"/>
      <c r="M20" s="44"/>
      <c r="N20" s="45"/>
      <c r="O20" s="45"/>
    </row>
    <row r="21" spans="1:15" x14ac:dyDescent="0.35">
      <c r="A21" s="14"/>
      <c r="B21" s="15"/>
      <c r="C21" s="15"/>
      <c r="D21" s="15"/>
      <c r="E21" s="15"/>
      <c r="F21" s="46"/>
      <c r="G21" s="15"/>
      <c r="H21" s="15"/>
      <c r="I21" s="15"/>
      <c r="K21" s="44"/>
      <c r="L21" s="44"/>
      <c r="M21" s="44"/>
      <c r="N21" s="45"/>
      <c r="O21" s="45"/>
    </row>
    <row r="22" spans="1:15" x14ac:dyDescent="0.35">
      <c r="A22" s="14"/>
      <c r="B22" s="15"/>
      <c r="C22" s="15"/>
      <c r="D22" s="15"/>
      <c r="E22" s="15"/>
      <c r="F22" s="46"/>
      <c r="G22" s="15"/>
      <c r="H22" s="15"/>
      <c r="I22" s="15"/>
      <c r="K22" s="44"/>
      <c r="L22" s="44"/>
      <c r="M22" s="44"/>
      <c r="N22" s="45"/>
      <c r="O22" s="45"/>
    </row>
    <row r="23" spans="1:15" x14ac:dyDescent="0.35">
      <c r="A23" s="14"/>
      <c r="B23" s="15"/>
      <c r="C23" s="15"/>
      <c r="D23" s="15"/>
      <c r="E23" s="15"/>
      <c r="F23" s="46"/>
      <c r="G23" s="15"/>
      <c r="H23" s="15"/>
      <c r="I23" s="15"/>
      <c r="K23" s="44"/>
      <c r="L23" s="44"/>
      <c r="M23" s="44"/>
      <c r="N23" s="45"/>
      <c r="O23" s="45"/>
    </row>
    <row r="24" spans="1:15" x14ac:dyDescent="0.35">
      <c r="A24" s="14"/>
      <c r="B24" s="15"/>
      <c r="C24" s="15"/>
      <c r="D24" s="15"/>
      <c r="E24" s="15"/>
      <c r="F24" s="46"/>
      <c r="G24" s="15"/>
      <c r="H24" s="15"/>
      <c r="I24" s="15"/>
      <c r="K24" s="44"/>
      <c r="L24" s="44"/>
      <c r="M24" s="44"/>
      <c r="N24" s="45"/>
      <c r="O24" s="45"/>
    </row>
    <row r="25" spans="1:15" x14ac:dyDescent="0.35">
      <c r="A25" s="14"/>
      <c r="B25" s="15"/>
      <c r="C25" s="15"/>
      <c r="D25" s="15"/>
      <c r="E25" s="15"/>
      <c r="F25" s="46"/>
      <c r="G25" s="15"/>
      <c r="H25" s="15"/>
      <c r="I25" s="15"/>
      <c r="K25" s="44"/>
      <c r="L25" s="44"/>
      <c r="M25" s="44"/>
      <c r="N25" s="45"/>
      <c r="O25" s="45"/>
    </row>
    <row r="26" spans="1:15" x14ac:dyDescent="0.35">
      <c r="A26" s="14"/>
      <c r="B26" s="15"/>
      <c r="C26" s="15"/>
      <c r="D26" s="15"/>
      <c r="E26" s="15"/>
      <c r="F26" s="46"/>
      <c r="G26" s="15"/>
      <c r="H26" s="15"/>
      <c r="I26" s="15"/>
      <c r="K26" s="44"/>
      <c r="L26" s="44"/>
      <c r="M26" s="44"/>
      <c r="N26" s="45"/>
      <c r="O26" s="45"/>
    </row>
    <row r="27" spans="1:15" x14ac:dyDescent="0.35">
      <c r="A27" s="14"/>
      <c r="B27" s="15"/>
      <c r="C27" s="15"/>
      <c r="D27" s="15"/>
      <c r="E27" s="15"/>
      <c r="F27" s="46"/>
      <c r="G27" s="15"/>
      <c r="H27" s="15"/>
      <c r="I27" s="15"/>
      <c r="K27" s="44"/>
      <c r="L27" s="44"/>
      <c r="M27" s="44"/>
      <c r="N27" s="45"/>
      <c r="O27" s="45"/>
    </row>
    <row r="28" spans="1:15" x14ac:dyDescent="0.35">
      <c r="A28" s="14"/>
      <c r="B28" s="15"/>
      <c r="C28" s="15"/>
      <c r="D28" s="15"/>
      <c r="E28" s="15"/>
      <c r="F28" s="46"/>
      <c r="G28" s="15"/>
      <c r="H28" s="15"/>
      <c r="I28" s="15"/>
      <c r="K28" s="44"/>
      <c r="L28" s="44"/>
      <c r="M28" s="44"/>
      <c r="N28" s="45"/>
      <c r="O28" s="45"/>
    </row>
    <row r="29" spans="1:15" x14ac:dyDescent="0.35">
      <c r="A29" s="14"/>
      <c r="B29" s="15"/>
      <c r="C29" s="15"/>
      <c r="D29" s="15"/>
      <c r="E29" s="15"/>
      <c r="F29" s="46"/>
      <c r="G29" s="15"/>
      <c r="H29" s="15"/>
      <c r="I29" s="15"/>
      <c r="K29" s="44"/>
      <c r="L29" s="44"/>
      <c r="M29" s="44"/>
      <c r="N29" s="45"/>
      <c r="O29" s="45"/>
    </row>
    <row r="30" spans="1:15" x14ac:dyDescent="0.35">
      <c r="A30" s="14"/>
      <c r="B30" s="15"/>
      <c r="C30" s="15"/>
      <c r="D30" s="15"/>
      <c r="E30" s="15"/>
      <c r="F30" s="46"/>
      <c r="G30" s="15"/>
      <c r="H30" s="15"/>
      <c r="I30" s="15"/>
      <c r="K30" s="44"/>
      <c r="L30" s="44"/>
      <c r="M30" s="44"/>
      <c r="N30" s="45"/>
      <c r="O30" s="45"/>
    </row>
    <row r="31" spans="1:15" x14ac:dyDescent="0.35">
      <c r="A31" s="14"/>
      <c r="B31" s="15"/>
      <c r="C31" s="15"/>
      <c r="D31" s="15"/>
      <c r="E31" s="15"/>
      <c r="F31" s="46"/>
      <c r="G31" s="15"/>
      <c r="H31" s="15"/>
      <c r="I31" s="15"/>
      <c r="K31" s="44"/>
      <c r="L31" s="44"/>
      <c r="M31" s="44"/>
      <c r="N31" s="45"/>
      <c r="O31" s="45"/>
    </row>
    <row r="32" spans="1:15" x14ac:dyDescent="0.35">
      <c r="A32" s="14"/>
      <c r="B32" s="15"/>
      <c r="C32" s="15"/>
      <c r="D32" s="15"/>
      <c r="E32" s="15"/>
      <c r="F32" s="46"/>
      <c r="G32" s="15"/>
      <c r="H32" s="15"/>
      <c r="I32" s="15"/>
      <c r="K32" s="44"/>
      <c r="L32" s="44"/>
      <c r="M32" s="44"/>
      <c r="N32" s="45"/>
      <c r="O32" s="45"/>
    </row>
    <row r="33" spans="1:15" x14ac:dyDescent="0.35">
      <c r="A33" s="14"/>
      <c r="B33" s="15"/>
      <c r="C33" s="15"/>
      <c r="D33" s="15"/>
      <c r="E33" s="15"/>
      <c r="F33" s="46"/>
      <c r="G33" s="15"/>
      <c r="H33" s="15"/>
      <c r="I33" s="15"/>
      <c r="K33" s="44"/>
      <c r="L33" s="44"/>
      <c r="M33" s="44"/>
      <c r="N33" s="45"/>
      <c r="O33" s="45"/>
    </row>
    <row r="34" spans="1:15" x14ac:dyDescent="0.35">
      <c r="A34" s="14"/>
      <c r="B34" s="15"/>
      <c r="C34" s="15"/>
      <c r="D34" s="15"/>
      <c r="E34" s="15"/>
      <c r="F34" s="46"/>
      <c r="G34" s="15"/>
      <c r="H34" s="15"/>
      <c r="I34" s="15"/>
      <c r="K34" s="44"/>
      <c r="L34" s="44"/>
      <c r="M34" s="44"/>
      <c r="N34" s="45"/>
      <c r="O34" s="45"/>
    </row>
    <row r="35" spans="1:15" x14ac:dyDescent="0.35">
      <c r="A35" s="14"/>
      <c r="B35" s="15"/>
      <c r="C35" s="15"/>
      <c r="D35" s="15"/>
      <c r="E35" s="15"/>
      <c r="F35" s="46"/>
      <c r="G35" s="15"/>
      <c r="H35" s="15"/>
      <c r="I35" s="15"/>
      <c r="K35" s="44"/>
      <c r="L35" s="44"/>
      <c r="M35" s="44"/>
      <c r="N35" s="45"/>
      <c r="O35" s="45"/>
    </row>
    <row r="36" spans="1:15" x14ac:dyDescent="0.35">
      <c r="A36" s="14"/>
      <c r="B36" s="15"/>
      <c r="C36" s="15"/>
      <c r="D36" s="15"/>
      <c r="E36" s="15"/>
      <c r="F36" s="46"/>
      <c r="G36" s="15"/>
      <c r="H36" s="15"/>
      <c r="I36" s="15"/>
      <c r="K36" s="44"/>
      <c r="L36" s="44"/>
      <c r="M36" s="44"/>
      <c r="N36" s="45"/>
      <c r="O36" s="45"/>
    </row>
    <row r="37" spans="1:15" x14ac:dyDescent="0.35">
      <c r="A37" s="14"/>
      <c r="B37" s="15"/>
      <c r="C37" s="15"/>
      <c r="D37" s="15"/>
      <c r="E37" s="15"/>
      <c r="F37" s="46"/>
      <c r="G37" s="15"/>
      <c r="H37" s="15"/>
      <c r="I37" s="15"/>
      <c r="K37" s="44"/>
      <c r="L37" s="44"/>
      <c r="M37" s="44"/>
      <c r="N37" s="45"/>
      <c r="O37" s="45"/>
    </row>
    <row r="38" spans="1:15" x14ac:dyDescent="0.35">
      <c r="A38" s="14"/>
      <c r="B38" s="15"/>
      <c r="C38" s="15"/>
      <c r="D38" s="15"/>
      <c r="E38" s="15"/>
      <c r="F38" s="46"/>
      <c r="G38" s="15"/>
      <c r="H38" s="15"/>
      <c r="I38" s="15"/>
      <c r="K38" s="44"/>
      <c r="L38" s="44"/>
      <c r="M38" s="44"/>
      <c r="N38" s="45"/>
      <c r="O38" s="45"/>
    </row>
    <row r="39" spans="1:15" x14ac:dyDescent="0.35">
      <c r="A39" s="14"/>
      <c r="B39" s="15"/>
      <c r="C39" s="15"/>
      <c r="D39" s="15"/>
      <c r="E39" s="15"/>
      <c r="F39" s="46"/>
      <c r="G39" s="15"/>
      <c r="H39" s="15"/>
      <c r="I39" s="15"/>
      <c r="K39" s="44"/>
      <c r="L39" s="44"/>
      <c r="M39" s="44"/>
      <c r="N39" s="45"/>
      <c r="O39" s="45"/>
    </row>
    <row r="40" spans="1:15" x14ac:dyDescent="0.35">
      <c r="A40" s="14"/>
      <c r="B40" s="15"/>
      <c r="C40" s="15"/>
      <c r="D40" s="15"/>
      <c r="E40" s="15"/>
      <c r="F40" s="46"/>
      <c r="G40" s="15"/>
      <c r="H40" s="15"/>
      <c r="I40" s="15"/>
      <c r="K40" s="44"/>
      <c r="L40" s="44"/>
      <c r="M40" s="44"/>
      <c r="N40" s="45"/>
      <c r="O40" s="45"/>
    </row>
    <row r="41" spans="1:15" x14ac:dyDescent="0.35">
      <c r="A41" s="14"/>
      <c r="B41" s="15"/>
      <c r="C41" s="15"/>
      <c r="D41" s="15"/>
      <c r="E41" s="15"/>
      <c r="F41" s="46"/>
      <c r="G41" s="15"/>
      <c r="H41" s="15"/>
      <c r="I41" s="15"/>
      <c r="K41" s="44"/>
      <c r="L41" s="44"/>
      <c r="M41" s="44"/>
      <c r="N41" s="45"/>
      <c r="O41" s="45"/>
    </row>
    <row r="42" spans="1:15" x14ac:dyDescent="0.35">
      <c r="A42" s="14"/>
      <c r="B42" s="15"/>
      <c r="C42" s="15"/>
      <c r="D42" s="15"/>
      <c r="E42" s="15"/>
      <c r="F42" s="46"/>
      <c r="G42" s="15"/>
      <c r="H42" s="15"/>
      <c r="I42" s="15"/>
      <c r="K42" s="44"/>
      <c r="L42" s="44"/>
      <c r="M42" s="44"/>
      <c r="N42" s="45"/>
      <c r="O42" s="45"/>
    </row>
    <row r="43" spans="1:15" x14ac:dyDescent="0.35">
      <c r="A43" s="14"/>
      <c r="B43" s="15"/>
      <c r="C43" s="15"/>
      <c r="D43" s="15"/>
      <c r="E43" s="15"/>
      <c r="F43" s="46"/>
      <c r="G43" s="15"/>
      <c r="H43" s="15"/>
      <c r="I43" s="15"/>
      <c r="K43" s="44"/>
      <c r="L43" s="44"/>
      <c r="M43" s="44"/>
      <c r="N43" s="45"/>
      <c r="O43" s="45"/>
    </row>
    <row r="44" spans="1:15" x14ac:dyDescent="0.35">
      <c r="A44" s="14"/>
      <c r="B44" s="15"/>
      <c r="C44" s="15"/>
      <c r="D44" s="15"/>
      <c r="E44" s="15"/>
      <c r="F44" s="46"/>
      <c r="G44" s="15"/>
      <c r="H44" s="15"/>
      <c r="I44" s="15"/>
      <c r="K44" s="44"/>
      <c r="L44" s="44"/>
      <c r="M44" s="44"/>
      <c r="N44" s="45"/>
      <c r="O44" s="45"/>
    </row>
    <row r="45" spans="1:15" x14ac:dyDescent="0.35">
      <c r="A45" s="14"/>
      <c r="B45" s="15"/>
      <c r="C45" s="15"/>
      <c r="D45" s="15"/>
      <c r="E45" s="15"/>
      <c r="F45" s="46"/>
      <c r="G45" s="15"/>
      <c r="H45" s="15"/>
      <c r="I45" s="15"/>
      <c r="K45" s="44"/>
      <c r="L45" s="44"/>
      <c r="M45" s="44"/>
      <c r="N45" s="45"/>
      <c r="O45" s="45"/>
    </row>
    <row r="46" spans="1:15" x14ac:dyDescent="0.35">
      <c r="A46" s="14"/>
      <c r="B46" s="15"/>
      <c r="C46" s="15"/>
      <c r="D46" s="15"/>
      <c r="E46" s="15"/>
      <c r="F46" s="46"/>
      <c r="G46" s="15"/>
      <c r="H46" s="15"/>
      <c r="I46" s="15"/>
      <c r="K46" s="44"/>
      <c r="L46" s="44"/>
      <c r="M46" s="44"/>
      <c r="N46" s="45"/>
      <c r="O46" s="45"/>
    </row>
    <row r="47" spans="1:15" x14ac:dyDescent="0.35">
      <c r="A47" s="14"/>
      <c r="B47" s="15"/>
      <c r="C47" s="15"/>
      <c r="D47" s="15"/>
      <c r="E47" s="15"/>
      <c r="F47" s="46"/>
      <c r="G47" s="15"/>
      <c r="H47" s="15"/>
      <c r="I47" s="15"/>
      <c r="K47" s="44"/>
      <c r="L47" s="44"/>
      <c r="M47" s="44"/>
      <c r="N47" s="45"/>
      <c r="O47" s="45"/>
    </row>
    <row r="48" spans="1:15" x14ac:dyDescent="0.35">
      <c r="A48" s="14"/>
      <c r="B48" s="15"/>
      <c r="C48" s="15"/>
      <c r="D48" s="15"/>
      <c r="E48" s="15"/>
      <c r="F48" s="46"/>
      <c r="G48" s="15"/>
      <c r="H48" s="15"/>
      <c r="I48" s="15"/>
      <c r="K48" s="44"/>
      <c r="L48" s="44"/>
      <c r="M48" s="44"/>
      <c r="N48" s="45"/>
      <c r="O48" s="45"/>
    </row>
    <row r="49" spans="1:15" x14ac:dyDescent="0.35">
      <c r="A49" s="14"/>
      <c r="B49" s="15"/>
      <c r="C49" s="15"/>
      <c r="D49" s="15"/>
      <c r="E49" s="15"/>
      <c r="F49" s="46"/>
      <c r="G49" s="15"/>
      <c r="H49" s="15"/>
      <c r="I49" s="15"/>
      <c r="K49" s="44"/>
      <c r="L49" s="44"/>
      <c r="M49" s="44"/>
      <c r="N49" s="45"/>
      <c r="O49" s="45"/>
    </row>
    <row r="50" spans="1:15" x14ac:dyDescent="0.35">
      <c r="A50" s="14"/>
      <c r="B50" s="15"/>
      <c r="C50" s="15"/>
      <c r="D50" s="15"/>
      <c r="E50" s="15"/>
      <c r="F50" s="46"/>
      <c r="G50" s="15"/>
      <c r="H50" s="15"/>
      <c r="I50" s="15"/>
      <c r="K50" s="44"/>
      <c r="L50" s="44"/>
      <c r="M50" s="44"/>
      <c r="N50" s="45"/>
      <c r="O50" s="45"/>
    </row>
    <row r="51" spans="1:15" x14ac:dyDescent="0.35">
      <c r="A51" s="14"/>
      <c r="B51" s="15"/>
      <c r="C51" s="15"/>
      <c r="D51" s="15"/>
      <c r="E51" s="15"/>
      <c r="F51" s="46"/>
      <c r="G51" s="15"/>
      <c r="H51" s="15"/>
      <c r="I51" s="15"/>
      <c r="K51" s="44"/>
      <c r="L51" s="44"/>
      <c r="M51" s="44"/>
      <c r="N51" s="45"/>
      <c r="O51" s="45"/>
    </row>
    <row r="52" spans="1:15" x14ac:dyDescent="0.35">
      <c r="A52" s="14"/>
      <c r="B52" s="15"/>
      <c r="C52" s="15"/>
      <c r="D52" s="15"/>
      <c r="E52" s="15"/>
      <c r="F52" s="46"/>
      <c r="G52" s="15"/>
      <c r="H52" s="15"/>
      <c r="I52" s="15"/>
      <c r="K52" s="44"/>
      <c r="L52" s="44"/>
      <c r="M52" s="44"/>
      <c r="N52" s="45"/>
      <c r="O52" s="45"/>
    </row>
    <row r="53" spans="1:15" x14ac:dyDescent="0.35">
      <c r="A53" s="14"/>
      <c r="B53" s="15"/>
      <c r="C53" s="15"/>
      <c r="D53" s="15"/>
      <c r="E53" s="15"/>
      <c r="F53" s="46"/>
      <c r="G53" s="15"/>
      <c r="H53" s="15"/>
      <c r="I53" s="15"/>
      <c r="K53" s="44"/>
      <c r="L53" s="44"/>
      <c r="M53" s="44"/>
      <c r="N53" s="45"/>
      <c r="O53" s="45"/>
    </row>
    <row r="54" spans="1:15" x14ac:dyDescent="0.35">
      <c r="A54" s="14"/>
      <c r="B54" s="15"/>
      <c r="C54" s="15"/>
      <c r="D54" s="15"/>
      <c r="E54" s="15"/>
      <c r="F54" s="46"/>
      <c r="G54" s="15"/>
      <c r="H54" s="15"/>
      <c r="I54" s="15"/>
      <c r="K54" s="44"/>
      <c r="L54" s="44"/>
      <c r="M54" s="44"/>
      <c r="N54" s="45"/>
      <c r="O54" s="45"/>
    </row>
    <row r="55" spans="1:15" x14ac:dyDescent="0.35">
      <c r="A55" s="14"/>
      <c r="B55" s="15"/>
      <c r="C55" s="15"/>
      <c r="D55" s="15"/>
      <c r="E55" s="15"/>
      <c r="F55" s="46"/>
      <c r="G55" s="15"/>
      <c r="H55" s="15"/>
      <c r="I55" s="15"/>
      <c r="K55" s="44"/>
      <c r="L55" s="44"/>
      <c r="M55" s="44"/>
      <c r="N55" s="45"/>
      <c r="O55" s="45"/>
    </row>
    <row r="56" spans="1:15" x14ac:dyDescent="0.35">
      <c r="A56" s="14"/>
      <c r="B56" s="15"/>
      <c r="C56" s="15"/>
      <c r="D56" s="15"/>
      <c r="E56" s="15"/>
      <c r="F56" s="46"/>
      <c r="G56" s="15"/>
      <c r="H56" s="15"/>
      <c r="I56" s="15"/>
      <c r="K56" s="44"/>
      <c r="L56" s="44"/>
      <c r="M56" s="44"/>
      <c r="N56" s="45"/>
      <c r="O56" s="45"/>
    </row>
    <row r="57" spans="1:15" x14ac:dyDescent="0.35">
      <c r="A57" s="14"/>
      <c r="B57" s="15"/>
      <c r="C57" s="15"/>
      <c r="D57" s="15"/>
      <c r="E57" s="15"/>
      <c r="F57" s="46"/>
      <c r="G57" s="15"/>
      <c r="H57" s="15"/>
      <c r="I57" s="15"/>
      <c r="K57" s="44"/>
      <c r="L57" s="44"/>
      <c r="M57" s="44"/>
      <c r="N57" s="45"/>
      <c r="O57" s="45"/>
    </row>
    <row r="58" spans="1:15" x14ac:dyDescent="0.35">
      <c r="A58" s="14"/>
      <c r="B58" s="15"/>
      <c r="C58" s="15"/>
      <c r="D58" s="15"/>
      <c r="E58" s="15"/>
      <c r="F58" s="46"/>
      <c r="G58" s="15"/>
      <c r="H58" s="15"/>
      <c r="I58" s="15"/>
      <c r="K58" s="44"/>
      <c r="L58" s="44"/>
      <c r="M58" s="44"/>
      <c r="N58" s="45"/>
      <c r="O58" s="45"/>
    </row>
    <row r="59" spans="1:15" x14ac:dyDescent="0.35">
      <c r="A59" s="14"/>
      <c r="B59" s="15"/>
      <c r="C59" s="15"/>
      <c r="D59" s="15"/>
      <c r="E59" s="15"/>
      <c r="F59" s="46"/>
      <c r="G59" s="15"/>
      <c r="H59" s="15"/>
      <c r="I59" s="15"/>
      <c r="K59" s="44"/>
      <c r="L59" s="44"/>
      <c r="M59" s="44"/>
      <c r="N59" s="45"/>
      <c r="O59" s="45"/>
    </row>
    <row r="60" spans="1:15" x14ac:dyDescent="0.35">
      <c r="A60" s="14"/>
      <c r="B60" s="15"/>
      <c r="C60" s="15"/>
      <c r="D60" s="15"/>
      <c r="E60" s="15"/>
      <c r="F60" s="46"/>
      <c r="G60" s="15"/>
      <c r="H60" s="15"/>
      <c r="I60" s="15"/>
      <c r="K60" s="44"/>
      <c r="L60" s="44"/>
      <c r="M60" s="44"/>
      <c r="N60" s="45"/>
      <c r="O60" s="45"/>
    </row>
    <row r="61" spans="1:15" x14ac:dyDescent="0.35">
      <c r="A61" s="14"/>
      <c r="B61" s="15"/>
      <c r="C61" s="15"/>
      <c r="D61" s="15"/>
      <c r="E61" s="15"/>
      <c r="F61" s="46"/>
      <c r="G61" s="15"/>
      <c r="H61" s="15"/>
      <c r="I61" s="15"/>
      <c r="K61" s="44"/>
      <c r="L61" s="44"/>
      <c r="M61" s="44"/>
      <c r="N61" s="45"/>
      <c r="O61" s="45"/>
    </row>
    <row r="62" spans="1:15" x14ac:dyDescent="0.35">
      <c r="A62" s="14"/>
      <c r="B62" s="15"/>
      <c r="C62" s="15"/>
      <c r="D62" s="15"/>
      <c r="E62" s="15"/>
      <c r="F62" s="46"/>
      <c r="G62" s="15"/>
      <c r="H62" s="15"/>
      <c r="I62" s="15"/>
      <c r="K62" s="44"/>
      <c r="L62" s="44"/>
      <c r="M62" s="44"/>
      <c r="N62" s="45"/>
      <c r="O62" s="45"/>
    </row>
    <row r="63" spans="1:15" x14ac:dyDescent="0.35">
      <c r="A63" s="14"/>
      <c r="B63" s="15"/>
      <c r="C63" s="15"/>
      <c r="D63" s="15"/>
      <c r="E63" s="15"/>
      <c r="F63" s="46"/>
      <c r="G63" s="15"/>
      <c r="H63" s="15"/>
      <c r="I63" s="15"/>
      <c r="K63" s="44"/>
      <c r="L63" s="44"/>
      <c r="M63" s="44"/>
      <c r="N63" s="45"/>
      <c r="O63" s="45"/>
    </row>
    <row r="64" spans="1:15" x14ac:dyDescent="0.35">
      <c r="A64" s="14"/>
      <c r="B64" s="15"/>
      <c r="C64" s="15"/>
      <c r="D64" s="15"/>
      <c r="E64" s="15"/>
      <c r="F64" s="46"/>
      <c r="G64" s="15"/>
      <c r="H64" s="15"/>
      <c r="I64" s="15"/>
      <c r="K64" s="44"/>
      <c r="L64" s="44"/>
      <c r="M64" s="44"/>
      <c r="N64" s="45"/>
      <c r="O64" s="45"/>
    </row>
    <row r="65" spans="1:15" x14ac:dyDescent="0.35">
      <c r="A65" s="14"/>
      <c r="B65" s="15"/>
      <c r="C65" s="15"/>
      <c r="D65" s="15"/>
      <c r="E65" s="15"/>
      <c r="F65" s="46"/>
      <c r="G65" s="15"/>
      <c r="H65" s="15"/>
      <c r="I65" s="15"/>
      <c r="K65" s="44"/>
      <c r="L65" s="44"/>
      <c r="M65" s="44"/>
      <c r="N65" s="45"/>
      <c r="O65" s="45"/>
    </row>
    <row r="66" spans="1:15" x14ac:dyDescent="0.35">
      <c r="A66" s="14"/>
      <c r="B66" s="15"/>
      <c r="C66" s="15"/>
      <c r="D66" s="15"/>
      <c r="E66" s="15"/>
      <c r="F66" s="46"/>
      <c r="G66" s="15"/>
      <c r="H66" s="15"/>
      <c r="I66" s="15"/>
      <c r="K66" s="44"/>
      <c r="L66" s="44"/>
      <c r="M66" s="44"/>
      <c r="N66" s="45"/>
      <c r="O66" s="45"/>
    </row>
    <row r="67" spans="1:15" x14ac:dyDescent="0.35">
      <c r="A67" s="14"/>
      <c r="B67" s="15"/>
      <c r="C67" s="15"/>
      <c r="D67" s="15"/>
      <c r="E67" s="15"/>
      <c r="F67" s="46"/>
      <c r="G67" s="15"/>
      <c r="H67" s="15"/>
      <c r="I67" s="15"/>
      <c r="K67" s="44"/>
      <c r="L67" s="44"/>
      <c r="M67" s="44"/>
      <c r="N67" s="45"/>
      <c r="O67" s="45"/>
    </row>
    <row r="68" spans="1:15" x14ac:dyDescent="0.35">
      <c r="A68" s="14"/>
      <c r="B68" s="15"/>
      <c r="C68" s="15"/>
      <c r="D68" s="15"/>
      <c r="E68" s="15"/>
      <c r="F68" s="46"/>
      <c r="G68" s="15"/>
      <c r="H68" s="15"/>
      <c r="I68" s="15"/>
      <c r="K68" s="44"/>
      <c r="L68" s="44"/>
      <c r="M68" s="44"/>
      <c r="N68" s="45"/>
      <c r="O68" s="45"/>
    </row>
    <row r="69" spans="1:15" x14ac:dyDescent="0.35">
      <c r="A69" s="14"/>
      <c r="B69" s="15"/>
      <c r="C69" s="15"/>
      <c r="D69" s="15"/>
      <c r="E69" s="15"/>
      <c r="F69" s="46"/>
      <c r="G69" s="15"/>
      <c r="H69" s="15"/>
      <c r="I69" s="15"/>
      <c r="K69" s="44"/>
      <c r="L69" s="44"/>
      <c r="M69" s="44"/>
      <c r="N69" s="45"/>
      <c r="O69" s="45"/>
    </row>
    <row r="70" spans="1:15" x14ac:dyDescent="0.35">
      <c r="A70" s="14"/>
      <c r="B70" s="15"/>
      <c r="C70" s="15"/>
      <c r="D70" s="15"/>
      <c r="E70" s="15"/>
      <c r="F70" s="46"/>
      <c r="G70" s="15"/>
      <c r="H70" s="15"/>
      <c r="I70" s="15"/>
      <c r="K70" s="44"/>
      <c r="L70" s="44"/>
      <c r="M70" s="44"/>
      <c r="N70" s="45"/>
      <c r="O70" s="45"/>
    </row>
    <row r="71" spans="1:15" x14ac:dyDescent="0.35">
      <c r="A71" s="14"/>
      <c r="B71" s="15"/>
      <c r="C71" s="15"/>
      <c r="D71" s="15"/>
      <c r="E71" s="15"/>
      <c r="F71" s="46"/>
      <c r="G71" s="15"/>
      <c r="H71" s="15"/>
      <c r="I71" s="15"/>
      <c r="K71" s="44"/>
      <c r="L71" s="44"/>
      <c r="M71" s="44"/>
      <c r="N71" s="45"/>
      <c r="O71" s="45"/>
    </row>
    <row r="72" spans="1:15" x14ac:dyDescent="0.35">
      <c r="A72" s="14"/>
      <c r="B72" s="15"/>
      <c r="C72" s="15"/>
      <c r="D72" s="15"/>
      <c r="E72" s="15"/>
      <c r="F72" s="46"/>
      <c r="G72" s="15"/>
      <c r="H72" s="15"/>
      <c r="I72" s="15"/>
      <c r="K72" s="44"/>
      <c r="L72" s="44"/>
      <c r="M72" s="44"/>
      <c r="N72" s="45"/>
      <c r="O72" s="45"/>
    </row>
  </sheetData>
  <dataValidations count="2">
    <dataValidation type="list" allowBlank="1" sqref="D4:D1008" xr:uid="{00000000-0002-0000-0700-000000000000}">
      <formula1>"ESPECIALIZADO,OFICIAL,MEDIO OFICIAL,AYUDANTE"</formula1>
      <formula2>0</formula2>
    </dataValidation>
    <dataValidation type="list" allowBlank="1" error="Rubro fuera del plan de cuentas" prompt="Elegí un rubro del plan de cuentas" sqref="E4:E72" xr:uid="{00000000-0002-0000-0700-000001000000}">
      <formula1>RUBROS_PLAN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D14"/>
  <sheetViews>
    <sheetView zoomScaleNormal="100" workbookViewId="0">
      <pane ySplit="1" topLeftCell="A2" activePane="bottomLeft" state="frozen"/>
      <selection pane="bottomLeft" activeCell="A14" sqref="A14"/>
    </sheetView>
  </sheetViews>
  <sheetFormatPr defaultColWidth="8.6328125" defaultRowHeight="14.5" x14ac:dyDescent="0.35"/>
  <cols>
    <col min="1" max="1" width="12" customWidth="1"/>
    <col min="2" max="2" width="11" customWidth="1"/>
    <col min="3" max="3" width="17.90625" bestFit="1" customWidth="1"/>
    <col min="4" max="4" width="15" customWidth="1"/>
  </cols>
  <sheetData>
    <row r="1" spans="1:4" x14ac:dyDescent="0.35">
      <c r="A1" s="236" t="s">
        <v>4441</v>
      </c>
      <c r="B1" s="236" t="s">
        <v>461</v>
      </c>
      <c r="C1" s="236" t="s">
        <v>4442</v>
      </c>
      <c r="D1" s="236" t="s">
        <v>4443</v>
      </c>
    </row>
    <row r="2" spans="1:4" x14ac:dyDescent="0.35">
      <c r="A2" s="238">
        <v>46082</v>
      </c>
      <c r="B2" s="183" t="s">
        <v>4444</v>
      </c>
      <c r="C2" s="237" t="s">
        <v>4387</v>
      </c>
      <c r="D2" s="234">
        <v>261562.8</v>
      </c>
    </row>
    <row r="3" spans="1:4" x14ac:dyDescent="0.35">
      <c r="A3" s="238">
        <v>46082</v>
      </c>
      <c r="B3" s="183" t="s">
        <v>4444</v>
      </c>
      <c r="C3" s="237" t="s">
        <v>4384</v>
      </c>
      <c r="D3" s="234">
        <v>1259725.27744848</v>
      </c>
    </row>
    <row r="4" spans="1:4" s="4" customFormat="1" ht="13" customHeight="1" x14ac:dyDescent="0.3">
      <c r="A4" s="238">
        <v>46082</v>
      </c>
      <c r="B4" s="183" t="s">
        <v>4445</v>
      </c>
      <c r="C4" s="237" t="s">
        <v>4446</v>
      </c>
      <c r="D4" s="234">
        <v>1109248.1436634699</v>
      </c>
    </row>
    <row r="5" spans="1:4" x14ac:dyDescent="0.35">
      <c r="A5" s="238">
        <v>46082</v>
      </c>
      <c r="B5" s="183" t="s">
        <v>4445</v>
      </c>
      <c r="C5" s="237" t="s">
        <v>4447</v>
      </c>
      <c r="D5" s="234">
        <v>625000.05000000005</v>
      </c>
    </row>
    <row r="6" spans="1:4" x14ac:dyDescent="0.35">
      <c r="A6" s="238">
        <v>46113</v>
      </c>
      <c r="B6" s="183" t="s">
        <v>4444</v>
      </c>
      <c r="C6" s="237" t="s">
        <v>4387</v>
      </c>
      <c r="D6" s="234">
        <v>266794</v>
      </c>
    </row>
    <row r="7" spans="1:4" x14ac:dyDescent="0.35">
      <c r="A7" s="238">
        <v>46113</v>
      </c>
      <c r="B7" s="183" t="s">
        <v>4444</v>
      </c>
      <c r="C7" s="237" t="s">
        <v>4384</v>
      </c>
      <c r="D7" s="234">
        <v>1330801.9738381801</v>
      </c>
    </row>
    <row r="8" spans="1:4" x14ac:dyDescent="0.35">
      <c r="A8" s="238">
        <v>46113</v>
      </c>
      <c r="B8" s="183" t="s">
        <v>4445</v>
      </c>
      <c r="C8" s="237" t="s">
        <v>4446</v>
      </c>
      <c r="D8" s="234">
        <v>1261946.3497617</v>
      </c>
    </row>
    <row r="9" spans="1:4" x14ac:dyDescent="0.35">
      <c r="A9" s="238">
        <v>46113</v>
      </c>
      <c r="B9" s="183" t="s">
        <v>4445</v>
      </c>
      <c r="C9" s="237" t="s">
        <v>4447</v>
      </c>
      <c r="D9" s="234">
        <v>625000.05000000005</v>
      </c>
    </row>
    <row r="10" spans="1:4" x14ac:dyDescent="0.35">
      <c r="A10" s="238">
        <v>46143</v>
      </c>
      <c r="B10" s="183" t="s">
        <v>4444</v>
      </c>
      <c r="C10" s="237" t="s">
        <v>4387</v>
      </c>
      <c r="D10" s="234">
        <v>271596.2</v>
      </c>
    </row>
    <row r="11" spans="1:4" x14ac:dyDescent="0.35">
      <c r="A11" s="238">
        <v>46143</v>
      </c>
      <c r="B11" s="183" t="s">
        <v>4444</v>
      </c>
      <c r="C11" s="237" t="s">
        <v>4384</v>
      </c>
      <c r="D11" s="234">
        <v>994750.56568802497</v>
      </c>
    </row>
    <row r="12" spans="1:4" x14ac:dyDescent="0.35">
      <c r="A12" s="238">
        <v>46143</v>
      </c>
      <c r="B12" s="183" t="s">
        <v>4444</v>
      </c>
      <c r="C12" s="237" t="s">
        <v>4393</v>
      </c>
      <c r="D12" s="234">
        <v>469667.88554734702</v>
      </c>
    </row>
    <row r="13" spans="1:4" x14ac:dyDescent="0.35">
      <c r="A13" s="238">
        <v>46143</v>
      </c>
      <c r="B13" s="183" t="s">
        <v>4445</v>
      </c>
      <c r="C13" s="237" t="s">
        <v>4446</v>
      </c>
      <c r="D13" s="234">
        <v>1208735.9101816299</v>
      </c>
    </row>
    <row r="14" spans="1:4" x14ac:dyDescent="0.35">
      <c r="A14" s="238">
        <v>46143</v>
      </c>
      <c r="B14" s="183" t="s">
        <v>4445</v>
      </c>
      <c r="C14" s="237" t="s">
        <v>4447</v>
      </c>
      <c r="D14" s="234">
        <v>625000</v>
      </c>
    </row>
  </sheetData>
  <dataValidations count="2">
    <dataValidation type="list" allowBlank="1" sqref="B2:B14" xr:uid="{00000000-0002-0000-0800-000000000000}">
      <formula1>"Directo,Indirecto"</formula1>
    </dataValidation>
    <dataValidation type="list" allowBlank="1" sqref="C2:C14" xr:uid="{00000000-0002-0000-0800-000001000000}">
      <formula1>GASTOS_CONCEPTO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N26"/>
  <sheetViews>
    <sheetView showGridLines="0" zoomScaleNormal="100" workbookViewId="0">
      <pane ySplit="3" topLeftCell="A4" activePane="bottomLeft" state="frozen"/>
      <selection pane="bottomLeft" activeCell="A6" sqref="A6"/>
    </sheetView>
  </sheetViews>
  <sheetFormatPr defaultColWidth="8.6328125" defaultRowHeight="14.5" x14ac:dyDescent="0.35"/>
  <cols>
    <col min="1" max="1" width="14.54296875" customWidth="1"/>
    <col min="2" max="2" width="20.08984375" customWidth="1"/>
    <col min="3" max="3" width="18.1796875" customWidth="1"/>
    <col min="4" max="4" width="22.453125" customWidth="1"/>
    <col min="5" max="5" width="16.1796875" bestFit="1" customWidth="1"/>
    <col min="6" max="6" width="14.54296875" customWidth="1"/>
    <col min="8" max="8" width="15" customWidth="1"/>
    <col min="9" max="9" width="13" customWidth="1"/>
    <col min="10" max="10" width="12" customWidth="1"/>
    <col min="11" max="11" width="14" customWidth="1"/>
    <col min="12" max="12" width="15" customWidth="1"/>
    <col min="13" max="13" width="12" customWidth="1"/>
    <col min="14" max="14" width="15" customWidth="1"/>
  </cols>
  <sheetData>
    <row r="1" spans="1:14" ht="16" customHeight="1" x14ac:dyDescent="0.4">
      <c r="A1" s="6" t="s">
        <v>4448</v>
      </c>
      <c r="B1" s="6"/>
      <c r="C1" s="6"/>
      <c r="D1" s="6"/>
      <c r="E1" s="6"/>
      <c r="F1" s="6"/>
      <c r="G1" s="6"/>
    </row>
    <row r="3" spans="1:14" ht="26" customHeight="1" x14ac:dyDescent="0.35">
      <c r="A3" s="13" t="s">
        <v>4449</v>
      </c>
      <c r="B3" s="13" t="s">
        <v>4450</v>
      </c>
      <c r="C3" s="13" t="s">
        <v>476</v>
      </c>
      <c r="D3" s="13" t="s">
        <v>197</v>
      </c>
      <c r="E3" s="13" t="s">
        <v>4451</v>
      </c>
      <c r="F3" s="13" t="s">
        <v>4452</v>
      </c>
      <c r="G3" s="13" t="s">
        <v>4453</v>
      </c>
      <c r="H3" s="217" t="s">
        <v>4454</v>
      </c>
      <c r="I3" s="217" t="s">
        <v>4455</v>
      </c>
      <c r="J3" s="217" t="s">
        <v>4456</v>
      </c>
      <c r="K3" s="217" t="s">
        <v>4457</v>
      </c>
      <c r="L3" s="217" t="s">
        <v>4458</v>
      </c>
      <c r="M3" s="217" t="s">
        <v>4459</v>
      </c>
      <c r="N3" s="217" t="s">
        <v>140</v>
      </c>
    </row>
    <row r="4" spans="1:14" ht="14.25" customHeight="1" x14ac:dyDescent="0.35">
      <c r="A4" s="184" t="s">
        <v>4460</v>
      </c>
      <c r="B4" s="185" t="s">
        <v>4461</v>
      </c>
      <c r="C4" s="185" t="s">
        <v>4462</v>
      </c>
      <c r="D4" s="185" t="s">
        <v>4463</v>
      </c>
      <c r="E4" s="186">
        <v>1040000</v>
      </c>
      <c r="F4" s="187" t="s">
        <v>4464</v>
      </c>
      <c r="G4" s="188">
        <v>0</v>
      </c>
      <c r="H4" s="224">
        <f>SUMIFS('2_Movimientos'!$I:$I,'2_Movimientos'!$Q:$Q,$A4,'2_Movimientos'!$R:$R,"BASE")+SUMIFS('2_Movimientos'!$I:$I,'2_Movimientos'!$Q:$Q,$A4,'2_Movimientos'!$R:$R,"ANT")</f>
        <v>1040000</v>
      </c>
      <c r="I4" s="224">
        <f>SUMIFS('2_Movimientos'!$I:$I,'2_Movimientos'!$Q:$Q,$A4,'2_Movimientos'!$R:$R,"CAC")</f>
        <v>0</v>
      </c>
      <c r="J4" s="224">
        <f>SUMIFS('2_Movimientos'!$I:$I,'2_Movimientos'!$Q:$Q,$A4,'2_Movimientos'!$R:$R,"CS")</f>
        <v>0</v>
      </c>
      <c r="K4" s="226">
        <f>H4+I4+J4</f>
        <v>1040000</v>
      </c>
      <c r="L4" s="226">
        <f>$E4-H4</f>
        <v>0</v>
      </c>
      <c r="M4" s="231">
        <f>IFERROR(H4/$E4,0)</f>
        <v>1</v>
      </c>
      <c r="N4" s="222" t="str">
        <f>IF(L4&lt;=0,"🔴 Sin saldo",IF(M4&gt;=0.9,"🟠 &lt;10% saldo","🟢 OK"))</f>
        <v>🔴 Sin saldo</v>
      </c>
    </row>
    <row r="5" spans="1:14" ht="14.25" customHeight="1" x14ac:dyDescent="0.35">
      <c r="A5" s="184" t="s">
        <v>4465</v>
      </c>
      <c r="B5" s="185" t="s">
        <v>4466</v>
      </c>
      <c r="C5" s="185" t="s">
        <v>4467</v>
      </c>
      <c r="D5" s="185" t="s">
        <v>4468</v>
      </c>
      <c r="E5" s="186">
        <v>680000</v>
      </c>
      <c r="F5" s="187" t="s">
        <v>4464</v>
      </c>
      <c r="G5" s="188">
        <v>0</v>
      </c>
      <c r="H5" s="224">
        <f>SUMIFS('2_Movimientos'!$I:$I,'2_Movimientos'!$Q:$Q,$A5,'2_Movimientos'!$R:$R,"BASE")+SUMIFS('2_Movimientos'!$I:$I,'2_Movimientos'!$Q:$Q,$A5,'2_Movimientos'!$R:$R,"ANT")</f>
        <v>730000</v>
      </c>
      <c r="I5" s="224">
        <f>SUMIFS('2_Movimientos'!$I:$I,'2_Movimientos'!$Q:$Q,$A5,'2_Movimientos'!$R:$R,"CAC")</f>
        <v>0</v>
      </c>
      <c r="J5" s="224">
        <f>SUMIFS('2_Movimientos'!$I:$I,'2_Movimientos'!$Q:$Q,$A5,'2_Movimientos'!$R:$R,"CS")</f>
        <v>0</v>
      </c>
      <c r="K5" s="226">
        <f>H5+I5+J5</f>
        <v>730000</v>
      </c>
      <c r="L5" s="226">
        <f>$E5-H5</f>
        <v>-50000</v>
      </c>
      <c r="M5" s="231">
        <f>IFERROR(H5/$E5,0)</f>
        <v>1.0735294117647058</v>
      </c>
      <c r="N5" s="222" t="str">
        <f>IF(L5&lt;=0,"🔴 Sin saldo",IF(M5&gt;=0.9,"🟠 &lt;10% saldo","🟢 OK"))</f>
        <v>🔴 Sin saldo</v>
      </c>
    </row>
    <row r="6" spans="1:14" ht="14.25" customHeight="1" x14ac:dyDescent="0.35">
      <c r="A6" s="184" t="s">
        <v>4469</v>
      </c>
      <c r="B6" s="185" t="s">
        <v>4470</v>
      </c>
      <c r="C6" s="185" t="s">
        <v>4471</v>
      </c>
      <c r="D6" s="185" t="s">
        <v>4470</v>
      </c>
      <c r="E6" s="186">
        <v>55937600</v>
      </c>
      <c r="F6" s="187" t="s">
        <v>4472</v>
      </c>
      <c r="G6" s="188">
        <v>0.3</v>
      </c>
      <c r="H6" s="224">
        <f>SUMIFS('2_Movimientos'!$I:$I,'2_Movimientos'!$Q:$Q,$A6,'2_Movimientos'!$R:$R,"BASE")+SUMIFS('2_Movimientos'!$I:$I,'2_Movimientos'!$Q:$Q,$A6,'2_Movimientos'!$R:$R,"ANT")</f>
        <v>50757590.420000002</v>
      </c>
      <c r="I6" s="224">
        <f>SUMIFS('2_Movimientos'!$I:$I,'2_Movimientos'!$Q:$Q,$A6,'2_Movimientos'!$R:$R,"CAC")</f>
        <v>1145169.58</v>
      </c>
      <c r="J6" s="224">
        <f>SUMIFS('2_Movimientos'!$I:$I,'2_Movimientos'!$Q:$Q,$A6,'2_Movimientos'!$R:$R,"CS")</f>
        <v>0</v>
      </c>
      <c r="K6" s="226">
        <f>H6+I6+J6</f>
        <v>51902760</v>
      </c>
      <c r="L6" s="226">
        <f>$E6-H6</f>
        <v>5180009.5799999982</v>
      </c>
      <c r="M6" s="231">
        <f>IFERROR(H6/$E6,0)</f>
        <v>0.90739664233002493</v>
      </c>
      <c r="N6" s="222" t="str">
        <f>IF(L6&lt;=0,"🔴 Sin saldo",IF(M6&gt;=0.9,"🟠 &lt;10% saldo","🟢 OK"))</f>
        <v>🟠 &lt;10% saldo</v>
      </c>
    </row>
    <row r="7" spans="1:14" ht="14.25" customHeight="1" x14ac:dyDescent="0.35">
      <c r="A7" s="184" t="s">
        <v>4473</v>
      </c>
      <c r="B7" s="185" t="s">
        <v>4474</v>
      </c>
      <c r="C7" s="185" t="s">
        <v>4475</v>
      </c>
      <c r="D7" s="185" t="s">
        <v>4476</v>
      </c>
      <c r="E7" s="186">
        <v>1310000</v>
      </c>
      <c r="F7" s="187" t="s">
        <v>4472</v>
      </c>
      <c r="G7" s="188">
        <v>0</v>
      </c>
      <c r="H7" s="224">
        <f>SUMIFS('2_Movimientos'!$I:$I,'2_Movimientos'!$Q:$Q,$A7,'2_Movimientos'!$R:$R,"BASE")+SUMIFS('2_Movimientos'!$I:$I,'2_Movimientos'!$Q:$Q,$A7,'2_Movimientos'!$R:$R,"ANT")</f>
        <v>1310000</v>
      </c>
      <c r="I7" s="224">
        <f>SUMIFS('2_Movimientos'!$I:$I,'2_Movimientos'!$Q:$Q,$A7,'2_Movimientos'!$R:$R,"CAC")</f>
        <v>0</v>
      </c>
      <c r="J7" s="224">
        <f>SUMIFS('2_Movimientos'!$I:$I,'2_Movimientos'!$Q:$Q,$A7,'2_Movimientos'!$R:$R,"CS")</f>
        <v>0</v>
      </c>
      <c r="K7" s="226">
        <f>H7+I7+J7</f>
        <v>1310000</v>
      </c>
      <c r="L7" s="226">
        <f>$E7-H7</f>
        <v>0</v>
      </c>
      <c r="M7" s="231">
        <f>IFERROR(H7/$E7,0)</f>
        <v>1</v>
      </c>
      <c r="N7" s="222" t="str">
        <f>IF(L7&lt;=0,"🔴 Sin saldo",IF(M7&gt;=0.9,"🟠 &lt;10% saldo","🟢 OK"))</f>
        <v>🔴 Sin saldo</v>
      </c>
    </row>
    <row r="8" spans="1:14" x14ac:dyDescent="0.35">
      <c r="A8" s="189"/>
      <c r="B8" s="189"/>
      <c r="C8" s="189"/>
      <c r="D8" s="189"/>
      <c r="E8" s="189"/>
      <c r="F8" s="189"/>
      <c r="G8" s="189"/>
    </row>
    <row r="9" spans="1:14" x14ac:dyDescent="0.35">
      <c r="A9" s="189"/>
      <c r="B9" s="189"/>
      <c r="C9" s="189"/>
      <c r="D9" s="189"/>
      <c r="E9" s="189"/>
      <c r="F9" s="189"/>
      <c r="G9" s="189"/>
    </row>
    <row r="10" spans="1:14" x14ac:dyDescent="0.35">
      <c r="A10" s="189"/>
      <c r="B10" s="189"/>
      <c r="C10" s="189"/>
      <c r="D10" s="189"/>
      <c r="E10" s="189"/>
      <c r="F10" s="189"/>
      <c r="G10" s="189"/>
    </row>
    <row r="11" spans="1:14" x14ac:dyDescent="0.35">
      <c r="A11" s="189"/>
      <c r="B11" s="189"/>
      <c r="C11" s="189"/>
      <c r="D11" s="189"/>
      <c r="E11" s="189"/>
      <c r="F11" s="189"/>
      <c r="G11" s="189"/>
    </row>
    <row r="12" spans="1:14" x14ac:dyDescent="0.35">
      <c r="A12" s="189"/>
      <c r="B12" s="189"/>
      <c r="C12" s="189"/>
      <c r="D12" s="189"/>
      <c r="E12" s="189"/>
      <c r="F12" s="189"/>
      <c r="G12" s="189"/>
    </row>
    <row r="13" spans="1:14" x14ac:dyDescent="0.35">
      <c r="A13" s="189"/>
      <c r="B13" s="189"/>
      <c r="C13" s="189"/>
      <c r="D13" s="189"/>
      <c r="E13" s="189"/>
      <c r="F13" s="189"/>
      <c r="G13" s="189"/>
    </row>
    <row r="14" spans="1:14" x14ac:dyDescent="0.35">
      <c r="A14" s="189"/>
      <c r="B14" s="189"/>
      <c r="C14" s="189"/>
      <c r="D14" s="189"/>
      <c r="E14" s="189"/>
      <c r="F14" s="189"/>
      <c r="G14" s="189"/>
    </row>
    <row r="15" spans="1:14" x14ac:dyDescent="0.35">
      <c r="A15" s="189"/>
      <c r="B15" s="189"/>
      <c r="C15" s="189"/>
      <c r="D15" s="189"/>
      <c r="E15" s="189"/>
      <c r="F15" s="189"/>
      <c r="G15" s="189"/>
    </row>
    <row r="16" spans="1:14" x14ac:dyDescent="0.35">
      <c r="A16" s="189"/>
      <c r="B16" s="189"/>
      <c r="C16" s="189"/>
      <c r="D16" s="189"/>
      <c r="E16" s="189"/>
      <c r="F16" s="189"/>
      <c r="G16" s="189"/>
    </row>
    <row r="17" spans="1:7" x14ac:dyDescent="0.35">
      <c r="A17" s="189"/>
      <c r="B17" s="189"/>
      <c r="C17" s="189"/>
      <c r="D17" s="189"/>
      <c r="E17" s="189"/>
      <c r="F17" s="189"/>
      <c r="G17" s="189"/>
    </row>
    <row r="18" spans="1:7" x14ac:dyDescent="0.35">
      <c r="A18" s="189"/>
      <c r="B18" s="189"/>
      <c r="C18" s="189"/>
      <c r="D18" s="189"/>
      <c r="E18" s="189"/>
      <c r="F18" s="189"/>
      <c r="G18" s="189"/>
    </row>
    <row r="19" spans="1:7" x14ac:dyDescent="0.35">
      <c r="A19" s="189"/>
      <c r="B19" s="189"/>
      <c r="C19" s="189"/>
      <c r="D19" s="189"/>
      <c r="E19" s="189"/>
      <c r="F19" s="189"/>
      <c r="G19" s="189"/>
    </row>
    <row r="20" spans="1:7" x14ac:dyDescent="0.35">
      <c r="A20" s="189"/>
      <c r="B20" s="189"/>
      <c r="C20" s="189"/>
      <c r="D20" s="189"/>
      <c r="E20" s="189"/>
      <c r="F20" s="189"/>
      <c r="G20" s="189"/>
    </row>
    <row r="21" spans="1:7" x14ac:dyDescent="0.35">
      <c r="A21" s="189"/>
      <c r="B21" s="189"/>
      <c r="C21" s="189"/>
      <c r="D21" s="189"/>
      <c r="E21" s="189"/>
      <c r="F21" s="189"/>
      <c r="G21" s="189"/>
    </row>
    <row r="22" spans="1:7" x14ac:dyDescent="0.35">
      <c r="A22" s="189"/>
      <c r="B22" s="189"/>
      <c r="C22" s="189"/>
      <c r="D22" s="189"/>
      <c r="E22" s="189"/>
      <c r="F22" s="189"/>
      <c r="G22" s="189"/>
    </row>
    <row r="23" spans="1:7" x14ac:dyDescent="0.35">
      <c r="A23" s="189"/>
      <c r="B23" s="189"/>
      <c r="C23" s="189"/>
      <c r="D23" s="189"/>
      <c r="E23" s="189"/>
      <c r="F23" s="189"/>
      <c r="G23" s="189"/>
    </row>
    <row r="24" spans="1:7" x14ac:dyDescent="0.35">
      <c r="A24" s="189"/>
      <c r="B24" s="189"/>
      <c r="C24" s="189"/>
      <c r="D24" s="189"/>
      <c r="E24" s="189"/>
      <c r="F24" s="189"/>
      <c r="G24" s="189"/>
    </row>
    <row r="25" spans="1:7" x14ac:dyDescent="0.35">
      <c r="A25" s="189"/>
      <c r="B25" s="189"/>
      <c r="C25" s="189"/>
      <c r="D25" s="189"/>
      <c r="E25" s="189"/>
      <c r="F25" s="189"/>
      <c r="G25" s="189"/>
    </row>
    <row r="26" spans="1:7" x14ac:dyDescent="0.35">
      <c r="A26" s="189"/>
      <c r="B26" s="189"/>
      <c r="C26" s="189"/>
      <c r="D26" s="189"/>
      <c r="E26" s="189"/>
      <c r="F26" s="189"/>
      <c r="G26" s="189"/>
    </row>
  </sheetData>
  <conditionalFormatting sqref="L4:L14">
    <cfRule type="expression" dxfId="5" priority="1">
      <formula>K4=0</formula>
    </cfRule>
    <cfRule type="expression" dxfId="4" priority="2">
      <formula>K4&lt;0</formula>
    </cfRule>
    <cfRule type="expression" dxfId="3" priority="3">
      <formula>K4&gt;0</formula>
    </cfRule>
  </conditionalFormatting>
  <dataValidations count="1">
    <dataValidation type="list" allowBlank="1" sqref="F4:F200" xr:uid="{00000000-0002-0000-0900-000000000000}">
      <formula1>"SI,NO"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6A6A6"/>
  </sheetPr>
  <dimension ref="A1:J3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0" customWidth="1"/>
    <col min="3" max="3" width="6" customWidth="1"/>
  </cols>
  <sheetData>
    <row r="1" spans="1:10" ht="15" customHeight="1" x14ac:dyDescent="0.35">
      <c r="A1" s="13" t="s">
        <v>4477</v>
      </c>
      <c r="B1" s="21" t="s">
        <v>4478</v>
      </c>
      <c r="C1" s="13" t="s">
        <v>4479</v>
      </c>
      <c r="E1" t="s">
        <v>4480</v>
      </c>
      <c r="I1" s="235" t="s">
        <v>4481</v>
      </c>
      <c r="J1" s="235" t="s">
        <v>461</v>
      </c>
    </row>
    <row r="2" spans="1:10" ht="14.25" customHeight="1" x14ac:dyDescent="0.35">
      <c r="A2" s="41" t="s">
        <v>18</v>
      </c>
      <c r="B2" s="42" t="s">
        <v>4482</v>
      </c>
      <c r="C2" s="40" t="s">
        <v>200</v>
      </c>
      <c r="E2" t="s">
        <v>4483</v>
      </c>
      <c r="F2">
        <f>SUMPRODUCT(('1_Presupuesto'!A4:A213&lt;&gt;"")*('1_Presupuesto'!A4:A213&lt;&gt;"-")*ISNA(MATCH('1_Presupuesto'!A4:A213,$A$2:$A$34,0)))+SUMPRODUCT(('1_Presupuesto'!B4:B213&lt;&gt;"")*('1_Presupuesto'!B4:B213&lt;&gt;"-")*ISNA(MATCH('1_Presupuesto'!B4:B213,$A$2:$A$34,0)))+SUMPRODUCT(('1_Presupuesto'!C4:C213&lt;&gt;"")*('1_Presupuesto'!C4:C213&lt;&gt;"-")*ISNA(MATCH('1_Presupuesto'!C4:C213,$A$2:$A$34,0)))+SUMPRODUCT(('1_Presupuesto'!D4:D213&lt;&gt;"")*('1_Presupuesto'!D4:D213&lt;&gt;"-")*ISNA(MATCH('1_Presupuesto'!D4:D213,$A$2:$A$34,0)))</f>
        <v>0</v>
      </c>
      <c r="G2" t="str">
        <f>IF(F2=0,"✓","⚠")</f>
        <v>✓</v>
      </c>
      <c r="I2" t="s">
        <v>4359</v>
      </c>
      <c r="J2" t="s">
        <v>4444</v>
      </c>
    </row>
    <row r="3" spans="1:10" ht="14.25" customHeight="1" x14ac:dyDescent="0.35">
      <c r="A3" s="41" t="s">
        <v>4484</v>
      </c>
      <c r="B3" s="42" t="s">
        <v>4485</v>
      </c>
      <c r="C3" s="40" t="s">
        <v>478</v>
      </c>
      <c r="E3" t="s">
        <v>4486</v>
      </c>
      <c r="F3">
        <f>SUMPRODUCT(('2_Quincenas'!E4:E72&lt;&gt;"")*('2_Quincenas'!E4:E72&lt;&gt;"-")*ISNA(MATCH('2_Quincenas'!E4:E72,$A$2:$A$34,0)))</f>
        <v>0</v>
      </c>
      <c r="G3" t="str">
        <f>IF(F3=0,"✓","⚠")</f>
        <v>✓</v>
      </c>
      <c r="I3" t="s">
        <v>4361</v>
      </c>
      <c r="J3" t="s">
        <v>4444</v>
      </c>
    </row>
    <row r="4" spans="1:10" ht="14.25" customHeight="1" x14ac:dyDescent="0.35">
      <c r="A4" s="41" t="s">
        <v>232</v>
      </c>
      <c r="B4" s="42" t="s">
        <v>4487</v>
      </c>
      <c r="I4" t="s">
        <v>4363</v>
      </c>
      <c r="J4" t="s">
        <v>4444</v>
      </c>
    </row>
    <row r="5" spans="1:10" ht="14.25" customHeight="1" x14ac:dyDescent="0.35">
      <c r="A5" s="41" t="s">
        <v>54</v>
      </c>
      <c r="B5" s="42" t="s">
        <v>4488</v>
      </c>
      <c r="I5" t="s">
        <v>4365</v>
      </c>
      <c r="J5" t="s">
        <v>4444</v>
      </c>
    </row>
    <row r="6" spans="1:10" ht="14.25" customHeight="1" x14ac:dyDescent="0.35">
      <c r="A6" s="41" t="s">
        <v>106</v>
      </c>
      <c r="B6" s="42" t="s">
        <v>4489</v>
      </c>
      <c r="I6" t="s">
        <v>4371</v>
      </c>
      <c r="J6" t="s">
        <v>4444</v>
      </c>
    </row>
    <row r="7" spans="1:10" ht="14.25" customHeight="1" x14ac:dyDescent="0.35">
      <c r="A7" s="41" t="s">
        <v>4490</v>
      </c>
      <c r="B7" s="42" t="s">
        <v>4491</v>
      </c>
      <c r="I7" t="s">
        <v>4375</v>
      </c>
      <c r="J7" t="s">
        <v>4444</v>
      </c>
    </row>
    <row r="8" spans="1:10" ht="14.25" customHeight="1" x14ac:dyDescent="0.35">
      <c r="A8" s="41" t="s">
        <v>4492</v>
      </c>
      <c r="B8" s="42" t="s">
        <v>4493</v>
      </c>
      <c r="I8" t="s">
        <v>4377</v>
      </c>
      <c r="J8" t="s">
        <v>4444</v>
      </c>
    </row>
    <row r="9" spans="1:10" ht="14.25" customHeight="1" x14ac:dyDescent="0.35">
      <c r="A9" s="41" t="s">
        <v>36</v>
      </c>
      <c r="B9" s="42" t="s">
        <v>4494</v>
      </c>
      <c r="I9" t="s">
        <v>4384</v>
      </c>
      <c r="J9" t="s">
        <v>4444</v>
      </c>
    </row>
    <row r="10" spans="1:10" ht="14.25" customHeight="1" x14ac:dyDescent="0.35">
      <c r="A10" s="41" t="s">
        <v>73</v>
      </c>
      <c r="B10" s="42" t="s">
        <v>4495</v>
      </c>
      <c r="I10" t="s">
        <v>4387</v>
      </c>
      <c r="J10" t="s">
        <v>4444</v>
      </c>
    </row>
    <row r="11" spans="1:10" ht="14.25" customHeight="1" x14ac:dyDescent="0.35">
      <c r="A11" s="41" t="s">
        <v>306</v>
      </c>
      <c r="B11" s="42" t="s">
        <v>4496</v>
      </c>
      <c r="I11" t="s">
        <v>4389</v>
      </c>
      <c r="J11" t="s">
        <v>4444</v>
      </c>
    </row>
    <row r="12" spans="1:10" ht="14.25" customHeight="1" x14ac:dyDescent="0.35">
      <c r="A12" s="41" t="s">
        <v>307</v>
      </c>
      <c r="B12" s="42" t="s">
        <v>4497</v>
      </c>
      <c r="I12" t="s">
        <v>4391</v>
      </c>
      <c r="J12" t="s">
        <v>4444</v>
      </c>
    </row>
    <row r="13" spans="1:10" ht="14.25" customHeight="1" x14ac:dyDescent="0.35">
      <c r="A13" s="41" t="s">
        <v>4498</v>
      </c>
      <c r="B13" s="42" t="s">
        <v>4499</v>
      </c>
      <c r="I13" t="s">
        <v>4392</v>
      </c>
      <c r="J13" t="s">
        <v>4444</v>
      </c>
    </row>
    <row r="14" spans="1:10" ht="14.25" customHeight="1" x14ac:dyDescent="0.35">
      <c r="A14" s="41" t="s">
        <v>335</v>
      </c>
      <c r="B14" s="42" t="s">
        <v>4500</v>
      </c>
      <c r="I14" t="s">
        <v>4393</v>
      </c>
      <c r="J14" t="s">
        <v>4444</v>
      </c>
    </row>
    <row r="15" spans="1:10" ht="14.25" customHeight="1" x14ac:dyDescent="0.35">
      <c r="A15" s="41" t="s">
        <v>336</v>
      </c>
      <c r="B15" s="42" t="s">
        <v>4501</v>
      </c>
      <c r="I15" t="s">
        <v>4447</v>
      </c>
      <c r="J15" t="s">
        <v>4445</v>
      </c>
    </row>
    <row r="16" spans="1:10" ht="14.25" customHeight="1" x14ac:dyDescent="0.35">
      <c r="A16" s="41" t="s">
        <v>366</v>
      </c>
      <c r="B16" s="42" t="s">
        <v>4502</v>
      </c>
      <c r="I16" t="s">
        <v>4503</v>
      </c>
      <c r="J16" t="s">
        <v>4445</v>
      </c>
    </row>
    <row r="17" spans="1:10" ht="14.25" customHeight="1" x14ac:dyDescent="0.35">
      <c r="A17" s="41" t="s">
        <v>367</v>
      </c>
      <c r="B17" s="42" t="s">
        <v>4504</v>
      </c>
      <c r="I17" t="s">
        <v>4446</v>
      </c>
      <c r="J17" t="s">
        <v>4445</v>
      </c>
    </row>
    <row r="18" spans="1:10" ht="14.25" customHeight="1" x14ac:dyDescent="0.35">
      <c r="A18" s="41" t="s">
        <v>58</v>
      </c>
      <c r="B18" s="42" t="s">
        <v>4505</v>
      </c>
    </row>
    <row r="19" spans="1:10" ht="14.25" customHeight="1" x14ac:dyDescent="0.35">
      <c r="A19" s="41" t="s">
        <v>420</v>
      </c>
      <c r="B19" s="42" t="s">
        <v>4506</v>
      </c>
    </row>
    <row r="20" spans="1:10" ht="14.25" customHeight="1" x14ac:dyDescent="0.35">
      <c r="A20" s="41" t="s">
        <v>390</v>
      </c>
      <c r="B20" s="42" t="s">
        <v>4507</v>
      </c>
    </row>
    <row r="21" spans="1:10" ht="14.25" customHeight="1" x14ac:dyDescent="0.35">
      <c r="A21" s="41" t="s">
        <v>132</v>
      </c>
      <c r="B21" s="42" t="s">
        <v>4508</v>
      </c>
    </row>
    <row r="22" spans="1:10" ht="14.25" customHeight="1" x14ac:dyDescent="0.35">
      <c r="A22" s="41" t="s">
        <v>4509</v>
      </c>
      <c r="B22" s="42" t="s">
        <v>4510</v>
      </c>
    </row>
    <row r="23" spans="1:10" ht="14.25" customHeight="1" x14ac:dyDescent="0.35">
      <c r="A23" s="41" t="s">
        <v>38</v>
      </c>
      <c r="B23" s="42" t="s">
        <v>4511</v>
      </c>
    </row>
    <row r="24" spans="1:10" ht="14.25" customHeight="1" x14ac:dyDescent="0.35">
      <c r="A24" s="41" t="s">
        <v>26</v>
      </c>
      <c r="B24" s="42" t="s">
        <v>4512</v>
      </c>
    </row>
    <row r="25" spans="1:10" x14ac:dyDescent="0.35">
      <c r="A25" t="s">
        <v>442</v>
      </c>
      <c r="B25" t="s">
        <v>4513</v>
      </c>
    </row>
    <row r="26" spans="1:10" x14ac:dyDescent="0.35">
      <c r="A26" t="s">
        <v>443</v>
      </c>
      <c r="B26" t="s">
        <v>4514</v>
      </c>
    </row>
    <row r="27" spans="1:10" x14ac:dyDescent="0.35">
      <c r="A27" t="s">
        <v>69</v>
      </c>
      <c r="B27" t="s">
        <v>4515</v>
      </c>
    </row>
    <row r="28" spans="1:10" x14ac:dyDescent="0.35">
      <c r="A28" t="s">
        <v>4516</v>
      </c>
      <c r="B28" t="s">
        <v>4517</v>
      </c>
    </row>
    <row r="29" spans="1:10" x14ac:dyDescent="0.35">
      <c r="A29" t="s">
        <v>125</v>
      </c>
      <c r="B29" t="s">
        <v>4518</v>
      </c>
    </row>
    <row r="30" spans="1:10" x14ac:dyDescent="0.35">
      <c r="A30" t="s">
        <v>4519</v>
      </c>
      <c r="B30" t="s">
        <v>4520</v>
      </c>
    </row>
    <row r="31" spans="1:10" x14ac:dyDescent="0.35">
      <c r="A31" t="s">
        <v>4521</v>
      </c>
      <c r="B31" t="s">
        <v>4522</v>
      </c>
    </row>
    <row r="32" spans="1:10" x14ac:dyDescent="0.35">
      <c r="A32" t="s">
        <v>4523</v>
      </c>
      <c r="B32" t="s">
        <v>4524</v>
      </c>
    </row>
    <row r="33" spans="1:2" x14ac:dyDescent="0.35">
      <c r="A33" t="s">
        <v>62</v>
      </c>
      <c r="B33" t="s">
        <v>4525</v>
      </c>
    </row>
    <row r="34" spans="1:2" x14ac:dyDescent="0.35">
      <c r="A34" t="s">
        <v>276</v>
      </c>
      <c r="B34" t="s">
        <v>4526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"/>
  <sheetViews>
    <sheetView showGridLines="0" workbookViewId="0"/>
  </sheetViews>
  <sheetFormatPr defaultRowHeight="14.5" x14ac:dyDescent="0.35"/>
  <cols>
    <col min="1" max="2" width="10" customWidth="1"/>
    <col min="3" max="3" width="34" customWidth="1"/>
    <col min="4" max="4" width="18" customWidth="1"/>
    <col min="5" max="5" width="11" customWidth="1"/>
    <col min="6" max="6" width="13" customWidth="1"/>
    <col min="7" max="9" width="14" customWidth="1"/>
    <col min="10" max="10" width="16" customWidth="1"/>
    <col min="11" max="11" width="12" customWidth="1"/>
    <col min="13" max="13" width="14" customWidth="1"/>
  </cols>
  <sheetData>
    <row r="1" spans="1:13" x14ac:dyDescent="0.35">
      <c r="A1" s="191" t="s">
        <v>4427</v>
      </c>
      <c r="B1" s="191" t="s">
        <v>4527</v>
      </c>
      <c r="C1" s="191" t="s">
        <v>4528</v>
      </c>
      <c r="D1" s="191" t="s">
        <v>4529</v>
      </c>
      <c r="E1" s="191" t="s">
        <v>4530</v>
      </c>
      <c r="F1" s="191" t="s">
        <v>145</v>
      </c>
      <c r="G1" s="191" t="s">
        <v>4531</v>
      </c>
      <c r="H1" s="191" t="s">
        <v>4532</v>
      </c>
      <c r="I1" s="191" t="s">
        <v>4533</v>
      </c>
      <c r="J1" s="191" t="s">
        <v>4534</v>
      </c>
      <c r="K1" s="191" t="s">
        <v>4535</v>
      </c>
      <c r="L1" s="191" t="s">
        <v>210</v>
      </c>
      <c r="M1" s="191" t="s">
        <v>4536</v>
      </c>
    </row>
    <row r="2" spans="1:13" x14ac:dyDescent="0.35">
      <c r="A2" s="192" t="s">
        <v>4537</v>
      </c>
      <c r="B2" s="192" t="s">
        <v>4538</v>
      </c>
      <c r="C2" s="192" t="s">
        <v>4539</v>
      </c>
      <c r="D2" s="193">
        <v>600478155</v>
      </c>
      <c r="E2" s="194">
        <v>0.2</v>
      </c>
      <c r="F2" s="195">
        <v>45809</v>
      </c>
      <c r="G2" s="196">
        <f>_xlfn.XLOOKUP(F2,'0_Indice_CAC'!$A:$A,'0_Indice_CAC'!$B:$B)</f>
        <v>16643.400000000001</v>
      </c>
      <c r="H2" s="194">
        <v>0.65</v>
      </c>
      <c r="I2" s="194">
        <v>0.35</v>
      </c>
      <c r="J2" s="194">
        <v>0.1</v>
      </c>
      <c r="K2" s="194">
        <v>0.21</v>
      </c>
      <c r="L2" s="205" t="s">
        <v>215</v>
      </c>
      <c r="M2" s="197">
        <v>46037</v>
      </c>
    </row>
    <row r="3" spans="1:13" x14ac:dyDescent="0.35">
      <c r="A3" s="192" t="s">
        <v>4537</v>
      </c>
      <c r="B3" s="192" t="s">
        <v>4540</v>
      </c>
      <c r="C3" s="192" t="s">
        <v>4541</v>
      </c>
      <c r="D3" s="193">
        <v>940144849</v>
      </c>
      <c r="E3" s="194">
        <v>0.4</v>
      </c>
      <c r="F3" s="195">
        <v>45809</v>
      </c>
      <c r="G3" s="196">
        <f>_xlfn.XLOOKUP(F3,'0_Indice_CAC'!$A:$A,'0_Indice_CAC'!$B:$B)</f>
        <v>16643.400000000001</v>
      </c>
      <c r="H3" s="194">
        <v>0.65</v>
      </c>
      <c r="I3" s="194">
        <v>0.35</v>
      </c>
      <c r="J3" s="194">
        <v>0.1</v>
      </c>
      <c r="K3" s="194">
        <v>0.21</v>
      </c>
      <c r="L3" s="205" t="s">
        <v>281</v>
      </c>
      <c r="M3" s="197">
        <v>46188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43"/>
  <sheetViews>
    <sheetView showGridLines="0" workbookViewId="0">
      <pane ySplit="1" topLeftCell="A115" activePane="bottomLeft" state="frozen"/>
      <selection pane="bottomLeft" activeCell="L121" sqref="L121"/>
    </sheetView>
  </sheetViews>
  <sheetFormatPr defaultRowHeight="14.5" x14ac:dyDescent="0.35"/>
  <cols>
    <col min="1" max="2" width="10" customWidth="1"/>
    <col min="3" max="3" width="16" customWidth="1"/>
    <col min="4" max="4" width="12" customWidth="1"/>
    <col min="5" max="6" width="11" customWidth="1"/>
    <col min="7" max="7" width="10" customWidth="1"/>
    <col min="8" max="8" width="9" customWidth="1"/>
    <col min="9" max="9" width="16" customWidth="1"/>
    <col min="10" max="10" width="18" customWidth="1"/>
    <col min="11" max="11" width="11" customWidth="1"/>
    <col min="12" max="12" width="16" customWidth="1"/>
    <col min="14" max="14" width="13" customWidth="1"/>
  </cols>
  <sheetData>
    <row r="1" spans="1:14" x14ac:dyDescent="0.35">
      <c r="A1" s="191" t="s">
        <v>4427</v>
      </c>
      <c r="B1" s="191" t="s">
        <v>4527</v>
      </c>
      <c r="C1" s="191" t="s">
        <v>4542</v>
      </c>
      <c r="D1" s="191" t="s">
        <v>4441</v>
      </c>
      <c r="E1" s="191" t="s">
        <v>4543</v>
      </c>
      <c r="F1" s="191" t="s">
        <v>4544</v>
      </c>
      <c r="G1" s="191" t="s">
        <v>4545</v>
      </c>
      <c r="H1" s="191" t="s">
        <v>4546</v>
      </c>
      <c r="I1" s="191" t="s">
        <v>4547</v>
      </c>
      <c r="J1" s="191" t="s">
        <v>4548</v>
      </c>
      <c r="K1" s="191" t="s">
        <v>210</v>
      </c>
      <c r="L1" s="191" t="s">
        <v>4549</v>
      </c>
      <c r="N1" s="213" t="s">
        <v>4550</v>
      </c>
    </row>
    <row r="2" spans="1:14" x14ac:dyDescent="0.35">
      <c r="A2" s="192" t="s">
        <v>4537</v>
      </c>
      <c r="B2" s="192" t="s">
        <v>4538</v>
      </c>
      <c r="C2" s="192" t="s">
        <v>4551</v>
      </c>
      <c r="D2" s="197">
        <v>46142</v>
      </c>
      <c r="E2" s="192">
        <v>1.02</v>
      </c>
      <c r="F2" s="194">
        <v>0</v>
      </c>
      <c r="G2" s="194">
        <v>0.5</v>
      </c>
      <c r="H2" s="198">
        <f t="shared" ref="H2:H33" si="0">F2+G2</f>
        <v>0.5</v>
      </c>
      <c r="I2" s="199">
        <f>SUMIFS('1_Presupuesto'!$V:$V,'1_Presupuesto'!$X:$X,K2,'1_Presupuesto'!$E:$E,E2)</f>
        <v>1688715.1902318725</v>
      </c>
      <c r="J2" s="200">
        <f t="shared" ref="J2:J33" si="1">G2*I2</f>
        <v>844357.59511593624</v>
      </c>
      <c r="K2" s="201" t="str">
        <f>_xlfn.XLOOKUP(B2,Cert_OC_Cliente!$B:$B,Cert_OC_Cliente!$L:$L)</f>
        <v>PTO 01</v>
      </c>
      <c r="L2" s="205" t="str">
        <f t="shared" ref="L2:L33" si="2">IF($E2="","",IF(AND(ISNUMBER($I2),$H2&lt;=1.0001),"✓","⚠"))</f>
        <v>✓</v>
      </c>
      <c r="M2" s="232"/>
      <c r="N2" s="214" t="str">
        <f>IF($C2="","",IF(AND(COUNTIF($C$2:$C2,$C2)=1,COUNTIF(Cert_Calculo!$A:$A,$C2)=0),MAX($N$1:N1)+1,""))</f>
        <v/>
      </c>
    </row>
    <row r="3" spans="1:14" x14ac:dyDescent="0.35">
      <c r="A3" s="192" t="s">
        <v>4537</v>
      </c>
      <c r="B3" s="192" t="s">
        <v>4538</v>
      </c>
      <c r="C3" s="192" t="s">
        <v>4551</v>
      </c>
      <c r="D3" s="197">
        <v>46142</v>
      </c>
      <c r="E3" s="192">
        <v>1.04</v>
      </c>
      <c r="F3" s="194">
        <v>0</v>
      </c>
      <c r="G3" s="194">
        <v>1</v>
      </c>
      <c r="H3" s="198">
        <f t="shared" si="0"/>
        <v>1</v>
      </c>
      <c r="I3" s="199">
        <f>SUMIFS('1_Presupuesto'!$V:$V,'1_Presupuesto'!$X:$X,K3,'1_Presupuesto'!$E:$E,E3)</f>
        <v>2902436.233203182</v>
      </c>
      <c r="J3" s="200">
        <f t="shared" si="1"/>
        <v>2902436.233203182</v>
      </c>
      <c r="K3" s="201" t="str">
        <f>_xlfn.XLOOKUP(B3,Cert_OC_Cliente!$B:$B,Cert_OC_Cliente!$L:$L)</f>
        <v>PTO 01</v>
      </c>
      <c r="L3" s="205" t="str">
        <f t="shared" si="2"/>
        <v>✓</v>
      </c>
      <c r="M3" s="232"/>
      <c r="N3" s="214" t="str">
        <f>IF($C3="","",IF(AND(COUNTIF($C$2:$C3,$C3)=1,COUNTIF(Cert_Calculo!$A:$A,$C3)=0),MAX($N$1:N2)+1,""))</f>
        <v/>
      </c>
    </row>
    <row r="4" spans="1:14" x14ac:dyDescent="0.35">
      <c r="A4" s="192" t="s">
        <v>4537</v>
      </c>
      <c r="B4" s="192" t="s">
        <v>4538</v>
      </c>
      <c r="C4" s="192" t="s">
        <v>4551</v>
      </c>
      <c r="D4" s="197">
        <v>46142</v>
      </c>
      <c r="E4" s="192">
        <v>1.05</v>
      </c>
      <c r="F4" s="194">
        <v>0</v>
      </c>
      <c r="G4" s="194">
        <v>0.75</v>
      </c>
      <c r="H4" s="198">
        <f t="shared" si="0"/>
        <v>0.75</v>
      </c>
      <c r="I4" s="199">
        <f>SUMIFS('1_Presupuesto'!$V:$V,'1_Presupuesto'!$X:$X,K4,'1_Presupuesto'!$E:$E,E4)</f>
        <v>11833113.750236651</v>
      </c>
      <c r="J4" s="200">
        <f t="shared" si="1"/>
        <v>8874835.3126774877</v>
      </c>
      <c r="K4" s="201" t="str">
        <f>_xlfn.XLOOKUP(B4,Cert_OC_Cliente!$B:$B,Cert_OC_Cliente!$L:$L)</f>
        <v>PTO 01</v>
      </c>
      <c r="L4" s="205" t="str">
        <f t="shared" si="2"/>
        <v>✓</v>
      </c>
      <c r="M4" s="232"/>
      <c r="N4" s="214" t="str">
        <f>IF($C4="","",IF(AND(COUNTIF($C$2:$C4,$C4)=1,COUNTIF(Cert_Calculo!$A:$A,$C4)=0),MAX($N$1:N3)+1,""))</f>
        <v/>
      </c>
    </row>
    <row r="5" spans="1:14" x14ac:dyDescent="0.35">
      <c r="A5" s="192" t="s">
        <v>4537</v>
      </c>
      <c r="B5" s="192" t="s">
        <v>4538</v>
      </c>
      <c r="C5" s="192" t="s">
        <v>4551</v>
      </c>
      <c r="D5" s="197">
        <v>46142</v>
      </c>
      <c r="E5" s="192">
        <v>1.06</v>
      </c>
      <c r="F5" s="194">
        <v>0</v>
      </c>
      <c r="G5" s="194">
        <v>0.25</v>
      </c>
      <c r="H5" s="198">
        <f t="shared" si="0"/>
        <v>0.25</v>
      </c>
      <c r="I5" s="199">
        <f>SUMIFS('1_Presupuesto'!$V:$V,'1_Presupuesto'!$X:$X,K5,'1_Presupuesto'!$E:$E,E5)</f>
        <v>1410725.8095266649</v>
      </c>
      <c r="J5" s="200">
        <f t="shared" si="1"/>
        <v>352681.45238166623</v>
      </c>
      <c r="K5" s="201" t="str">
        <f>_xlfn.XLOOKUP(B5,Cert_OC_Cliente!$B:$B,Cert_OC_Cliente!$L:$L)</f>
        <v>PTO 01</v>
      </c>
      <c r="L5" s="205" t="str">
        <f t="shared" si="2"/>
        <v>✓</v>
      </c>
      <c r="M5" s="232"/>
      <c r="N5" s="214" t="str">
        <f>IF($C5="","",IF(AND(COUNTIF($C$2:$C5,$C5)=1,COUNTIF(Cert_Calculo!$A:$A,$C5)=0),MAX($N$1:N4)+1,""))</f>
        <v/>
      </c>
    </row>
    <row r="6" spans="1:14" x14ac:dyDescent="0.35">
      <c r="A6" s="192" t="s">
        <v>4537</v>
      </c>
      <c r="B6" s="192" t="s">
        <v>4538</v>
      </c>
      <c r="C6" s="192" t="s">
        <v>4551</v>
      </c>
      <c r="D6" s="197">
        <v>46142</v>
      </c>
      <c r="E6" s="192">
        <v>1.07</v>
      </c>
      <c r="F6" s="194">
        <v>0</v>
      </c>
      <c r="G6" s="194">
        <v>1</v>
      </c>
      <c r="H6" s="198">
        <f t="shared" si="0"/>
        <v>1</v>
      </c>
      <c r="I6" s="199">
        <f>SUMIFS('1_Presupuesto'!$V:$V,'1_Presupuesto'!$X:$X,K6,'1_Presupuesto'!$E:$E,E6)</f>
        <v>2824238.61640742</v>
      </c>
      <c r="J6" s="200">
        <f t="shared" si="1"/>
        <v>2824238.61640742</v>
      </c>
      <c r="K6" s="201" t="str">
        <f>_xlfn.XLOOKUP(B6,Cert_OC_Cliente!$B:$B,Cert_OC_Cliente!$L:$L)</f>
        <v>PTO 01</v>
      </c>
      <c r="L6" s="205" t="str">
        <f t="shared" si="2"/>
        <v>✓</v>
      </c>
      <c r="M6" s="232"/>
      <c r="N6" s="214" t="str">
        <f>IF($C6="","",IF(AND(COUNTIF($C$2:$C6,$C6)=1,COUNTIF(Cert_Calculo!$A:$A,$C6)=0),MAX($N$1:N5)+1,""))</f>
        <v/>
      </c>
    </row>
    <row r="7" spans="1:14" x14ac:dyDescent="0.35">
      <c r="A7" s="192" t="s">
        <v>4537</v>
      </c>
      <c r="B7" s="192" t="s">
        <v>4538</v>
      </c>
      <c r="C7" s="192" t="s">
        <v>4551</v>
      </c>
      <c r="D7" s="197">
        <v>46142</v>
      </c>
      <c r="E7" s="192">
        <v>1.0900000000000001</v>
      </c>
      <c r="F7" s="194">
        <v>0</v>
      </c>
      <c r="G7" s="194">
        <v>0.5</v>
      </c>
      <c r="H7" s="198">
        <f t="shared" si="0"/>
        <v>0.5</v>
      </c>
      <c r="I7" s="199">
        <f>SUMIFS('1_Presupuesto'!$V:$V,'1_Presupuesto'!$X:$X,K7,'1_Presupuesto'!$E:$E,E7)</f>
        <v>655167.25932435808</v>
      </c>
      <c r="J7" s="200">
        <f t="shared" si="1"/>
        <v>327583.62966217904</v>
      </c>
      <c r="K7" s="201" t="str">
        <f>_xlfn.XLOOKUP(B7,Cert_OC_Cliente!$B:$B,Cert_OC_Cliente!$L:$L)</f>
        <v>PTO 01</v>
      </c>
      <c r="L7" s="205" t="str">
        <f t="shared" si="2"/>
        <v>✓</v>
      </c>
      <c r="M7" s="232"/>
      <c r="N7" s="214" t="str">
        <f>IF($C7="","",IF(AND(COUNTIF($C$2:$C7,$C7)=1,COUNTIF(Cert_Calculo!$A:$A,$C7)=0),MAX($N$1:N6)+1,""))</f>
        <v/>
      </c>
    </row>
    <row r="8" spans="1:14" x14ac:dyDescent="0.35">
      <c r="A8" s="192" t="s">
        <v>4537</v>
      </c>
      <c r="B8" s="192" t="s">
        <v>4538</v>
      </c>
      <c r="C8" s="192" t="s">
        <v>4551</v>
      </c>
      <c r="D8" s="197">
        <v>46142</v>
      </c>
      <c r="E8" s="192">
        <v>2.0099999999999998</v>
      </c>
      <c r="F8" s="194">
        <v>0</v>
      </c>
      <c r="G8" s="194">
        <v>0.5</v>
      </c>
      <c r="H8" s="198">
        <f t="shared" si="0"/>
        <v>0.5</v>
      </c>
      <c r="I8" s="199">
        <f>SUMIFS('1_Presupuesto'!$V:$V,'1_Presupuesto'!$X:$X,K8,'1_Presupuesto'!$E:$E,E8)</f>
        <v>8608321.8947923519</v>
      </c>
      <c r="J8" s="200">
        <f t="shared" si="1"/>
        <v>4304160.9473961759</v>
      </c>
      <c r="K8" s="201" t="str">
        <f>_xlfn.XLOOKUP(B8,Cert_OC_Cliente!$B:$B,Cert_OC_Cliente!$L:$L)</f>
        <v>PTO 01</v>
      </c>
      <c r="L8" s="205" t="str">
        <f t="shared" si="2"/>
        <v>✓</v>
      </c>
      <c r="M8" s="232"/>
      <c r="N8" s="214" t="str">
        <f>IF($C8="","",IF(AND(COUNTIF($C$2:$C8,$C8)=1,COUNTIF(Cert_Calculo!$A:$A,$C8)=0),MAX($N$1:N7)+1,""))</f>
        <v/>
      </c>
    </row>
    <row r="9" spans="1:14" x14ac:dyDescent="0.35">
      <c r="A9" s="192" t="s">
        <v>4537</v>
      </c>
      <c r="B9" s="192" t="s">
        <v>4538</v>
      </c>
      <c r="C9" s="192" t="s">
        <v>4551</v>
      </c>
      <c r="D9" s="197">
        <v>46142</v>
      </c>
      <c r="E9" s="192">
        <v>3.02</v>
      </c>
      <c r="F9" s="194">
        <v>0</v>
      </c>
      <c r="G9" s="194">
        <v>0.47</v>
      </c>
      <c r="H9" s="198">
        <f t="shared" si="0"/>
        <v>0.47</v>
      </c>
      <c r="I9" s="199">
        <f>SUMIFS('1_Presupuesto'!$V:$V,'1_Presupuesto'!$X:$X,K9,'1_Presupuesto'!$E:$E,E9)</f>
        <v>65949868.7146447</v>
      </c>
      <c r="J9" s="200">
        <f t="shared" si="1"/>
        <v>30996438.295883007</v>
      </c>
      <c r="K9" s="201" t="str">
        <f>_xlfn.XLOOKUP(B9,Cert_OC_Cliente!$B:$B,Cert_OC_Cliente!$L:$L)</f>
        <v>PTO 01</v>
      </c>
      <c r="L9" s="205" t="str">
        <f t="shared" si="2"/>
        <v>✓</v>
      </c>
      <c r="M9" s="232"/>
      <c r="N9" s="214" t="str">
        <f>IF($C9="","",IF(AND(COUNTIF($C$2:$C9,$C9)=1,COUNTIF(Cert_Calculo!$A:$A,$C9)=0),MAX($N$1:N8)+1,""))</f>
        <v/>
      </c>
    </row>
    <row r="10" spans="1:14" x14ac:dyDescent="0.35">
      <c r="A10" s="192" t="s">
        <v>4537</v>
      </c>
      <c r="B10" s="192" t="s">
        <v>4538</v>
      </c>
      <c r="C10" s="192" t="s">
        <v>4551</v>
      </c>
      <c r="D10" s="197">
        <v>46142</v>
      </c>
      <c r="E10" s="192">
        <v>3.06</v>
      </c>
      <c r="F10" s="194">
        <v>0</v>
      </c>
      <c r="G10" s="194">
        <v>0.3</v>
      </c>
      <c r="H10" s="198">
        <f t="shared" si="0"/>
        <v>0.3</v>
      </c>
      <c r="I10" s="199">
        <f>SUMIFS('1_Presupuesto'!$V:$V,'1_Presupuesto'!$X:$X,K10,'1_Presupuesto'!$E:$E,E10)</f>
        <v>9321934.0458562337</v>
      </c>
      <c r="J10" s="200">
        <f t="shared" si="1"/>
        <v>2796580.21375687</v>
      </c>
      <c r="K10" s="201" t="str">
        <f>_xlfn.XLOOKUP(B10,Cert_OC_Cliente!$B:$B,Cert_OC_Cliente!$L:$L)</f>
        <v>PTO 01</v>
      </c>
      <c r="L10" s="205" t="str">
        <f t="shared" si="2"/>
        <v>✓</v>
      </c>
      <c r="M10" s="232"/>
      <c r="N10" s="214" t="str">
        <f>IF($C10="","",IF(AND(COUNTIF($C$2:$C10,$C10)=1,COUNTIF(Cert_Calculo!$A:$A,$C10)=0),MAX($N$1:N9)+1,""))</f>
        <v/>
      </c>
    </row>
    <row r="11" spans="1:14" x14ac:dyDescent="0.35">
      <c r="A11" s="192" t="s">
        <v>4537</v>
      </c>
      <c r="B11" s="192" t="s">
        <v>4538</v>
      </c>
      <c r="C11" s="192" t="s">
        <v>4551</v>
      </c>
      <c r="D11" s="197">
        <v>46142</v>
      </c>
      <c r="E11" s="192">
        <v>3.07</v>
      </c>
      <c r="F11" s="194">
        <v>0</v>
      </c>
      <c r="G11" s="194">
        <v>0.3</v>
      </c>
      <c r="H11" s="198">
        <f t="shared" si="0"/>
        <v>0.3</v>
      </c>
      <c r="I11" s="199">
        <f>SUMIFS('1_Presupuesto'!$V:$V,'1_Presupuesto'!$X:$X,K11,'1_Presupuesto'!$E:$E,E11)</f>
        <v>10667659.999040063</v>
      </c>
      <c r="J11" s="200">
        <f t="shared" si="1"/>
        <v>3200297.9997120188</v>
      </c>
      <c r="K11" s="201" t="str">
        <f>_xlfn.XLOOKUP(B11,Cert_OC_Cliente!$B:$B,Cert_OC_Cliente!$L:$L)</f>
        <v>PTO 01</v>
      </c>
      <c r="L11" s="205" t="str">
        <f t="shared" si="2"/>
        <v>✓</v>
      </c>
      <c r="M11" s="232"/>
      <c r="N11" s="214" t="str">
        <f>IF($C11="","",IF(AND(COUNTIF($C$2:$C11,$C11)=1,COUNTIF(Cert_Calculo!$A:$A,$C11)=0),MAX($N$1:N10)+1,""))</f>
        <v/>
      </c>
    </row>
    <row r="12" spans="1:14" x14ac:dyDescent="0.35">
      <c r="A12" s="192" t="s">
        <v>4537</v>
      </c>
      <c r="B12" s="192" t="s">
        <v>4538</v>
      </c>
      <c r="C12" s="192" t="s">
        <v>4551</v>
      </c>
      <c r="D12" s="197">
        <v>46142</v>
      </c>
      <c r="E12" s="192">
        <v>24.01</v>
      </c>
      <c r="F12" s="194">
        <v>0</v>
      </c>
      <c r="G12" s="194">
        <v>0.1</v>
      </c>
      <c r="H12" s="198">
        <f t="shared" si="0"/>
        <v>0.1</v>
      </c>
      <c r="I12" s="199">
        <f>SUMIFS('1_Presupuesto'!$V:$V,'1_Presupuesto'!$X:$X,K12,'1_Presupuesto'!$E:$E,E12)</f>
        <v>10945143.186908411</v>
      </c>
      <c r="J12" s="200">
        <f t="shared" si="1"/>
        <v>1094514.3186908411</v>
      </c>
      <c r="K12" s="201" t="str">
        <f>_xlfn.XLOOKUP(B12,Cert_OC_Cliente!$B:$B,Cert_OC_Cliente!$L:$L)</f>
        <v>PTO 01</v>
      </c>
      <c r="L12" s="205" t="str">
        <f t="shared" si="2"/>
        <v>✓</v>
      </c>
      <c r="M12" s="232"/>
      <c r="N12" s="214" t="str">
        <f>IF($C12="","",IF(AND(COUNTIF($C$2:$C12,$C12)=1,COUNTIF(Cert_Calculo!$A:$A,$C12)=0),MAX($N$1:N11)+1,""))</f>
        <v/>
      </c>
    </row>
    <row r="13" spans="1:14" x14ac:dyDescent="0.35">
      <c r="A13" s="192" t="s">
        <v>4537</v>
      </c>
      <c r="B13" s="192" t="s">
        <v>4538</v>
      </c>
      <c r="C13" s="192" t="s">
        <v>4551</v>
      </c>
      <c r="D13" s="197">
        <v>46142</v>
      </c>
      <c r="E13" s="192">
        <v>24.03</v>
      </c>
      <c r="F13" s="194">
        <v>0</v>
      </c>
      <c r="G13" s="194">
        <v>0.1</v>
      </c>
      <c r="H13" s="198">
        <f t="shared" si="0"/>
        <v>0.1</v>
      </c>
      <c r="I13" s="199">
        <f>SUMIFS('1_Presupuesto'!$V:$V,'1_Presupuesto'!$X:$X,K13,'1_Presupuesto'!$E:$E,E13)</f>
        <v>4069401.3736346103</v>
      </c>
      <c r="J13" s="200">
        <f t="shared" si="1"/>
        <v>406940.13736346108</v>
      </c>
      <c r="K13" s="201" t="str">
        <f>_xlfn.XLOOKUP(B13,Cert_OC_Cliente!$B:$B,Cert_OC_Cliente!$L:$L)</f>
        <v>PTO 01</v>
      </c>
      <c r="L13" s="205" t="str">
        <f t="shared" si="2"/>
        <v>✓</v>
      </c>
      <c r="M13" s="232"/>
      <c r="N13" s="214" t="str">
        <f>IF($C13="","",IF(AND(COUNTIF($C$2:$C13,$C13)=1,COUNTIF(Cert_Calculo!$A:$A,$C13)=0),MAX($N$1:N12)+1,""))</f>
        <v/>
      </c>
    </row>
    <row r="14" spans="1:14" x14ac:dyDescent="0.35">
      <c r="A14" s="192" t="s">
        <v>4537</v>
      </c>
      <c r="B14" s="192" t="s">
        <v>4538</v>
      </c>
      <c r="C14" s="192" t="s">
        <v>4551</v>
      </c>
      <c r="D14" s="197">
        <v>46142</v>
      </c>
      <c r="E14" s="192">
        <v>25.01</v>
      </c>
      <c r="F14" s="194">
        <v>0</v>
      </c>
      <c r="G14" s="194">
        <v>0.1</v>
      </c>
      <c r="H14" s="198">
        <f t="shared" si="0"/>
        <v>0.1</v>
      </c>
      <c r="I14" s="199">
        <f>SUMIFS('1_Presupuesto'!$V:$V,'1_Presupuesto'!$X:$X,K14,'1_Presupuesto'!$E:$E,E14)</f>
        <v>44037826.195216715</v>
      </c>
      <c r="J14" s="200">
        <f t="shared" si="1"/>
        <v>4403782.6195216719</v>
      </c>
      <c r="K14" s="201" t="str">
        <f>_xlfn.XLOOKUP(B14,Cert_OC_Cliente!$B:$B,Cert_OC_Cliente!$L:$L)</f>
        <v>PTO 01</v>
      </c>
      <c r="L14" s="205" t="str">
        <f t="shared" si="2"/>
        <v>✓</v>
      </c>
      <c r="M14" s="232"/>
      <c r="N14" s="214" t="str">
        <f>IF($C14="","",IF(AND(COUNTIF($C$2:$C14,$C14)=1,COUNTIF(Cert_Calculo!$A:$A,$C14)=0),MAX($N$1:N13)+1,""))</f>
        <v/>
      </c>
    </row>
    <row r="15" spans="1:14" x14ac:dyDescent="0.35">
      <c r="A15" s="192" t="s">
        <v>4537</v>
      </c>
      <c r="B15" s="192" t="s">
        <v>4538</v>
      </c>
      <c r="C15" s="192" t="s">
        <v>4551</v>
      </c>
      <c r="D15" s="197">
        <v>46142</v>
      </c>
      <c r="E15" s="192">
        <v>25.02</v>
      </c>
      <c r="F15" s="194">
        <v>0</v>
      </c>
      <c r="G15" s="194">
        <v>0.1</v>
      </c>
      <c r="H15" s="198">
        <f t="shared" si="0"/>
        <v>0.1</v>
      </c>
      <c r="I15" s="199">
        <f>SUMIFS('1_Presupuesto'!$V:$V,'1_Presupuesto'!$X:$X,K15,'1_Presupuesto'!$E:$E,E15)</f>
        <v>6782335.6227243505</v>
      </c>
      <c r="J15" s="200">
        <f t="shared" si="1"/>
        <v>678233.56227243505</v>
      </c>
      <c r="K15" s="201" t="str">
        <f>_xlfn.XLOOKUP(B15,Cert_OC_Cliente!$B:$B,Cert_OC_Cliente!$L:$L)</f>
        <v>PTO 01</v>
      </c>
      <c r="L15" s="205" t="str">
        <f t="shared" si="2"/>
        <v>✓</v>
      </c>
      <c r="M15" s="232"/>
      <c r="N15" s="214" t="str">
        <f>IF($C15="","",IF(AND(COUNTIF($C$2:$C15,$C15)=1,COUNTIF(Cert_Calculo!$A:$A,$C15)=0),MAX($N$1:N14)+1,""))</f>
        <v/>
      </c>
    </row>
    <row r="16" spans="1:14" x14ac:dyDescent="0.35">
      <c r="A16" s="192" t="s">
        <v>4537</v>
      </c>
      <c r="B16" s="192" t="s">
        <v>4538</v>
      </c>
      <c r="C16" s="192" t="s">
        <v>4552</v>
      </c>
      <c r="D16" s="197">
        <v>46175</v>
      </c>
      <c r="E16" s="192">
        <v>1.0900000000000001</v>
      </c>
      <c r="F16" s="194">
        <v>0.5</v>
      </c>
      <c r="G16" s="194">
        <v>0.2</v>
      </c>
      <c r="H16" s="198">
        <f t="shared" si="0"/>
        <v>0.7</v>
      </c>
      <c r="I16" s="199">
        <f>SUMIFS('1_Presupuesto'!$V:$V,'1_Presupuesto'!$X:$X,K16,'1_Presupuesto'!$E:$E,E16)</f>
        <v>655167.25932435808</v>
      </c>
      <c r="J16" s="200">
        <f t="shared" si="1"/>
        <v>131033.45186487162</v>
      </c>
      <c r="K16" s="201" t="str">
        <f>_xlfn.XLOOKUP(B16,Cert_OC_Cliente!$B:$B,Cert_OC_Cliente!$L:$L)</f>
        <v>PTO 01</v>
      </c>
      <c r="L16" s="205" t="str">
        <f t="shared" si="2"/>
        <v>✓</v>
      </c>
      <c r="M16" s="232"/>
      <c r="N16" s="214" t="str">
        <f>IF($C16="","",IF(AND(COUNTIF($C$2:$C16,$C16)=1,COUNTIF(Cert_Calculo!$A:$A,$C16)=0),MAX($N$1:N15)+1,""))</f>
        <v/>
      </c>
    </row>
    <row r="17" spans="1:14" x14ac:dyDescent="0.35">
      <c r="A17" s="192" t="s">
        <v>4537</v>
      </c>
      <c r="B17" s="192" t="s">
        <v>4538</v>
      </c>
      <c r="C17" s="192" t="s">
        <v>4552</v>
      </c>
      <c r="D17" s="197">
        <v>46175</v>
      </c>
      <c r="E17" s="192">
        <v>2.0299999999999998</v>
      </c>
      <c r="F17" s="194">
        <v>0</v>
      </c>
      <c r="G17" s="194">
        <v>0.4</v>
      </c>
      <c r="H17" s="198">
        <f t="shared" si="0"/>
        <v>0.4</v>
      </c>
      <c r="I17" s="199">
        <f>SUMIFS('1_Presupuesto'!$V:$V,'1_Presupuesto'!$X:$X,K17,'1_Presupuesto'!$E:$E,E17)</f>
        <v>3922009.6905822512</v>
      </c>
      <c r="J17" s="200">
        <f t="shared" si="1"/>
        <v>1568803.8762329007</v>
      </c>
      <c r="K17" s="201" t="str">
        <f>_xlfn.XLOOKUP(B17,Cert_OC_Cliente!$B:$B,Cert_OC_Cliente!$L:$L)</f>
        <v>PTO 01</v>
      </c>
      <c r="L17" s="205" t="str">
        <f t="shared" si="2"/>
        <v>✓</v>
      </c>
      <c r="M17" s="232"/>
      <c r="N17" s="214" t="str">
        <f>IF($C17="","",IF(AND(COUNTIF($C$2:$C17,$C17)=1,COUNTIF(Cert_Calculo!$A:$A,$C17)=0),MAX($N$1:N16)+1,""))</f>
        <v/>
      </c>
    </row>
    <row r="18" spans="1:14" x14ac:dyDescent="0.35">
      <c r="A18" s="192" t="s">
        <v>4537</v>
      </c>
      <c r="B18" s="192" t="s">
        <v>4538</v>
      </c>
      <c r="C18" s="192" t="s">
        <v>4552</v>
      </c>
      <c r="D18" s="197">
        <v>46175</v>
      </c>
      <c r="E18" s="192">
        <v>3.02</v>
      </c>
      <c r="F18" s="194">
        <v>0.47</v>
      </c>
      <c r="G18" s="194">
        <v>0.53</v>
      </c>
      <c r="H18" s="198">
        <f t="shared" si="0"/>
        <v>1</v>
      </c>
      <c r="I18" s="199">
        <f>SUMIFS('1_Presupuesto'!$V:$V,'1_Presupuesto'!$X:$X,K18,'1_Presupuesto'!$E:$E,E18)</f>
        <v>65949868.7146447</v>
      </c>
      <c r="J18" s="200">
        <f t="shared" si="1"/>
        <v>34953430.418761693</v>
      </c>
      <c r="K18" s="201" t="str">
        <f>_xlfn.XLOOKUP(B18,Cert_OC_Cliente!$B:$B,Cert_OC_Cliente!$L:$L)</f>
        <v>PTO 01</v>
      </c>
      <c r="L18" s="205" t="str">
        <f t="shared" si="2"/>
        <v>✓</v>
      </c>
      <c r="M18" s="232"/>
      <c r="N18" s="214" t="str">
        <f>IF($C18="","",IF(AND(COUNTIF($C$2:$C18,$C18)=1,COUNTIF(Cert_Calculo!$A:$A,$C18)=0),MAX($N$1:N17)+1,""))</f>
        <v/>
      </c>
    </row>
    <row r="19" spans="1:14" x14ac:dyDescent="0.35">
      <c r="A19" s="192" t="s">
        <v>4537</v>
      </c>
      <c r="B19" s="192" t="s">
        <v>4538</v>
      </c>
      <c r="C19" s="192" t="s">
        <v>4552</v>
      </c>
      <c r="D19" s="197">
        <v>46175</v>
      </c>
      <c r="E19" s="192">
        <v>3.03</v>
      </c>
      <c r="F19" s="194">
        <v>0</v>
      </c>
      <c r="G19" s="194">
        <v>0.5</v>
      </c>
      <c r="H19" s="198">
        <f t="shared" si="0"/>
        <v>0.5</v>
      </c>
      <c r="I19" s="199">
        <f>SUMIFS('1_Presupuesto'!$V:$V,'1_Presupuesto'!$X:$X,K19,'1_Presupuesto'!$E:$E,E19)</f>
        <v>5590579.7976421099</v>
      </c>
      <c r="J19" s="200">
        <f t="shared" si="1"/>
        <v>2795289.898821055</v>
      </c>
      <c r="K19" s="201" t="str">
        <f>_xlfn.XLOOKUP(B19,Cert_OC_Cliente!$B:$B,Cert_OC_Cliente!$L:$L)</f>
        <v>PTO 01</v>
      </c>
      <c r="L19" s="205" t="str">
        <f t="shared" si="2"/>
        <v>✓</v>
      </c>
      <c r="M19" s="232"/>
      <c r="N19" s="214" t="str">
        <f>IF($C19="","",IF(AND(COUNTIF($C$2:$C19,$C19)=1,COUNTIF(Cert_Calculo!$A:$A,$C19)=0),MAX($N$1:N18)+1,""))</f>
        <v/>
      </c>
    </row>
    <row r="20" spans="1:14" x14ac:dyDescent="0.35">
      <c r="A20" s="192" t="s">
        <v>4537</v>
      </c>
      <c r="B20" s="192" t="s">
        <v>4538</v>
      </c>
      <c r="C20" s="192" t="s">
        <v>4552</v>
      </c>
      <c r="D20" s="197">
        <v>46175</v>
      </c>
      <c r="E20" s="192">
        <v>3.04</v>
      </c>
      <c r="F20" s="194">
        <v>0</v>
      </c>
      <c r="G20" s="194">
        <v>0.5</v>
      </c>
      <c r="H20" s="198">
        <f t="shared" si="0"/>
        <v>0.5</v>
      </c>
      <c r="I20" s="199">
        <f>SUMIFS('1_Presupuesto'!$V:$V,'1_Presupuesto'!$X:$X,K20,'1_Presupuesto'!$E:$E,E20)</f>
        <v>4741182.2217955841</v>
      </c>
      <c r="J20" s="200">
        <f t="shared" si="1"/>
        <v>2370591.110897792</v>
      </c>
      <c r="K20" s="201" t="str">
        <f>_xlfn.XLOOKUP(B20,Cert_OC_Cliente!$B:$B,Cert_OC_Cliente!$L:$L)</f>
        <v>PTO 01</v>
      </c>
      <c r="L20" s="205" t="str">
        <f t="shared" si="2"/>
        <v>✓</v>
      </c>
      <c r="M20" s="232"/>
      <c r="N20" s="214" t="str">
        <f>IF($C20="","",IF(AND(COUNTIF($C$2:$C20,$C20)=1,COUNTIF(Cert_Calculo!$A:$A,$C20)=0),MAX($N$1:N19)+1,""))</f>
        <v/>
      </c>
    </row>
    <row r="21" spans="1:14" x14ac:dyDescent="0.35">
      <c r="A21" s="192" t="s">
        <v>4537</v>
      </c>
      <c r="B21" s="192" t="s">
        <v>4538</v>
      </c>
      <c r="C21" s="192" t="s">
        <v>4552</v>
      </c>
      <c r="D21" s="197">
        <v>46175</v>
      </c>
      <c r="E21" s="192">
        <v>3.05</v>
      </c>
      <c r="F21" s="194">
        <v>0</v>
      </c>
      <c r="G21" s="194">
        <v>0.5</v>
      </c>
      <c r="H21" s="198">
        <f t="shared" si="0"/>
        <v>0.5</v>
      </c>
      <c r="I21" s="199">
        <f>SUMIFS('1_Presupuesto'!$V:$V,'1_Presupuesto'!$X:$X,K21,'1_Presupuesto'!$E:$E,E21)</f>
        <v>1597308.5136120315</v>
      </c>
      <c r="J21" s="200">
        <f t="shared" si="1"/>
        <v>798654.25680601574</v>
      </c>
      <c r="K21" s="201" t="str">
        <f>_xlfn.XLOOKUP(B21,Cert_OC_Cliente!$B:$B,Cert_OC_Cliente!$L:$L)</f>
        <v>PTO 01</v>
      </c>
      <c r="L21" s="205" t="str">
        <f t="shared" si="2"/>
        <v>✓</v>
      </c>
      <c r="M21" s="232"/>
      <c r="N21" s="214" t="str">
        <f>IF($C21="","",IF(AND(COUNTIF($C$2:$C21,$C21)=1,COUNTIF(Cert_Calculo!$A:$A,$C21)=0),MAX($N$1:N20)+1,""))</f>
        <v/>
      </c>
    </row>
    <row r="22" spans="1:14" x14ac:dyDescent="0.35">
      <c r="A22" s="192" t="s">
        <v>4537</v>
      </c>
      <c r="B22" s="192" t="s">
        <v>4538</v>
      </c>
      <c r="C22" s="192" t="s">
        <v>4552</v>
      </c>
      <c r="D22" s="197">
        <v>46175</v>
      </c>
      <c r="E22" s="192">
        <v>3.06</v>
      </c>
      <c r="F22" s="194">
        <v>0.3</v>
      </c>
      <c r="G22" s="194">
        <v>0.4</v>
      </c>
      <c r="H22" s="198">
        <f t="shared" si="0"/>
        <v>0.7</v>
      </c>
      <c r="I22" s="199">
        <f>SUMIFS('1_Presupuesto'!$V:$V,'1_Presupuesto'!$X:$X,K22,'1_Presupuesto'!$E:$E,E22)</f>
        <v>9321934.0458562337</v>
      </c>
      <c r="J22" s="200">
        <f t="shared" si="1"/>
        <v>3728773.6183424937</v>
      </c>
      <c r="K22" s="201" t="str">
        <f>_xlfn.XLOOKUP(B22,Cert_OC_Cliente!$B:$B,Cert_OC_Cliente!$L:$L)</f>
        <v>PTO 01</v>
      </c>
      <c r="L22" s="205" t="str">
        <f t="shared" si="2"/>
        <v>✓</v>
      </c>
      <c r="M22" s="232"/>
      <c r="N22" s="214" t="str">
        <f>IF($C22="","",IF(AND(COUNTIF($C$2:$C22,$C22)=1,COUNTIF(Cert_Calculo!$A:$A,$C22)=0),MAX($N$1:N21)+1,""))</f>
        <v/>
      </c>
    </row>
    <row r="23" spans="1:14" x14ac:dyDescent="0.35">
      <c r="A23" s="192" t="s">
        <v>4537</v>
      </c>
      <c r="B23" s="192" t="s">
        <v>4538</v>
      </c>
      <c r="C23" s="192" t="s">
        <v>4552</v>
      </c>
      <c r="D23" s="197">
        <v>46175</v>
      </c>
      <c r="E23" s="192">
        <v>3.07</v>
      </c>
      <c r="F23" s="194">
        <v>0.3</v>
      </c>
      <c r="G23" s="194">
        <v>0.4</v>
      </c>
      <c r="H23" s="198">
        <f t="shared" si="0"/>
        <v>0.7</v>
      </c>
      <c r="I23" s="199">
        <f>SUMIFS('1_Presupuesto'!$V:$V,'1_Presupuesto'!$X:$X,K23,'1_Presupuesto'!$E:$E,E23)</f>
        <v>10667659.999040063</v>
      </c>
      <c r="J23" s="200">
        <f t="shared" si="1"/>
        <v>4267063.9996160259</v>
      </c>
      <c r="K23" s="201" t="str">
        <f>_xlfn.XLOOKUP(B23,Cert_OC_Cliente!$B:$B,Cert_OC_Cliente!$L:$L)</f>
        <v>PTO 01</v>
      </c>
      <c r="L23" s="205" t="str">
        <f t="shared" si="2"/>
        <v>✓</v>
      </c>
      <c r="M23" s="232"/>
      <c r="N23" s="214" t="str">
        <f>IF($C23="","",IF(AND(COUNTIF($C$2:$C23,$C23)=1,COUNTIF(Cert_Calculo!$A:$A,$C23)=0),MAX($N$1:N22)+1,""))</f>
        <v/>
      </c>
    </row>
    <row r="24" spans="1:14" x14ac:dyDescent="0.35">
      <c r="A24" s="192" t="s">
        <v>4537</v>
      </c>
      <c r="B24" s="192" t="s">
        <v>4538</v>
      </c>
      <c r="C24" s="192" t="s">
        <v>4552</v>
      </c>
      <c r="D24" s="197">
        <v>46175</v>
      </c>
      <c r="E24" s="192">
        <v>3.08</v>
      </c>
      <c r="F24" s="194">
        <v>0</v>
      </c>
      <c r="G24" s="194">
        <v>0.5</v>
      </c>
      <c r="H24" s="198">
        <f t="shared" si="0"/>
        <v>0.5</v>
      </c>
      <c r="I24" s="199">
        <f>SUMIFS('1_Presupuesto'!$V:$V,'1_Presupuesto'!$X:$X,K24,'1_Presupuesto'!$E:$E,E24)</f>
        <v>9752973.4901417941</v>
      </c>
      <c r="J24" s="200">
        <f t="shared" si="1"/>
        <v>4876486.745070897</v>
      </c>
      <c r="K24" s="201" t="str">
        <f>_xlfn.XLOOKUP(B24,Cert_OC_Cliente!$B:$B,Cert_OC_Cliente!$L:$L)</f>
        <v>PTO 01</v>
      </c>
      <c r="L24" s="205" t="str">
        <f t="shared" si="2"/>
        <v>✓</v>
      </c>
      <c r="M24" s="232"/>
      <c r="N24" s="214" t="str">
        <f>IF($C24="","",IF(AND(COUNTIF($C$2:$C24,$C24)=1,COUNTIF(Cert_Calculo!$A:$A,$C24)=0),MAX($N$1:N23)+1,""))</f>
        <v/>
      </c>
    </row>
    <row r="25" spans="1:14" x14ac:dyDescent="0.35">
      <c r="A25" s="192" t="s">
        <v>4537</v>
      </c>
      <c r="B25" s="192" t="s">
        <v>4538</v>
      </c>
      <c r="C25" s="192" t="s">
        <v>4552</v>
      </c>
      <c r="D25" s="197">
        <v>46175</v>
      </c>
      <c r="E25" s="192">
        <v>3.09</v>
      </c>
      <c r="F25" s="194">
        <v>0</v>
      </c>
      <c r="G25" s="194">
        <v>0.5</v>
      </c>
      <c r="H25" s="198">
        <f t="shared" si="0"/>
        <v>0.5</v>
      </c>
      <c r="I25" s="199">
        <f>SUMIFS('1_Presupuesto'!$V:$V,'1_Presupuesto'!$X:$X,K25,'1_Presupuesto'!$E:$E,E25)</f>
        <v>1244978.1963102249</v>
      </c>
      <c r="J25" s="200">
        <f t="shared" si="1"/>
        <v>622489.09815511247</v>
      </c>
      <c r="K25" s="201" t="str">
        <f>_xlfn.XLOOKUP(B25,Cert_OC_Cliente!$B:$B,Cert_OC_Cliente!$L:$L)</f>
        <v>PTO 01</v>
      </c>
      <c r="L25" s="205" t="str">
        <f t="shared" si="2"/>
        <v>✓</v>
      </c>
      <c r="M25" s="232"/>
      <c r="N25" s="214" t="str">
        <f>IF($C25="","",IF(AND(COUNTIF($C$2:$C25,$C25)=1,COUNTIF(Cert_Calculo!$A:$A,$C25)=0),MAX($N$1:N24)+1,""))</f>
        <v/>
      </c>
    </row>
    <row r="26" spans="1:14" x14ac:dyDescent="0.35">
      <c r="A26" s="192" t="s">
        <v>4537</v>
      </c>
      <c r="B26" s="192" t="s">
        <v>4538</v>
      </c>
      <c r="C26" s="192" t="s">
        <v>4552</v>
      </c>
      <c r="D26" s="197">
        <v>46175</v>
      </c>
      <c r="E26" s="192">
        <v>3.13</v>
      </c>
      <c r="F26" s="194">
        <v>0</v>
      </c>
      <c r="G26" s="194">
        <v>0.2</v>
      </c>
      <c r="H26" s="198">
        <f t="shared" si="0"/>
        <v>0.2</v>
      </c>
      <c r="I26" s="199">
        <f>SUMIFS('1_Presupuesto'!$V:$V,'1_Presupuesto'!$X:$X,K26,'1_Presupuesto'!$E:$E,E26)</f>
        <v>22557997.440793369</v>
      </c>
      <c r="J26" s="200">
        <f t="shared" si="1"/>
        <v>4511599.488158674</v>
      </c>
      <c r="K26" s="201" t="str">
        <f>_xlfn.XLOOKUP(B26,Cert_OC_Cliente!$B:$B,Cert_OC_Cliente!$L:$L)</f>
        <v>PTO 01</v>
      </c>
      <c r="L26" s="205" t="str">
        <f t="shared" si="2"/>
        <v>✓</v>
      </c>
      <c r="M26" s="232"/>
      <c r="N26" s="214" t="str">
        <f>IF($C26="","",IF(AND(COUNTIF($C$2:$C26,$C26)=1,COUNTIF(Cert_Calculo!$A:$A,$C26)=0),MAX($N$1:N25)+1,""))</f>
        <v/>
      </c>
    </row>
    <row r="27" spans="1:14" x14ac:dyDescent="0.35">
      <c r="A27" s="192" t="s">
        <v>4537</v>
      </c>
      <c r="B27" s="192" t="s">
        <v>4538</v>
      </c>
      <c r="C27" s="192" t="s">
        <v>4552</v>
      </c>
      <c r="D27" s="197">
        <v>46175</v>
      </c>
      <c r="E27" s="192">
        <v>3.21</v>
      </c>
      <c r="F27" s="194">
        <v>0</v>
      </c>
      <c r="G27" s="194">
        <v>0.35</v>
      </c>
      <c r="H27" s="198">
        <f t="shared" si="0"/>
        <v>0.35</v>
      </c>
      <c r="I27" s="199">
        <f>SUMIFS('1_Presupuesto'!$V:$V,'1_Presupuesto'!$X:$X,K27,'1_Presupuesto'!$E:$E,E27)</f>
        <v>223817.07554990356</v>
      </c>
      <c r="J27" s="200">
        <f t="shared" si="1"/>
        <v>78335.976442466243</v>
      </c>
      <c r="K27" s="201" t="str">
        <f>_xlfn.XLOOKUP(B27,Cert_OC_Cliente!$B:$B,Cert_OC_Cliente!$L:$L)</f>
        <v>PTO 01</v>
      </c>
      <c r="L27" s="205" t="str">
        <f t="shared" si="2"/>
        <v>✓</v>
      </c>
      <c r="M27" s="232"/>
      <c r="N27" s="214" t="str">
        <f>IF($C27="","",IF(AND(COUNTIF($C$2:$C27,$C27)=1,COUNTIF(Cert_Calculo!$A:$A,$C27)=0),MAX($N$1:N26)+1,""))</f>
        <v/>
      </c>
    </row>
    <row r="28" spans="1:14" x14ac:dyDescent="0.35">
      <c r="A28" s="192" t="s">
        <v>4537</v>
      </c>
      <c r="B28" s="192" t="s">
        <v>4538</v>
      </c>
      <c r="C28" s="192" t="s">
        <v>4552</v>
      </c>
      <c r="D28" s="197">
        <v>46175</v>
      </c>
      <c r="E28" s="192">
        <v>24.01</v>
      </c>
      <c r="F28" s="194">
        <v>0.1</v>
      </c>
      <c r="G28" s="194">
        <v>0.1</v>
      </c>
      <c r="H28" s="198">
        <f t="shared" si="0"/>
        <v>0.2</v>
      </c>
      <c r="I28" s="199">
        <f>SUMIFS('1_Presupuesto'!$V:$V,'1_Presupuesto'!$X:$X,K28,'1_Presupuesto'!$E:$E,E28)</f>
        <v>10945143.186908411</v>
      </c>
      <c r="J28" s="200">
        <f t="shared" si="1"/>
        <v>1094514.3186908411</v>
      </c>
      <c r="K28" s="201" t="str">
        <f>_xlfn.XLOOKUP(B28,Cert_OC_Cliente!$B:$B,Cert_OC_Cliente!$L:$L)</f>
        <v>PTO 01</v>
      </c>
      <c r="L28" s="205" t="str">
        <f t="shared" si="2"/>
        <v>✓</v>
      </c>
      <c r="M28" s="232"/>
      <c r="N28" s="214" t="str">
        <f>IF($C28="","",IF(AND(COUNTIF($C$2:$C28,$C28)=1,COUNTIF(Cert_Calculo!$A:$A,$C28)=0),MAX($N$1:N27)+1,""))</f>
        <v/>
      </c>
    </row>
    <row r="29" spans="1:14" x14ac:dyDescent="0.35">
      <c r="A29" s="192" t="s">
        <v>4537</v>
      </c>
      <c r="B29" s="192" t="s">
        <v>4538</v>
      </c>
      <c r="C29" s="192" t="s">
        <v>4552</v>
      </c>
      <c r="D29" s="197">
        <v>46175</v>
      </c>
      <c r="E29" s="192">
        <v>24.03</v>
      </c>
      <c r="F29" s="194">
        <v>0.1</v>
      </c>
      <c r="G29" s="194">
        <v>0.1</v>
      </c>
      <c r="H29" s="198">
        <f t="shared" si="0"/>
        <v>0.2</v>
      </c>
      <c r="I29" s="199">
        <f>SUMIFS('1_Presupuesto'!$V:$V,'1_Presupuesto'!$X:$X,K29,'1_Presupuesto'!$E:$E,E29)</f>
        <v>4069401.3736346103</v>
      </c>
      <c r="J29" s="200">
        <f t="shared" si="1"/>
        <v>406940.13736346108</v>
      </c>
      <c r="K29" s="201" t="str">
        <f>_xlfn.XLOOKUP(B29,Cert_OC_Cliente!$B:$B,Cert_OC_Cliente!$L:$L)</f>
        <v>PTO 01</v>
      </c>
      <c r="L29" s="205" t="str">
        <f t="shared" si="2"/>
        <v>✓</v>
      </c>
      <c r="M29" s="232"/>
      <c r="N29" s="214" t="str">
        <f>IF($C29="","",IF(AND(COUNTIF($C$2:$C29,$C29)=1,COUNTIF(Cert_Calculo!$A:$A,$C29)=0),MAX($N$1:N28)+1,""))</f>
        <v/>
      </c>
    </row>
    <row r="30" spans="1:14" x14ac:dyDescent="0.35">
      <c r="A30" s="192" t="s">
        <v>4537</v>
      </c>
      <c r="B30" s="192" t="s">
        <v>4538</v>
      </c>
      <c r="C30" s="192" t="s">
        <v>4552</v>
      </c>
      <c r="D30" s="197">
        <v>46175</v>
      </c>
      <c r="E30" s="192">
        <v>24.06</v>
      </c>
      <c r="F30" s="194">
        <v>0</v>
      </c>
      <c r="G30" s="194">
        <v>0.1</v>
      </c>
      <c r="H30" s="198">
        <f t="shared" si="0"/>
        <v>0.1</v>
      </c>
      <c r="I30" s="199">
        <f>SUMIFS('1_Presupuesto'!$V:$V,'1_Presupuesto'!$X:$X,K30,'1_Presupuesto'!$E:$E,E30)</f>
        <v>8835241.997407021</v>
      </c>
      <c r="J30" s="200">
        <f t="shared" si="1"/>
        <v>883524.19974070217</v>
      </c>
      <c r="K30" s="201" t="str">
        <f>_xlfn.XLOOKUP(B30,Cert_OC_Cliente!$B:$B,Cert_OC_Cliente!$L:$L)</f>
        <v>PTO 01</v>
      </c>
      <c r="L30" s="205" t="str">
        <f t="shared" si="2"/>
        <v>✓</v>
      </c>
      <c r="M30" s="232"/>
      <c r="N30" s="214" t="str">
        <f>IF($C30="","",IF(AND(COUNTIF($C$2:$C30,$C30)=1,COUNTIF(Cert_Calculo!$A:$A,$C30)=0),MAX($N$1:N29)+1,""))</f>
        <v/>
      </c>
    </row>
    <row r="31" spans="1:14" x14ac:dyDescent="0.35">
      <c r="A31" s="192" t="s">
        <v>4537</v>
      </c>
      <c r="B31" s="192" t="s">
        <v>4538</v>
      </c>
      <c r="C31" s="192" t="s">
        <v>4552</v>
      </c>
      <c r="D31" s="197">
        <v>46175</v>
      </c>
      <c r="E31" s="192">
        <v>24.09</v>
      </c>
      <c r="F31" s="194">
        <v>0</v>
      </c>
      <c r="G31" s="194">
        <v>0.2</v>
      </c>
      <c r="H31" s="198">
        <f t="shared" si="0"/>
        <v>0.2</v>
      </c>
      <c r="I31" s="199">
        <f>SUMIFS('1_Presupuesto'!$V:$V,'1_Presupuesto'!$X:$X,K31,'1_Presupuesto'!$E:$E,E31)</f>
        <v>3679405.0027705505</v>
      </c>
      <c r="J31" s="200">
        <f t="shared" si="1"/>
        <v>735881.00055411016</v>
      </c>
      <c r="K31" s="201" t="str">
        <f>_xlfn.XLOOKUP(B31,Cert_OC_Cliente!$B:$B,Cert_OC_Cliente!$L:$L)</f>
        <v>PTO 01</v>
      </c>
      <c r="L31" s="205" t="str">
        <f t="shared" si="2"/>
        <v>✓</v>
      </c>
      <c r="M31" s="232"/>
      <c r="N31" s="214" t="str">
        <f>IF($C31="","",IF(AND(COUNTIF($C$2:$C31,$C31)=1,COUNTIF(Cert_Calculo!$A:$A,$C31)=0),MAX($N$1:N30)+1,""))</f>
        <v/>
      </c>
    </row>
    <row r="32" spans="1:14" x14ac:dyDescent="0.35">
      <c r="A32" s="192" t="s">
        <v>4537</v>
      </c>
      <c r="B32" s="192" t="s">
        <v>4538</v>
      </c>
      <c r="C32" s="192" t="s">
        <v>4552</v>
      </c>
      <c r="D32" s="197">
        <v>46175</v>
      </c>
      <c r="E32" s="192">
        <v>25.01</v>
      </c>
      <c r="F32" s="194">
        <v>0.1</v>
      </c>
      <c r="G32" s="194">
        <v>0.1</v>
      </c>
      <c r="H32" s="198">
        <f t="shared" si="0"/>
        <v>0.2</v>
      </c>
      <c r="I32" s="199">
        <f>SUMIFS('1_Presupuesto'!$V:$V,'1_Presupuesto'!$X:$X,K32,'1_Presupuesto'!$E:$E,E32)</f>
        <v>44037826.195216715</v>
      </c>
      <c r="J32" s="200">
        <f t="shared" si="1"/>
        <v>4403782.6195216719</v>
      </c>
      <c r="K32" s="201" t="str">
        <f>_xlfn.XLOOKUP(B32,Cert_OC_Cliente!$B:$B,Cert_OC_Cliente!$L:$L)</f>
        <v>PTO 01</v>
      </c>
      <c r="L32" s="205" t="str">
        <f t="shared" si="2"/>
        <v>✓</v>
      </c>
      <c r="M32" s="232"/>
      <c r="N32" s="214" t="str">
        <f>IF($C32="","",IF(AND(COUNTIF($C$2:$C32,$C32)=1,COUNTIF(Cert_Calculo!$A:$A,$C32)=0),MAX($N$1:N31)+1,""))</f>
        <v/>
      </c>
    </row>
    <row r="33" spans="1:14" x14ac:dyDescent="0.35">
      <c r="A33" s="192" t="s">
        <v>4537</v>
      </c>
      <c r="B33" s="192" t="s">
        <v>4538</v>
      </c>
      <c r="C33" s="192" t="s">
        <v>4552</v>
      </c>
      <c r="D33" s="197">
        <v>46175</v>
      </c>
      <c r="E33" s="192">
        <v>25.02</v>
      </c>
      <c r="F33" s="194">
        <v>0.1</v>
      </c>
      <c r="G33" s="194">
        <v>0.1</v>
      </c>
      <c r="H33" s="198">
        <f t="shared" si="0"/>
        <v>0.2</v>
      </c>
      <c r="I33" s="199">
        <f>SUMIFS('1_Presupuesto'!$V:$V,'1_Presupuesto'!$X:$X,K33,'1_Presupuesto'!$E:$E,E33)</f>
        <v>6782335.6227243505</v>
      </c>
      <c r="J33" s="200">
        <f t="shared" si="1"/>
        <v>678233.56227243505</v>
      </c>
      <c r="K33" s="201" t="str">
        <f>_xlfn.XLOOKUP(B33,Cert_OC_Cliente!$B:$B,Cert_OC_Cliente!$L:$L)</f>
        <v>PTO 01</v>
      </c>
      <c r="L33" s="205" t="str">
        <f t="shared" si="2"/>
        <v>✓</v>
      </c>
      <c r="M33" s="232"/>
      <c r="N33" s="214" t="str">
        <f>IF($C33="","",IF(AND(COUNTIF($C$2:$C33,$C33)=1,COUNTIF(Cert_Calculo!$A:$A,$C33)=0),MAX($N$1:N32)+1,""))</f>
        <v/>
      </c>
    </row>
    <row r="34" spans="1:14" x14ac:dyDescent="0.35">
      <c r="A34" s="192"/>
      <c r="B34" s="192"/>
      <c r="C34" s="192"/>
      <c r="D34" s="197"/>
      <c r="E34" s="192"/>
      <c r="F34" s="194"/>
      <c r="G34" s="194"/>
      <c r="H34" s="198"/>
      <c r="I34" s="199"/>
      <c r="J34" s="200"/>
      <c r="K34" s="201"/>
      <c r="L34" s="205"/>
      <c r="N34" s="214"/>
    </row>
    <row r="35" spans="1:14" x14ac:dyDescent="0.35">
      <c r="A35" s="192"/>
      <c r="B35" s="192"/>
      <c r="C35" s="192"/>
      <c r="D35" s="197"/>
      <c r="E35" s="192"/>
      <c r="F35" s="194"/>
      <c r="G35" s="194"/>
      <c r="H35" s="198"/>
      <c r="I35" s="199"/>
      <c r="J35" s="200"/>
      <c r="K35" s="201"/>
      <c r="L35" s="205"/>
      <c r="N35" s="214"/>
    </row>
    <row r="36" spans="1:14" x14ac:dyDescent="0.35">
      <c r="A36" s="192"/>
      <c r="B36" s="192"/>
      <c r="C36" s="192"/>
      <c r="D36" s="197"/>
      <c r="E36" s="192"/>
      <c r="F36" s="194"/>
      <c r="G36" s="194"/>
      <c r="H36" s="198"/>
      <c r="I36" s="199"/>
      <c r="J36" s="200"/>
      <c r="K36" s="201"/>
      <c r="L36" s="205"/>
      <c r="N36" s="214"/>
    </row>
    <row r="37" spans="1:14" x14ac:dyDescent="0.35">
      <c r="A37" s="192"/>
      <c r="B37" s="192"/>
      <c r="C37" s="192"/>
      <c r="D37" s="197"/>
      <c r="E37" s="192"/>
      <c r="F37" s="194"/>
      <c r="G37" s="194"/>
      <c r="H37" s="198"/>
      <c r="I37" s="199"/>
      <c r="J37" s="200"/>
      <c r="K37" s="201"/>
      <c r="L37" s="205"/>
      <c r="N37" s="214"/>
    </row>
    <row r="38" spans="1:14" x14ac:dyDescent="0.35">
      <c r="A38" s="192"/>
      <c r="B38" s="192"/>
      <c r="C38" s="192"/>
      <c r="D38" s="197"/>
      <c r="E38" s="192"/>
      <c r="F38" s="194"/>
      <c r="G38" s="194"/>
      <c r="H38" s="198"/>
      <c r="I38" s="199"/>
      <c r="J38" s="200"/>
      <c r="K38" s="201"/>
      <c r="L38" s="205"/>
      <c r="N38" s="214"/>
    </row>
    <row r="39" spans="1:14" x14ac:dyDescent="0.35">
      <c r="A39" s="192"/>
      <c r="B39" s="192"/>
      <c r="C39" s="192"/>
      <c r="D39" s="197"/>
      <c r="E39" s="192"/>
      <c r="F39" s="194"/>
      <c r="G39" s="194"/>
      <c r="H39" s="198"/>
      <c r="I39" s="199"/>
      <c r="J39" s="200"/>
      <c r="K39" s="201"/>
      <c r="L39" s="205"/>
      <c r="N39" s="214"/>
    </row>
    <row r="40" spans="1:14" x14ac:dyDescent="0.35">
      <c r="A40" s="192"/>
      <c r="B40" s="192"/>
      <c r="C40" s="192"/>
      <c r="D40" s="197"/>
      <c r="E40" s="192"/>
      <c r="F40" s="194"/>
      <c r="G40" s="194"/>
      <c r="H40" s="198"/>
      <c r="I40" s="199"/>
      <c r="J40" s="200"/>
      <c r="K40" s="201"/>
      <c r="L40" s="205"/>
      <c r="N40" s="214"/>
    </row>
    <row r="41" spans="1:14" x14ac:dyDescent="0.35">
      <c r="A41" s="192"/>
      <c r="B41" s="192"/>
      <c r="C41" s="192"/>
      <c r="D41" s="197"/>
      <c r="E41" s="192"/>
      <c r="F41" s="194"/>
      <c r="G41" s="194"/>
      <c r="H41" s="198"/>
      <c r="I41" s="199"/>
      <c r="J41" s="200"/>
      <c r="K41" s="201"/>
      <c r="L41" s="205"/>
      <c r="N41" s="214"/>
    </row>
    <row r="42" spans="1:14" x14ac:dyDescent="0.35">
      <c r="A42" s="192"/>
      <c r="B42" s="192"/>
      <c r="C42" s="192"/>
      <c r="D42" s="197"/>
      <c r="E42" s="192"/>
      <c r="F42" s="194"/>
      <c r="G42" s="194"/>
      <c r="H42" s="198"/>
      <c r="I42" s="199"/>
      <c r="J42" s="200"/>
      <c r="K42" s="201"/>
      <c r="L42" s="205"/>
      <c r="N42" s="214"/>
    </row>
    <row r="43" spans="1:14" x14ac:dyDescent="0.35">
      <c r="A43" s="192"/>
      <c r="B43" s="192"/>
      <c r="C43" s="192"/>
      <c r="D43" s="197"/>
      <c r="E43" s="192"/>
      <c r="F43" s="194"/>
      <c r="G43" s="194"/>
      <c r="H43" s="198"/>
      <c r="I43" s="199"/>
      <c r="J43" s="200"/>
      <c r="K43" s="201"/>
      <c r="L43" s="205"/>
      <c r="N43" s="214"/>
    </row>
    <row r="44" spans="1:14" x14ac:dyDescent="0.35">
      <c r="A44" s="192"/>
      <c r="B44" s="192"/>
      <c r="C44" s="192"/>
      <c r="D44" s="197"/>
      <c r="E44" s="192"/>
      <c r="F44" s="194"/>
      <c r="G44" s="194"/>
      <c r="H44" s="198"/>
      <c r="I44" s="199"/>
      <c r="J44" s="200"/>
      <c r="K44" s="201"/>
      <c r="L44" s="205"/>
      <c r="N44" s="214"/>
    </row>
    <row r="45" spans="1:14" x14ac:dyDescent="0.35">
      <c r="A45" s="192"/>
      <c r="B45" s="192"/>
      <c r="C45" s="192"/>
      <c r="D45" s="197"/>
      <c r="E45" s="192"/>
      <c r="F45" s="194"/>
      <c r="G45" s="194"/>
      <c r="H45" s="198"/>
      <c r="I45" s="199"/>
      <c r="J45" s="200"/>
      <c r="K45" s="201"/>
      <c r="L45" s="205"/>
      <c r="N45" s="214"/>
    </row>
    <row r="46" spans="1:14" x14ac:dyDescent="0.35">
      <c r="A46" s="192"/>
      <c r="B46" s="192"/>
      <c r="C46" s="192"/>
      <c r="D46" s="197"/>
      <c r="E46" s="192"/>
      <c r="F46" s="194"/>
      <c r="G46" s="194"/>
      <c r="H46" s="198"/>
      <c r="I46" s="199"/>
      <c r="J46" s="200"/>
      <c r="K46" s="201"/>
      <c r="L46" s="205"/>
      <c r="N46" s="214"/>
    </row>
    <row r="47" spans="1:14" x14ac:dyDescent="0.35">
      <c r="A47" s="192"/>
      <c r="B47" s="192"/>
      <c r="C47" s="192"/>
      <c r="D47" s="197"/>
      <c r="E47" s="192"/>
      <c r="F47" s="194"/>
      <c r="G47" s="194"/>
      <c r="H47" s="198"/>
      <c r="I47" s="199"/>
      <c r="J47" s="200"/>
      <c r="K47" s="201"/>
      <c r="L47" s="205"/>
      <c r="N47" s="214"/>
    </row>
    <row r="48" spans="1:14" x14ac:dyDescent="0.35">
      <c r="A48" s="192"/>
      <c r="B48" s="192"/>
      <c r="C48" s="192"/>
      <c r="D48" s="197"/>
      <c r="E48" s="192"/>
      <c r="F48" s="194"/>
      <c r="G48" s="194"/>
      <c r="H48" s="198"/>
      <c r="I48" s="199"/>
      <c r="J48" s="200"/>
      <c r="K48" s="201"/>
      <c r="L48" s="205"/>
      <c r="N48" s="214"/>
    </row>
    <row r="49" spans="1:14" x14ac:dyDescent="0.35">
      <c r="A49" s="192"/>
      <c r="B49" s="192"/>
      <c r="C49" s="192"/>
      <c r="D49" s="197"/>
      <c r="E49" s="192"/>
      <c r="F49" s="194"/>
      <c r="G49" s="194"/>
      <c r="H49" s="198"/>
      <c r="I49" s="199"/>
      <c r="J49" s="200"/>
      <c r="K49" s="201"/>
      <c r="L49" s="205"/>
      <c r="N49" s="214"/>
    </row>
    <row r="50" spans="1:14" x14ac:dyDescent="0.35">
      <c r="A50" s="192"/>
      <c r="B50" s="192"/>
      <c r="C50" s="192"/>
      <c r="D50" s="197"/>
      <c r="E50" s="192"/>
      <c r="F50" s="194"/>
      <c r="G50" s="194"/>
      <c r="H50" s="198"/>
      <c r="I50" s="199"/>
      <c r="J50" s="200"/>
      <c r="K50" s="201"/>
      <c r="L50" s="205"/>
      <c r="N50" s="214"/>
    </row>
    <row r="51" spans="1:14" x14ac:dyDescent="0.35">
      <c r="A51" s="192"/>
      <c r="B51" s="192"/>
      <c r="C51" s="192"/>
      <c r="D51" s="197"/>
      <c r="E51" s="192"/>
      <c r="F51" s="194"/>
      <c r="G51" s="194"/>
      <c r="H51" s="198"/>
      <c r="I51" s="199"/>
      <c r="J51" s="200"/>
      <c r="K51" s="201"/>
      <c r="L51" s="205"/>
      <c r="N51" s="214"/>
    </row>
    <row r="52" spans="1:14" x14ac:dyDescent="0.35">
      <c r="A52" s="192"/>
      <c r="B52" s="192"/>
      <c r="C52" s="192"/>
      <c r="D52" s="197"/>
      <c r="E52" s="192"/>
      <c r="F52" s="194"/>
      <c r="G52" s="194"/>
      <c r="H52" s="198"/>
      <c r="I52" s="199"/>
      <c r="J52" s="200"/>
      <c r="K52" s="201"/>
      <c r="L52" s="205"/>
      <c r="N52" s="214"/>
    </row>
    <row r="53" spans="1:14" x14ac:dyDescent="0.35">
      <c r="A53" s="192"/>
      <c r="B53" s="192"/>
      <c r="C53" s="192"/>
      <c r="D53" s="197"/>
      <c r="E53" s="192"/>
      <c r="F53" s="194"/>
      <c r="G53" s="194"/>
      <c r="H53" s="198"/>
      <c r="I53" s="199"/>
      <c r="J53" s="200"/>
      <c r="K53" s="201"/>
      <c r="L53" s="205"/>
      <c r="N53" s="214"/>
    </row>
    <row r="54" spans="1:14" x14ac:dyDescent="0.35">
      <c r="A54" s="192"/>
      <c r="B54" s="192"/>
      <c r="C54" s="192"/>
      <c r="D54" s="197"/>
      <c r="E54" s="192"/>
      <c r="F54" s="194"/>
      <c r="G54" s="194"/>
      <c r="H54" s="198"/>
      <c r="I54" s="199"/>
      <c r="J54" s="200"/>
      <c r="K54" s="201"/>
      <c r="L54" s="205"/>
      <c r="N54" s="214"/>
    </row>
    <row r="55" spans="1:14" x14ac:dyDescent="0.35">
      <c r="A55" s="192"/>
      <c r="B55" s="192"/>
      <c r="C55" s="192"/>
      <c r="D55" s="197"/>
      <c r="E55" s="192"/>
      <c r="F55" s="194"/>
      <c r="G55" s="194"/>
      <c r="H55" s="198"/>
      <c r="I55" s="199"/>
      <c r="J55" s="200"/>
      <c r="K55" s="201"/>
      <c r="L55" s="205"/>
      <c r="N55" s="214"/>
    </row>
    <row r="56" spans="1:14" x14ac:dyDescent="0.35">
      <c r="A56" s="192"/>
      <c r="B56" s="192"/>
      <c r="C56" s="192"/>
      <c r="D56" s="197"/>
      <c r="E56" s="192"/>
      <c r="F56" s="194"/>
      <c r="G56" s="194"/>
      <c r="H56" s="198"/>
      <c r="I56" s="199"/>
      <c r="J56" s="200"/>
      <c r="K56" s="201"/>
      <c r="L56" s="205"/>
      <c r="N56" s="214"/>
    </row>
    <row r="57" spans="1:14" x14ac:dyDescent="0.35">
      <c r="A57" s="192"/>
      <c r="B57" s="192"/>
      <c r="C57" s="192"/>
      <c r="D57" s="197"/>
      <c r="E57" s="192"/>
      <c r="F57" s="194"/>
      <c r="G57" s="194"/>
      <c r="H57" s="198"/>
      <c r="I57" s="199"/>
      <c r="J57" s="200"/>
      <c r="K57" s="201"/>
      <c r="L57" s="205"/>
      <c r="N57" s="214"/>
    </row>
    <row r="58" spans="1:14" x14ac:dyDescent="0.35">
      <c r="A58" s="192"/>
      <c r="B58" s="192"/>
      <c r="C58" s="192"/>
      <c r="D58" s="197"/>
      <c r="E58" s="192"/>
      <c r="F58" s="194"/>
      <c r="G58" s="194"/>
      <c r="H58" s="198"/>
      <c r="I58" s="199"/>
      <c r="J58" s="200"/>
      <c r="K58" s="201"/>
      <c r="L58" s="205"/>
      <c r="N58" s="214"/>
    </row>
    <row r="59" spans="1:14" x14ac:dyDescent="0.35">
      <c r="A59" s="192"/>
      <c r="B59" s="192"/>
      <c r="C59" s="192"/>
      <c r="D59" s="197"/>
      <c r="E59" s="192"/>
      <c r="F59" s="194"/>
      <c r="G59" s="194"/>
      <c r="H59" s="198"/>
      <c r="I59" s="199"/>
      <c r="J59" s="200"/>
      <c r="K59" s="201"/>
      <c r="L59" s="205"/>
      <c r="N59" s="214"/>
    </row>
    <row r="60" spans="1:14" x14ac:dyDescent="0.35">
      <c r="A60" s="192"/>
      <c r="B60" s="192"/>
      <c r="C60" s="192"/>
      <c r="D60" s="197"/>
      <c r="E60" s="192"/>
      <c r="F60" s="194"/>
      <c r="G60" s="194"/>
      <c r="H60" s="198"/>
      <c r="I60" s="199"/>
      <c r="J60" s="200"/>
      <c r="K60" s="201"/>
      <c r="L60" s="205"/>
      <c r="N60" s="214"/>
    </row>
    <row r="61" spans="1:14" x14ac:dyDescent="0.35">
      <c r="A61" s="192"/>
      <c r="B61" s="192"/>
      <c r="C61" s="192"/>
      <c r="D61" s="197"/>
      <c r="E61" s="192"/>
      <c r="F61" s="194"/>
      <c r="G61" s="194"/>
      <c r="H61" s="198"/>
      <c r="I61" s="199"/>
      <c r="J61" s="200"/>
      <c r="K61" s="201"/>
      <c r="L61" s="205"/>
      <c r="N61" s="214"/>
    </row>
    <row r="62" spans="1:14" x14ac:dyDescent="0.35">
      <c r="A62" s="192"/>
      <c r="B62" s="192"/>
      <c r="C62" s="192"/>
      <c r="D62" s="197"/>
      <c r="E62" s="192"/>
      <c r="F62" s="194"/>
      <c r="G62" s="194"/>
      <c r="H62" s="198"/>
      <c r="I62" s="199"/>
      <c r="J62" s="200"/>
      <c r="K62" s="201"/>
      <c r="L62" s="205"/>
      <c r="N62" s="214"/>
    </row>
    <row r="63" spans="1:14" x14ac:dyDescent="0.35">
      <c r="A63" s="192"/>
      <c r="B63" s="192"/>
      <c r="C63" s="192"/>
      <c r="D63" s="197"/>
      <c r="E63" s="192"/>
      <c r="F63" s="194"/>
      <c r="G63" s="194"/>
      <c r="H63" s="198"/>
      <c r="I63" s="199"/>
      <c r="J63" s="200"/>
      <c r="K63" s="201"/>
      <c r="L63" s="205"/>
      <c r="N63" s="214"/>
    </row>
    <row r="64" spans="1:14" x14ac:dyDescent="0.35">
      <c r="A64" s="192"/>
      <c r="B64" s="192"/>
      <c r="C64" s="192"/>
      <c r="D64" s="197"/>
      <c r="E64" s="192"/>
      <c r="F64" s="194"/>
      <c r="G64" s="194"/>
      <c r="H64" s="198"/>
      <c r="I64" s="199"/>
      <c r="J64" s="200"/>
      <c r="K64" s="201"/>
      <c r="L64" s="205"/>
      <c r="N64" s="214"/>
    </row>
    <row r="65" spans="1:14" x14ac:dyDescent="0.35">
      <c r="A65" s="192"/>
      <c r="B65" s="192"/>
      <c r="C65" s="192"/>
      <c r="D65" s="197"/>
      <c r="E65" s="192"/>
      <c r="F65" s="194"/>
      <c r="G65" s="194"/>
      <c r="H65" s="198"/>
      <c r="I65" s="199"/>
      <c r="J65" s="200"/>
      <c r="K65" s="201"/>
      <c r="L65" s="205"/>
      <c r="N65" s="214"/>
    </row>
    <row r="66" spans="1:14" x14ac:dyDescent="0.35">
      <c r="A66" s="192"/>
      <c r="B66" s="192"/>
      <c r="C66" s="192"/>
      <c r="D66" s="197"/>
      <c r="E66" s="192"/>
      <c r="F66" s="194"/>
      <c r="G66" s="194"/>
      <c r="H66" s="198"/>
      <c r="I66" s="199"/>
      <c r="J66" s="200"/>
      <c r="K66" s="201"/>
      <c r="L66" s="205"/>
      <c r="N66" s="214"/>
    </row>
    <row r="67" spans="1:14" x14ac:dyDescent="0.35">
      <c r="A67" s="192"/>
      <c r="B67" s="192"/>
      <c r="C67" s="192"/>
      <c r="D67" s="197"/>
      <c r="E67" s="192"/>
      <c r="F67" s="194"/>
      <c r="G67" s="194"/>
      <c r="H67" s="198"/>
      <c r="I67" s="199"/>
      <c r="J67" s="200"/>
      <c r="K67" s="201"/>
      <c r="L67" s="205"/>
      <c r="N67" s="214"/>
    </row>
    <row r="68" spans="1:14" x14ac:dyDescent="0.35">
      <c r="A68" s="192"/>
      <c r="B68" s="192"/>
      <c r="C68" s="192"/>
      <c r="D68" s="197"/>
      <c r="E68" s="192"/>
      <c r="F68" s="194"/>
      <c r="G68" s="194"/>
      <c r="H68" s="198"/>
      <c r="I68" s="199"/>
      <c r="J68" s="200"/>
      <c r="K68" s="201"/>
      <c r="L68" s="205"/>
      <c r="N68" s="214"/>
    </row>
    <row r="69" spans="1:14" x14ac:dyDescent="0.35">
      <c r="A69" s="192"/>
      <c r="B69" s="192"/>
      <c r="C69" s="192"/>
      <c r="D69" s="197"/>
      <c r="E69" s="192"/>
      <c r="F69" s="194"/>
      <c r="G69" s="194"/>
      <c r="H69" s="198"/>
      <c r="I69" s="199"/>
      <c r="J69" s="200"/>
      <c r="K69" s="201"/>
      <c r="L69" s="205"/>
      <c r="N69" s="214"/>
    </row>
    <row r="70" spans="1:14" x14ac:dyDescent="0.35">
      <c r="A70" s="192"/>
      <c r="B70" s="192"/>
      <c r="C70" s="192"/>
      <c r="D70" s="197"/>
      <c r="E70" s="192"/>
      <c r="F70" s="194"/>
      <c r="G70" s="194"/>
      <c r="H70" s="198"/>
      <c r="I70" s="199"/>
      <c r="J70" s="200"/>
      <c r="K70" s="201"/>
      <c r="L70" s="205"/>
      <c r="N70" s="214"/>
    </row>
    <row r="71" spans="1:14" x14ac:dyDescent="0.35">
      <c r="A71" s="192"/>
      <c r="B71" s="192"/>
      <c r="C71" s="192"/>
      <c r="D71" s="197"/>
      <c r="E71" s="192"/>
      <c r="F71" s="194"/>
      <c r="G71" s="194"/>
      <c r="H71" s="198"/>
      <c r="I71" s="199"/>
      <c r="J71" s="200"/>
      <c r="K71" s="201"/>
      <c r="L71" s="205"/>
      <c r="N71" s="214"/>
    </row>
    <row r="72" spans="1:14" x14ac:dyDescent="0.35">
      <c r="A72" s="192"/>
      <c r="B72" s="192"/>
      <c r="C72" s="192"/>
      <c r="D72" s="197"/>
      <c r="E72" s="192"/>
      <c r="F72" s="194"/>
      <c r="G72" s="194"/>
      <c r="H72" s="198"/>
      <c r="I72" s="199"/>
      <c r="J72" s="200"/>
      <c r="K72" s="201"/>
      <c r="L72" s="205"/>
      <c r="N72" s="214"/>
    </row>
    <row r="73" spans="1:14" x14ac:dyDescent="0.35">
      <c r="A73" s="192"/>
      <c r="B73" s="192"/>
      <c r="C73" s="192"/>
      <c r="D73" s="197"/>
      <c r="E73" s="192"/>
      <c r="F73" s="194"/>
      <c r="G73" s="194"/>
      <c r="H73" s="198"/>
      <c r="I73" s="199"/>
      <c r="J73" s="200"/>
      <c r="K73" s="201"/>
      <c r="L73" s="205"/>
      <c r="N73" s="214"/>
    </row>
    <row r="74" spans="1:14" x14ac:dyDescent="0.35">
      <c r="A74" s="192"/>
      <c r="B74" s="192"/>
      <c r="C74" s="192"/>
      <c r="D74" s="197"/>
      <c r="E74" s="192"/>
      <c r="F74" s="194"/>
      <c r="G74" s="194"/>
      <c r="H74" s="198"/>
      <c r="I74" s="199"/>
      <c r="J74" s="200"/>
      <c r="K74" s="201"/>
      <c r="L74" s="205"/>
      <c r="N74" s="214"/>
    </row>
    <row r="75" spans="1:14" x14ac:dyDescent="0.35">
      <c r="A75" s="192"/>
      <c r="B75" s="192"/>
      <c r="C75" s="192"/>
      <c r="D75" s="197"/>
      <c r="E75" s="192"/>
      <c r="F75" s="194"/>
      <c r="G75" s="194"/>
      <c r="H75" s="198"/>
      <c r="I75" s="199"/>
      <c r="J75" s="200"/>
      <c r="K75" s="201"/>
      <c r="L75" s="205"/>
      <c r="N75" s="214"/>
    </row>
    <row r="76" spans="1:14" x14ac:dyDescent="0.35">
      <c r="A76" s="192"/>
      <c r="B76" s="192"/>
      <c r="C76" s="192"/>
      <c r="D76" s="197"/>
      <c r="E76" s="192"/>
      <c r="F76" s="194"/>
      <c r="G76" s="194"/>
      <c r="H76" s="198"/>
      <c r="I76" s="199"/>
      <c r="J76" s="200"/>
      <c r="K76" s="201"/>
      <c r="L76" s="205"/>
      <c r="N76" s="214"/>
    </row>
    <row r="77" spans="1:14" x14ac:dyDescent="0.35">
      <c r="A77" s="192"/>
      <c r="B77" s="192"/>
      <c r="C77" s="192"/>
      <c r="D77" s="197"/>
      <c r="E77" s="192"/>
      <c r="F77" s="194"/>
      <c r="G77" s="194"/>
      <c r="H77" s="198"/>
      <c r="I77" s="199"/>
      <c r="J77" s="200"/>
      <c r="K77" s="201"/>
      <c r="L77" s="205"/>
      <c r="N77" s="214"/>
    </row>
    <row r="78" spans="1:14" x14ac:dyDescent="0.35">
      <c r="A78" s="192"/>
      <c r="B78" s="192"/>
      <c r="C78" s="192"/>
      <c r="D78" s="197"/>
      <c r="E78" s="192"/>
      <c r="F78" s="194"/>
      <c r="G78" s="194"/>
      <c r="H78" s="198"/>
      <c r="I78" s="199"/>
      <c r="J78" s="200"/>
      <c r="K78" s="201"/>
      <c r="L78" s="205"/>
      <c r="N78" s="214"/>
    </row>
    <row r="79" spans="1:14" x14ac:dyDescent="0.35">
      <c r="A79" s="192"/>
      <c r="B79" s="192"/>
      <c r="C79" s="192"/>
      <c r="D79" s="197"/>
      <c r="E79" s="192"/>
      <c r="F79" s="194"/>
      <c r="G79" s="194"/>
      <c r="H79" s="198"/>
      <c r="I79" s="199"/>
      <c r="J79" s="200"/>
      <c r="K79" s="201"/>
      <c r="L79" s="205"/>
      <c r="N79" s="214"/>
    </row>
    <row r="80" spans="1:14" x14ac:dyDescent="0.35">
      <c r="A80" s="192"/>
      <c r="B80" s="192"/>
      <c r="C80" s="192"/>
      <c r="D80" s="197"/>
      <c r="E80" s="192"/>
      <c r="F80" s="194"/>
      <c r="G80" s="194"/>
      <c r="H80" s="198"/>
      <c r="I80" s="199"/>
      <c r="J80" s="200"/>
      <c r="K80" s="201"/>
      <c r="L80" s="205"/>
      <c r="N80" s="214"/>
    </row>
    <row r="81" spans="1:14" x14ac:dyDescent="0.35">
      <c r="A81" s="192"/>
      <c r="B81" s="192"/>
      <c r="C81" s="192"/>
      <c r="D81" s="197"/>
      <c r="E81" s="192"/>
      <c r="F81" s="194"/>
      <c r="G81" s="194"/>
      <c r="H81" s="198"/>
      <c r="I81" s="199"/>
      <c r="J81" s="200"/>
      <c r="K81" s="201"/>
      <c r="L81" s="205"/>
      <c r="N81" s="214"/>
    </row>
    <row r="82" spans="1:14" x14ac:dyDescent="0.35">
      <c r="A82" s="192"/>
      <c r="B82" s="192"/>
      <c r="C82" s="192"/>
      <c r="D82" s="197"/>
      <c r="E82" s="192"/>
      <c r="F82" s="194"/>
      <c r="G82" s="194"/>
      <c r="H82" s="198"/>
      <c r="I82" s="199"/>
      <c r="J82" s="200"/>
      <c r="K82" s="201"/>
      <c r="L82" s="205"/>
      <c r="N82" s="214"/>
    </row>
    <row r="83" spans="1:14" x14ac:dyDescent="0.35">
      <c r="A83" s="192"/>
      <c r="B83" s="192"/>
      <c r="C83" s="192"/>
      <c r="D83" s="197"/>
      <c r="E83" s="192"/>
      <c r="F83" s="194"/>
      <c r="G83" s="194"/>
      <c r="H83" s="198"/>
      <c r="I83" s="199"/>
      <c r="J83" s="200"/>
      <c r="K83" s="201"/>
      <c r="L83" s="205"/>
      <c r="N83" s="214"/>
    </row>
    <row r="84" spans="1:14" x14ac:dyDescent="0.35">
      <c r="A84" s="192"/>
      <c r="B84" s="192"/>
      <c r="C84" s="192"/>
      <c r="D84" s="197"/>
      <c r="E84" s="192"/>
      <c r="F84" s="194"/>
      <c r="G84" s="194"/>
      <c r="H84" s="198"/>
      <c r="I84" s="199"/>
      <c r="J84" s="200"/>
      <c r="K84" s="201"/>
      <c r="L84" s="205"/>
      <c r="N84" s="214"/>
    </row>
    <row r="85" spans="1:14" x14ac:dyDescent="0.35">
      <c r="A85" s="192"/>
      <c r="B85" s="192"/>
      <c r="C85" s="192"/>
      <c r="D85" s="197"/>
      <c r="E85" s="192"/>
      <c r="F85" s="194"/>
      <c r="G85" s="194"/>
      <c r="H85" s="198"/>
      <c r="I85" s="199"/>
      <c r="J85" s="200"/>
      <c r="K85" s="201"/>
      <c r="L85" s="205"/>
      <c r="N85" s="214"/>
    </row>
    <row r="86" spans="1:14" x14ac:dyDescent="0.35">
      <c r="A86" s="192"/>
      <c r="B86" s="192"/>
      <c r="C86" s="192"/>
      <c r="D86" s="197"/>
      <c r="E86" s="192"/>
      <c r="F86" s="194"/>
      <c r="G86" s="194"/>
      <c r="H86" s="198"/>
      <c r="I86" s="199"/>
      <c r="J86" s="200"/>
      <c r="K86" s="201"/>
      <c r="L86" s="205"/>
      <c r="N86" s="214"/>
    </row>
    <row r="87" spans="1:14" x14ac:dyDescent="0.35">
      <c r="A87" s="192"/>
      <c r="B87" s="192"/>
      <c r="C87" s="192"/>
      <c r="D87" s="197"/>
      <c r="E87" s="192"/>
      <c r="F87" s="194"/>
      <c r="G87" s="194"/>
      <c r="H87" s="198"/>
      <c r="I87" s="199"/>
      <c r="J87" s="200"/>
      <c r="K87" s="201"/>
      <c r="L87" s="205"/>
      <c r="N87" s="214"/>
    </row>
    <row r="88" spans="1:14" x14ac:dyDescent="0.35">
      <c r="A88" s="192"/>
      <c r="B88" s="192"/>
      <c r="C88" s="192"/>
      <c r="D88" s="197"/>
      <c r="E88" s="192"/>
      <c r="F88" s="194"/>
      <c r="G88" s="194"/>
      <c r="H88" s="198"/>
      <c r="I88" s="199"/>
      <c r="J88" s="200"/>
      <c r="K88" s="201"/>
      <c r="L88" s="205"/>
      <c r="N88" s="214"/>
    </row>
    <row r="89" spans="1:14" x14ac:dyDescent="0.35">
      <c r="A89" s="192"/>
      <c r="B89" s="192"/>
      <c r="C89" s="192"/>
      <c r="D89" s="197"/>
      <c r="E89" s="192"/>
      <c r="F89" s="194"/>
      <c r="G89" s="194"/>
      <c r="H89" s="198"/>
      <c r="I89" s="199"/>
      <c r="J89" s="200"/>
      <c r="K89" s="201"/>
      <c r="L89" s="205"/>
      <c r="N89" s="214"/>
    </row>
    <row r="90" spans="1:14" x14ac:dyDescent="0.35">
      <c r="A90" s="192"/>
      <c r="B90" s="192"/>
      <c r="C90" s="192"/>
      <c r="D90" s="197"/>
      <c r="E90" s="192"/>
      <c r="F90" s="194"/>
      <c r="G90" s="194"/>
      <c r="H90" s="198"/>
      <c r="I90" s="199"/>
      <c r="J90" s="200"/>
      <c r="K90" s="201"/>
      <c r="L90" s="205"/>
      <c r="N90" s="214"/>
    </row>
    <row r="91" spans="1:14" x14ac:dyDescent="0.35">
      <c r="A91" s="192"/>
      <c r="B91" s="192"/>
      <c r="C91" s="192"/>
      <c r="D91" s="197"/>
      <c r="E91" s="192"/>
      <c r="F91" s="194"/>
      <c r="G91" s="194"/>
      <c r="H91" s="198"/>
      <c r="I91" s="199"/>
      <c r="J91" s="200"/>
      <c r="K91" s="201"/>
      <c r="L91" s="205"/>
      <c r="N91" s="214"/>
    </row>
    <row r="92" spans="1:14" x14ac:dyDescent="0.35">
      <c r="A92" s="192"/>
      <c r="B92" s="192"/>
      <c r="C92" s="192"/>
      <c r="D92" s="197"/>
      <c r="E92" s="192"/>
      <c r="F92" s="194"/>
      <c r="G92" s="194"/>
      <c r="H92" s="198"/>
      <c r="I92" s="199"/>
      <c r="J92" s="200"/>
      <c r="K92" s="201"/>
      <c r="L92" s="205"/>
      <c r="N92" s="214"/>
    </row>
    <row r="93" spans="1:14" x14ac:dyDescent="0.35">
      <c r="A93" s="192"/>
      <c r="B93" s="192"/>
      <c r="C93" s="192"/>
      <c r="D93" s="197"/>
      <c r="E93" s="192"/>
      <c r="F93" s="194"/>
      <c r="G93" s="194"/>
      <c r="H93" s="198"/>
      <c r="I93" s="199"/>
      <c r="J93" s="200"/>
      <c r="K93" s="201"/>
      <c r="L93" s="205"/>
      <c r="N93" s="214"/>
    </row>
    <row r="94" spans="1:14" x14ac:dyDescent="0.35">
      <c r="A94" s="192"/>
      <c r="B94" s="192"/>
      <c r="C94" s="192"/>
      <c r="D94" s="197"/>
      <c r="E94" s="192"/>
      <c r="F94" s="194"/>
      <c r="G94" s="194"/>
      <c r="H94" s="198"/>
      <c r="I94" s="199"/>
      <c r="J94" s="200"/>
      <c r="K94" s="201"/>
      <c r="L94" s="205"/>
      <c r="N94" s="214"/>
    </row>
    <row r="95" spans="1:14" x14ac:dyDescent="0.35">
      <c r="A95" s="192"/>
      <c r="B95" s="192"/>
      <c r="C95" s="192"/>
      <c r="D95" s="197"/>
      <c r="E95" s="192"/>
      <c r="F95" s="194"/>
      <c r="G95" s="194"/>
      <c r="H95" s="198"/>
      <c r="I95" s="199"/>
      <c r="J95" s="200"/>
      <c r="K95" s="201"/>
      <c r="L95" s="205"/>
      <c r="N95" s="214"/>
    </row>
    <row r="96" spans="1:14" x14ac:dyDescent="0.35">
      <c r="A96" s="192"/>
      <c r="B96" s="192"/>
      <c r="C96" s="192"/>
      <c r="D96" s="197"/>
      <c r="E96" s="192"/>
      <c r="F96" s="194"/>
      <c r="G96" s="194"/>
      <c r="H96" s="198"/>
      <c r="I96" s="199"/>
      <c r="J96" s="200"/>
      <c r="K96" s="201"/>
      <c r="L96" s="205"/>
      <c r="N96" s="214"/>
    </row>
    <row r="97" spans="1:14" x14ac:dyDescent="0.35">
      <c r="A97" s="192"/>
      <c r="B97" s="192"/>
      <c r="C97" s="192"/>
      <c r="D97" s="197"/>
      <c r="E97" s="192"/>
      <c r="F97" s="194"/>
      <c r="G97" s="194"/>
      <c r="H97" s="198"/>
      <c r="I97" s="199"/>
      <c r="J97" s="200"/>
      <c r="K97" s="201"/>
      <c r="L97" s="205"/>
      <c r="N97" s="214"/>
    </row>
    <row r="98" spans="1:14" x14ac:dyDescent="0.35">
      <c r="A98" s="192"/>
      <c r="B98" s="192"/>
      <c r="C98" s="192"/>
      <c r="D98" s="197"/>
      <c r="E98" s="192"/>
      <c r="F98" s="194"/>
      <c r="G98" s="194"/>
      <c r="H98" s="198"/>
      <c r="I98" s="199"/>
      <c r="J98" s="200"/>
      <c r="K98" s="201"/>
      <c r="L98" s="205"/>
      <c r="N98" s="214"/>
    </row>
    <row r="99" spans="1:14" x14ac:dyDescent="0.35">
      <c r="A99" s="192"/>
      <c r="B99" s="192"/>
      <c r="C99" s="192"/>
      <c r="D99" s="197"/>
      <c r="E99" s="192"/>
      <c r="F99" s="194"/>
      <c r="G99" s="194"/>
      <c r="H99" s="198"/>
      <c r="I99" s="199"/>
      <c r="J99" s="200"/>
      <c r="K99" s="201"/>
      <c r="L99" s="205"/>
      <c r="N99" s="214"/>
    </row>
    <row r="100" spans="1:14" x14ac:dyDescent="0.35">
      <c r="A100" s="192"/>
      <c r="B100" s="192"/>
      <c r="C100" s="192"/>
      <c r="D100" s="197"/>
      <c r="E100" s="192"/>
      <c r="F100" s="194"/>
      <c r="G100" s="194"/>
      <c r="H100" s="198"/>
      <c r="I100" s="199"/>
      <c r="J100" s="200"/>
      <c r="K100" s="201"/>
      <c r="L100" s="205"/>
      <c r="N100" s="214"/>
    </row>
    <row r="101" spans="1:14" x14ac:dyDescent="0.35">
      <c r="A101" s="192"/>
      <c r="B101" s="192"/>
      <c r="C101" s="192"/>
      <c r="D101" s="197"/>
      <c r="E101" s="192"/>
      <c r="F101" s="194"/>
      <c r="G101" s="194"/>
      <c r="H101" s="198"/>
      <c r="I101" s="199"/>
      <c r="J101" s="200"/>
      <c r="K101" s="201"/>
      <c r="L101" s="205"/>
      <c r="N101" s="214"/>
    </row>
    <row r="102" spans="1:14" x14ac:dyDescent="0.35">
      <c r="A102" s="192"/>
      <c r="B102" s="192"/>
      <c r="C102" s="192"/>
      <c r="D102" s="197"/>
      <c r="E102" s="192"/>
      <c r="F102" s="194"/>
      <c r="G102" s="194"/>
      <c r="H102" s="198"/>
      <c r="I102" s="199"/>
      <c r="J102" s="200"/>
      <c r="K102" s="201"/>
      <c r="L102" s="205"/>
      <c r="N102" s="214"/>
    </row>
    <row r="103" spans="1:14" x14ac:dyDescent="0.35">
      <c r="A103" s="192"/>
      <c r="B103" s="192"/>
      <c r="C103" s="192"/>
      <c r="D103" s="197"/>
      <c r="E103" s="192"/>
      <c r="F103" s="194"/>
      <c r="G103" s="194"/>
      <c r="H103" s="198"/>
      <c r="I103" s="199"/>
      <c r="J103" s="200"/>
      <c r="K103" s="201"/>
      <c r="L103" s="205"/>
      <c r="N103" s="214"/>
    </row>
    <row r="104" spans="1:14" x14ac:dyDescent="0.35">
      <c r="A104" s="192"/>
      <c r="B104" s="192"/>
      <c r="C104" s="192"/>
      <c r="D104" s="197"/>
      <c r="E104" s="192"/>
      <c r="F104" s="194"/>
      <c r="G104" s="194"/>
      <c r="H104" s="198"/>
      <c r="I104" s="199"/>
      <c r="J104" s="200"/>
      <c r="K104" s="201"/>
      <c r="L104" s="205"/>
      <c r="N104" s="214"/>
    </row>
    <row r="105" spans="1:14" x14ac:dyDescent="0.35">
      <c r="A105" s="192"/>
      <c r="B105" s="192"/>
      <c r="C105" s="192"/>
      <c r="D105" s="197"/>
      <c r="E105" s="192"/>
      <c r="F105" s="194"/>
      <c r="G105" s="194"/>
      <c r="H105" s="198"/>
      <c r="I105" s="199"/>
      <c r="J105" s="200"/>
      <c r="K105" s="201"/>
      <c r="L105" s="205"/>
      <c r="N105" s="214"/>
    </row>
    <row r="106" spans="1:14" x14ac:dyDescent="0.35">
      <c r="A106" s="192"/>
      <c r="B106" s="192"/>
      <c r="C106" s="192"/>
      <c r="D106" s="197"/>
      <c r="E106" s="192"/>
      <c r="F106" s="194"/>
      <c r="G106" s="194"/>
      <c r="H106" s="198"/>
      <c r="I106" s="199"/>
      <c r="J106" s="200"/>
      <c r="K106" s="201"/>
      <c r="L106" s="205"/>
      <c r="N106" s="214"/>
    </row>
    <row r="107" spans="1:14" x14ac:dyDescent="0.35">
      <c r="A107" s="192"/>
      <c r="B107" s="192"/>
      <c r="C107" s="192"/>
      <c r="D107" s="197"/>
      <c r="E107" s="192"/>
      <c r="F107" s="194"/>
      <c r="G107" s="194"/>
      <c r="H107" s="198"/>
      <c r="I107" s="199"/>
      <c r="J107" s="200"/>
      <c r="K107" s="201"/>
      <c r="L107" s="205"/>
      <c r="N107" s="214"/>
    </row>
    <row r="108" spans="1:14" x14ac:dyDescent="0.35">
      <c r="A108" s="192"/>
      <c r="B108" s="192"/>
      <c r="C108" s="192"/>
      <c r="D108" s="197"/>
      <c r="E108" s="192"/>
      <c r="F108" s="194"/>
      <c r="G108" s="194"/>
      <c r="H108" s="198"/>
      <c r="I108" s="199"/>
      <c r="J108" s="200"/>
      <c r="K108" s="201"/>
      <c r="L108" s="205"/>
      <c r="N108" s="214"/>
    </row>
    <row r="109" spans="1:14" x14ac:dyDescent="0.35">
      <c r="A109" s="192"/>
      <c r="B109" s="192"/>
      <c r="C109" s="192"/>
      <c r="D109" s="197"/>
      <c r="E109" s="192"/>
      <c r="F109" s="194"/>
      <c r="G109" s="194"/>
      <c r="H109" s="198"/>
      <c r="I109" s="199"/>
      <c r="J109" s="200"/>
      <c r="K109" s="201"/>
      <c r="L109" s="205"/>
      <c r="N109" s="214"/>
    </row>
    <row r="110" spans="1:14" x14ac:dyDescent="0.35">
      <c r="A110" s="192"/>
      <c r="B110" s="192"/>
      <c r="C110" s="192"/>
      <c r="D110" s="197"/>
      <c r="E110" s="192"/>
      <c r="F110" s="194"/>
      <c r="G110" s="194"/>
      <c r="H110" s="198"/>
      <c r="I110" s="199"/>
      <c r="J110" s="200"/>
      <c r="K110" s="201"/>
      <c r="L110" s="205"/>
      <c r="N110" s="214"/>
    </row>
    <row r="111" spans="1:14" x14ac:dyDescent="0.35">
      <c r="A111" s="192"/>
      <c r="B111" s="192"/>
      <c r="C111" s="192"/>
      <c r="D111" s="197"/>
      <c r="E111" s="192"/>
      <c r="F111" s="194"/>
      <c r="G111" s="194"/>
      <c r="H111" s="198"/>
      <c r="I111" s="199"/>
      <c r="J111" s="200"/>
      <c r="K111" s="201"/>
      <c r="L111" s="205"/>
      <c r="N111" s="214"/>
    </row>
    <row r="112" spans="1:14" x14ac:dyDescent="0.35">
      <c r="A112" s="192"/>
      <c r="B112" s="192"/>
      <c r="C112" s="192"/>
      <c r="D112" s="197"/>
      <c r="E112" s="192"/>
      <c r="F112" s="194"/>
      <c r="G112" s="194"/>
      <c r="H112" s="198"/>
      <c r="I112" s="199"/>
      <c r="J112" s="200"/>
      <c r="K112" s="201"/>
      <c r="L112" s="205"/>
      <c r="N112" s="214"/>
    </row>
    <row r="113" spans="1:14" x14ac:dyDescent="0.35">
      <c r="A113" s="192"/>
      <c r="B113" s="192"/>
      <c r="C113" s="192"/>
      <c r="D113" s="197"/>
      <c r="E113" s="192"/>
      <c r="F113" s="194"/>
      <c r="G113" s="194"/>
      <c r="H113" s="198"/>
      <c r="I113" s="199"/>
      <c r="J113" s="200"/>
      <c r="K113" s="201"/>
      <c r="L113" s="205"/>
      <c r="N113" s="214"/>
    </row>
    <row r="114" spans="1:14" x14ac:dyDescent="0.35">
      <c r="A114" s="192"/>
      <c r="B114" s="192"/>
      <c r="C114" s="192"/>
      <c r="D114" s="197"/>
      <c r="E114" s="192"/>
      <c r="F114" s="194"/>
      <c r="G114" s="194"/>
      <c r="H114" s="198"/>
      <c r="I114" s="199"/>
      <c r="J114" s="200"/>
      <c r="K114" s="201"/>
      <c r="L114" s="205"/>
      <c r="N114" s="214"/>
    </row>
    <row r="115" spans="1:14" x14ac:dyDescent="0.35">
      <c r="A115" s="192"/>
      <c r="B115" s="192"/>
      <c r="C115" s="192"/>
      <c r="D115" s="197"/>
      <c r="E115" s="192"/>
      <c r="F115" s="194"/>
      <c r="G115" s="194"/>
      <c r="H115" s="198"/>
      <c r="I115" s="199"/>
      <c r="J115" s="200"/>
      <c r="K115" s="201"/>
      <c r="L115" s="205"/>
      <c r="N115" s="214"/>
    </row>
    <row r="116" spans="1:14" x14ac:dyDescent="0.35">
      <c r="A116" s="192"/>
      <c r="B116" s="192"/>
      <c r="C116" s="192"/>
      <c r="D116" s="197"/>
      <c r="E116" s="192"/>
      <c r="F116" s="194"/>
      <c r="G116" s="194"/>
      <c r="H116" s="198"/>
      <c r="I116" s="199"/>
      <c r="J116" s="200"/>
      <c r="K116" s="201"/>
      <c r="L116" s="205"/>
      <c r="N116" s="214"/>
    </row>
    <row r="117" spans="1:14" x14ac:dyDescent="0.35">
      <c r="A117" s="192"/>
      <c r="B117" s="192"/>
      <c r="C117" s="192"/>
      <c r="D117" s="197"/>
      <c r="E117" s="192"/>
      <c r="F117" s="194"/>
      <c r="G117" s="194"/>
      <c r="H117" s="198"/>
      <c r="I117" s="199"/>
      <c r="J117" s="200"/>
      <c r="K117" s="201"/>
      <c r="L117" s="205"/>
      <c r="N117" s="214"/>
    </row>
    <row r="118" spans="1:14" x14ac:dyDescent="0.35">
      <c r="A118" s="192"/>
      <c r="B118" s="192"/>
      <c r="C118" s="192"/>
      <c r="D118" s="197"/>
      <c r="E118" s="192"/>
      <c r="F118" s="194"/>
      <c r="G118" s="194"/>
      <c r="H118" s="198"/>
      <c r="I118" s="199"/>
      <c r="J118" s="200"/>
      <c r="K118" s="201"/>
      <c r="L118" s="205"/>
      <c r="N118" s="214"/>
    </row>
    <row r="119" spans="1:14" x14ac:dyDescent="0.35">
      <c r="A119" s="192"/>
      <c r="B119" s="192"/>
      <c r="C119" s="192"/>
      <c r="D119" s="197"/>
      <c r="E119" s="192"/>
      <c r="F119" s="194"/>
      <c r="G119" s="194"/>
      <c r="H119" s="198"/>
      <c r="I119" s="199"/>
      <c r="J119" s="200"/>
      <c r="K119" s="201"/>
      <c r="L119" s="205"/>
      <c r="N119" s="214"/>
    </row>
    <row r="120" spans="1:14" x14ac:dyDescent="0.35">
      <c r="A120" s="192"/>
      <c r="B120" s="192"/>
      <c r="C120" s="192"/>
      <c r="D120" s="197"/>
      <c r="E120" s="192"/>
      <c r="F120" s="194"/>
      <c r="G120" s="194"/>
      <c r="H120" s="198"/>
      <c r="I120" s="199"/>
      <c r="J120" s="200"/>
      <c r="K120" s="201"/>
      <c r="L120" s="205"/>
      <c r="N120" s="214"/>
    </row>
    <row r="121" spans="1:14" x14ac:dyDescent="0.35">
      <c r="A121" s="192"/>
      <c r="B121" s="192"/>
      <c r="C121" s="192"/>
      <c r="D121" s="197"/>
      <c r="E121" s="192"/>
      <c r="F121" s="194"/>
      <c r="G121" s="194"/>
      <c r="H121" s="198"/>
      <c r="I121" s="199"/>
      <c r="J121" s="200"/>
      <c r="K121" s="201"/>
      <c r="L121" s="205"/>
      <c r="N121" s="214"/>
    </row>
    <row r="122" spans="1:14" x14ac:dyDescent="0.35">
      <c r="A122" s="192"/>
      <c r="B122" s="192"/>
      <c r="C122" s="192"/>
      <c r="D122" s="197"/>
      <c r="E122" s="192"/>
      <c r="F122" s="194"/>
      <c r="G122" s="194"/>
      <c r="H122" s="198"/>
      <c r="I122" s="199"/>
      <c r="J122" s="200"/>
      <c r="K122" s="201"/>
      <c r="L122" s="205"/>
      <c r="N122" s="214"/>
    </row>
    <row r="123" spans="1:14" x14ac:dyDescent="0.35">
      <c r="A123" s="192"/>
      <c r="B123" s="192"/>
      <c r="C123" s="192"/>
      <c r="D123" s="197"/>
      <c r="E123" s="192"/>
      <c r="F123" s="194"/>
      <c r="G123" s="194"/>
      <c r="H123" s="198"/>
      <c r="I123" s="199"/>
      <c r="J123" s="200"/>
      <c r="K123" s="201"/>
      <c r="L123" s="205"/>
      <c r="N123" s="214"/>
    </row>
    <row r="124" spans="1:14" x14ac:dyDescent="0.35">
      <c r="A124" s="192"/>
      <c r="B124" s="192"/>
      <c r="C124" s="192"/>
      <c r="D124" s="197"/>
      <c r="E124" s="192"/>
      <c r="F124" s="194"/>
      <c r="G124" s="194"/>
      <c r="H124" s="198"/>
      <c r="I124" s="199"/>
      <c r="J124" s="200"/>
      <c r="K124" s="201"/>
      <c r="L124" s="205"/>
      <c r="N124" s="214"/>
    </row>
    <row r="125" spans="1:14" x14ac:dyDescent="0.35">
      <c r="A125" s="192"/>
      <c r="B125" s="192"/>
      <c r="C125" s="192"/>
      <c r="D125" s="197"/>
      <c r="E125" s="192"/>
      <c r="F125" s="194"/>
      <c r="G125" s="194"/>
      <c r="H125" s="198"/>
      <c r="I125" s="199"/>
      <c r="J125" s="200"/>
      <c r="K125" s="201"/>
      <c r="L125" s="205"/>
      <c r="N125" s="214"/>
    </row>
    <row r="126" spans="1:14" x14ac:dyDescent="0.35">
      <c r="A126" s="192"/>
      <c r="B126" s="192"/>
      <c r="C126" s="192"/>
      <c r="D126" s="197"/>
      <c r="E126" s="192"/>
      <c r="F126" s="194"/>
      <c r="G126" s="194"/>
      <c r="H126" s="198"/>
      <c r="I126" s="199"/>
      <c r="J126" s="200"/>
      <c r="K126" s="201"/>
      <c r="L126" s="205"/>
      <c r="N126" s="214"/>
    </row>
    <row r="127" spans="1:14" x14ac:dyDescent="0.35">
      <c r="A127" s="192"/>
      <c r="B127" s="192"/>
      <c r="C127" s="192"/>
      <c r="D127" s="197"/>
      <c r="E127" s="192"/>
      <c r="F127" s="194"/>
      <c r="G127" s="194"/>
      <c r="H127" s="198"/>
      <c r="I127" s="199"/>
      <c r="J127" s="200"/>
      <c r="K127" s="201"/>
      <c r="L127" s="205"/>
      <c r="N127" s="214"/>
    </row>
    <row r="128" spans="1:14" x14ac:dyDescent="0.35">
      <c r="A128" s="192"/>
      <c r="B128" s="192"/>
      <c r="C128" s="192"/>
      <c r="D128" s="197"/>
      <c r="E128" s="192"/>
      <c r="F128" s="194"/>
      <c r="G128" s="194"/>
      <c r="H128" s="198"/>
      <c r="I128" s="199"/>
      <c r="J128" s="200"/>
      <c r="K128" s="201"/>
      <c r="L128" s="205"/>
      <c r="N128" s="214"/>
    </row>
    <row r="129" spans="1:14" x14ac:dyDescent="0.35">
      <c r="A129" s="192"/>
      <c r="B129" s="192"/>
      <c r="C129" s="192"/>
      <c r="D129" s="197"/>
      <c r="E129" s="192"/>
      <c r="F129" s="194"/>
      <c r="G129" s="194"/>
      <c r="H129" s="198"/>
      <c r="I129" s="199"/>
      <c r="J129" s="200"/>
      <c r="K129" s="201"/>
      <c r="L129" s="205"/>
      <c r="N129" s="214"/>
    </row>
    <row r="130" spans="1:14" x14ac:dyDescent="0.35">
      <c r="A130" s="192"/>
      <c r="B130" s="192"/>
      <c r="C130" s="192"/>
      <c r="D130" s="197"/>
      <c r="E130" s="192"/>
      <c r="F130" s="194"/>
      <c r="G130" s="194"/>
      <c r="H130" s="198"/>
      <c r="I130" s="199"/>
      <c r="J130" s="200"/>
      <c r="K130" s="201"/>
      <c r="L130" s="205"/>
      <c r="N130" s="214"/>
    </row>
    <row r="131" spans="1:14" x14ac:dyDescent="0.35">
      <c r="A131" s="192"/>
      <c r="B131" s="192"/>
      <c r="C131" s="192"/>
      <c r="D131" s="197"/>
      <c r="E131" s="192"/>
      <c r="F131" s="194"/>
      <c r="G131" s="194"/>
      <c r="H131" s="198"/>
      <c r="I131" s="199"/>
      <c r="J131" s="200"/>
      <c r="K131" s="201"/>
      <c r="L131" s="205"/>
      <c r="N131" s="214"/>
    </row>
    <row r="132" spans="1:14" x14ac:dyDescent="0.35">
      <c r="A132" s="192"/>
      <c r="B132" s="192"/>
      <c r="C132" s="192"/>
      <c r="D132" s="197"/>
      <c r="E132" s="192"/>
      <c r="F132" s="194"/>
      <c r="G132" s="194"/>
      <c r="H132" s="198"/>
      <c r="I132" s="199"/>
      <c r="J132" s="200"/>
      <c r="K132" s="201"/>
      <c r="L132" s="205"/>
      <c r="N132" s="214"/>
    </row>
    <row r="133" spans="1:14" x14ac:dyDescent="0.35">
      <c r="A133" s="192"/>
      <c r="B133" s="192"/>
      <c r="C133" s="192"/>
      <c r="D133" s="197"/>
      <c r="E133" s="192"/>
      <c r="F133" s="194"/>
      <c r="G133" s="194"/>
      <c r="H133" s="198"/>
      <c r="I133" s="199"/>
      <c r="J133" s="200"/>
      <c r="K133" s="201"/>
      <c r="L133" s="205"/>
      <c r="N133" s="214"/>
    </row>
    <row r="134" spans="1:14" x14ac:dyDescent="0.35">
      <c r="A134" s="192"/>
      <c r="B134" s="192"/>
      <c r="C134" s="192"/>
      <c r="D134" s="197"/>
      <c r="E134" s="192"/>
      <c r="F134" s="194"/>
      <c r="G134" s="194"/>
      <c r="H134" s="198"/>
      <c r="I134" s="199"/>
      <c r="J134" s="200"/>
      <c r="K134" s="201"/>
      <c r="L134" s="205"/>
      <c r="N134" s="214"/>
    </row>
    <row r="135" spans="1:14" x14ac:dyDescent="0.35">
      <c r="A135" s="192"/>
      <c r="B135" s="192"/>
      <c r="C135" s="192"/>
      <c r="D135" s="197"/>
      <c r="E135" s="192"/>
      <c r="F135" s="194"/>
      <c r="G135" s="194"/>
      <c r="H135" s="198"/>
      <c r="I135" s="199"/>
      <c r="J135" s="200"/>
      <c r="K135" s="201"/>
      <c r="L135" s="205"/>
      <c r="N135" s="214"/>
    </row>
    <row r="136" spans="1:14" x14ac:dyDescent="0.35">
      <c r="A136" s="192"/>
      <c r="B136" s="192"/>
      <c r="C136" s="192"/>
      <c r="D136" s="197"/>
      <c r="E136" s="192"/>
      <c r="F136" s="194"/>
      <c r="G136" s="194"/>
      <c r="H136" s="198"/>
      <c r="I136" s="199"/>
      <c r="J136" s="200"/>
      <c r="K136" s="201"/>
      <c r="L136" s="205"/>
      <c r="N136" s="214"/>
    </row>
    <row r="137" spans="1:14" x14ac:dyDescent="0.35">
      <c r="A137" s="192"/>
      <c r="B137" s="192"/>
      <c r="C137" s="192"/>
      <c r="D137" s="197"/>
      <c r="E137" s="192"/>
      <c r="F137" s="194"/>
      <c r="G137" s="194"/>
      <c r="H137" s="198"/>
      <c r="I137" s="199"/>
      <c r="J137" s="200"/>
      <c r="K137" s="201"/>
      <c r="L137" s="205"/>
      <c r="N137" s="214"/>
    </row>
    <row r="138" spans="1:14" x14ac:dyDescent="0.35">
      <c r="A138" s="192"/>
      <c r="B138" s="192"/>
      <c r="C138" s="192"/>
      <c r="D138" s="197"/>
      <c r="E138" s="192"/>
      <c r="F138" s="194"/>
      <c r="G138" s="194"/>
      <c r="H138" s="198"/>
      <c r="I138" s="199"/>
      <c r="J138" s="200"/>
      <c r="K138" s="201"/>
      <c r="L138" s="205"/>
      <c r="N138" s="214"/>
    </row>
    <row r="139" spans="1:14" x14ac:dyDescent="0.35">
      <c r="A139" s="192"/>
      <c r="B139" s="192"/>
      <c r="C139" s="192"/>
      <c r="D139" s="197"/>
      <c r="E139" s="192"/>
      <c r="F139" s="194"/>
      <c r="G139" s="194"/>
      <c r="H139" s="198"/>
      <c r="I139" s="199"/>
      <c r="J139" s="200"/>
      <c r="K139" s="201"/>
      <c r="L139" s="205"/>
      <c r="N139" s="214"/>
    </row>
    <row r="140" spans="1:14" x14ac:dyDescent="0.35">
      <c r="A140" s="192"/>
      <c r="B140" s="192"/>
      <c r="C140" s="192"/>
      <c r="D140" s="197"/>
      <c r="E140" s="192"/>
      <c r="F140" s="194"/>
      <c r="G140" s="194"/>
      <c r="H140" s="198"/>
      <c r="I140" s="199"/>
      <c r="J140" s="200"/>
      <c r="K140" s="201"/>
      <c r="L140" s="205"/>
      <c r="N140" s="214"/>
    </row>
    <row r="141" spans="1:14" x14ac:dyDescent="0.35">
      <c r="A141" s="192"/>
      <c r="B141" s="192"/>
      <c r="C141" s="192"/>
      <c r="D141" s="197"/>
      <c r="E141" s="192"/>
      <c r="F141" s="194"/>
      <c r="G141" s="194"/>
      <c r="H141" s="198"/>
      <c r="I141" s="199"/>
      <c r="J141" s="200"/>
      <c r="K141" s="201"/>
      <c r="L141" s="205"/>
      <c r="N141" s="214"/>
    </row>
    <row r="142" spans="1:14" x14ac:dyDescent="0.35">
      <c r="A142" s="192"/>
      <c r="B142" s="192"/>
      <c r="C142" s="192"/>
      <c r="D142" s="197"/>
      <c r="E142" s="192"/>
      <c r="F142" s="194"/>
      <c r="G142" s="194"/>
      <c r="H142" s="198"/>
      <c r="I142" s="199"/>
      <c r="J142" s="200"/>
      <c r="K142" s="201"/>
      <c r="L142" s="205"/>
      <c r="N142" s="214"/>
    </row>
    <row r="143" spans="1:14" x14ac:dyDescent="0.35">
      <c r="A143" s="192"/>
      <c r="B143" s="192"/>
      <c r="C143" s="192"/>
      <c r="D143" s="197"/>
      <c r="E143" s="192"/>
      <c r="F143" s="194"/>
      <c r="G143" s="194"/>
      <c r="H143" s="198"/>
      <c r="I143" s="199"/>
      <c r="J143" s="200"/>
      <c r="K143" s="201"/>
      <c r="L143" s="205"/>
      <c r="N143" s="214"/>
    </row>
  </sheetData>
  <conditionalFormatting sqref="L2:L143">
    <cfRule type="expression" dxfId="2" priority="1">
      <formula>ISNUMBER(SEARCH("⚠",L2))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7"/>
  <sheetViews>
    <sheetView showGridLines="0" workbookViewId="0">
      <pane ySplit="1" topLeftCell="A2" activePane="bottomLeft" state="frozen"/>
      <selection pane="bottomLeft" activeCell="A18" sqref="A18"/>
    </sheetView>
  </sheetViews>
  <sheetFormatPr defaultRowHeight="14.5" x14ac:dyDescent="0.35"/>
  <cols>
    <col min="1" max="1" width="14" customWidth="1"/>
    <col min="2" max="2" width="16" customWidth="1"/>
    <col min="3" max="3" width="8" customWidth="1"/>
    <col min="4" max="4" width="9" customWidth="1"/>
    <col min="5" max="5" width="10" customWidth="1"/>
    <col min="6" max="6" width="11" customWidth="1"/>
    <col min="7" max="7" width="17" customWidth="1"/>
    <col min="8" max="8" width="12" customWidth="1"/>
    <col min="9" max="9" width="15" customWidth="1"/>
    <col min="10" max="10" width="11" customWidth="1"/>
    <col min="11" max="11" width="13" customWidth="1"/>
    <col min="12" max="13" width="14" customWidth="1"/>
    <col min="14" max="14" width="16" customWidth="1"/>
    <col min="15" max="15" width="10" customWidth="1"/>
    <col min="16" max="16" width="12" customWidth="1"/>
    <col min="17" max="17" width="14" customWidth="1"/>
    <col min="18" max="18" width="8" customWidth="1"/>
    <col min="19" max="19" width="12" customWidth="1"/>
    <col min="20" max="20" width="17" customWidth="1"/>
    <col min="21" max="21" width="14" customWidth="1"/>
    <col min="22" max="22" width="12" customWidth="1"/>
    <col min="24" max="24" width="18" customWidth="1"/>
    <col min="25" max="25" width="16" customWidth="1"/>
  </cols>
  <sheetData>
    <row r="1" spans="1:25" ht="29" customHeight="1" x14ac:dyDescent="0.35">
      <c r="A1" s="217" t="s">
        <v>4542</v>
      </c>
      <c r="B1" s="217" t="s">
        <v>4553</v>
      </c>
      <c r="C1" s="217" t="s">
        <v>461</v>
      </c>
      <c r="D1" s="217" t="s">
        <v>4427</v>
      </c>
      <c r="E1" s="217" t="s">
        <v>4527</v>
      </c>
      <c r="F1" s="217" t="s">
        <v>4441</v>
      </c>
      <c r="G1" s="217" t="s">
        <v>4554</v>
      </c>
      <c r="H1" s="217" t="s">
        <v>4555</v>
      </c>
      <c r="I1" s="217" t="s">
        <v>4556</v>
      </c>
      <c r="J1" s="217" t="s">
        <v>4557</v>
      </c>
      <c r="K1" s="217" t="s">
        <v>4558</v>
      </c>
      <c r="L1" s="217" t="s">
        <v>4559</v>
      </c>
      <c r="M1" s="217" t="s">
        <v>4531</v>
      </c>
      <c r="N1" s="217" t="s">
        <v>4560</v>
      </c>
      <c r="O1" s="217" t="s">
        <v>4561</v>
      </c>
      <c r="P1" s="217" t="s">
        <v>4562</v>
      </c>
      <c r="Q1" s="217" t="s">
        <v>4563</v>
      </c>
      <c r="R1" s="217" t="s">
        <v>4564</v>
      </c>
      <c r="S1" s="217" t="s">
        <v>4565</v>
      </c>
      <c r="T1" s="217" t="s">
        <v>4566</v>
      </c>
      <c r="U1" s="217" t="s">
        <v>4567</v>
      </c>
      <c r="V1" s="217" t="s">
        <v>4568</v>
      </c>
      <c r="W1" s="217"/>
      <c r="X1" s="217" t="s">
        <v>4569</v>
      </c>
      <c r="Y1" s="217" t="s">
        <v>4570</v>
      </c>
    </row>
    <row r="2" spans="1:25" x14ac:dyDescent="0.35">
      <c r="A2" s="192" t="s">
        <v>4551</v>
      </c>
      <c r="B2" s="192" t="s">
        <v>4571</v>
      </c>
      <c r="C2" s="192" t="s">
        <v>4572</v>
      </c>
      <c r="D2" s="201" t="str">
        <f>_xlfn.XLOOKUP(A2,Cert_App_Output!$C:$C,Cert_App_Output!$A:$A)</f>
        <v>CH 2171</v>
      </c>
      <c r="E2" s="201" t="str">
        <f>_xlfn.XLOOKUP(A2,Cert_App_Output!$C:$C,Cert_App_Output!$B:$B)</f>
        <v>CH-OC01</v>
      </c>
      <c r="F2" s="202">
        <f>_xlfn.XLOOKUP(A2,Cert_App_Output!$C:$C,Cert_App_Output!$D:$D)</f>
        <v>46142</v>
      </c>
      <c r="G2" s="199">
        <f>SUMIFS(Cert_App_Output!$J:$J,Cert_App_Output!$C:$C,$A2)</f>
        <v>64007080.934044354</v>
      </c>
      <c r="H2" s="194">
        <v>0.65</v>
      </c>
      <c r="I2" s="200">
        <f>$G2*H2</f>
        <v>41604602.607128829</v>
      </c>
      <c r="J2" s="218">
        <f>_xlfn.XLOOKUP($A2,Cert_Cabecera!$A:$A,Cert_Cabecera!$E:$E)</f>
        <v>0.2</v>
      </c>
      <c r="K2" s="200">
        <f>-I2*J2</f>
        <v>-8320920.5214257659</v>
      </c>
      <c r="L2" s="200">
        <f>I2+K2</f>
        <v>33283682.085703064</v>
      </c>
      <c r="M2" s="196">
        <f>_xlfn.XLOOKUP($E2,Cert_OC_Cliente!$B:$B,Cert_OC_Cliente!$G:$G)</f>
        <v>16643.400000000001</v>
      </c>
      <c r="N2" s="219">
        <f>IF($Y2="",_xlfn.XLOOKUP(DATE(YEAR(F2),MONTH(F2),1),'0_Indice_CAC'!$A:$A,'0_Indice_CAC'!$B:$B),$Y2)</f>
        <v>20138.793405782701</v>
      </c>
      <c r="O2" s="203">
        <f>N2/M2</f>
        <v>1.2100167877827066</v>
      </c>
      <c r="P2" s="200">
        <f>L2*(O2-1)</f>
        <v>6990131.9972201735</v>
      </c>
      <c r="Q2" s="200">
        <f>L2+P2</f>
        <v>40273814.082923234</v>
      </c>
      <c r="R2" s="194">
        <v>0.21</v>
      </c>
      <c r="S2" s="200">
        <f>Q2*R2</f>
        <v>8457500.9574138783</v>
      </c>
      <c r="T2" s="200">
        <f>Q2+S2</f>
        <v>48731315.040337116</v>
      </c>
      <c r="U2" s="193">
        <v>1276</v>
      </c>
      <c r="V2" s="204" t="str">
        <f>IF(C2="Negro",T2/U2,"")</f>
        <v/>
      </c>
      <c r="X2" s="205" t="str">
        <f>IF(ABS(SUMIFS($H:$H,$A:$A,$A2)-1)&lt;0.0001,"✓","⚠ ≠100%")</f>
        <v>✓</v>
      </c>
      <c r="Y2" s="220"/>
    </row>
    <row r="3" spans="1:25" x14ac:dyDescent="0.35">
      <c r="A3" s="192" t="s">
        <v>4551</v>
      </c>
      <c r="B3" s="192" t="s">
        <v>4573</v>
      </c>
      <c r="C3" s="192" t="s">
        <v>4574</v>
      </c>
      <c r="D3" s="201" t="str">
        <f>_xlfn.XLOOKUP(A3,Cert_App_Output!$C:$C,Cert_App_Output!$A:$A)</f>
        <v>CH 2171</v>
      </c>
      <c r="E3" s="201" t="str">
        <f>_xlfn.XLOOKUP(A3,Cert_App_Output!$C:$C,Cert_App_Output!$B:$B)</f>
        <v>CH-OC01</v>
      </c>
      <c r="F3" s="202">
        <f>_xlfn.XLOOKUP(A3,Cert_App_Output!$C:$C,Cert_App_Output!$D:$D)</f>
        <v>46142</v>
      </c>
      <c r="G3" s="199">
        <f>SUMIFS(Cert_App_Output!$J:$J,Cert_App_Output!$C:$C,$A3)</f>
        <v>64007080.934044354</v>
      </c>
      <c r="H3" s="194">
        <v>0.35</v>
      </c>
      <c r="I3" s="200">
        <f>$G3*H3</f>
        <v>22402478.326915521</v>
      </c>
      <c r="J3" s="218">
        <f>_xlfn.XLOOKUP($A3,Cert_Cabecera!$A:$A,Cert_Cabecera!$E:$E)</f>
        <v>0.2</v>
      </c>
      <c r="K3" s="200">
        <f>-I3*J3</f>
        <v>-4480495.6653831042</v>
      </c>
      <c r="L3" s="200">
        <f>I3+K3</f>
        <v>17921982.661532417</v>
      </c>
      <c r="M3" s="196">
        <f>_xlfn.XLOOKUP($E3,Cert_OC_Cliente!$B:$B,Cert_OC_Cliente!$G:$G)</f>
        <v>16643.400000000001</v>
      </c>
      <c r="N3" s="219">
        <f>IF($Y3="",_xlfn.XLOOKUP(DATE(YEAR(F3),MONTH(F3),1),'0_Indice_CAC'!$A:$A,'0_Indice_CAC'!$B:$B),$Y3)</f>
        <v>20138.793405782701</v>
      </c>
      <c r="O3" s="203">
        <f>N3/M3</f>
        <v>1.2100167877827066</v>
      </c>
      <c r="P3" s="200">
        <f>L3*(O3-1)</f>
        <v>3763917.229272401</v>
      </c>
      <c r="Q3" s="200">
        <f>L3+P3</f>
        <v>21685899.89080482</v>
      </c>
      <c r="R3" s="194">
        <v>0</v>
      </c>
      <c r="S3" s="200">
        <f>Q3*R3</f>
        <v>0</v>
      </c>
      <c r="T3" s="200">
        <f>Q3+S3</f>
        <v>21685899.89080482</v>
      </c>
      <c r="U3" s="193">
        <v>1276</v>
      </c>
      <c r="V3" s="204">
        <f>IF(C3="Negro",T3/U3,"")</f>
        <v>16995.219350160518</v>
      </c>
      <c r="X3" s="205" t="str">
        <f>IF(ABS(SUMIFS($H:$H,$A:$A,$A3)-1)&lt;0.0001,"✓","⚠ ≠100%")</f>
        <v>✓</v>
      </c>
      <c r="Y3" s="220"/>
    </row>
    <row r="4" spans="1:25" x14ac:dyDescent="0.35">
      <c r="A4" s="192" t="s">
        <v>4552</v>
      </c>
      <c r="B4" s="192" t="s">
        <v>4575</v>
      </c>
      <c r="C4" s="192" t="s">
        <v>4572</v>
      </c>
      <c r="D4" s="201" t="str">
        <f>_xlfn.XLOOKUP(A4,Cert_App_Output!$C:$C,Cert_App_Output!$A:$A)</f>
        <v>CH 2171</v>
      </c>
      <c r="E4" s="201" t="str">
        <f>_xlfn.XLOOKUP(A4,Cert_App_Output!$C:$C,Cert_App_Output!$B:$B)</f>
        <v>CH-OC01</v>
      </c>
      <c r="F4" s="202">
        <f>_xlfn.XLOOKUP(A4,Cert_App_Output!$C:$C,Cert_App_Output!$D:$D)</f>
        <v>46175</v>
      </c>
      <c r="G4" s="199">
        <f>SUMIFS(Cert_App_Output!$J:$J,Cert_App_Output!$C:$C,$A4)</f>
        <v>68905427.777313218</v>
      </c>
      <c r="H4" s="194">
        <v>0.65</v>
      </c>
      <c r="I4" s="200">
        <f>$G4*H4</f>
        <v>44788528.055253595</v>
      </c>
      <c r="J4" s="218">
        <f>_xlfn.XLOOKUP($A4,Cert_Cabecera!$A:$A,Cert_Cabecera!$E:$E)</f>
        <v>0.2</v>
      </c>
      <c r="K4" s="200">
        <f>-I4*J4</f>
        <v>-8957705.6110507194</v>
      </c>
      <c r="L4" s="200">
        <f>I4+K4</f>
        <v>35830822.444202878</v>
      </c>
      <c r="M4" s="196">
        <f>_xlfn.XLOOKUP($E4,Cert_OC_Cliente!$B:$B,Cert_OC_Cliente!$G:$G)</f>
        <v>16643.400000000001</v>
      </c>
      <c r="N4" s="219">
        <f>IF($Y4="",_xlfn.XLOOKUP(DATE(YEAR(F4),MONTH(F4),1),'0_Indice_CAC'!$A:$A,'0_Indice_CAC'!$B:$B),$Y4)</f>
        <v>20471.346217654202</v>
      </c>
      <c r="O4" s="203">
        <f>N4/M4</f>
        <v>1.2299978500579329</v>
      </c>
      <c r="P4" s="200">
        <f>L4*(O4-1)</f>
        <v>8241012.1279741917</v>
      </c>
      <c r="Q4" s="200">
        <f>L4+P4</f>
        <v>44071834.572177067</v>
      </c>
      <c r="R4" s="194">
        <v>0.21</v>
      </c>
      <c r="S4" s="200">
        <f>Q4*R4</f>
        <v>9255085.2601571847</v>
      </c>
      <c r="T4" s="200">
        <f>Q4+S4</f>
        <v>53326919.83233425</v>
      </c>
      <c r="U4" s="193">
        <v>1276</v>
      </c>
      <c r="V4" s="204" t="str">
        <f>IF(C4="Negro",T4/U4,"")</f>
        <v/>
      </c>
      <c r="X4" s="205" t="str">
        <f>IF(ABS(SUMIFS($H:$H,$A:$A,$A4)-1)&lt;0.0001,"✓","⚠ ≠100%")</f>
        <v>✓</v>
      </c>
      <c r="Y4" s="220"/>
    </row>
    <row r="5" spans="1:25" x14ac:dyDescent="0.35">
      <c r="A5" s="192" t="s">
        <v>4552</v>
      </c>
      <c r="B5" s="192" t="s">
        <v>4576</v>
      </c>
      <c r="C5" s="192" t="s">
        <v>4574</v>
      </c>
      <c r="D5" s="201" t="str">
        <f>_xlfn.XLOOKUP(A5,Cert_App_Output!$C:$C,Cert_App_Output!$A:$A)</f>
        <v>CH 2171</v>
      </c>
      <c r="E5" s="201" t="str">
        <f>_xlfn.XLOOKUP(A5,Cert_App_Output!$C:$C,Cert_App_Output!$B:$B)</f>
        <v>CH-OC01</v>
      </c>
      <c r="F5" s="202">
        <f>_xlfn.XLOOKUP(A5,Cert_App_Output!$C:$C,Cert_App_Output!$D:$D)</f>
        <v>46175</v>
      </c>
      <c r="G5" s="199">
        <f>SUMIFS(Cert_App_Output!$J:$J,Cert_App_Output!$C:$C,$A5)</f>
        <v>68905427.777313218</v>
      </c>
      <c r="H5" s="194">
        <v>0.35</v>
      </c>
      <c r="I5" s="200">
        <f>$G5*H5</f>
        <v>24116899.722059626</v>
      </c>
      <c r="J5" s="218">
        <f>_xlfn.XLOOKUP($A5,Cert_Cabecera!$A:$A,Cert_Cabecera!$E:$E)</f>
        <v>0.2</v>
      </c>
      <c r="K5" s="200">
        <f>-I5*J5</f>
        <v>-4823379.944411925</v>
      </c>
      <c r="L5" s="200">
        <f>I5+K5</f>
        <v>19293519.7776477</v>
      </c>
      <c r="M5" s="196">
        <f>_xlfn.XLOOKUP($E5,Cert_OC_Cliente!$B:$B,Cert_OC_Cliente!$G:$G)</f>
        <v>16643.400000000001</v>
      </c>
      <c r="N5" s="219">
        <f>IF($Y5="",_xlfn.XLOOKUP(DATE(YEAR(F5),MONTH(F5),1),'0_Indice_CAC'!$A:$A,'0_Indice_CAC'!$B:$B),$Y5)</f>
        <v>20471.346217654202</v>
      </c>
      <c r="O5" s="203">
        <f>N5/M5</f>
        <v>1.2299978500579329</v>
      </c>
      <c r="P5" s="200">
        <f>L5*(O5-1)</f>
        <v>4437468.0689091794</v>
      </c>
      <c r="Q5" s="200">
        <f>L5+P5</f>
        <v>23730987.84655688</v>
      </c>
      <c r="R5" s="194">
        <v>0</v>
      </c>
      <c r="S5" s="200">
        <f>Q5*R5</f>
        <v>0</v>
      </c>
      <c r="T5" s="200">
        <f>Q5+S5</f>
        <v>23730987.84655688</v>
      </c>
      <c r="U5" s="193">
        <v>1276</v>
      </c>
      <c r="V5" s="204">
        <f>IF(C5="Negro",T5/U5,"")</f>
        <v>18597.952857803197</v>
      </c>
      <c r="X5" s="205" t="str">
        <f>IF(ABS(SUMIFS($H:$H,$A:$A,$A5)-1)&lt;0.0001,"✓","⚠ ≠100%")</f>
        <v>✓</v>
      </c>
      <c r="Y5" s="220"/>
    </row>
    <row r="6" spans="1:25" x14ac:dyDescent="0.35">
      <c r="A6" s="192"/>
      <c r="B6" s="192"/>
      <c r="C6" s="192"/>
      <c r="D6" s="201"/>
      <c r="E6" s="201"/>
      <c r="F6" s="202"/>
      <c r="G6" s="199"/>
      <c r="H6" s="194"/>
      <c r="I6" s="200"/>
      <c r="J6" s="218"/>
      <c r="K6" s="200"/>
      <c r="L6" s="200"/>
      <c r="M6" s="196"/>
      <c r="N6" s="219"/>
      <c r="O6" s="203"/>
      <c r="P6" s="200"/>
      <c r="Q6" s="200"/>
      <c r="R6" s="194"/>
      <c r="S6" s="200"/>
      <c r="T6" s="200"/>
      <c r="U6" s="193"/>
      <c r="V6" s="204"/>
      <c r="X6" s="205"/>
      <c r="Y6" s="220"/>
    </row>
    <row r="7" spans="1:25" x14ac:dyDescent="0.35">
      <c r="A7" s="192"/>
      <c r="B7" s="192"/>
      <c r="C7" s="192"/>
      <c r="D7" s="201"/>
      <c r="E7" s="201"/>
      <c r="F7" s="202"/>
      <c r="G7" s="199"/>
      <c r="H7" s="194"/>
      <c r="I7" s="200"/>
      <c r="J7" s="218"/>
      <c r="K7" s="200"/>
      <c r="L7" s="200"/>
      <c r="M7" s="196"/>
      <c r="N7" s="219"/>
      <c r="O7" s="203"/>
      <c r="P7" s="200"/>
      <c r="Q7" s="200"/>
      <c r="R7" s="194"/>
      <c r="S7" s="200"/>
      <c r="T7" s="200"/>
      <c r="U7" s="193"/>
      <c r="V7" s="204"/>
      <c r="X7" s="205"/>
      <c r="Y7" s="220"/>
    </row>
    <row r="8" spans="1:25" x14ac:dyDescent="0.35">
      <c r="A8" s="192"/>
      <c r="B8" s="192"/>
      <c r="C8" s="192"/>
      <c r="D8" s="201"/>
      <c r="E8" s="201"/>
      <c r="F8" s="202"/>
      <c r="G8" s="199"/>
      <c r="H8" s="194"/>
      <c r="I8" s="200"/>
      <c r="J8" s="218"/>
      <c r="K8" s="200"/>
      <c r="L8" s="200"/>
      <c r="M8" s="196"/>
      <c r="N8" s="219"/>
      <c r="O8" s="203"/>
      <c r="P8" s="200"/>
      <c r="Q8" s="200"/>
      <c r="R8" s="194"/>
      <c r="S8" s="200"/>
      <c r="T8" s="200"/>
      <c r="U8" s="193"/>
      <c r="V8" s="204"/>
      <c r="X8" s="205"/>
      <c r="Y8" s="220"/>
    </row>
    <row r="9" spans="1:25" x14ac:dyDescent="0.35">
      <c r="A9" s="192"/>
      <c r="B9" s="192"/>
      <c r="C9" s="192"/>
      <c r="D9" s="201"/>
      <c r="E9" s="201"/>
      <c r="F9" s="202"/>
      <c r="G9" s="199"/>
      <c r="H9" s="194"/>
      <c r="I9" s="200"/>
      <c r="J9" s="218"/>
      <c r="K9" s="200"/>
      <c r="L9" s="200"/>
      <c r="M9" s="196"/>
      <c r="N9" s="219"/>
      <c r="O9" s="203"/>
      <c r="P9" s="200"/>
      <c r="Q9" s="200"/>
      <c r="R9" s="194"/>
      <c r="S9" s="200"/>
      <c r="T9" s="200"/>
      <c r="U9" s="193"/>
      <c r="V9" s="204"/>
      <c r="X9" s="205"/>
      <c r="Y9" s="220"/>
    </row>
    <row r="10" spans="1:25" x14ac:dyDescent="0.35">
      <c r="A10" s="192"/>
      <c r="B10" s="192"/>
      <c r="C10" s="192"/>
      <c r="D10" s="201"/>
      <c r="E10" s="201"/>
      <c r="F10" s="202"/>
      <c r="G10" s="199"/>
      <c r="H10" s="194"/>
      <c r="I10" s="200"/>
      <c r="J10" s="218"/>
      <c r="K10" s="200"/>
      <c r="L10" s="200"/>
      <c r="M10" s="196"/>
      <c r="N10" s="219"/>
      <c r="O10" s="203"/>
      <c r="P10" s="200"/>
      <c r="Q10" s="200"/>
      <c r="R10" s="194"/>
      <c r="S10" s="200"/>
      <c r="T10" s="200"/>
      <c r="U10" s="193"/>
      <c r="V10" s="204"/>
      <c r="X10" s="205"/>
      <c r="Y10" s="220"/>
    </row>
    <row r="11" spans="1:25" x14ac:dyDescent="0.35">
      <c r="A11" s="192"/>
      <c r="B11" s="192"/>
      <c r="C11" s="192"/>
      <c r="D11" s="201"/>
      <c r="E11" s="201"/>
      <c r="F11" s="202"/>
      <c r="G11" s="199"/>
      <c r="H11" s="194"/>
      <c r="I11" s="200"/>
      <c r="J11" s="218"/>
      <c r="K11" s="200"/>
      <c r="L11" s="200"/>
      <c r="M11" s="196"/>
      <c r="N11" s="219"/>
      <c r="O11" s="203"/>
      <c r="P11" s="200"/>
      <c r="Q11" s="200"/>
      <c r="R11" s="194"/>
      <c r="S11" s="200"/>
      <c r="T11" s="200"/>
      <c r="U11" s="193"/>
      <c r="V11" s="204"/>
      <c r="X11" s="205"/>
      <c r="Y11" s="220"/>
    </row>
    <row r="12" spans="1:25" x14ac:dyDescent="0.35">
      <c r="A12" s="192" t="s">
        <v>4577</v>
      </c>
      <c r="B12" s="192" t="s">
        <v>4578</v>
      </c>
      <c r="C12" s="192" t="s">
        <v>4572</v>
      </c>
      <c r="D12" s="201" t="str">
        <f>_xlfn.XLOOKUP($E12,Cert_OC_Cliente!$B:$B,Cert_OC_Cliente!$A:$A)</f>
        <v>CH 2171</v>
      </c>
      <c r="E12" s="205" t="str">
        <f>LEFT(A12,LEN(A12)-4)</f>
        <v>CH-OC01</v>
      </c>
      <c r="F12" s="202">
        <f>_xlfn.XLOOKUP($E12,Cert_OC_Cliente!$B:$B,Cert_OC_Cliente!$M:$M)</f>
        <v>46037</v>
      </c>
      <c r="G12" s="199">
        <f>_xlfn.XLOOKUP($E12,Cert_OC_Cliente!$B:$B,Cert_OC_Cliente!$D:$D)*_xlfn.XLOOKUP($E12,Cert_OC_Cliente!$B:$B,Cert_OC_Cliente!$E:$E)</f>
        <v>120095631</v>
      </c>
      <c r="H12" s="194">
        <v>0.65</v>
      </c>
      <c r="I12" s="200">
        <f>$G12*H12</f>
        <v>78062160.150000006</v>
      </c>
      <c r="J12" s="218">
        <f>_xlfn.XLOOKUP($A12,Cert_Cabecera!$A:$A,Cert_Cabecera!$E:$E)</f>
        <v>0</v>
      </c>
      <c r="K12" s="200">
        <f>-I12*J12</f>
        <v>0</v>
      </c>
      <c r="L12" s="200">
        <f>I12+K12</f>
        <v>78062160.150000006</v>
      </c>
      <c r="M12" s="196">
        <f>_xlfn.XLOOKUP($E12,Cert_OC_Cliente!$B:$B,Cert_OC_Cliente!$G:$G)</f>
        <v>16643.400000000001</v>
      </c>
      <c r="N12" s="219">
        <f>IF($Y12="",_xlfn.XLOOKUP(DATE(YEAR(F12),MONTH(F12),1),'0_Indice_CAC'!$A:$A,'0_Indice_CAC'!$B:$B),$Y12)</f>
        <v>19209.400000000001</v>
      </c>
      <c r="O12" s="203">
        <f>N12/M12</f>
        <v>1.1541752286191522</v>
      </c>
      <c r="P12" s="200">
        <f>L12*(O12-1)</f>
        <v>12035251.387631126</v>
      </c>
      <c r="Q12" s="200">
        <f>L12+P12</f>
        <v>90097411.537631124</v>
      </c>
      <c r="R12" s="194">
        <v>0.21</v>
      </c>
      <c r="S12" s="200">
        <f>Q12*R12</f>
        <v>18920456.422902536</v>
      </c>
      <c r="T12" s="200">
        <f>Q12+S12</f>
        <v>109017867.96053366</v>
      </c>
      <c r="U12" s="193">
        <v>1276</v>
      </c>
      <c r="V12" s="204" t="str">
        <f>IF(C12="Negro",T12/U12,"")</f>
        <v/>
      </c>
      <c r="X12" s="205" t="str">
        <f>IF(ABS(SUMIFS($H:$H,$A:$A,$A12)-1)&lt;0.0001,"✓","⚠ ≠100%")</f>
        <v>✓</v>
      </c>
      <c r="Y12" s="220"/>
    </row>
    <row r="13" spans="1:25" x14ac:dyDescent="0.35">
      <c r="A13" s="192" t="s">
        <v>4577</v>
      </c>
      <c r="B13" s="192" t="s">
        <v>4579</v>
      </c>
      <c r="C13" s="192" t="s">
        <v>4574</v>
      </c>
      <c r="D13" s="201" t="str">
        <f>_xlfn.XLOOKUP($E13,Cert_OC_Cliente!$B:$B,Cert_OC_Cliente!$A:$A)</f>
        <v>CH 2171</v>
      </c>
      <c r="E13" s="205" t="str">
        <f>LEFT(A13,LEN(A13)-4)</f>
        <v>CH-OC01</v>
      </c>
      <c r="F13" s="202">
        <f>_xlfn.XLOOKUP($E13,Cert_OC_Cliente!$B:$B,Cert_OC_Cliente!$M:$M)</f>
        <v>46037</v>
      </c>
      <c r="G13" s="199">
        <f>_xlfn.XLOOKUP($E13,Cert_OC_Cliente!$B:$B,Cert_OC_Cliente!$D:$D)*_xlfn.XLOOKUP($E13,Cert_OC_Cliente!$B:$B,Cert_OC_Cliente!$E:$E)</f>
        <v>120095631</v>
      </c>
      <c r="H13" s="194">
        <v>0.35</v>
      </c>
      <c r="I13" s="200">
        <f>$G13*H13</f>
        <v>42033470.849999994</v>
      </c>
      <c r="J13" s="218">
        <f>_xlfn.XLOOKUP($A13,Cert_Cabecera!$A:$A,Cert_Cabecera!$E:$E)</f>
        <v>0</v>
      </c>
      <c r="K13" s="200">
        <f>-I13*J13</f>
        <v>0</v>
      </c>
      <c r="L13" s="200">
        <f>I13+K13</f>
        <v>42033470.849999994</v>
      </c>
      <c r="M13" s="196">
        <f>_xlfn.XLOOKUP($E13,Cert_OC_Cliente!$B:$B,Cert_OC_Cliente!$G:$G)</f>
        <v>16643.400000000001</v>
      </c>
      <c r="N13" s="219">
        <f>IF($Y13="",_xlfn.XLOOKUP(DATE(YEAR(F13),MONTH(F13),1),'0_Indice_CAC'!$A:$A,'0_Indice_CAC'!$B:$B),$Y13)</f>
        <v>19209.400000000001</v>
      </c>
      <c r="O13" s="203">
        <f>N13/M13</f>
        <v>1.1541752286191522</v>
      </c>
      <c r="P13" s="200">
        <f>L13*(O13-1)</f>
        <v>6480519.9779552203</v>
      </c>
      <c r="Q13" s="200">
        <f>L13+P13</f>
        <v>48513990.827955216</v>
      </c>
      <c r="R13" s="194">
        <v>0</v>
      </c>
      <c r="S13" s="200">
        <f>Q13*R13</f>
        <v>0</v>
      </c>
      <c r="T13" s="200">
        <f>Q13+S13</f>
        <v>48513990.827955216</v>
      </c>
      <c r="U13" s="193">
        <v>1276</v>
      </c>
      <c r="V13" s="204">
        <f>IF(C13="Negro",T13/U13,"")</f>
        <v>38020.368987425718</v>
      </c>
      <c r="X13" s="205" t="str">
        <f>IF(ABS(SUMIFS($H:$H,$A:$A,$A13)-1)&lt;0.0001,"✓","⚠ ≠100%")</f>
        <v>✓</v>
      </c>
      <c r="Y13" s="220"/>
    </row>
    <row r="14" spans="1:25" x14ac:dyDescent="0.35">
      <c r="A14" s="192"/>
      <c r="B14" s="192"/>
      <c r="C14" s="192"/>
      <c r="D14" s="201"/>
      <c r="E14" s="205"/>
      <c r="F14" s="202"/>
      <c r="G14" s="199"/>
      <c r="H14" s="194"/>
      <c r="I14" s="200"/>
      <c r="J14" s="218"/>
      <c r="K14" s="200"/>
      <c r="L14" s="200"/>
      <c r="M14" s="196"/>
      <c r="N14" s="219"/>
      <c r="O14" s="203"/>
      <c r="P14" s="200"/>
      <c r="Q14" s="200"/>
      <c r="R14" s="194"/>
      <c r="S14" s="200"/>
      <c r="T14" s="200"/>
      <c r="U14" s="193"/>
      <c r="V14" s="204"/>
      <c r="X14" s="205"/>
      <c r="Y14" s="220"/>
    </row>
    <row r="15" spans="1:25" x14ac:dyDescent="0.35">
      <c r="A15" s="192"/>
      <c r="B15" s="192"/>
      <c r="C15" s="192"/>
      <c r="D15" s="201"/>
      <c r="E15" s="205"/>
      <c r="F15" s="202"/>
      <c r="G15" s="199"/>
      <c r="H15" s="194"/>
      <c r="I15" s="200"/>
      <c r="J15" s="218"/>
      <c r="K15" s="200"/>
      <c r="L15" s="200"/>
      <c r="M15" s="196"/>
      <c r="N15" s="219"/>
      <c r="O15" s="203"/>
      <c r="P15" s="200"/>
      <c r="Q15" s="200"/>
      <c r="R15" s="194"/>
      <c r="S15" s="200"/>
      <c r="T15" s="200"/>
      <c r="U15" s="193"/>
      <c r="V15" s="204"/>
      <c r="X15" s="205"/>
      <c r="Y15" s="220"/>
    </row>
    <row r="16" spans="1:25" x14ac:dyDescent="0.35">
      <c r="A16" s="192"/>
      <c r="B16" s="192"/>
      <c r="C16" s="192"/>
      <c r="D16" s="201"/>
      <c r="E16" s="201"/>
      <c r="F16" s="202"/>
      <c r="G16" s="199"/>
      <c r="H16" s="194"/>
      <c r="I16" s="200"/>
      <c r="J16" s="218"/>
      <c r="K16" s="200"/>
      <c r="L16" s="200"/>
      <c r="M16" s="196"/>
      <c r="N16" s="219"/>
      <c r="O16" s="203"/>
      <c r="P16" s="200"/>
      <c r="Q16" s="200"/>
      <c r="R16" s="194"/>
      <c r="S16" s="200"/>
      <c r="T16" s="200"/>
      <c r="U16" s="193"/>
      <c r="V16" s="204"/>
      <c r="X16" s="205"/>
      <c r="Y16" s="220"/>
    </row>
    <row r="17" spans="1:25" x14ac:dyDescent="0.35">
      <c r="A17" s="192"/>
      <c r="B17" s="192"/>
      <c r="C17" s="192"/>
      <c r="D17" s="201"/>
      <c r="E17" s="201"/>
      <c r="F17" s="202"/>
      <c r="G17" s="199"/>
      <c r="H17" s="194"/>
      <c r="I17" s="200"/>
      <c r="J17" s="218"/>
      <c r="K17" s="200"/>
      <c r="L17" s="200"/>
      <c r="M17" s="196"/>
      <c r="N17" s="219"/>
      <c r="O17" s="203"/>
      <c r="P17" s="200"/>
      <c r="Q17" s="200"/>
      <c r="R17" s="194"/>
      <c r="S17" s="200"/>
      <c r="T17" s="200"/>
      <c r="U17" s="193"/>
      <c r="V17" s="204"/>
      <c r="X17" s="205"/>
      <c r="Y17" s="220"/>
    </row>
  </sheetData>
  <conditionalFormatting sqref="X2:X17">
    <cfRule type="expression" dxfId="1" priority="1">
      <formula>ISNUMBER(SEARCH("⚠",X2))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1" customWidth="1"/>
    <col min="3" max="3" width="12" customWidth="1"/>
    <col min="4" max="4" width="20" customWidth="1"/>
    <col min="5" max="5" width="18" customWidth="1"/>
    <col min="6" max="7" width="16" customWidth="1"/>
    <col min="8" max="8" width="18" customWidth="1"/>
  </cols>
  <sheetData>
    <row r="1" spans="1:8" ht="29" customHeight="1" x14ac:dyDescent="0.35">
      <c r="A1" s="217" t="s">
        <v>4542</v>
      </c>
      <c r="B1" s="217" t="s">
        <v>4527</v>
      </c>
      <c r="C1" s="217" t="s">
        <v>4441</v>
      </c>
      <c r="D1" s="217" t="s">
        <v>4580</v>
      </c>
      <c r="E1" s="217" t="s">
        <v>4581</v>
      </c>
      <c r="F1" s="217" t="s">
        <v>4558</v>
      </c>
      <c r="G1" s="217" t="s">
        <v>4582</v>
      </c>
      <c r="H1" s="217" t="s">
        <v>4583</v>
      </c>
    </row>
    <row r="2" spans="1:8" x14ac:dyDescent="0.35">
      <c r="A2" s="221" t="s">
        <v>4577</v>
      </c>
      <c r="B2" s="222" t="str">
        <f>LEFT($A2,FIND("|",SUBSTITUTE($A2,"-","|",2))-1)</f>
        <v>CH-OC01</v>
      </c>
      <c r="C2" s="223" t="str">
        <f>IFERROR(_xlfn.XLOOKUP($A2,Cert_App_Output!$C:$C,Cert_App_Output!$D:$D),"")</f>
        <v/>
      </c>
      <c r="D2" s="224">
        <f>SUMIFS(Cert_App_Output!$J:$J,Cert_App_Output!$C:$C,$A2)</f>
        <v>0</v>
      </c>
      <c r="E2" s="225">
        <v>0</v>
      </c>
      <c r="F2" s="226">
        <f>$D2*$E2</f>
        <v>0</v>
      </c>
      <c r="G2" s="226">
        <f>$D2-$F2</f>
        <v>0</v>
      </c>
      <c r="H2" s="222" t="str">
        <f>IF(COUNTIF(Cert_Calculo!$A:$A,$A2)&gt;0,"OK","FALTA en Calculo")</f>
        <v>OK</v>
      </c>
    </row>
    <row r="3" spans="1:8" x14ac:dyDescent="0.35">
      <c r="A3" s="221" t="s">
        <v>4551</v>
      </c>
      <c r="B3" s="222" t="str">
        <f>LEFT($A3,FIND("|",SUBSTITUTE($A3,"-","|",2))-1)</f>
        <v>CH-OC01</v>
      </c>
      <c r="C3" s="223">
        <f>IFERROR(_xlfn.XLOOKUP($A3,Cert_App_Output!$C:$C,Cert_App_Output!$D:$D),"")</f>
        <v>46142</v>
      </c>
      <c r="D3" s="224">
        <f>SUMIFS(Cert_App_Output!$J:$J,Cert_App_Output!$C:$C,$A3)</f>
        <v>64007080.934044354</v>
      </c>
      <c r="E3" s="225">
        <v>0.2</v>
      </c>
      <c r="F3" s="226">
        <f>$D3*$E3</f>
        <v>12801416.186808871</v>
      </c>
      <c r="G3" s="226">
        <f>$D3-$F3</f>
        <v>51205664.747235484</v>
      </c>
      <c r="H3" s="222" t="str">
        <f>IF(COUNTIF(Cert_Calculo!$A:$A,$A3)&gt;0,"OK","FALTA en Calculo")</f>
        <v>OK</v>
      </c>
    </row>
    <row r="4" spans="1:8" x14ac:dyDescent="0.35">
      <c r="A4" s="221" t="s">
        <v>4552</v>
      </c>
      <c r="B4" s="222" t="str">
        <f>LEFT($A4,FIND("|",SUBSTITUTE($A4,"-","|",2))-1)</f>
        <v>CH-OC01</v>
      </c>
      <c r="C4" s="223">
        <f>IFERROR(_xlfn.XLOOKUP($A4,Cert_App_Output!$C:$C,Cert_App_Output!$D:$D),"")</f>
        <v>46175</v>
      </c>
      <c r="D4" s="224">
        <f>SUMIFS(Cert_App_Output!$J:$J,Cert_App_Output!$C:$C,$A4)</f>
        <v>68905427.777313218</v>
      </c>
      <c r="E4" s="225">
        <v>0.2</v>
      </c>
      <c r="F4" s="226">
        <f>$D4*$E4</f>
        <v>13781085.555462644</v>
      </c>
      <c r="G4" s="226">
        <f>$D4-$F4</f>
        <v>55124342.221850574</v>
      </c>
      <c r="H4" s="222" t="str">
        <f>IF(COUNTIF(Cert_Calculo!$A:$A,$A4)&gt;0,"OK","FALTA en Calculo")</f>
        <v>OK</v>
      </c>
    </row>
    <row r="5" spans="1:8" x14ac:dyDescent="0.35">
      <c r="A5" s="221"/>
      <c r="B5" s="222"/>
      <c r="C5" s="223"/>
      <c r="D5" s="224"/>
      <c r="E5" s="225"/>
      <c r="F5" s="226"/>
      <c r="G5" s="226"/>
      <c r="H5" s="222"/>
    </row>
    <row r="6" spans="1:8" x14ac:dyDescent="0.35">
      <c r="A6" s="221"/>
      <c r="B6" s="222"/>
      <c r="C6" s="223"/>
      <c r="D6" s="224"/>
      <c r="E6" s="225"/>
      <c r="F6" s="226"/>
      <c r="G6" s="226"/>
      <c r="H6" s="222"/>
    </row>
    <row r="7" spans="1:8" x14ac:dyDescent="0.35">
      <c r="A7" s="221"/>
      <c r="B7" s="222"/>
      <c r="C7" s="223"/>
      <c r="D7" s="224"/>
      <c r="E7" s="225"/>
      <c r="F7" s="226"/>
      <c r="G7" s="226"/>
      <c r="H7" s="222"/>
    </row>
    <row r="8" spans="1:8" x14ac:dyDescent="0.35">
      <c r="A8" s="221"/>
      <c r="B8" s="222"/>
      <c r="C8" s="223"/>
      <c r="D8" s="224"/>
      <c r="E8" s="225"/>
      <c r="F8" s="226"/>
      <c r="G8" s="226"/>
      <c r="H8" s="222"/>
    </row>
    <row r="9" spans="1:8" x14ac:dyDescent="0.35">
      <c r="A9" s="221"/>
      <c r="B9" s="222"/>
      <c r="C9" s="223"/>
      <c r="D9" s="224"/>
      <c r="E9" s="225"/>
      <c r="F9" s="226"/>
      <c r="G9" s="226"/>
      <c r="H9" s="222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10" customWidth="1"/>
    <col min="4" max="4" width="14" customWidth="1"/>
    <col min="5" max="5" width="13" customWidth="1"/>
    <col min="6" max="7" width="12" customWidth="1"/>
    <col min="8" max="8" width="11" customWidth="1"/>
    <col min="9" max="9" width="18" customWidth="1"/>
    <col min="10" max="10" width="16" customWidth="1"/>
    <col min="11" max="11" width="18" customWidth="1"/>
    <col min="12" max="12" width="12" customWidth="1"/>
    <col min="13" max="13" width="15" customWidth="1"/>
    <col min="14" max="14" width="11" customWidth="1"/>
    <col min="15" max="15" width="14" customWidth="1"/>
    <col min="16" max="16" width="12" customWidth="1"/>
    <col min="17" max="17" width="15" customWidth="1"/>
  </cols>
  <sheetData>
    <row r="1" spans="1:17" ht="29" customHeight="1" x14ac:dyDescent="0.35">
      <c r="A1" s="217" t="s">
        <v>4584</v>
      </c>
      <c r="B1" s="217" t="s">
        <v>4585</v>
      </c>
      <c r="C1" s="217" t="s">
        <v>461</v>
      </c>
      <c r="D1" s="217" t="s">
        <v>4586</v>
      </c>
      <c r="E1" s="217" t="s">
        <v>4587</v>
      </c>
      <c r="F1" s="217" t="s">
        <v>4588</v>
      </c>
      <c r="G1" s="217" t="s">
        <v>4589</v>
      </c>
      <c r="H1" s="217" t="s">
        <v>4590</v>
      </c>
      <c r="I1" s="217" t="s">
        <v>4591</v>
      </c>
      <c r="J1" s="217" t="s">
        <v>4592</v>
      </c>
      <c r="K1" s="217" t="s">
        <v>4593</v>
      </c>
      <c r="L1" s="217" t="s">
        <v>4594</v>
      </c>
      <c r="M1" s="217" t="s">
        <v>4595</v>
      </c>
      <c r="N1" s="217" t="s">
        <v>4596</v>
      </c>
      <c r="O1" s="217" t="s">
        <v>4597</v>
      </c>
      <c r="P1" s="217" t="s">
        <v>4598</v>
      </c>
      <c r="Q1" s="217" t="s">
        <v>4599</v>
      </c>
    </row>
    <row r="2" spans="1:17" x14ac:dyDescent="0.35">
      <c r="A2" s="192"/>
      <c r="B2" s="192"/>
      <c r="C2" s="192"/>
      <c r="D2" s="227"/>
      <c r="E2" s="228"/>
      <c r="F2" s="197"/>
      <c r="G2" s="226"/>
      <c r="H2" s="222"/>
      <c r="I2" s="199"/>
      <c r="J2" s="226"/>
      <c r="K2" s="228"/>
      <c r="L2" s="220"/>
      <c r="M2" s="229"/>
      <c r="N2" s="229"/>
      <c r="O2" s="229"/>
      <c r="P2" s="230"/>
      <c r="Q2" s="224"/>
    </row>
    <row r="3" spans="1:17" x14ac:dyDescent="0.35">
      <c r="A3" s="192"/>
      <c r="B3" s="192"/>
      <c r="C3" s="192"/>
      <c r="D3" s="227"/>
      <c r="E3" s="228"/>
      <c r="F3" s="197"/>
      <c r="G3" s="226"/>
      <c r="H3" s="222"/>
      <c r="I3" s="199"/>
      <c r="J3" s="226"/>
      <c r="K3" s="228"/>
      <c r="L3" s="220"/>
      <c r="M3" s="229"/>
      <c r="N3" s="229"/>
      <c r="O3" s="229"/>
      <c r="P3" s="230"/>
      <c r="Q3" s="224"/>
    </row>
    <row r="4" spans="1:17" x14ac:dyDescent="0.35">
      <c r="A4" s="192"/>
      <c r="B4" s="192"/>
      <c r="C4" s="192"/>
      <c r="D4" s="227"/>
      <c r="E4" s="228"/>
      <c r="F4" s="197"/>
      <c r="G4" s="226"/>
      <c r="H4" s="222"/>
      <c r="I4" s="199"/>
      <c r="J4" s="226"/>
      <c r="K4" s="228"/>
      <c r="L4" s="220"/>
      <c r="M4" s="229"/>
      <c r="N4" s="229"/>
      <c r="O4" s="229"/>
      <c r="P4" s="230"/>
      <c r="Q4" s="224"/>
    </row>
    <row r="5" spans="1:17" x14ac:dyDescent="0.35">
      <c r="A5" s="192"/>
      <c r="B5" s="192"/>
      <c r="C5" s="192"/>
      <c r="D5" s="227"/>
      <c r="E5" s="228"/>
      <c r="F5" s="197"/>
      <c r="G5" s="226"/>
      <c r="H5" s="222"/>
      <c r="I5" s="199"/>
      <c r="J5" s="226"/>
      <c r="K5" s="228"/>
      <c r="L5" s="220"/>
      <c r="M5" s="229"/>
      <c r="N5" s="229"/>
      <c r="O5" s="229"/>
      <c r="P5" s="230"/>
      <c r="Q5" s="224"/>
    </row>
    <row r="6" spans="1:17" x14ac:dyDescent="0.35">
      <c r="A6" s="192"/>
      <c r="B6" s="192"/>
      <c r="C6" s="192"/>
      <c r="D6" s="227"/>
      <c r="E6" s="228"/>
      <c r="F6" s="197"/>
      <c r="G6" s="226"/>
      <c r="H6" s="222"/>
      <c r="I6" s="199"/>
      <c r="J6" s="226"/>
      <c r="K6" s="228"/>
      <c r="L6" s="220"/>
      <c r="M6" s="229"/>
      <c r="N6" s="229"/>
      <c r="O6" s="229"/>
      <c r="P6" s="230"/>
      <c r="Q6" s="224"/>
    </row>
    <row r="7" spans="1:17" x14ac:dyDescent="0.35">
      <c r="A7" s="192"/>
      <c r="B7" s="192"/>
      <c r="C7" s="192"/>
      <c r="D7" s="227"/>
      <c r="E7" s="228"/>
      <c r="F7" s="197"/>
      <c r="G7" s="226"/>
      <c r="H7" s="222"/>
      <c r="I7" s="199"/>
      <c r="J7" s="226"/>
      <c r="K7" s="228"/>
      <c r="L7" s="220"/>
      <c r="M7" s="229"/>
      <c r="N7" s="229"/>
      <c r="O7" s="229"/>
      <c r="P7" s="230"/>
      <c r="Q7" s="224"/>
    </row>
    <row r="8" spans="1:17" x14ac:dyDescent="0.35">
      <c r="A8" s="192"/>
      <c r="B8" s="192"/>
      <c r="C8" s="192"/>
      <c r="D8" s="227"/>
      <c r="E8" s="228"/>
      <c r="F8" s="197"/>
      <c r="G8" s="226"/>
      <c r="H8" s="222"/>
      <c r="I8" s="199"/>
      <c r="J8" s="226"/>
      <c r="K8" s="228"/>
      <c r="L8" s="220"/>
      <c r="M8" s="229"/>
      <c r="N8" s="229"/>
      <c r="O8" s="229"/>
      <c r="P8" s="230"/>
      <c r="Q8" s="224"/>
    </row>
    <row r="9" spans="1:17" x14ac:dyDescent="0.35">
      <c r="A9" s="192"/>
      <c r="B9" s="192"/>
      <c r="C9" s="192"/>
      <c r="D9" s="227"/>
      <c r="E9" s="228"/>
      <c r="F9" s="197"/>
      <c r="G9" s="226"/>
      <c r="H9" s="222"/>
      <c r="I9" s="199"/>
      <c r="J9" s="226"/>
      <c r="K9" s="228"/>
      <c r="L9" s="220"/>
      <c r="M9" s="229"/>
      <c r="N9" s="229"/>
      <c r="O9" s="229"/>
      <c r="P9" s="230"/>
      <c r="Q9" s="224"/>
    </row>
    <row r="10" spans="1:17" x14ac:dyDescent="0.35">
      <c r="A10" s="192"/>
      <c r="B10" s="192"/>
      <c r="C10" s="192"/>
      <c r="D10" s="227"/>
      <c r="E10" s="228"/>
      <c r="F10" s="197"/>
      <c r="G10" s="226"/>
      <c r="H10" s="222"/>
      <c r="I10" s="199"/>
      <c r="J10" s="226"/>
      <c r="K10" s="228"/>
      <c r="L10" s="220"/>
      <c r="M10" s="229"/>
      <c r="N10" s="229"/>
      <c r="O10" s="229"/>
      <c r="P10" s="230"/>
      <c r="Q10" s="224"/>
    </row>
    <row r="11" spans="1:17" x14ac:dyDescent="0.35">
      <c r="A11" s="192"/>
      <c r="B11" s="192"/>
      <c r="C11" s="192"/>
      <c r="D11" s="227"/>
      <c r="E11" s="228"/>
      <c r="F11" s="197"/>
      <c r="G11" s="226"/>
      <c r="H11" s="222"/>
      <c r="I11" s="199"/>
      <c r="J11" s="226"/>
      <c r="K11" s="228"/>
      <c r="L11" s="220"/>
      <c r="M11" s="229"/>
      <c r="N11" s="229"/>
      <c r="O11" s="229"/>
      <c r="P11" s="230"/>
      <c r="Q11" s="224"/>
    </row>
    <row r="12" spans="1:17" x14ac:dyDescent="0.35">
      <c r="A12" s="192"/>
      <c r="B12" s="192"/>
      <c r="C12" s="192"/>
      <c r="D12" s="227"/>
      <c r="E12" s="228"/>
      <c r="F12" s="197"/>
      <c r="G12" s="226"/>
      <c r="H12" s="222"/>
      <c r="I12" s="199"/>
      <c r="J12" s="226"/>
      <c r="K12" s="228"/>
      <c r="L12" s="220"/>
      <c r="M12" s="229"/>
      <c r="N12" s="229"/>
      <c r="O12" s="229"/>
      <c r="P12" s="230"/>
      <c r="Q12" s="224"/>
    </row>
    <row r="13" spans="1:17" x14ac:dyDescent="0.35">
      <c r="A13" s="192"/>
      <c r="B13" s="192"/>
      <c r="C13" s="192"/>
      <c r="D13" s="227"/>
      <c r="E13" s="228"/>
      <c r="F13" s="197"/>
      <c r="G13" s="226"/>
      <c r="H13" s="222"/>
      <c r="I13" s="199"/>
      <c r="J13" s="226"/>
      <c r="K13" s="228"/>
      <c r="L13" s="220"/>
      <c r="M13" s="229"/>
      <c r="N13" s="229"/>
      <c r="O13" s="229"/>
      <c r="P13" s="230"/>
      <c r="Q13" s="224"/>
    </row>
    <row r="14" spans="1:17" x14ac:dyDescent="0.35">
      <c r="A14" s="192"/>
      <c r="B14" s="192"/>
      <c r="C14" s="192"/>
      <c r="D14" s="227"/>
      <c r="E14" s="228"/>
      <c r="F14" s="197"/>
      <c r="G14" s="226"/>
      <c r="H14" s="222"/>
      <c r="I14" s="199"/>
      <c r="J14" s="226"/>
      <c r="K14" s="228"/>
      <c r="L14" s="220"/>
      <c r="M14" s="229"/>
      <c r="N14" s="229"/>
      <c r="O14" s="229"/>
      <c r="P14" s="230"/>
      <c r="Q14" s="224"/>
    </row>
    <row r="15" spans="1:17" x14ac:dyDescent="0.35">
      <c r="A15" s="192"/>
      <c r="B15" s="192"/>
      <c r="C15" s="192"/>
      <c r="D15" s="227"/>
      <c r="E15" s="228"/>
      <c r="F15" s="197"/>
      <c r="G15" s="226"/>
      <c r="H15" s="222"/>
      <c r="I15" s="199"/>
      <c r="J15" s="226"/>
      <c r="K15" s="228"/>
      <c r="L15" s="220"/>
      <c r="M15" s="229"/>
      <c r="N15" s="229"/>
      <c r="O15" s="229"/>
      <c r="P15" s="230"/>
      <c r="Q15" s="22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D32"/>
  </sheetPr>
  <dimension ref="A1:M19"/>
  <sheetViews>
    <sheetView showGridLines="0" workbookViewId="0">
      <pane ySplit="1" topLeftCell="A2" activePane="bottomLeft" state="frozen"/>
      <selection pane="bottomLeft" activeCell="A6" sqref="A6"/>
    </sheetView>
  </sheetViews>
  <sheetFormatPr defaultRowHeight="14.5" x14ac:dyDescent="0.35"/>
  <cols>
    <col min="1" max="1" width="11" customWidth="1"/>
    <col min="2" max="2" width="12" customWidth="1"/>
    <col min="3" max="3" width="28" customWidth="1"/>
    <col min="4" max="8" width="14" customWidth="1"/>
    <col min="9" max="9" width="15" customWidth="1"/>
    <col min="10" max="10" width="17" customWidth="1"/>
    <col min="11" max="12" width="14" customWidth="1"/>
    <col min="13" max="13" width="16" customWidth="1"/>
  </cols>
  <sheetData>
    <row r="1" spans="1:13" x14ac:dyDescent="0.35">
      <c r="A1" s="191" t="s">
        <v>4527</v>
      </c>
      <c r="B1" s="191" t="s">
        <v>210</v>
      </c>
      <c r="C1" s="191" t="s">
        <v>4528</v>
      </c>
      <c r="D1" s="191" t="s">
        <v>4600</v>
      </c>
      <c r="E1" s="191" t="s">
        <v>4601</v>
      </c>
      <c r="F1" s="191" t="s">
        <v>4602</v>
      </c>
      <c r="G1" s="191" t="s">
        <v>4603</v>
      </c>
      <c r="H1" s="191" t="s">
        <v>4604</v>
      </c>
      <c r="I1" s="191" t="s">
        <v>4605</v>
      </c>
      <c r="J1" s="191" t="s">
        <v>4606</v>
      </c>
      <c r="K1" s="191" t="s">
        <v>4592</v>
      </c>
      <c r="L1" s="191" t="s">
        <v>4607</v>
      </c>
      <c r="M1" s="191" t="s">
        <v>140</v>
      </c>
    </row>
    <row r="2" spans="1:13" x14ac:dyDescent="0.35">
      <c r="A2" s="201" t="str">
        <f>Cert_OC_Cliente!B2</f>
        <v>CH-OC01</v>
      </c>
      <c r="B2" s="201" t="str">
        <f>_xlfn.XLOOKUP($A2,Cert_OC_Cliente!$B:$B,Cert_OC_Cliente!$L:$L)</f>
        <v>PTO 01</v>
      </c>
      <c r="C2" s="201" t="str">
        <f>_xlfn.XLOOKUP($A2,Cert_OC_Cliente!$B:$B,Cert_OC_Cliente!$C:$C)</f>
        <v>Pto 1 - Preliminares y estructura</v>
      </c>
      <c r="D2" s="199">
        <f>_xlfn.XLOOKUP($A2,Cert_OC_Cliente!$B:$B,Cert_OC_Cliente!$D:$D)</f>
        <v>600478155</v>
      </c>
      <c r="E2" s="198">
        <f>SUMPRODUCT(('1_Presupuesto'!$X$5:$X$211=$B2)*'1_Presupuesto'!$Y$5:$Y$211*'1_Presupuesto'!$V$5:$V$211)/SUMPRODUCT(('1_Presupuesto'!$X$5:$X$211=$B2)*'1_Presupuesto'!$V$5:$V$211)</f>
        <v>0.22134466944699896</v>
      </c>
      <c r="F2" s="199">
        <f>SUMIFS(Cert_Calculo!$T:$T,Cert_Calculo!$E:$E,$A2)</f>
        <v>305006981.3985219</v>
      </c>
      <c r="G2" s="199">
        <f>SUMIFS(Cert_Facturacion!$G:$G,Cert_Facturacion!$A:$A,$A2&amp;"-*")</f>
        <v>0</v>
      </c>
      <c r="H2" s="199">
        <f>SUMIFS(Cert_Facturacion!$G:$G,Cert_Facturacion!$A:$A,$A2&amp;"-*",Cert_Facturacion!$F:$F,"&gt;0")</f>
        <v>0</v>
      </c>
      <c r="I2" s="199">
        <f>SUMIFS(Cert_Calculo!$T:$T,Cert_Calculo!$E:$E,$A2,Cert_Calculo!$B:$B,"*ANT*")</f>
        <v>157531858.78848886</v>
      </c>
      <c r="J2" s="200">
        <f>SUMIFS(Cert_App_Output!$J:$J,Cert_App_Output!$B:$B,$A2)-SUMIFS(Cert_Calculo!$I:$I,Cert_Calculo!$E:$E,$A2,Cert_Calculo!$B:$B,"&lt;&gt;*ANT*")</f>
        <v>0</v>
      </c>
      <c r="K2" s="200">
        <f>F2-G2</f>
        <v>305006981.3985219</v>
      </c>
      <c r="L2" s="200">
        <f>G2-H2</f>
        <v>0</v>
      </c>
      <c r="M2" s="206" t="str">
        <f>IF(J2&gt;1000,"⚠ Certificar",IF(F2=0,"🔴 Sin iniciar",IF(K2&gt;1000,"🟠 Por facturar",IF(L2&gt;1000,"🔵 Por cobrar",IF(E2&gt;=0.999,"🟢 Cerrada","🟡 En ejecucion")))))</f>
        <v>🟠 Por facturar</v>
      </c>
    </row>
    <row r="3" spans="1:13" x14ac:dyDescent="0.35">
      <c r="A3" s="201" t="str">
        <f>Cert_OC_Cliente!B3</f>
        <v>CH-OC02</v>
      </c>
      <c r="B3" s="201" t="str">
        <f>_xlfn.XLOOKUP($A3,Cert_OC_Cliente!$B:$B,Cert_OC_Cliente!$L:$L)</f>
        <v>PTO 02</v>
      </c>
      <c r="C3" s="201" t="str">
        <f>_xlfn.XLOOKUP($A3,Cert_OC_Cliente!$B:$B,Cert_OC_Cliente!$C:$C)</f>
        <v>Pto 2 - Albanileria e Instalaciones</v>
      </c>
      <c r="D3" s="199">
        <f>_xlfn.XLOOKUP($A3,Cert_OC_Cliente!$B:$B,Cert_OC_Cliente!$D:$D)</f>
        <v>940144849</v>
      </c>
      <c r="E3" s="198">
        <f>SUMPRODUCT(('1_Presupuesto'!$X$5:$X$211=$B3)*'1_Presupuesto'!$Y$5:$Y$211*'1_Presupuesto'!$V$5:$V$211)/SUMPRODUCT(('1_Presupuesto'!$X$5:$X$211=$B3)*'1_Presupuesto'!$V$5:$V$211)</f>
        <v>0</v>
      </c>
      <c r="F3" s="199">
        <f>SUMIFS(Cert_Calculo!$T:$T,Cert_Calculo!$E:$E,$A3)</f>
        <v>0</v>
      </c>
      <c r="G3" s="199">
        <f>SUMIFS(Cert_Facturacion!$G:$G,Cert_Facturacion!$A:$A,$A3&amp;"-*")</f>
        <v>0</v>
      </c>
      <c r="H3" s="199">
        <f>SUMIFS(Cert_Facturacion!$G:$G,Cert_Facturacion!$A:$A,$A3&amp;"-*",Cert_Facturacion!$F:$F,"&gt;0")</f>
        <v>0</v>
      </c>
      <c r="I3" s="199">
        <f>SUMIFS(Cert_Calculo!$T:$T,Cert_Calculo!$E:$E,$A3,Cert_Calculo!$B:$B,"*ANT*")</f>
        <v>0</v>
      </c>
      <c r="J3" s="200">
        <f>SUMIFS(Cert_App_Output!$J:$J,Cert_App_Output!$B:$B,$A3)-SUMIFS(Cert_Calculo!$I:$I,Cert_Calculo!$E:$E,$A3,Cert_Calculo!$B:$B,"&lt;&gt;*ANT*")</f>
        <v>0</v>
      </c>
      <c r="K3" s="200">
        <f>F3-G3</f>
        <v>0</v>
      </c>
      <c r="L3" s="200">
        <f>G3-H3</f>
        <v>0</v>
      </c>
      <c r="M3" s="206" t="str">
        <f>IF(J3&gt;1000,"⚠ Certificar",IF(F3=0,"🔴 Sin iniciar",IF(K3&gt;1000,"🟠 Por facturar",IF(L3&gt;1000,"🔵 Por cobrar",IF(E3&gt;=0.999,"🟢 Cerrada","🟡 En ejecucion")))))</f>
        <v>🔴 Sin iniciar</v>
      </c>
    </row>
    <row r="4" spans="1:13" x14ac:dyDescent="0.35">
      <c r="A4" s="207" t="s">
        <v>4608</v>
      </c>
      <c r="B4" s="208"/>
      <c r="C4" s="208"/>
      <c r="D4" s="209">
        <f>SUM(D2:D3)</f>
        <v>1540623004</v>
      </c>
      <c r="E4" s="210">
        <f>SUMPRODUCT($D$2:$D$3,$E$2:$E$3)/SUM($D$2:$D$3)</f>
        <v>8.6272007092929787E-2</v>
      </c>
      <c r="F4" s="209">
        <f t="shared" ref="F4:L4" si="0">SUM(F2:F3)</f>
        <v>305006981.3985219</v>
      </c>
      <c r="G4" s="209">
        <f t="shared" si="0"/>
        <v>0</v>
      </c>
      <c r="H4" s="209">
        <f t="shared" si="0"/>
        <v>0</v>
      </c>
      <c r="I4" s="209">
        <f t="shared" si="0"/>
        <v>157531858.78848886</v>
      </c>
      <c r="J4" s="209">
        <f t="shared" si="0"/>
        <v>0</v>
      </c>
      <c r="K4" s="209">
        <f t="shared" si="0"/>
        <v>305006981.3985219</v>
      </c>
      <c r="L4" s="209">
        <f t="shared" si="0"/>
        <v>0</v>
      </c>
      <c r="M4" s="208"/>
    </row>
    <row r="6" spans="1:13" x14ac:dyDescent="0.35">
      <c r="A6" s="215" t="s">
        <v>4609</v>
      </c>
      <c r="B6" s="216"/>
      <c r="C6" s="216"/>
      <c r="D6" s="216"/>
      <c r="E6" s="216"/>
    </row>
    <row r="7" spans="1:13" x14ac:dyDescent="0.35">
      <c r="A7" s="191" t="s">
        <v>4610</v>
      </c>
      <c r="B7" s="191" t="s">
        <v>4542</v>
      </c>
      <c r="C7" s="191" t="s">
        <v>4527</v>
      </c>
      <c r="D7" s="191" t="s">
        <v>4441</v>
      </c>
      <c r="E7" s="191" t="s">
        <v>4611</v>
      </c>
    </row>
    <row r="8" spans="1:13" x14ac:dyDescent="0.35">
      <c r="A8" s="205" t="str">
        <f>IF($B8="","",1)</f>
        <v/>
      </c>
      <c r="B8" s="201" t="str">
        <f>IFERROR(INDEX(Cert_App_Output!$C:$C,MATCH(1,Cert_App_Output!$N:$N,0)),"")</f>
        <v/>
      </c>
      <c r="C8" s="201" t="str">
        <f>IF($B8="","",_xlfn.XLOOKUP($B8,Cert_App_Output!$C:$C,Cert_App_Output!$B:$B))</f>
        <v/>
      </c>
      <c r="D8" s="202" t="str">
        <f>IF($B8="","",_xlfn.XLOOKUP($B8,Cert_App_Output!$C:$C,Cert_App_Output!$D:$D))</f>
        <v/>
      </c>
      <c r="E8" s="200" t="str">
        <f>IF($B8="","",SUMIFS(Cert_App_Output!$J:$J,Cert_App_Output!$C:$C,$B8))</f>
        <v/>
      </c>
    </row>
    <row r="9" spans="1:13" x14ac:dyDescent="0.35">
      <c r="A9" s="205" t="str">
        <f>IF($B9="","",2)</f>
        <v/>
      </c>
      <c r="B9" s="201" t="str">
        <f>IFERROR(INDEX(Cert_App_Output!$C:$C,MATCH(2,Cert_App_Output!$N:$N,0)),"")</f>
        <v/>
      </c>
      <c r="C9" s="201" t="str">
        <f>IF($B9="","",_xlfn.XLOOKUP($B9,Cert_App_Output!$C:$C,Cert_App_Output!$B:$B))</f>
        <v/>
      </c>
      <c r="D9" s="202" t="str">
        <f>IF($B9="","",_xlfn.XLOOKUP($B9,Cert_App_Output!$C:$C,Cert_App_Output!$D:$D))</f>
        <v/>
      </c>
      <c r="E9" s="200" t="str">
        <f>IF($B9="","",SUMIFS(Cert_App_Output!$J:$J,Cert_App_Output!$C:$C,$B9))</f>
        <v/>
      </c>
    </row>
    <row r="10" spans="1:13" x14ac:dyDescent="0.35">
      <c r="A10" s="205" t="str">
        <f>IF($B10="","",3)</f>
        <v/>
      </c>
      <c r="B10" s="201" t="str">
        <f>IFERROR(INDEX(Cert_App_Output!$C:$C,MATCH(3,Cert_App_Output!$N:$N,0)),"")</f>
        <v/>
      </c>
      <c r="C10" s="201" t="str">
        <f>IF($B10="","",_xlfn.XLOOKUP($B10,Cert_App_Output!$C:$C,Cert_App_Output!$B:$B))</f>
        <v/>
      </c>
      <c r="D10" s="202" t="str">
        <f>IF($B10="","",_xlfn.XLOOKUP($B10,Cert_App_Output!$C:$C,Cert_App_Output!$D:$D))</f>
        <v/>
      </c>
      <c r="E10" s="200" t="str">
        <f>IF($B10="","",SUMIFS(Cert_App_Output!$J:$J,Cert_App_Output!$C:$C,$B10))</f>
        <v/>
      </c>
    </row>
    <row r="11" spans="1:13" x14ac:dyDescent="0.35">
      <c r="A11" s="205" t="str">
        <f>IF($B11="","",4)</f>
        <v/>
      </c>
      <c r="B11" s="201" t="str">
        <f>IFERROR(INDEX(Cert_App_Output!$C:$C,MATCH(4,Cert_App_Output!$N:$N,0)),"")</f>
        <v/>
      </c>
      <c r="C11" s="201" t="str">
        <f>IF($B11="","",_xlfn.XLOOKUP($B11,Cert_App_Output!$C:$C,Cert_App_Output!$B:$B))</f>
        <v/>
      </c>
      <c r="D11" s="202" t="str">
        <f>IF($B11="","",_xlfn.XLOOKUP($B11,Cert_App_Output!$C:$C,Cert_App_Output!$D:$D))</f>
        <v/>
      </c>
      <c r="E11" s="200" t="str">
        <f>IF($B11="","",SUMIFS(Cert_App_Output!$J:$J,Cert_App_Output!$C:$C,$B11))</f>
        <v/>
      </c>
    </row>
    <row r="12" spans="1:13" x14ac:dyDescent="0.35">
      <c r="A12" s="205" t="str">
        <f>IF($B12="","",5)</f>
        <v/>
      </c>
      <c r="B12" s="201" t="str">
        <f>IFERROR(INDEX(Cert_App_Output!$C:$C,MATCH(5,Cert_App_Output!$N:$N,0)),"")</f>
        <v/>
      </c>
      <c r="C12" s="201" t="str">
        <f>IF($B12="","",_xlfn.XLOOKUP($B12,Cert_App_Output!$C:$C,Cert_App_Output!$B:$B))</f>
        <v/>
      </c>
      <c r="D12" s="202" t="str">
        <f>IF($B12="","",_xlfn.XLOOKUP($B12,Cert_App_Output!$C:$C,Cert_App_Output!$D:$D))</f>
        <v/>
      </c>
      <c r="E12" s="200" t="str">
        <f>IF($B12="","",SUMIFS(Cert_App_Output!$J:$J,Cert_App_Output!$C:$C,$B12))</f>
        <v/>
      </c>
    </row>
    <row r="13" spans="1:13" x14ac:dyDescent="0.35">
      <c r="A13" s="205" t="str">
        <f>IF($B13="","",6)</f>
        <v/>
      </c>
      <c r="B13" s="201" t="str">
        <f>IFERROR(INDEX(Cert_App_Output!$C:$C,MATCH(6,Cert_App_Output!$N:$N,0)),"")</f>
        <v/>
      </c>
      <c r="C13" s="201" t="str">
        <f>IF($B13="","",_xlfn.XLOOKUP($B13,Cert_App_Output!$C:$C,Cert_App_Output!$B:$B))</f>
        <v/>
      </c>
      <c r="D13" s="202" t="str">
        <f>IF($B13="","",_xlfn.XLOOKUP($B13,Cert_App_Output!$C:$C,Cert_App_Output!$D:$D))</f>
        <v/>
      </c>
      <c r="E13" s="200" t="str">
        <f>IF($B13="","",SUMIFS(Cert_App_Output!$J:$J,Cert_App_Output!$C:$C,$B13))</f>
        <v/>
      </c>
    </row>
    <row r="14" spans="1:13" x14ac:dyDescent="0.35">
      <c r="A14" s="205" t="str">
        <f>IF($B14="","",7)</f>
        <v/>
      </c>
      <c r="B14" s="201" t="str">
        <f>IFERROR(INDEX(Cert_App_Output!$C:$C,MATCH(7,Cert_App_Output!$N:$N,0)),"")</f>
        <v/>
      </c>
      <c r="C14" s="201" t="str">
        <f>IF($B14="","",_xlfn.XLOOKUP($B14,Cert_App_Output!$C:$C,Cert_App_Output!$B:$B))</f>
        <v/>
      </c>
      <c r="D14" s="202" t="str">
        <f>IF($B14="","",_xlfn.XLOOKUP($B14,Cert_App_Output!$C:$C,Cert_App_Output!$D:$D))</f>
        <v/>
      </c>
      <c r="E14" s="200" t="str">
        <f>IF($B14="","",SUMIFS(Cert_App_Output!$J:$J,Cert_App_Output!$C:$C,$B14))</f>
        <v/>
      </c>
    </row>
    <row r="15" spans="1:13" x14ac:dyDescent="0.35">
      <c r="A15" s="205" t="str">
        <f>IF($B15="","",8)</f>
        <v/>
      </c>
      <c r="B15" s="201" t="str">
        <f>IFERROR(INDEX(Cert_App_Output!$C:$C,MATCH(8,Cert_App_Output!$N:$N,0)),"")</f>
        <v/>
      </c>
      <c r="C15" s="201" t="str">
        <f>IF($B15="","",_xlfn.XLOOKUP($B15,Cert_App_Output!$C:$C,Cert_App_Output!$B:$B))</f>
        <v/>
      </c>
      <c r="D15" s="202" t="str">
        <f>IF($B15="","",_xlfn.XLOOKUP($B15,Cert_App_Output!$C:$C,Cert_App_Output!$D:$D))</f>
        <v/>
      </c>
      <c r="E15" s="200" t="str">
        <f>IF($B15="","",SUMIFS(Cert_App_Output!$J:$J,Cert_App_Output!$C:$C,$B15))</f>
        <v/>
      </c>
    </row>
    <row r="16" spans="1:13" x14ac:dyDescent="0.35">
      <c r="A16" s="205" t="str">
        <f>IF($B16="","",9)</f>
        <v/>
      </c>
      <c r="B16" s="201" t="str">
        <f>IFERROR(INDEX(Cert_App_Output!$C:$C,MATCH(9,Cert_App_Output!$N:$N,0)),"")</f>
        <v/>
      </c>
      <c r="C16" s="201" t="str">
        <f>IF($B16="","",_xlfn.XLOOKUP($B16,Cert_App_Output!$C:$C,Cert_App_Output!$B:$B))</f>
        <v/>
      </c>
      <c r="D16" s="202" t="str">
        <f>IF($B16="","",_xlfn.XLOOKUP($B16,Cert_App_Output!$C:$C,Cert_App_Output!$D:$D))</f>
        <v/>
      </c>
      <c r="E16" s="200" t="str">
        <f>IF($B16="","",SUMIFS(Cert_App_Output!$J:$J,Cert_App_Output!$C:$C,$B16))</f>
        <v/>
      </c>
    </row>
    <row r="17" spans="1:5" x14ac:dyDescent="0.35">
      <c r="A17" s="205" t="str">
        <f>IF($B17="","",10)</f>
        <v/>
      </c>
      <c r="B17" s="201" t="str">
        <f>IFERROR(INDEX(Cert_App_Output!$C:$C,MATCH(10,Cert_App_Output!$N:$N,0)),"")</f>
        <v/>
      </c>
      <c r="C17" s="201" t="str">
        <f>IF($B17="","",_xlfn.XLOOKUP($B17,Cert_App_Output!$C:$C,Cert_App_Output!$B:$B))</f>
        <v/>
      </c>
      <c r="D17" s="202" t="str">
        <f>IF($B17="","",_xlfn.XLOOKUP($B17,Cert_App_Output!$C:$C,Cert_App_Output!$D:$D))</f>
        <v/>
      </c>
      <c r="E17" s="200" t="str">
        <f>IF($B17="","",SUMIFS(Cert_App_Output!$J:$J,Cert_App_Output!$C:$C,$B17))</f>
        <v/>
      </c>
    </row>
    <row r="18" spans="1:5" x14ac:dyDescent="0.35">
      <c r="A18" s="205" t="str">
        <f>IF($B18="","",11)</f>
        <v/>
      </c>
      <c r="B18" s="201" t="str">
        <f>IFERROR(INDEX(Cert_App_Output!$C:$C,MATCH(11,Cert_App_Output!$N:$N,0)),"")</f>
        <v/>
      </c>
      <c r="C18" s="201" t="str">
        <f>IF($B18="","",_xlfn.XLOOKUP($B18,Cert_App_Output!$C:$C,Cert_App_Output!$B:$B))</f>
        <v/>
      </c>
      <c r="D18" s="202" t="str">
        <f>IF($B18="","",_xlfn.XLOOKUP($B18,Cert_App_Output!$C:$C,Cert_App_Output!$D:$D))</f>
        <v/>
      </c>
      <c r="E18" s="200" t="str">
        <f>IF($B18="","",SUMIFS(Cert_App_Output!$J:$J,Cert_App_Output!$C:$C,$B18))</f>
        <v/>
      </c>
    </row>
    <row r="19" spans="1:5" x14ac:dyDescent="0.35">
      <c r="A19" s="205" t="str">
        <f>IF($B19="","",12)</f>
        <v/>
      </c>
      <c r="B19" s="201" t="str">
        <f>IFERROR(INDEX(Cert_App_Output!$C:$C,MATCH(12,Cert_App_Output!$N:$N,0)),"")</f>
        <v/>
      </c>
      <c r="C19" s="201" t="str">
        <f>IF($B19="","",_xlfn.XLOOKUP($B19,Cert_App_Output!$C:$C,Cert_App_Output!$B:$B))</f>
        <v/>
      </c>
      <c r="D19" s="202" t="str">
        <f>IF($B19="","",_xlfn.XLOOKUP($B19,Cert_App_Output!$C:$C,Cert_App_Output!$D:$D))</f>
        <v/>
      </c>
      <c r="E19" s="200" t="str">
        <f>IF($B19="","",SUMIFS(Cert_App_Output!$J:$J,Cert_App_Output!$C:$C,$B19))</f>
        <v/>
      </c>
    </row>
  </sheetData>
  <conditionalFormatting sqref="M2:M3">
    <cfRule type="expression" dxfId="0" priority="1">
      <formula>ISNUMBER(SEARCH("Certificar",M2))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9"/>
  <sheetViews>
    <sheetView workbookViewId="0"/>
  </sheetViews>
  <sheetFormatPr defaultRowHeight="14.5" x14ac:dyDescent="0.35"/>
  <sheetData>
    <row r="1" spans="1:3" x14ac:dyDescent="0.35">
      <c r="A1" t="s">
        <v>4612</v>
      </c>
    </row>
    <row r="3" spans="1:3" x14ac:dyDescent="0.35">
      <c r="A3" t="s">
        <v>4613</v>
      </c>
    </row>
    <row r="4" spans="1:3" x14ac:dyDescent="0.35">
      <c r="A4" t="s">
        <v>4614</v>
      </c>
    </row>
    <row r="5" spans="1:3" x14ac:dyDescent="0.35">
      <c r="A5" t="s">
        <v>4615</v>
      </c>
    </row>
    <row r="7" spans="1:3" x14ac:dyDescent="0.35">
      <c r="A7" t="s">
        <v>4616</v>
      </c>
      <c r="B7" t="s">
        <v>4617</v>
      </c>
      <c r="C7" t="s">
        <v>4618</v>
      </c>
    </row>
    <row r="8" spans="1:3" x14ac:dyDescent="0.35">
      <c r="A8" t="s">
        <v>4619</v>
      </c>
      <c r="B8" t="s">
        <v>4620</v>
      </c>
      <c r="C8" t="s">
        <v>4621</v>
      </c>
    </row>
    <row r="9" spans="1:3" x14ac:dyDescent="0.35">
      <c r="A9" t="s">
        <v>4622</v>
      </c>
      <c r="B9" t="s">
        <v>4623</v>
      </c>
      <c r="C9" t="s">
        <v>4624</v>
      </c>
    </row>
    <row r="10" spans="1:3" x14ac:dyDescent="0.35">
      <c r="A10" t="s">
        <v>4625</v>
      </c>
      <c r="B10" t="s">
        <v>4626</v>
      </c>
      <c r="C10" t="s">
        <v>4627</v>
      </c>
    </row>
    <row r="11" spans="1:3" x14ac:dyDescent="0.35">
      <c r="A11" t="s">
        <v>4628</v>
      </c>
      <c r="B11" t="s">
        <v>4629</v>
      </c>
      <c r="C11" t="s">
        <v>4630</v>
      </c>
    </row>
    <row r="12" spans="1:3" x14ac:dyDescent="0.35">
      <c r="A12" t="s">
        <v>4631</v>
      </c>
      <c r="B12" t="s">
        <v>4632</v>
      </c>
      <c r="C12" t="s">
        <v>4633</v>
      </c>
    </row>
    <row r="13" spans="1:3" x14ac:dyDescent="0.35">
      <c r="A13" t="s">
        <v>4634</v>
      </c>
      <c r="B13" t="s">
        <v>4635</v>
      </c>
      <c r="C13" t="s">
        <v>4636</v>
      </c>
    </row>
    <row r="14" spans="1:3" x14ac:dyDescent="0.35">
      <c r="A14" t="s">
        <v>4637</v>
      </c>
      <c r="B14" t="s">
        <v>4638</v>
      </c>
      <c r="C14" t="s">
        <v>4639</v>
      </c>
    </row>
    <row r="15" spans="1:3" x14ac:dyDescent="0.35">
      <c r="A15" t="s">
        <v>4640</v>
      </c>
      <c r="B15" t="s">
        <v>4641</v>
      </c>
      <c r="C15" t="s">
        <v>4642</v>
      </c>
    </row>
    <row r="16" spans="1:3" x14ac:dyDescent="0.35">
      <c r="A16" t="s">
        <v>4643</v>
      </c>
      <c r="B16" t="s">
        <v>4644</v>
      </c>
      <c r="C16" t="s">
        <v>4645</v>
      </c>
    </row>
    <row r="17" spans="1:3" x14ac:dyDescent="0.35">
      <c r="A17" t="s">
        <v>4646</v>
      </c>
      <c r="B17" t="s">
        <v>4647</v>
      </c>
      <c r="C17" t="s">
        <v>4648</v>
      </c>
    </row>
    <row r="18" spans="1:3" x14ac:dyDescent="0.35">
      <c r="A18" t="s">
        <v>4649</v>
      </c>
      <c r="B18" t="s">
        <v>4650</v>
      </c>
      <c r="C18" t="s">
        <v>4651</v>
      </c>
    </row>
    <row r="19" spans="1:3" x14ac:dyDescent="0.35">
      <c r="A19" t="s">
        <v>4652</v>
      </c>
      <c r="B19" t="s">
        <v>4653</v>
      </c>
      <c r="C19" t="s">
        <v>4654</v>
      </c>
    </row>
    <row r="20" spans="1:3" x14ac:dyDescent="0.35">
      <c r="A20" t="s">
        <v>4655</v>
      </c>
      <c r="B20" t="s">
        <v>4656</v>
      </c>
      <c r="C20" t="s">
        <v>4657</v>
      </c>
    </row>
    <row r="22" spans="1:3" x14ac:dyDescent="0.35">
      <c r="A22" t="s">
        <v>4658</v>
      </c>
    </row>
    <row r="23" spans="1:3" x14ac:dyDescent="0.35">
      <c r="A23" t="s">
        <v>4616</v>
      </c>
      <c r="B23" t="s">
        <v>4617</v>
      </c>
      <c r="C23" t="s">
        <v>4618</v>
      </c>
    </row>
    <row r="24" spans="1:3" x14ac:dyDescent="0.35">
      <c r="A24" t="s">
        <v>4659</v>
      </c>
      <c r="B24" t="s">
        <v>4660</v>
      </c>
      <c r="C24" t="s">
        <v>4661</v>
      </c>
    </row>
    <row r="25" spans="1:3" x14ac:dyDescent="0.35">
      <c r="A25" t="s">
        <v>4662</v>
      </c>
      <c r="B25" t="s">
        <v>4663</v>
      </c>
      <c r="C25" t="s">
        <v>4664</v>
      </c>
    </row>
    <row r="26" spans="1:3" x14ac:dyDescent="0.35">
      <c r="A26" t="s">
        <v>4665</v>
      </c>
      <c r="B26" t="s">
        <v>4666</v>
      </c>
      <c r="C26" t="s">
        <v>4667</v>
      </c>
    </row>
    <row r="27" spans="1:3" x14ac:dyDescent="0.35">
      <c r="A27" t="s">
        <v>4668</v>
      </c>
      <c r="B27" t="s">
        <v>4669</v>
      </c>
      <c r="C27" t="s">
        <v>4670</v>
      </c>
    </row>
    <row r="28" spans="1:3" x14ac:dyDescent="0.35">
      <c r="A28" t="s">
        <v>4671</v>
      </c>
      <c r="B28" t="s">
        <v>4672</v>
      </c>
      <c r="C28" t="s">
        <v>4673</v>
      </c>
    </row>
    <row r="29" spans="1:3" x14ac:dyDescent="0.35">
      <c r="A29" t="s">
        <v>4674</v>
      </c>
      <c r="B29" t="s">
        <v>4675</v>
      </c>
      <c r="C29" t="s">
        <v>4676</v>
      </c>
    </row>
    <row r="30" spans="1:3" x14ac:dyDescent="0.35">
      <c r="A30" t="s">
        <v>4677</v>
      </c>
      <c r="B30" t="s">
        <v>4678</v>
      </c>
      <c r="C30" t="s">
        <v>4679</v>
      </c>
    </row>
    <row r="32" spans="1:3" x14ac:dyDescent="0.35">
      <c r="A32" t="s">
        <v>4680</v>
      </c>
    </row>
    <row r="33" spans="1:3" x14ac:dyDescent="0.35">
      <c r="A33" t="s">
        <v>4616</v>
      </c>
      <c r="B33" t="s">
        <v>4617</v>
      </c>
      <c r="C33" t="s">
        <v>4618</v>
      </c>
    </row>
    <row r="34" spans="1:3" x14ac:dyDescent="0.35">
      <c r="A34" t="s">
        <v>4681</v>
      </c>
      <c r="B34" t="s">
        <v>4682</v>
      </c>
      <c r="C34" t="s">
        <v>4683</v>
      </c>
    </row>
    <row r="35" spans="1:3" x14ac:dyDescent="0.35">
      <c r="A35" t="s">
        <v>4684</v>
      </c>
      <c r="B35" t="s">
        <v>4685</v>
      </c>
      <c r="C35" t="s">
        <v>4686</v>
      </c>
    </row>
    <row r="36" spans="1:3" x14ac:dyDescent="0.35">
      <c r="A36" t="s">
        <v>4687</v>
      </c>
      <c r="B36" t="s">
        <v>4688</v>
      </c>
      <c r="C36" t="s">
        <v>4689</v>
      </c>
    </row>
    <row r="37" spans="1:3" x14ac:dyDescent="0.35">
      <c r="A37" t="s">
        <v>4690</v>
      </c>
      <c r="B37" t="s">
        <v>4691</v>
      </c>
      <c r="C37" t="s">
        <v>4692</v>
      </c>
    </row>
    <row r="38" spans="1:3" x14ac:dyDescent="0.35">
      <c r="A38" t="s">
        <v>4693</v>
      </c>
      <c r="B38" t="s">
        <v>4694</v>
      </c>
      <c r="C38" t="s">
        <v>4695</v>
      </c>
    </row>
    <row r="39" spans="1:3" x14ac:dyDescent="0.35">
      <c r="A39" t="s">
        <v>4696</v>
      </c>
      <c r="B39" t="s">
        <v>4697</v>
      </c>
      <c r="C39" t="s">
        <v>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0_CONFIG</vt:lpstr>
      <vt:lpstr>0_Indice_CAC</vt:lpstr>
      <vt:lpstr>0_Jornales_MO</vt:lpstr>
      <vt:lpstr>1_Presupuesto</vt:lpstr>
      <vt:lpstr>1_Composicion</vt:lpstr>
      <vt:lpstr>1_GGBB</vt:lpstr>
      <vt:lpstr>2_Movimientos</vt:lpstr>
      <vt:lpstr>2_Quincenas</vt:lpstr>
      <vt:lpstr>2_Gastos_DirInd</vt:lpstr>
      <vt:lpstr>2_Subcontratos</vt:lpstr>
      <vt:lpstr>_Listas</vt:lpstr>
      <vt:lpstr>Cert_OC_Cliente</vt:lpstr>
      <vt:lpstr>Cert_App_Output</vt:lpstr>
      <vt:lpstr>Cert_Calculo</vt:lpstr>
      <vt:lpstr>Cert_Cabecera</vt:lpstr>
      <vt:lpstr>Cert_Facturacion</vt:lpstr>
      <vt:lpstr>Cert_Control_OC</vt:lpstr>
      <vt:lpstr>CHANGELOG</vt:lpstr>
      <vt:lpstr>GASTOS_CONCEPTO</vt:lpstr>
      <vt:lpstr>RUBROS_PLAN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Pagliaricci</cp:lastModifiedBy>
  <cp:revision>0</cp:revision>
  <dcterms:created xsi:type="dcterms:W3CDTF">2026-06-11T00:28:11Z</dcterms:created>
  <dcterms:modified xsi:type="dcterms:W3CDTF">2026-06-24T14:07:10Z</dcterms:modified>
  <dc:language>en-US</dc:language>
</cp:coreProperties>
</file>